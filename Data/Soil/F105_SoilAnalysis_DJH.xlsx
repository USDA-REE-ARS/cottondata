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Soil\"/>
    </mc:Choice>
  </mc:AlternateContent>
  <xr:revisionPtr revIDLastSave="0" documentId="13_ncr:1_{400B3600-4ECD-44AA-AD54-C38F45948736}" xr6:coauthVersionLast="47" xr6:coauthVersionMax="47" xr10:uidLastSave="{00000000-0000-0000-0000-000000000000}"/>
  <bookViews>
    <workbookView xWindow="-1230" yWindow="-27630" windowWidth="17565" windowHeight="18285" xr2:uid="{A8C12209-3DAE-409F-9A20-7070310CE2BE}"/>
  </bookViews>
  <sheets>
    <sheet name="SoilDF" sheetId="1" r:id="rId1"/>
    <sheet name="F105-2011-2012-Camelina" sheetId="2" r:id="rId2"/>
    <sheet name="F105-2011-2012-Whea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3" l="1"/>
  <c r="H6" i="3"/>
  <c r="J6" i="3"/>
  <c r="L6" i="3"/>
  <c r="M6" i="3"/>
  <c r="O6" i="3"/>
  <c r="N6" i="3" s="1"/>
  <c r="F7" i="3"/>
  <c r="H7" i="3"/>
  <c r="J7" i="3"/>
  <c r="L7" i="3"/>
  <c r="M7" i="3"/>
  <c r="O7" i="3"/>
  <c r="N7" i="3" s="1"/>
  <c r="F8" i="3"/>
  <c r="H8" i="3"/>
  <c r="M8" i="3" s="1"/>
  <c r="J8" i="3"/>
  <c r="L8" i="3"/>
  <c r="O8" i="3" s="1"/>
  <c r="F9" i="3"/>
  <c r="H9" i="3"/>
  <c r="J9" i="3"/>
  <c r="L9" i="3"/>
  <c r="M9" i="3"/>
  <c r="O9" i="3"/>
  <c r="N9" i="3" s="1"/>
  <c r="F10" i="3"/>
  <c r="H10" i="3"/>
  <c r="M10" i="3" s="1"/>
  <c r="J10" i="3"/>
  <c r="L10" i="3"/>
  <c r="O10" i="3" s="1"/>
  <c r="F11" i="3"/>
  <c r="H11" i="3"/>
  <c r="J11" i="3"/>
  <c r="L11" i="3"/>
  <c r="M11" i="3"/>
  <c r="O11" i="3"/>
  <c r="N11" i="3" s="1"/>
  <c r="F15" i="3"/>
  <c r="H15" i="3"/>
  <c r="J15" i="3"/>
  <c r="L15" i="3"/>
  <c r="M15" i="3"/>
  <c r="O15" i="3"/>
  <c r="N15" i="3" s="1"/>
  <c r="F16" i="3"/>
  <c r="H16" i="3"/>
  <c r="M16" i="3" s="1"/>
  <c r="J16" i="3"/>
  <c r="L16" i="3"/>
  <c r="O16" i="3" s="1"/>
  <c r="F17" i="3"/>
  <c r="H17" i="3"/>
  <c r="M17" i="3" s="1"/>
  <c r="J17" i="3"/>
  <c r="L17" i="3" s="1"/>
  <c r="O17" i="3" s="1"/>
  <c r="F18" i="3"/>
  <c r="H18" i="3" s="1"/>
  <c r="M18" i="3" s="1"/>
  <c r="N18" i="3" s="1"/>
  <c r="J18" i="3"/>
  <c r="L18" i="3"/>
  <c r="O18" i="3"/>
  <c r="F19" i="3"/>
  <c r="H19" i="3" s="1"/>
  <c r="M19" i="3" s="1"/>
  <c r="J19" i="3"/>
  <c r="L19" i="3"/>
  <c r="O19" i="3"/>
  <c r="N19" i="3" s="1"/>
  <c r="F20" i="3"/>
  <c r="H20" i="3"/>
  <c r="M20" i="3" s="1"/>
  <c r="N20" i="3" s="1"/>
  <c r="J20" i="3"/>
  <c r="L20" i="3"/>
  <c r="O20" i="3"/>
  <c r="F24" i="3"/>
  <c r="H24" i="3"/>
  <c r="M24" i="3" s="1"/>
  <c r="J24" i="3"/>
  <c r="L24" i="3" s="1"/>
  <c r="O24" i="3" s="1"/>
  <c r="F25" i="3"/>
  <c r="H25" i="3"/>
  <c r="J25" i="3"/>
  <c r="L25" i="3"/>
  <c r="O25" i="3" s="1"/>
  <c r="M25" i="3"/>
  <c r="N25" i="3" s="1"/>
  <c r="F26" i="3"/>
  <c r="H26" i="3"/>
  <c r="J26" i="3"/>
  <c r="L26" i="3"/>
  <c r="M26" i="3"/>
  <c r="O26" i="3"/>
  <c r="N26" i="3" s="1"/>
  <c r="F27" i="3"/>
  <c r="H27" i="3"/>
  <c r="J27" i="3"/>
  <c r="L27" i="3"/>
  <c r="M27" i="3"/>
  <c r="N27" i="3" s="1"/>
  <c r="O27" i="3"/>
  <c r="F28" i="3"/>
  <c r="H28" i="3"/>
  <c r="M28" i="3" s="1"/>
  <c r="J28" i="3"/>
  <c r="L28" i="3"/>
  <c r="O28" i="3" s="1"/>
  <c r="F29" i="3"/>
  <c r="H29" i="3"/>
  <c r="M29" i="3" s="1"/>
  <c r="J29" i="3"/>
  <c r="L29" i="3" s="1"/>
  <c r="O29" i="3"/>
  <c r="F33" i="3"/>
  <c r="H33" i="3"/>
  <c r="M33" i="3" s="1"/>
  <c r="N33" i="3" s="1"/>
  <c r="J33" i="3"/>
  <c r="L33" i="3"/>
  <c r="O33" i="3"/>
  <c r="F34" i="3"/>
  <c r="H34" i="3"/>
  <c r="J34" i="3"/>
  <c r="L34" i="3"/>
  <c r="O34" i="3" s="1"/>
  <c r="M34" i="3"/>
  <c r="N34" i="3" s="1"/>
  <c r="F35" i="3"/>
  <c r="H35" i="3"/>
  <c r="J35" i="3"/>
  <c r="L35" i="3"/>
  <c r="M35" i="3"/>
  <c r="O35" i="3"/>
  <c r="N35" i="3" s="1"/>
  <c r="F36" i="3"/>
  <c r="H36" i="3"/>
  <c r="J36" i="3"/>
  <c r="L36" i="3"/>
  <c r="O36" i="3" s="1"/>
  <c r="M36" i="3"/>
  <c r="N36" i="3" s="1"/>
  <c r="F37" i="3"/>
  <c r="H37" i="3"/>
  <c r="M37" i="3" s="1"/>
  <c r="J37" i="3"/>
  <c r="L37" i="3"/>
  <c r="O37" i="3" s="1"/>
  <c r="N37" i="3"/>
  <c r="F38" i="3"/>
  <c r="H38" i="3"/>
  <c r="J38" i="3"/>
  <c r="L38" i="3"/>
  <c r="M38" i="3"/>
  <c r="O38" i="3"/>
  <c r="N38" i="3" s="1"/>
  <c r="F42" i="3"/>
  <c r="H42" i="3" s="1"/>
  <c r="M42" i="3" s="1"/>
  <c r="N42" i="3" s="1"/>
  <c r="J42" i="3"/>
  <c r="L42" i="3"/>
  <c r="O42" i="3" s="1"/>
  <c r="F43" i="3"/>
  <c r="H43" i="3"/>
  <c r="J43" i="3"/>
  <c r="L43" i="3"/>
  <c r="M43" i="3"/>
  <c r="O43" i="3"/>
  <c r="N43" i="3" s="1"/>
  <c r="F44" i="3"/>
  <c r="H44" i="3"/>
  <c r="J44" i="3"/>
  <c r="L44" i="3"/>
  <c r="M44" i="3"/>
  <c r="O44" i="3"/>
  <c r="N44" i="3" s="1"/>
  <c r="F45" i="3"/>
  <c r="H45" i="3"/>
  <c r="M45" i="3" s="1"/>
  <c r="J45" i="3"/>
  <c r="L45" i="3" s="1"/>
  <c r="O45" i="3" s="1"/>
  <c r="F46" i="3"/>
  <c r="H46" i="3"/>
  <c r="J46" i="3"/>
  <c r="L46" i="3"/>
  <c r="M46" i="3"/>
  <c r="O46" i="3"/>
  <c r="N46" i="3" s="1"/>
  <c r="F47" i="3"/>
  <c r="H47" i="3"/>
  <c r="J47" i="3"/>
  <c r="L47" i="3"/>
  <c r="O47" i="3" s="1"/>
  <c r="M47" i="3"/>
  <c r="N47" i="3" s="1"/>
  <c r="F51" i="3"/>
  <c r="H51" i="3"/>
  <c r="J51" i="3"/>
  <c r="L51" i="3"/>
  <c r="O51" i="3" s="1"/>
  <c r="N51" i="3" s="1"/>
  <c r="M51" i="3"/>
  <c r="F52" i="3"/>
  <c r="H52" i="3"/>
  <c r="J52" i="3"/>
  <c r="L52" i="3"/>
  <c r="M52" i="3"/>
  <c r="O52" i="3"/>
  <c r="N52" i="3" s="1"/>
  <c r="F53" i="3"/>
  <c r="H53" i="3"/>
  <c r="J53" i="3"/>
  <c r="L53" i="3"/>
  <c r="M53" i="3"/>
  <c r="O53" i="3"/>
  <c r="N53" i="3" s="1"/>
  <c r="F54" i="3"/>
  <c r="H54" i="3"/>
  <c r="J54" i="3"/>
  <c r="L54" i="3"/>
  <c r="M54" i="3"/>
  <c r="O54" i="3"/>
  <c r="N54" i="3" s="1"/>
  <c r="F55" i="3"/>
  <c r="H55" i="3"/>
  <c r="M55" i="3" s="1"/>
  <c r="J55" i="3"/>
  <c r="L55" i="3" s="1"/>
  <c r="O55" i="3" s="1"/>
  <c r="F56" i="3"/>
  <c r="H56" i="3"/>
  <c r="J56" i="3"/>
  <c r="L56" i="3"/>
  <c r="O56" i="3" s="1"/>
  <c r="M56" i="3"/>
  <c r="N56" i="3" s="1"/>
  <c r="F60" i="3"/>
  <c r="H60" i="3"/>
  <c r="M60" i="3" s="1"/>
  <c r="J60" i="3"/>
  <c r="L60" i="3"/>
  <c r="O60" i="3" s="1"/>
  <c r="F61" i="3"/>
  <c r="H61" i="3"/>
  <c r="J61" i="3"/>
  <c r="L61" i="3"/>
  <c r="M61" i="3"/>
  <c r="O61" i="3"/>
  <c r="N61" i="3" s="1"/>
  <c r="F62" i="3"/>
  <c r="H62" i="3"/>
  <c r="M62" i="3" s="1"/>
  <c r="J62" i="3"/>
  <c r="L62" i="3" s="1"/>
  <c r="O62" i="3" s="1"/>
  <c r="F63" i="3"/>
  <c r="H63" i="3"/>
  <c r="M63" i="3" s="1"/>
  <c r="N63" i="3" s="1"/>
  <c r="J63" i="3"/>
  <c r="L63" i="3" s="1"/>
  <c r="O63" i="3" s="1"/>
  <c r="F64" i="3"/>
  <c r="H64" i="3"/>
  <c r="J64" i="3"/>
  <c r="L64" i="3"/>
  <c r="M64" i="3"/>
  <c r="O64" i="3"/>
  <c r="N64" i="3" s="1"/>
  <c r="F65" i="3"/>
  <c r="H65" i="3" s="1"/>
  <c r="M65" i="3" s="1"/>
  <c r="N65" i="3" s="1"/>
  <c r="J65" i="3"/>
  <c r="L65" i="3"/>
  <c r="O65" i="3"/>
  <c r="F69" i="3"/>
  <c r="H69" i="3"/>
  <c r="M69" i="3" s="1"/>
  <c r="J69" i="3"/>
  <c r="L69" i="3"/>
  <c r="O69" i="3"/>
  <c r="N69" i="3" s="1"/>
  <c r="F70" i="3"/>
  <c r="H70" i="3"/>
  <c r="J70" i="3"/>
  <c r="L70" i="3"/>
  <c r="M70" i="3"/>
  <c r="O70" i="3"/>
  <c r="N70" i="3" s="1"/>
  <c r="F71" i="3"/>
  <c r="H71" i="3" s="1"/>
  <c r="M71" i="3" s="1"/>
  <c r="N71" i="3" s="1"/>
  <c r="J71" i="3"/>
  <c r="L71" i="3" s="1"/>
  <c r="O71" i="3" s="1"/>
  <c r="F72" i="3"/>
  <c r="H72" i="3"/>
  <c r="J72" i="3"/>
  <c r="L72" i="3"/>
  <c r="O72" i="3" s="1"/>
  <c r="M72" i="3"/>
  <c r="N72" i="3" s="1"/>
  <c r="F73" i="3"/>
  <c r="H73" i="3"/>
  <c r="J73" i="3"/>
  <c r="L73" i="3"/>
  <c r="M73" i="3"/>
  <c r="O73" i="3"/>
  <c r="N73" i="3" s="1"/>
  <c r="F74" i="3"/>
  <c r="H74" i="3" s="1"/>
  <c r="M74" i="3" s="1"/>
  <c r="N74" i="3" s="1"/>
  <c r="J74" i="3"/>
  <c r="L74" i="3"/>
  <c r="O74" i="3"/>
  <c r="F78" i="3"/>
  <c r="H78" i="3"/>
  <c r="J78" i="3"/>
  <c r="L78" i="3"/>
  <c r="M78" i="3"/>
  <c r="N78" i="3" s="1"/>
  <c r="O78" i="3"/>
  <c r="F79" i="3"/>
  <c r="H79" i="3"/>
  <c r="M79" i="3" s="1"/>
  <c r="J79" i="3"/>
  <c r="L79" i="3"/>
  <c r="O79" i="3"/>
  <c r="F80" i="3"/>
  <c r="H80" i="3"/>
  <c r="M80" i="3" s="1"/>
  <c r="N80" i="3" s="1"/>
  <c r="J80" i="3"/>
  <c r="L80" i="3"/>
  <c r="O80" i="3"/>
  <c r="F81" i="3"/>
  <c r="H81" i="3"/>
  <c r="J81" i="3"/>
  <c r="L81" i="3"/>
  <c r="O81" i="3" s="1"/>
  <c r="M81" i="3"/>
  <c r="N81" i="3" s="1"/>
  <c r="F82" i="3"/>
  <c r="H82" i="3"/>
  <c r="J82" i="3"/>
  <c r="L82" i="3"/>
  <c r="O82" i="3" s="1"/>
  <c r="M82" i="3"/>
  <c r="N82" i="3" s="1"/>
  <c r="F83" i="3"/>
  <c r="H83" i="3"/>
  <c r="J83" i="3"/>
  <c r="L83" i="3"/>
  <c r="M83" i="3"/>
  <c r="O83" i="3"/>
  <c r="N83" i="3" s="1"/>
  <c r="F87" i="3"/>
  <c r="H87" i="3" s="1"/>
  <c r="M87" i="3" s="1"/>
  <c r="J87" i="3"/>
  <c r="L87" i="3"/>
  <c r="O87" i="3" s="1"/>
  <c r="N87" i="3"/>
  <c r="F88" i="3"/>
  <c r="H88" i="3"/>
  <c r="J88" i="3"/>
  <c r="L88" i="3"/>
  <c r="M88" i="3"/>
  <c r="O88" i="3"/>
  <c r="N88" i="3" s="1"/>
  <c r="F89" i="3"/>
  <c r="H89" i="3"/>
  <c r="J89" i="3"/>
  <c r="L89" i="3"/>
  <c r="O89" i="3" s="1"/>
  <c r="M89" i="3"/>
  <c r="N89" i="3" s="1"/>
  <c r="F90" i="3"/>
  <c r="H90" i="3"/>
  <c r="M90" i="3" s="1"/>
  <c r="J90" i="3"/>
  <c r="L90" i="3" s="1"/>
  <c r="O90" i="3" s="1"/>
  <c r="F91" i="3"/>
  <c r="H91" i="3"/>
  <c r="J91" i="3"/>
  <c r="L91" i="3"/>
  <c r="O91" i="3" s="1"/>
  <c r="M91" i="3"/>
  <c r="N91" i="3"/>
  <c r="F92" i="3"/>
  <c r="H92" i="3"/>
  <c r="M92" i="3" s="1"/>
  <c r="J92" i="3"/>
  <c r="L92" i="3" s="1"/>
  <c r="O92" i="3" s="1"/>
  <c r="F96" i="3"/>
  <c r="H96" i="3"/>
  <c r="J96" i="3"/>
  <c r="L96" i="3"/>
  <c r="O96" i="3" s="1"/>
  <c r="M96" i="3"/>
  <c r="N96" i="3"/>
  <c r="F97" i="3"/>
  <c r="H97" i="3"/>
  <c r="J97" i="3"/>
  <c r="L97" i="3"/>
  <c r="O97" i="3" s="1"/>
  <c r="M97" i="3"/>
  <c r="N97" i="3"/>
  <c r="F98" i="3"/>
  <c r="H98" i="3"/>
  <c r="J98" i="3"/>
  <c r="L98" i="3"/>
  <c r="M98" i="3"/>
  <c r="O98" i="3"/>
  <c r="N98" i="3" s="1"/>
  <c r="F99" i="3"/>
  <c r="H99" i="3"/>
  <c r="M99" i="3" s="1"/>
  <c r="J99" i="3"/>
  <c r="L99" i="3" s="1"/>
  <c r="O99" i="3" s="1"/>
  <c r="F100" i="3"/>
  <c r="H100" i="3"/>
  <c r="J100" i="3"/>
  <c r="L100" i="3"/>
  <c r="M100" i="3"/>
  <c r="O100" i="3"/>
  <c r="N100" i="3" s="1"/>
  <c r="F101" i="3"/>
  <c r="H101" i="3"/>
  <c r="J101" i="3"/>
  <c r="L101" i="3"/>
  <c r="O101" i="3" s="1"/>
  <c r="M101" i="3"/>
  <c r="N101" i="3" s="1"/>
  <c r="F105" i="3"/>
  <c r="H105" i="3"/>
  <c r="M105" i="3" s="1"/>
  <c r="J105" i="3"/>
  <c r="L105" i="3"/>
  <c r="O105" i="3" s="1"/>
  <c r="F106" i="3"/>
  <c r="H106" i="3"/>
  <c r="J106" i="3"/>
  <c r="L106" i="3"/>
  <c r="M106" i="3"/>
  <c r="O106" i="3"/>
  <c r="N106" i="3" s="1"/>
  <c r="F107" i="3"/>
  <c r="H107" i="3"/>
  <c r="M107" i="3" s="1"/>
  <c r="J107" i="3"/>
  <c r="L107" i="3"/>
  <c r="O107" i="3" s="1"/>
  <c r="F108" i="3"/>
  <c r="H108" i="3"/>
  <c r="J108" i="3"/>
  <c r="L108" i="3"/>
  <c r="M108" i="3"/>
  <c r="O108" i="3"/>
  <c r="N108" i="3" s="1"/>
  <c r="F109" i="3"/>
  <c r="H109" i="3"/>
  <c r="J109" i="3"/>
  <c r="L109" i="3"/>
  <c r="M109" i="3"/>
  <c r="O109" i="3"/>
  <c r="N109" i="3" s="1"/>
  <c r="F110" i="3"/>
  <c r="H110" i="3" s="1"/>
  <c r="M110" i="3" s="1"/>
  <c r="N110" i="3" s="1"/>
  <c r="J110" i="3"/>
  <c r="L110" i="3"/>
  <c r="O110" i="3" s="1"/>
  <c r="F114" i="3"/>
  <c r="H114" i="3"/>
  <c r="J114" i="3"/>
  <c r="L114" i="3"/>
  <c r="M114" i="3"/>
  <c r="O114" i="3"/>
  <c r="N114" i="3" s="1"/>
  <c r="F115" i="3"/>
  <c r="H115" i="3" s="1"/>
  <c r="M115" i="3" s="1"/>
  <c r="N115" i="3" s="1"/>
  <c r="J115" i="3"/>
  <c r="L115" i="3"/>
  <c r="O115" i="3"/>
  <c r="F116" i="3"/>
  <c r="H116" i="3" s="1"/>
  <c r="M116" i="3" s="1"/>
  <c r="N116" i="3" s="1"/>
  <c r="J116" i="3"/>
  <c r="L116" i="3"/>
  <c r="O116" i="3"/>
  <c r="F117" i="3"/>
  <c r="H117" i="3"/>
  <c r="J117" i="3"/>
  <c r="L117" i="3"/>
  <c r="M117" i="3"/>
  <c r="O117" i="3"/>
  <c r="N117" i="3" s="1"/>
  <c r="F118" i="3"/>
  <c r="H118" i="3"/>
  <c r="M118" i="3" s="1"/>
  <c r="J118" i="3"/>
  <c r="L118" i="3"/>
  <c r="O118" i="3" s="1"/>
  <c r="F119" i="3"/>
  <c r="H119" i="3"/>
  <c r="M119" i="3" s="1"/>
  <c r="N119" i="3" s="1"/>
  <c r="J119" i="3"/>
  <c r="L119" i="3"/>
  <c r="O119" i="3" s="1"/>
  <c r="F123" i="3"/>
  <c r="H123" i="3"/>
  <c r="J123" i="3"/>
  <c r="L123" i="3"/>
  <c r="M123" i="3"/>
  <c r="O123" i="3"/>
  <c r="N123" i="3" s="1"/>
  <c r="F124" i="3"/>
  <c r="H124" i="3"/>
  <c r="J124" i="3"/>
  <c r="L124" i="3"/>
  <c r="M124" i="3"/>
  <c r="O124" i="3"/>
  <c r="N124" i="3" s="1"/>
  <c r="F125" i="3"/>
  <c r="H125" i="3"/>
  <c r="J125" i="3"/>
  <c r="L125" i="3"/>
  <c r="M125" i="3"/>
  <c r="O125" i="3"/>
  <c r="N125" i="3" s="1"/>
  <c r="F126" i="3"/>
  <c r="H126" i="3" s="1"/>
  <c r="M126" i="3" s="1"/>
  <c r="N126" i="3" s="1"/>
  <c r="J126" i="3"/>
  <c r="L126" i="3" s="1"/>
  <c r="O126" i="3"/>
  <c r="F127" i="3"/>
  <c r="H127" i="3"/>
  <c r="M127" i="3" s="1"/>
  <c r="N127" i="3" s="1"/>
  <c r="J127" i="3"/>
  <c r="L127" i="3"/>
  <c r="O127" i="3"/>
  <c r="F128" i="3"/>
  <c r="H128" i="3"/>
  <c r="J128" i="3"/>
  <c r="L128" i="3"/>
  <c r="O128" i="3" s="1"/>
  <c r="M128" i="3"/>
  <c r="N128" i="3"/>
  <c r="F132" i="3"/>
  <c r="H132" i="3"/>
  <c r="J132" i="3"/>
  <c r="L132" i="3"/>
  <c r="M132" i="3"/>
  <c r="O132" i="3"/>
  <c r="N132" i="3" s="1"/>
  <c r="F133" i="3"/>
  <c r="H133" i="3"/>
  <c r="M133" i="3" s="1"/>
  <c r="J133" i="3"/>
  <c r="L133" i="3" s="1"/>
  <c r="O133" i="3" s="1"/>
  <c r="F134" i="3"/>
  <c r="H134" i="3"/>
  <c r="M134" i="3" s="1"/>
  <c r="J134" i="3"/>
  <c r="L134" i="3"/>
  <c r="O134" i="3" s="1"/>
  <c r="N134" i="3"/>
  <c r="F135" i="3"/>
  <c r="H135" i="3"/>
  <c r="J135" i="3"/>
  <c r="L135" i="3"/>
  <c r="M135" i="3"/>
  <c r="N135" i="3"/>
  <c r="O135" i="3"/>
  <c r="F136" i="3"/>
  <c r="H136" i="3"/>
  <c r="M136" i="3" s="1"/>
  <c r="J136" i="3"/>
  <c r="L136" i="3"/>
  <c r="O136" i="3" s="1"/>
  <c r="F137" i="3"/>
  <c r="H137" i="3"/>
  <c r="J137" i="3"/>
  <c r="L137" i="3"/>
  <c r="M137" i="3"/>
  <c r="O137" i="3"/>
  <c r="N137" i="3" s="1"/>
  <c r="F141" i="3"/>
  <c r="H141" i="3"/>
  <c r="J141" i="3"/>
  <c r="L141" i="3"/>
  <c r="O141" i="3" s="1"/>
  <c r="M141" i="3"/>
  <c r="N141" i="3" s="1"/>
  <c r="F142" i="3"/>
  <c r="H142" i="3"/>
  <c r="M142" i="3" s="1"/>
  <c r="J142" i="3"/>
  <c r="L142" i="3" s="1"/>
  <c r="O142" i="3" s="1"/>
  <c r="F143" i="3"/>
  <c r="H143" i="3"/>
  <c r="J143" i="3"/>
  <c r="L143" i="3"/>
  <c r="M143" i="3"/>
  <c r="O143" i="3"/>
  <c r="N143" i="3" s="1"/>
  <c r="F144" i="3"/>
  <c r="H144" i="3"/>
  <c r="M144" i="3" s="1"/>
  <c r="N144" i="3" s="1"/>
  <c r="J144" i="3"/>
  <c r="L144" i="3" s="1"/>
  <c r="O144" i="3" s="1"/>
  <c r="F145" i="3"/>
  <c r="H145" i="3"/>
  <c r="J145" i="3"/>
  <c r="L145" i="3"/>
  <c r="M145" i="3"/>
  <c r="O145" i="3"/>
  <c r="N145" i="3" s="1"/>
  <c r="F146" i="3"/>
  <c r="H146" i="3"/>
  <c r="J146" i="3"/>
  <c r="L146" i="3"/>
  <c r="M146" i="3"/>
  <c r="O146" i="3"/>
  <c r="N146" i="3" s="1"/>
  <c r="F150" i="3"/>
  <c r="H150" i="3"/>
  <c r="J150" i="3"/>
  <c r="L150" i="3"/>
  <c r="M150" i="3"/>
  <c r="O150" i="3"/>
  <c r="N150" i="3" s="1"/>
  <c r="F151" i="3"/>
  <c r="H151" i="3"/>
  <c r="J151" i="3"/>
  <c r="L151" i="3"/>
  <c r="M151" i="3"/>
  <c r="O151" i="3"/>
  <c r="N151" i="3" s="1"/>
  <c r="F152" i="3"/>
  <c r="H152" i="3"/>
  <c r="M152" i="3" s="1"/>
  <c r="J152" i="3"/>
  <c r="L152" i="3" s="1"/>
  <c r="O152" i="3" s="1"/>
  <c r="F153" i="3"/>
  <c r="H153" i="3"/>
  <c r="J153" i="3"/>
  <c r="L153" i="3"/>
  <c r="M153" i="3"/>
  <c r="O153" i="3"/>
  <c r="N153" i="3" s="1"/>
  <c r="F154" i="3"/>
  <c r="H154" i="3"/>
  <c r="M154" i="3" s="1"/>
  <c r="J154" i="3"/>
  <c r="L154" i="3"/>
  <c r="O154" i="3" s="1"/>
  <c r="F155" i="3"/>
  <c r="H155" i="3"/>
  <c r="J155" i="3"/>
  <c r="L155" i="3"/>
  <c r="M155" i="3"/>
  <c r="N155" i="3"/>
  <c r="O155" i="3"/>
  <c r="F159" i="3"/>
  <c r="H159" i="3"/>
  <c r="J159" i="3"/>
  <c r="L159" i="3"/>
  <c r="M159" i="3"/>
  <c r="O159" i="3"/>
  <c r="N159" i="3" s="1"/>
  <c r="F160" i="3"/>
  <c r="H160" i="3"/>
  <c r="M160" i="3" s="1"/>
  <c r="J160" i="3"/>
  <c r="L160" i="3" s="1"/>
  <c r="O160" i="3" s="1"/>
  <c r="F161" i="3"/>
  <c r="H161" i="3"/>
  <c r="M161" i="3" s="1"/>
  <c r="J161" i="3"/>
  <c r="L161" i="3"/>
  <c r="O161" i="3" s="1"/>
  <c r="F162" i="3"/>
  <c r="H162" i="3" s="1"/>
  <c r="M162" i="3" s="1"/>
  <c r="N162" i="3" s="1"/>
  <c r="J162" i="3"/>
  <c r="L162" i="3"/>
  <c r="O162" i="3"/>
  <c r="F163" i="3"/>
  <c r="H163" i="3"/>
  <c r="M163" i="3" s="1"/>
  <c r="J163" i="3"/>
  <c r="L163" i="3"/>
  <c r="O163" i="3"/>
  <c r="N163" i="3" s="1"/>
  <c r="F164" i="3"/>
  <c r="H164" i="3"/>
  <c r="M164" i="3" s="1"/>
  <c r="J164" i="3"/>
  <c r="L164" i="3"/>
  <c r="O164" i="3" s="1"/>
  <c r="F168" i="3"/>
  <c r="H168" i="3"/>
  <c r="M168" i="3" s="1"/>
  <c r="J168" i="3"/>
  <c r="L168" i="3" s="1"/>
  <c r="O168" i="3" s="1"/>
  <c r="F169" i="3"/>
  <c r="H169" i="3"/>
  <c r="J169" i="3"/>
  <c r="L169" i="3"/>
  <c r="O169" i="3" s="1"/>
  <c r="M169" i="3"/>
  <c r="N169" i="3" s="1"/>
  <c r="F170" i="3"/>
  <c r="H170" i="3"/>
  <c r="J170" i="3"/>
  <c r="L170" i="3"/>
  <c r="M170" i="3"/>
  <c r="O170" i="3"/>
  <c r="N170" i="3" s="1"/>
  <c r="F171" i="3"/>
  <c r="H171" i="3" s="1"/>
  <c r="J171" i="3"/>
  <c r="L171" i="3"/>
  <c r="M171" i="3"/>
  <c r="N171" i="3"/>
  <c r="O171" i="3"/>
  <c r="F172" i="3"/>
  <c r="H172" i="3"/>
  <c r="J172" i="3"/>
  <c r="L172" i="3"/>
  <c r="M172" i="3"/>
  <c r="O172" i="3"/>
  <c r="N172" i="3" s="1"/>
  <c r="F173" i="3"/>
  <c r="H173" i="3" s="1"/>
  <c r="M173" i="3" s="1"/>
  <c r="N173" i="3" s="1"/>
  <c r="J173" i="3"/>
  <c r="L173" i="3"/>
  <c r="O173" i="3"/>
  <c r="F177" i="3"/>
  <c r="H177" i="3"/>
  <c r="M177" i="3" s="1"/>
  <c r="N177" i="3" s="1"/>
  <c r="J177" i="3"/>
  <c r="L177" i="3"/>
  <c r="O177" i="3"/>
  <c r="F178" i="3"/>
  <c r="H178" i="3"/>
  <c r="J178" i="3"/>
  <c r="L178" i="3"/>
  <c r="O178" i="3" s="1"/>
  <c r="M178" i="3"/>
  <c r="N178" i="3"/>
  <c r="F179" i="3"/>
  <c r="H179" i="3"/>
  <c r="J179" i="3"/>
  <c r="L179" i="3"/>
  <c r="M179" i="3"/>
  <c r="O179" i="3"/>
  <c r="N179" i="3" s="1"/>
  <c r="F180" i="3"/>
  <c r="H180" i="3"/>
  <c r="M180" i="3" s="1"/>
  <c r="N180" i="3" s="1"/>
  <c r="J180" i="3"/>
  <c r="L180" i="3"/>
  <c r="O180" i="3"/>
  <c r="F181" i="3"/>
  <c r="H181" i="3" s="1"/>
  <c r="M181" i="3" s="1"/>
  <c r="N181" i="3" s="1"/>
  <c r="J181" i="3"/>
  <c r="L181" i="3"/>
  <c r="O181" i="3" s="1"/>
  <c r="F182" i="3"/>
  <c r="H182" i="3"/>
  <c r="J182" i="3"/>
  <c r="L182" i="3"/>
  <c r="M182" i="3"/>
  <c r="O182" i="3"/>
  <c r="N182" i="3" s="1"/>
  <c r="F186" i="3"/>
  <c r="H186" i="3"/>
  <c r="J186" i="3"/>
  <c r="L186" i="3"/>
  <c r="O186" i="3" s="1"/>
  <c r="M186" i="3"/>
  <c r="N186" i="3" s="1"/>
  <c r="F187" i="3"/>
  <c r="H187" i="3"/>
  <c r="J187" i="3"/>
  <c r="L187" i="3"/>
  <c r="M187" i="3"/>
  <c r="O187" i="3"/>
  <c r="N187" i="3" s="1"/>
  <c r="F188" i="3"/>
  <c r="H188" i="3"/>
  <c r="J188" i="3"/>
  <c r="L188" i="3"/>
  <c r="O188" i="3" s="1"/>
  <c r="M188" i="3"/>
  <c r="N188" i="3" s="1"/>
  <c r="F189" i="3"/>
  <c r="H189" i="3"/>
  <c r="M189" i="3" s="1"/>
  <c r="J189" i="3"/>
  <c r="L189" i="3" s="1"/>
  <c r="O189" i="3" s="1"/>
  <c r="F190" i="3"/>
  <c r="H190" i="3"/>
  <c r="J190" i="3"/>
  <c r="L190" i="3"/>
  <c r="M190" i="3"/>
  <c r="O190" i="3"/>
  <c r="N190" i="3" s="1"/>
  <c r="F191" i="3"/>
  <c r="H191" i="3"/>
  <c r="J191" i="3"/>
  <c r="L191" i="3"/>
  <c r="O191" i="3" s="1"/>
  <c r="M191" i="3"/>
  <c r="N191" i="3" s="1"/>
  <c r="F195" i="3"/>
  <c r="H195" i="3"/>
  <c r="J195" i="3"/>
  <c r="L195" i="3" s="1"/>
  <c r="O195" i="3" s="1"/>
  <c r="N195" i="3" s="1"/>
  <c r="M195" i="3"/>
  <c r="F196" i="3"/>
  <c r="H196" i="3"/>
  <c r="J196" i="3"/>
  <c r="L196" i="3"/>
  <c r="M196" i="3"/>
  <c r="O196" i="3"/>
  <c r="N196" i="3" s="1"/>
  <c r="F197" i="3"/>
  <c r="H197" i="3"/>
  <c r="J197" i="3"/>
  <c r="L197" i="3"/>
  <c r="M197" i="3"/>
  <c r="O197" i="3"/>
  <c r="N197" i="3" s="1"/>
  <c r="F198" i="3"/>
  <c r="H198" i="3"/>
  <c r="J198" i="3"/>
  <c r="L198" i="3"/>
  <c r="M198" i="3"/>
  <c r="O198" i="3"/>
  <c r="N198" i="3" s="1"/>
  <c r="F199" i="3"/>
  <c r="H199" i="3"/>
  <c r="M199" i="3" s="1"/>
  <c r="J199" i="3"/>
  <c r="L199" i="3"/>
  <c r="O199" i="3" s="1"/>
  <c r="F200" i="3"/>
  <c r="H200" i="3"/>
  <c r="M200" i="3" s="1"/>
  <c r="J200" i="3"/>
  <c r="L200" i="3"/>
  <c r="O200" i="3" s="1"/>
  <c r="F204" i="3"/>
  <c r="H204" i="3"/>
  <c r="M204" i="3" s="1"/>
  <c r="J204" i="3"/>
  <c r="L204" i="3"/>
  <c r="O204" i="3" s="1"/>
  <c r="F205" i="3"/>
  <c r="H205" i="3"/>
  <c r="J205" i="3"/>
  <c r="L205" i="3"/>
  <c r="M205" i="3"/>
  <c r="O205" i="3"/>
  <c r="N205" i="3" s="1"/>
  <c r="F206" i="3"/>
  <c r="H206" i="3"/>
  <c r="M206" i="3" s="1"/>
  <c r="J206" i="3"/>
  <c r="L206" i="3" s="1"/>
  <c r="O206" i="3" s="1"/>
  <c r="F207" i="3"/>
  <c r="H207" i="3"/>
  <c r="M207" i="3" s="1"/>
  <c r="J207" i="3"/>
  <c r="L207" i="3" s="1"/>
  <c r="O207" i="3" s="1"/>
  <c r="F208" i="3"/>
  <c r="H208" i="3"/>
  <c r="J208" i="3"/>
  <c r="L208" i="3"/>
  <c r="M208" i="3"/>
  <c r="O208" i="3"/>
  <c r="N208" i="3" s="1"/>
  <c r="F209" i="3"/>
  <c r="H209" i="3" s="1"/>
  <c r="M209" i="3" s="1"/>
  <c r="J209" i="3"/>
  <c r="L209" i="3"/>
  <c r="O209" i="3"/>
  <c r="F213" i="3"/>
  <c r="H213" i="3" s="1"/>
  <c r="J213" i="3"/>
  <c r="L213" i="3"/>
  <c r="M213" i="3"/>
  <c r="O213" i="3"/>
  <c r="N213" i="3" s="1"/>
  <c r="F214" i="3"/>
  <c r="H214" i="3"/>
  <c r="J214" i="3"/>
  <c r="L214" i="3"/>
  <c r="M214" i="3"/>
  <c r="O214" i="3"/>
  <c r="N214" i="3" s="1"/>
  <c r="F215" i="3"/>
  <c r="H215" i="3"/>
  <c r="M215" i="3" s="1"/>
  <c r="J215" i="3"/>
  <c r="L215" i="3"/>
  <c r="O215" i="3" s="1"/>
  <c r="F216" i="3"/>
  <c r="H216" i="3"/>
  <c r="J216" i="3"/>
  <c r="L216" i="3" s="1"/>
  <c r="O216" i="3" s="1"/>
  <c r="M216" i="3"/>
  <c r="F217" i="3"/>
  <c r="H217" i="3"/>
  <c r="J217" i="3"/>
  <c r="L217" i="3"/>
  <c r="O217" i="3" s="1"/>
  <c r="M217" i="3"/>
  <c r="N217" i="3"/>
  <c r="F218" i="3"/>
  <c r="H218" i="3"/>
  <c r="J218" i="3"/>
  <c r="L218" i="3"/>
  <c r="M218" i="3"/>
  <c r="O218" i="3"/>
  <c r="N218" i="3" s="1"/>
  <c r="F222" i="3"/>
  <c r="H222" i="3"/>
  <c r="J222" i="3"/>
  <c r="L222" i="3"/>
  <c r="M222" i="3"/>
  <c r="O222" i="3"/>
  <c r="N222" i="3" s="1"/>
  <c r="F223" i="3"/>
  <c r="H223" i="3"/>
  <c r="M223" i="3" s="1"/>
  <c r="N223" i="3" s="1"/>
  <c r="J223" i="3"/>
  <c r="L223" i="3" s="1"/>
  <c r="O223" i="3"/>
  <c r="F224" i="3"/>
  <c r="H224" i="3"/>
  <c r="M224" i="3" s="1"/>
  <c r="N224" i="3" s="1"/>
  <c r="J224" i="3"/>
  <c r="L224" i="3"/>
  <c r="O224" i="3"/>
  <c r="F225" i="3"/>
  <c r="H225" i="3" s="1"/>
  <c r="M225" i="3" s="1"/>
  <c r="N225" i="3" s="1"/>
  <c r="J225" i="3"/>
  <c r="L225" i="3"/>
  <c r="O225" i="3" s="1"/>
  <c r="F226" i="3"/>
  <c r="H226" i="3"/>
  <c r="J226" i="3"/>
  <c r="L226" i="3"/>
  <c r="M226" i="3"/>
  <c r="O226" i="3"/>
  <c r="N226" i="3" s="1"/>
  <c r="F227" i="3"/>
  <c r="H227" i="3"/>
  <c r="M227" i="3" s="1"/>
  <c r="N227" i="3" s="1"/>
  <c r="J227" i="3"/>
  <c r="L227" i="3"/>
  <c r="O227" i="3"/>
  <c r="F231" i="3"/>
  <c r="H231" i="3"/>
  <c r="M231" i="3" s="1"/>
  <c r="J231" i="3"/>
  <c r="L231" i="3"/>
  <c r="O231" i="3" s="1"/>
  <c r="N231" i="3"/>
  <c r="F232" i="3"/>
  <c r="H232" i="3"/>
  <c r="J232" i="3"/>
  <c r="L232" i="3"/>
  <c r="M232" i="3"/>
  <c r="O232" i="3"/>
  <c r="N232" i="3" s="1"/>
  <c r="F233" i="3"/>
  <c r="H233" i="3"/>
  <c r="M233" i="3" s="1"/>
  <c r="J233" i="3"/>
  <c r="L233" i="3" s="1"/>
  <c r="O233" i="3" s="1"/>
  <c r="F234" i="3"/>
  <c r="H234" i="3"/>
  <c r="M234" i="3" s="1"/>
  <c r="J234" i="3"/>
  <c r="L234" i="3"/>
  <c r="O234" i="3" s="1"/>
  <c r="F235" i="3"/>
  <c r="H235" i="3"/>
  <c r="J235" i="3"/>
  <c r="L235" i="3"/>
  <c r="M235" i="3"/>
  <c r="O235" i="3"/>
  <c r="N235" i="3" s="1"/>
  <c r="F236" i="3"/>
  <c r="H236" i="3"/>
  <c r="M236" i="3" s="1"/>
  <c r="J236" i="3"/>
  <c r="L236" i="3" s="1"/>
  <c r="O236" i="3" s="1"/>
  <c r="F240" i="3"/>
  <c r="H240" i="3"/>
  <c r="M240" i="3" s="1"/>
  <c r="J240" i="3"/>
  <c r="L240" i="3"/>
  <c r="O240" i="3" s="1"/>
  <c r="F241" i="3"/>
  <c r="H241" i="3"/>
  <c r="J241" i="3"/>
  <c r="L241" i="3"/>
  <c r="O241" i="3" s="1"/>
  <c r="M241" i="3"/>
  <c r="N241" i="3" s="1"/>
  <c r="F242" i="3"/>
  <c r="H242" i="3"/>
  <c r="J242" i="3"/>
  <c r="L242" i="3"/>
  <c r="M242" i="3"/>
  <c r="O242" i="3"/>
  <c r="N242" i="3" s="1"/>
  <c r="F243" i="3"/>
  <c r="H243" i="3"/>
  <c r="J243" i="3"/>
  <c r="L243" i="3"/>
  <c r="M243" i="3"/>
  <c r="O243" i="3"/>
  <c r="N243" i="3" s="1"/>
  <c r="F244" i="3"/>
  <c r="H244" i="3"/>
  <c r="J244" i="3"/>
  <c r="L244" i="3"/>
  <c r="M244" i="3"/>
  <c r="O244" i="3"/>
  <c r="N244" i="3" s="1"/>
  <c r="F245" i="3"/>
  <c r="H245" i="3"/>
  <c r="M245" i="3" s="1"/>
  <c r="N245" i="3" s="1"/>
  <c r="J245" i="3"/>
  <c r="L245" i="3" s="1"/>
  <c r="O245" i="3" s="1"/>
  <c r="F249" i="3"/>
  <c r="H249" i="3"/>
  <c r="M249" i="3" s="1"/>
  <c r="J249" i="3"/>
  <c r="L249" i="3"/>
  <c r="O249" i="3"/>
  <c r="N249" i="3" s="1"/>
  <c r="F250" i="3"/>
  <c r="H250" i="3"/>
  <c r="J250" i="3"/>
  <c r="L250" i="3"/>
  <c r="O250" i="3" s="1"/>
  <c r="M250" i="3"/>
  <c r="N250" i="3" s="1"/>
  <c r="F251" i="3"/>
  <c r="H251" i="3"/>
  <c r="M251" i="3" s="1"/>
  <c r="J251" i="3"/>
  <c r="L251" i="3"/>
  <c r="O251" i="3" s="1"/>
  <c r="F252" i="3"/>
  <c r="H252" i="3"/>
  <c r="J252" i="3"/>
  <c r="L252" i="3"/>
  <c r="M252" i="3"/>
  <c r="O252" i="3"/>
  <c r="N252" i="3" s="1"/>
  <c r="F253" i="3"/>
  <c r="H253" i="3"/>
  <c r="M253" i="3" s="1"/>
  <c r="J253" i="3"/>
  <c r="L253" i="3"/>
  <c r="O253" i="3" s="1"/>
  <c r="F254" i="3"/>
  <c r="H254" i="3"/>
  <c r="M254" i="3" s="1"/>
  <c r="J254" i="3"/>
  <c r="L254" i="3"/>
  <c r="N254" i="3"/>
  <c r="O254" i="3"/>
  <c r="F258" i="3"/>
  <c r="H258" i="3"/>
  <c r="J258" i="3"/>
  <c r="L258" i="3"/>
  <c r="O258" i="3" s="1"/>
  <c r="M258" i="3"/>
  <c r="N258" i="3"/>
  <c r="F259" i="3"/>
  <c r="H259" i="3" s="1"/>
  <c r="M259" i="3" s="1"/>
  <c r="J259" i="3"/>
  <c r="L259" i="3"/>
  <c r="O259" i="3"/>
  <c r="F260" i="3"/>
  <c r="H260" i="3" s="1"/>
  <c r="J260" i="3"/>
  <c r="L260" i="3"/>
  <c r="M260" i="3"/>
  <c r="O260" i="3"/>
  <c r="N260" i="3" s="1"/>
  <c r="F261" i="3"/>
  <c r="H261" i="3"/>
  <c r="J261" i="3"/>
  <c r="L261" i="3"/>
  <c r="O261" i="3" s="1"/>
  <c r="M261" i="3"/>
  <c r="N261" i="3"/>
  <c r="F262" i="3"/>
  <c r="H262" i="3"/>
  <c r="M262" i="3" s="1"/>
  <c r="J262" i="3"/>
  <c r="L262" i="3"/>
  <c r="O262" i="3"/>
  <c r="N262" i="3" s="1"/>
  <c r="F263" i="3"/>
  <c r="H263" i="3"/>
  <c r="M263" i="3" s="1"/>
  <c r="N263" i="3" s="1"/>
  <c r="J263" i="3"/>
  <c r="L263" i="3"/>
  <c r="O263" i="3" s="1"/>
  <c r="F267" i="3"/>
  <c r="H267" i="3"/>
  <c r="J267" i="3"/>
  <c r="L267" i="3"/>
  <c r="M267" i="3"/>
  <c r="O267" i="3"/>
  <c r="N267" i="3" s="1"/>
  <c r="F268" i="3"/>
  <c r="H268" i="3"/>
  <c r="J268" i="3"/>
  <c r="L268" i="3"/>
  <c r="M268" i="3"/>
  <c r="O268" i="3"/>
  <c r="N268" i="3" s="1"/>
  <c r="F269" i="3"/>
  <c r="H269" i="3"/>
  <c r="M269" i="3" s="1"/>
  <c r="J269" i="3"/>
  <c r="L269" i="3" s="1"/>
  <c r="O269" i="3" s="1"/>
  <c r="F270" i="3"/>
  <c r="H270" i="3" s="1"/>
  <c r="J270" i="3"/>
  <c r="L270" i="3"/>
  <c r="M270" i="3"/>
  <c r="O270" i="3"/>
  <c r="N270" i="3" s="1"/>
  <c r="F271" i="3"/>
  <c r="H271" i="3"/>
  <c r="M271" i="3" s="1"/>
  <c r="N271" i="3" s="1"/>
  <c r="J271" i="3"/>
  <c r="L271" i="3"/>
  <c r="O271" i="3"/>
  <c r="F272" i="3"/>
  <c r="H272" i="3" s="1"/>
  <c r="M272" i="3" s="1"/>
  <c r="N272" i="3" s="1"/>
  <c r="J272" i="3"/>
  <c r="L272" i="3" s="1"/>
  <c r="O272" i="3" s="1"/>
  <c r="F276" i="3"/>
  <c r="H276" i="3"/>
  <c r="J276" i="3"/>
  <c r="L276" i="3"/>
  <c r="M276" i="3"/>
  <c r="O276" i="3"/>
  <c r="N276" i="3" s="1"/>
  <c r="F277" i="3"/>
  <c r="H277" i="3"/>
  <c r="J277" i="3"/>
  <c r="L277" i="3"/>
  <c r="M277" i="3"/>
  <c r="O277" i="3"/>
  <c r="N277" i="3" s="1"/>
  <c r="F278" i="3"/>
  <c r="H278" i="3"/>
  <c r="J278" i="3"/>
  <c r="L278" i="3"/>
  <c r="O278" i="3" s="1"/>
  <c r="M278" i="3"/>
  <c r="N278" i="3"/>
  <c r="F279" i="3"/>
  <c r="H279" i="3"/>
  <c r="J279" i="3"/>
  <c r="L279" i="3"/>
  <c r="M279" i="3"/>
  <c r="O279" i="3"/>
  <c r="N279" i="3" s="1"/>
  <c r="F280" i="3"/>
  <c r="H280" i="3"/>
  <c r="M280" i="3" s="1"/>
  <c r="N280" i="3" s="1"/>
  <c r="J280" i="3"/>
  <c r="L280" i="3"/>
  <c r="O280" i="3" s="1"/>
  <c r="F281" i="3"/>
  <c r="H281" i="3"/>
  <c r="J281" i="3"/>
  <c r="L281" i="3"/>
  <c r="M281" i="3"/>
  <c r="O281" i="3"/>
  <c r="N281" i="3" s="1"/>
  <c r="F285" i="3"/>
  <c r="H285" i="3"/>
  <c r="J285" i="3"/>
  <c r="L285" i="3"/>
  <c r="O285" i="3" s="1"/>
  <c r="M285" i="3"/>
  <c r="N285" i="3" s="1"/>
  <c r="F286" i="3"/>
  <c r="H286" i="3"/>
  <c r="M286" i="3" s="1"/>
  <c r="J286" i="3"/>
  <c r="L286" i="3" s="1"/>
  <c r="O286" i="3" s="1"/>
  <c r="F287" i="3"/>
  <c r="H287" i="3"/>
  <c r="J287" i="3"/>
  <c r="L287" i="3"/>
  <c r="M287" i="3"/>
  <c r="O287" i="3"/>
  <c r="N287" i="3" s="1"/>
  <c r="F288" i="3"/>
  <c r="H288" i="3"/>
  <c r="J288" i="3"/>
  <c r="L288" i="3"/>
  <c r="O288" i="3" s="1"/>
  <c r="M288" i="3"/>
  <c r="N288" i="3" s="1"/>
  <c r="F289" i="3"/>
  <c r="H289" i="3"/>
  <c r="M289" i="3" s="1"/>
  <c r="J289" i="3"/>
  <c r="L289" i="3" s="1"/>
  <c r="O289" i="3" s="1"/>
  <c r="F290" i="3"/>
  <c r="H290" i="3"/>
  <c r="J290" i="3"/>
  <c r="L290" i="3"/>
  <c r="O290" i="3" s="1"/>
  <c r="M290" i="3"/>
  <c r="N290" i="3"/>
  <c r="F294" i="3"/>
  <c r="H294" i="3"/>
  <c r="J294" i="3"/>
  <c r="L294" i="3"/>
  <c r="M294" i="3"/>
  <c r="O294" i="3"/>
  <c r="N294" i="3" s="1"/>
  <c r="F295" i="3"/>
  <c r="H295" i="3"/>
  <c r="J295" i="3"/>
  <c r="L295" i="3"/>
  <c r="M295" i="3"/>
  <c r="O295" i="3"/>
  <c r="N295" i="3" s="1"/>
  <c r="F296" i="3"/>
  <c r="H296" i="3"/>
  <c r="M296" i="3" s="1"/>
  <c r="J296" i="3"/>
  <c r="L296" i="3"/>
  <c r="O296" i="3"/>
  <c r="N296" i="3" s="1"/>
  <c r="F297" i="3"/>
  <c r="H297" i="3"/>
  <c r="M297" i="3" s="1"/>
  <c r="N297" i="3" s="1"/>
  <c r="J297" i="3"/>
  <c r="L297" i="3"/>
  <c r="O297" i="3"/>
  <c r="F298" i="3"/>
  <c r="H298" i="3"/>
  <c r="M298" i="3" s="1"/>
  <c r="N298" i="3" s="1"/>
  <c r="J298" i="3"/>
  <c r="L298" i="3" s="1"/>
  <c r="O298" i="3" s="1"/>
  <c r="F299" i="3"/>
  <c r="H299" i="3"/>
  <c r="J299" i="3"/>
  <c r="L299" i="3"/>
  <c r="M299" i="3"/>
  <c r="O299" i="3"/>
  <c r="N299" i="3" s="1"/>
  <c r="F303" i="3"/>
  <c r="H303" i="3"/>
  <c r="M303" i="3" s="1"/>
  <c r="N303" i="3" s="1"/>
  <c r="J303" i="3"/>
  <c r="L303" i="3"/>
  <c r="O303" i="3"/>
  <c r="F304" i="3"/>
  <c r="H304" i="3"/>
  <c r="M304" i="3" s="1"/>
  <c r="N304" i="3" s="1"/>
  <c r="J304" i="3"/>
  <c r="L304" i="3"/>
  <c r="O304" i="3"/>
  <c r="F305" i="3"/>
  <c r="H305" i="3"/>
  <c r="M305" i="3" s="1"/>
  <c r="J305" i="3"/>
  <c r="L305" i="3"/>
  <c r="O305" i="3" s="1"/>
  <c r="F306" i="3"/>
  <c r="H306" i="3" s="1"/>
  <c r="M306" i="3" s="1"/>
  <c r="N306" i="3" s="1"/>
  <c r="J306" i="3"/>
  <c r="L306" i="3"/>
  <c r="O306" i="3"/>
  <c r="F307" i="3"/>
  <c r="H307" i="3"/>
  <c r="J307" i="3"/>
  <c r="L307" i="3"/>
  <c r="M307" i="3"/>
  <c r="N307" i="3" s="1"/>
  <c r="O307" i="3"/>
  <c r="F308" i="3"/>
  <c r="H308" i="3"/>
  <c r="M308" i="3" s="1"/>
  <c r="J308" i="3"/>
  <c r="L308" i="3" s="1"/>
  <c r="O308" i="3" s="1"/>
  <c r="F312" i="3"/>
  <c r="H312" i="3"/>
  <c r="M312" i="3" s="1"/>
  <c r="J312" i="3"/>
  <c r="L312" i="3"/>
  <c r="O312" i="3"/>
  <c r="N312" i="3" s="1"/>
  <c r="F313" i="3"/>
  <c r="H313" i="3"/>
  <c r="J313" i="3"/>
  <c r="L313" i="3"/>
  <c r="O313" i="3" s="1"/>
  <c r="M313" i="3"/>
  <c r="N313" i="3" s="1"/>
  <c r="F314" i="3"/>
  <c r="H314" i="3"/>
  <c r="J314" i="3"/>
  <c r="L314" i="3"/>
  <c r="O314" i="3" s="1"/>
  <c r="M314" i="3"/>
  <c r="N314" i="3" s="1"/>
  <c r="F315" i="3"/>
  <c r="H315" i="3"/>
  <c r="J315" i="3"/>
  <c r="L315" i="3"/>
  <c r="M315" i="3"/>
  <c r="O315" i="3"/>
  <c r="N315" i="3" s="1"/>
  <c r="F316" i="3"/>
  <c r="H316" i="3"/>
  <c r="M316" i="3" s="1"/>
  <c r="N316" i="3" s="1"/>
  <c r="J316" i="3"/>
  <c r="L316" i="3"/>
  <c r="O316" i="3" s="1"/>
  <c r="F317" i="3"/>
  <c r="H317" i="3" s="1"/>
  <c r="J317" i="3"/>
  <c r="L317" i="3"/>
  <c r="M317" i="3"/>
  <c r="O317" i="3"/>
  <c r="N317" i="3" s="1"/>
  <c r="F321" i="3"/>
  <c r="H321" i="3"/>
  <c r="M321" i="3" s="1"/>
  <c r="N321" i="3" s="1"/>
  <c r="J321" i="3"/>
  <c r="L321" i="3"/>
  <c r="O321" i="3"/>
  <c r="F322" i="3"/>
  <c r="H322" i="3"/>
  <c r="M322" i="3" s="1"/>
  <c r="N322" i="3" s="1"/>
  <c r="J322" i="3"/>
  <c r="L322" i="3"/>
  <c r="O322" i="3" s="1"/>
  <c r="F323" i="3"/>
  <c r="H323" i="3"/>
  <c r="J323" i="3"/>
  <c r="L323" i="3"/>
  <c r="M323" i="3"/>
  <c r="O323" i="3"/>
  <c r="N323" i="3" s="1"/>
  <c r="F324" i="3"/>
  <c r="H324" i="3"/>
  <c r="J324" i="3"/>
  <c r="L324" i="3"/>
  <c r="M324" i="3"/>
  <c r="O324" i="3"/>
  <c r="N324" i="3" s="1"/>
  <c r="F325" i="3"/>
  <c r="H325" i="3"/>
  <c r="J325" i="3"/>
  <c r="L325" i="3"/>
  <c r="O325" i="3" s="1"/>
  <c r="M325" i="3"/>
  <c r="N325" i="3"/>
  <c r="F326" i="3"/>
  <c r="H326" i="3"/>
  <c r="J326" i="3"/>
  <c r="L326" i="3"/>
  <c r="M326" i="3"/>
  <c r="O326" i="3"/>
  <c r="N326" i="3" s="1"/>
  <c r="F330" i="3"/>
  <c r="H330" i="3"/>
  <c r="M330" i="3" s="1"/>
  <c r="N330" i="3" s="1"/>
  <c r="J330" i="3"/>
  <c r="L330" i="3"/>
  <c r="O330" i="3"/>
  <c r="F331" i="3"/>
  <c r="H331" i="3"/>
  <c r="J331" i="3"/>
  <c r="L331" i="3"/>
  <c r="M331" i="3"/>
  <c r="O331" i="3"/>
  <c r="N331" i="3" s="1"/>
  <c r="F332" i="3"/>
  <c r="H332" i="3"/>
  <c r="J332" i="3"/>
  <c r="L332" i="3"/>
  <c r="O332" i="3" s="1"/>
  <c r="M332" i="3"/>
  <c r="N332" i="3" s="1"/>
  <c r="F333" i="3"/>
  <c r="H333" i="3"/>
  <c r="M333" i="3" s="1"/>
  <c r="N333" i="3" s="1"/>
  <c r="J333" i="3"/>
  <c r="L333" i="3" s="1"/>
  <c r="O333" i="3" s="1"/>
  <c r="F334" i="3"/>
  <c r="H334" i="3"/>
  <c r="J334" i="3"/>
  <c r="L334" i="3"/>
  <c r="M334" i="3"/>
  <c r="O334" i="3"/>
  <c r="N334" i="3" s="1"/>
  <c r="F335" i="3"/>
  <c r="H335" i="3"/>
  <c r="M335" i="3" s="1"/>
  <c r="J335" i="3"/>
  <c r="L335" i="3" s="1"/>
  <c r="O335" i="3"/>
  <c r="F339" i="3"/>
  <c r="H339" i="3"/>
  <c r="M339" i="3" s="1"/>
  <c r="J339" i="3"/>
  <c r="L339" i="3" s="1"/>
  <c r="O339" i="3" s="1"/>
  <c r="F340" i="3"/>
  <c r="H340" i="3"/>
  <c r="M340" i="3" s="1"/>
  <c r="N340" i="3" s="1"/>
  <c r="J340" i="3"/>
  <c r="L340" i="3"/>
  <c r="O340" i="3" s="1"/>
  <c r="F341" i="3"/>
  <c r="H341" i="3"/>
  <c r="J341" i="3"/>
  <c r="L341" i="3"/>
  <c r="M341" i="3"/>
  <c r="O341" i="3"/>
  <c r="N341" i="3" s="1"/>
  <c r="F342" i="3"/>
  <c r="H342" i="3"/>
  <c r="J342" i="3"/>
  <c r="L342" i="3"/>
  <c r="M342" i="3"/>
  <c r="N342" i="3"/>
  <c r="O342" i="3"/>
  <c r="F343" i="3"/>
  <c r="H343" i="3"/>
  <c r="J343" i="3"/>
  <c r="L343" i="3"/>
  <c r="M343" i="3"/>
  <c r="O343" i="3"/>
  <c r="N343" i="3" s="1"/>
  <c r="F344" i="3"/>
  <c r="H344" i="3" s="1"/>
  <c r="M344" i="3" s="1"/>
  <c r="J344" i="3"/>
  <c r="L344" i="3"/>
  <c r="O344" i="3"/>
  <c r="F348" i="3"/>
  <c r="H348" i="3"/>
  <c r="M348" i="3" s="1"/>
  <c r="J348" i="3"/>
  <c r="L348" i="3" s="1"/>
  <c r="O348" i="3" s="1"/>
  <c r="F349" i="3"/>
  <c r="H349" i="3"/>
  <c r="J349" i="3"/>
  <c r="L349" i="3"/>
  <c r="M349" i="3"/>
  <c r="O349" i="3"/>
  <c r="N349" i="3" s="1"/>
  <c r="F350" i="3"/>
  <c r="H350" i="3" s="1"/>
  <c r="M350" i="3" s="1"/>
  <c r="J350" i="3"/>
  <c r="L350" i="3"/>
  <c r="O350" i="3"/>
  <c r="F351" i="3"/>
  <c r="H351" i="3"/>
  <c r="J351" i="3"/>
  <c r="L351" i="3"/>
  <c r="O351" i="3" s="1"/>
  <c r="N351" i="3" s="1"/>
  <c r="M351" i="3"/>
  <c r="F352" i="3"/>
  <c r="H352" i="3"/>
  <c r="M352" i="3" s="1"/>
  <c r="N352" i="3" s="1"/>
  <c r="J352" i="3"/>
  <c r="L352" i="3"/>
  <c r="O352" i="3"/>
  <c r="F353" i="3"/>
  <c r="H353" i="3" s="1"/>
  <c r="M353" i="3" s="1"/>
  <c r="N353" i="3" s="1"/>
  <c r="J353" i="3"/>
  <c r="L353" i="3"/>
  <c r="O353" i="3"/>
  <c r="F357" i="3"/>
  <c r="H357" i="3"/>
  <c r="J357" i="3"/>
  <c r="L357" i="3"/>
  <c r="M357" i="3"/>
  <c r="O357" i="3"/>
  <c r="N357" i="3" s="1"/>
  <c r="F358" i="3"/>
  <c r="H358" i="3" s="1"/>
  <c r="M358" i="3" s="1"/>
  <c r="J358" i="3"/>
  <c r="L358" i="3"/>
  <c r="O358" i="3"/>
  <c r="F359" i="3"/>
  <c r="H359" i="3"/>
  <c r="J359" i="3"/>
  <c r="L359" i="3"/>
  <c r="M359" i="3"/>
  <c r="O359" i="3"/>
  <c r="N359" i="3" s="1"/>
  <c r="F360" i="3"/>
  <c r="H360" i="3"/>
  <c r="M360" i="3" s="1"/>
  <c r="N360" i="3" s="1"/>
  <c r="J360" i="3"/>
  <c r="L360" i="3"/>
  <c r="O360" i="3" s="1"/>
  <c r="F361" i="3"/>
  <c r="H361" i="3"/>
  <c r="J361" i="3"/>
  <c r="L361" i="3"/>
  <c r="O361" i="3" s="1"/>
  <c r="M361" i="3"/>
  <c r="N361" i="3" s="1"/>
  <c r="F362" i="3"/>
  <c r="H362" i="3"/>
  <c r="J362" i="3"/>
  <c r="L362" i="3"/>
  <c r="M362" i="3"/>
  <c r="O362" i="3"/>
  <c r="N362" i="3" s="1"/>
  <c r="F366" i="3"/>
  <c r="H366" i="3"/>
  <c r="M366" i="3" s="1"/>
  <c r="N366" i="3" s="1"/>
  <c r="J366" i="3"/>
  <c r="L366" i="3"/>
  <c r="O366" i="3" s="1"/>
  <c r="F367" i="3"/>
  <c r="H367" i="3"/>
  <c r="J367" i="3"/>
  <c r="L367" i="3"/>
  <c r="M367" i="3"/>
  <c r="O367" i="3"/>
  <c r="N367" i="3" s="1"/>
  <c r="F368" i="3"/>
  <c r="H368" i="3"/>
  <c r="M368" i="3" s="1"/>
  <c r="N368" i="3" s="1"/>
  <c r="J368" i="3"/>
  <c r="L368" i="3"/>
  <c r="O368" i="3"/>
  <c r="F369" i="3"/>
  <c r="H369" i="3"/>
  <c r="M369" i="3" s="1"/>
  <c r="J369" i="3"/>
  <c r="L369" i="3"/>
  <c r="O369" i="3" s="1"/>
  <c r="F370" i="3"/>
  <c r="H370" i="3"/>
  <c r="J370" i="3"/>
  <c r="L370" i="3"/>
  <c r="M370" i="3"/>
  <c r="O370" i="3"/>
  <c r="N370" i="3" s="1"/>
  <c r="F371" i="3"/>
  <c r="H371" i="3"/>
  <c r="J371" i="3"/>
  <c r="L371" i="3"/>
  <c r="O371" i="3" s="1"/>
  <c r="M371" i="3"/>
  <c r="N371" i="3" s="1"/>
  <c r="F375" i="3"/>
  <c r="H375" i="3"/>
  <c r="J375" i="3"/>
  <c r="L375" i="3"/>
  <c r="O375" i="3" s="1"/>
  <c r="M375" i="3"/>
  <c r="N375" i="3"/>
  <c r="F376" i="3"/>
  <c r="H376" i="3"/>
  <c r="J376" i="3"/>
  <c r="L376" i="3"/>
  <c r="M376" i="3"/>
  <c r="O376" i="3"/>
  <c r="N376" i="3" s="1"/>
  <c r="F377" i="3"/>
  <c r="H377" i="3"/>
  <c r="M377" i="3" s="1"/>
  <c r="N377" i="3" s="1"/>
  <c r="J377" i="3"/>
  <c r="L377" i="3"/>
  <c r="O377" i="3"/>
  <c r="F378" i="3"/>
  <c r="H378" i="3"/>
  <c r="J378" i="3"/>
  <c r="L378" i="3"/>
  <c r="M378" i="3"/>
  <c r="O378" i="3"/>
  <c r="N378" i="3" s="1"/>
  <c r="F379" i="3"/>
  <c r="H379" i="3"/>
  <c r="M379" i="3" s="1"/>
  <c r="J379" i="3"/>
  <c r="L379" i="3" s="1"/>
  <c r="O379" i="3"/>
  <c r="F380" i="3"/>
  <c r="H380" i="3"/>
  <c r="M380" i="3" s="1"/>
  <c r="N380" i="3" s="1"/>
  <c r="J380" i="3"/>
  <c r="L380" i="3" s="1"/>
  <c r="O380" i="3" s="1"/>
  <c r="F384" i="3"/>
  <c r="H384" i="3"/>
  <c r="J384" i="3"/>
  <c r="L384" i="3"/>
  <c r="M384" i="3"/>
  <c r="N384" i="3" s="1"/>
  <c r="O384" i="3"/>
  <c r="F385" i="3"/>
  <c r="H385" i="3"/>
  <c r="M385" i="3" s="1"/>
  <c r="J385" i="3"/>
  <c r="L385" i="3" s="1"/>
  <c r="O385" i="3"/>
  <c r="F386" i="3"/>
  <c r="H386" i="3"/>
  <c r="M386" i="3" s="1"/>
  <c r="J386" i="3"/>
  <c r="L386" i="3" s="1"/>
  <c r="O386" i="3" s="1"/>
  <c r="F387" i="3"/>
  <c r="H387" i="3"/>
  <c r="M387" i="3" s="1"/>
  <c r="J387" i="3"/>
  <c r="L387" i="3"/>
  <c r="O387" i="3" s="1"/>
  <c r="F388" i="3"/>
  <c r="H388" i="3"/>
  <c r="J388" i="3"/>
  <c r="L388" i="3"/>
  <c r="M388" i="3"/>
  <c r="O388" i="3"/>
  <c r="N388" i="3" s="1"/>
  <c r="F389" i="3"/>
  <c r="H389" i="3"/>
  <c r="M389" i="3" s="1"/>
  <c r="N389" i="3" s="1"/>
  <c r="J389" i="3"/>
  <c r="L389" i="3"/>
  <c r="O389" i="3"/>
  <c r="F393" i="3"/>
  <c r="H393" i="3"/>
  <c r="J393" i="3"/>
  <c r="L393" i="3"/>
  <c r="M393" i="3"/>
  <c r="O393" i="3"/>
  <c r="N393" i="3" s="1"/>
  <c r="F394" i="3"/>
  <c r="H394" i="3"/>
  <c r="M394" i="3" s="1"/>
  <c r="J394" i="3"/>
  <c r="L394" i="3" s="1"/>
  <c r="O394" i="3" s="1"/>
  <c r="F395" i="3"/>
  <c r="H395" i="3" s="1"/>
  <c r="M395" i="3" s="1"/>
  <c r="N395" i="3" s="1"/>
  <c r="J395" i="3"/>
  <c r="L395" i="3"/>
  <c r="O395" i="3" s="1"/>
  <c r="F396" i="3"/>
  <c r="H396" i="3"/>
  <c r="J396" i="3"/>
  <c r="L396" i="3"/>
  <c r="M396" i="3"/>
  <c r="O396" i="3"/>
  <c r="N396" i="3" s="1"/>
  <c r="F397" i="3"/>
  <c r="H397" i="3"/>
  <c r="M397" i="3" s="1"/>
  <c r="N397" i="3" s="1"/>
  <c r="J397" i="3"/>
  <c r="L397" i="3" s="1"/>
  <c r="O397" i="3" s="1"/>
  <c r="F398" i="3"/>
  <c r="H398" i="3"/>
  <c r="J398" i="3"/>
  <c r="L398" i="3"/>
  <c r="M398" i="3"/>
  <c r="O398" i="3"/>
  <c r="N398" i="3" s="1"/>
  <c r="F402" i="3"/>
  <c r="H402" i="3"/>
  <c r="M402" i="3" s="1"/>
  <c r="J402" i="3"/>
  <c r="L402" i="3"/>
  <c r="O402" i="3" s="1"/>
  <c r="F403" i="3"/>
  <c r="H403" i="3" s="1"/>
  <c r="M403" i="3" s="1"/>
  <c r="N403" i="3" s="1"/>
  <c r="J403" i="3"/>
  <c r="L403" i="3"/>
  <c r="O403" i="3"/>
  <c r="F404" i="3"/>
  <c r="H404" i="3" s="1"/>
  <c r="M404" i="3" s="1"/>
  <c r="N404" i="3" s="1"/>
  <c r="J404" i="3"/>
  <c r="L404" i="3"/>
  <c r="O404" i="3"/>
  <c r="F405" i="3"/>
  <c r="H405" i="3"/>
  <c r="M405" i="3" s="1"/>
  <c r="J405" i="3"/>
  <c r="L405" i="3" s="1"/>
  <c r="O405" i="3" s="1"/>
  <c r="F406" i="3"/>
  <c r="H406" i="3"/>
  <c r="J406" i="3"/>
  <c r="L406" i="3"/>
  <c r="O406" i="3" s="1"/>
  <c r="N406" i="3" s="1"/>
  <c r="M406" i="3"/>
  <c r="F407" i="3"/>
  <c r="H407" i="3"/>
  <c r="M407" i="3" s="1"/>
  <c r="J407" i="3"/>
  <c r="L407" i="3"/>
  <c r="O407" i="3" s="1"/>
  <c r="F6" i="2"/>
  <c r="H6" i="2" s="1"/>
  <c r="J6" i="2"/>
  <c r="L6" i="2"/>
  <c r="M6" i="2"/>
  <c r="O6" i="2"/>
  <c r="N6" i="2" s="1"/>
  <c r="F7" i="2"/>
  <c r="H7" i="2"/>
  <c r="J7" i="2"/>
  <c r="L7" i="2"/>
  <c r="M7" i="2"/>
  <c r="O7" i="2"/>
  <c r="N7" i="2" s="1"/>
  <c r="F8" i="2"/>
  <c r="H8" i="2"/>
  <c r="M8" i="2" s="1"/>
  <c r="J8" i="2"/>
  <c r="L8" i="2"/>
  <c r="O8" i="2" s="1"/>
  <c r="F9" i="2"/>
  <c r="H9" i="2" s="1"/>
  <c r="M9" i="2" s="1"/>
  <c r="N9" i="2" s="1"/>
  <c r="J9" i="2"/>
  <c r="L9" i="2"/>
  <c r="O9" i="2"/>
  <c r="F10" i="2"/>
  <c r="H10" i="2"/>
  <c r="M10" i="2" s="1"/>
  <c r="J10" i="2"/>
  <c r="L10" i="2"/>
  <c r="O10" i="2" s="1"/>
  <c r="F11" i="2"/>
  <c r="H11" i="2"/>
  <c r="M11" i="2" s="1"/>
  <c r="J11" i="2"/>
  <c r="L11" i="2"/>
  <c r="O11" i="2" s="1"/>
  <c r="F15" i="2"/>
  <c r="H15" i="2"/>
  <c r="J15" i="2"/>
  <c r="L15" i="2"/>
  <c r="M15" i="2"/>
  <c r="O15" i="2"/>
  <c r="N15" i="2" s="1"/>
  <c r="F16" i="2"/>
  <c r="H16" i="2" s="1"/>
  <c r="J16" i="2"/>
  <c r="L16" i="2"/>
  <c r="M16" i="2"/>
  <c r="O16" i="2"/>
  <c r="N16" i="2" s="1"/>
  <c r="F17" i="2"/>
  <c r="H17" i="2"/>
  <c r="M17" i="2" s="1"/>
  <c r="N17" i="2" s="1"/>
  <c r="J17" i="2"/>
  <c r="L17" i="2"/>
  <c r="O17" i="2"/>
  <c r="F18" i="2"/>
  <c r="H18" i="2" s="1"/>
  <c r="M18" i="2" s="1"/>
  <c r="J18" i="2"/>
  <c r="L18" i="2"/>
  <c r="O18" i="2"/>
  <c r="N18" i="2" s="1"/>
  <c r="F19" i="2"/>
  <c r="H19" i="2"/>
  <c r="M19" i="2" s="1"/>
  <c r="J19" i="2"/>
  <c r="L19" i="2"/>
  <c r="O19" i="2" s="1"/>
  <c r="F20" i="2"/>
  <c r="H20" i="2"/>
  <c r="J20" i="2"/>
  <c r="L20" i="2"/>
  <c r="O20" i="2" s="1"/>
  <c r="M20" i="2"/>
  <c r="N20" i="2" s="1"/>
  <c r="F24" i="2"/>
  <c r="H24" i="2"/>
  <c r="M24" i="2" s="1"/>
  <c r="J24" i="2"/>
  <c r="L24" i="2"/>
  <c r="O24" i="2" s="1"/>
  <c r="F25" i="2"/>
  <c r="H25" i="2"/>
  <c r="M25" i="2" s="1"/>
  <c r="J25" i="2"/>
  <c r="L25" i="2" s="1"/>
  <c r="O25" i="2" s="1"/>
  <c r="F26" i="2"/>
  <c r="H26" i="2"/>
  <c r="J26" i="2"/>
  <c r="L26" i="2"/>
  <c r="M26" i="2"/>
  <c r="O26" i="2"/>
  <c r="N26" i="2" s="1"/>
  <c r="F27" i="2"/>
  <c r="H27" i="2"/>
  <c r="J27" i="2"/>
  <c r="L27" i="2"/>
  <c r="O27" i="2" s="1"/>
  <c r="M27" i="2"/>
  <c r="N27" i="2" s="1"/>
  <c r="F28" i="2"/>
  <c r="H28" i="2"/>
  <c r="M28" i="2" s="1"/>
  <c r="J28" i="2"/>
  <c r="L28" i="2"/>
  <c r="O28" i="2"/>
  <c r="N28" i="2" s="1"/>
  <c r="F29" i="2"/>
  <c r="H29" i="2"/>
  <c r="J29" i="2"/>
  <c r="L29" i="2"/>
  <c r="M29" i="2"/>
  <c r="O29" i="2"/>
  <c r="N29" i="2" s="1"/>
  <c r="F33" i="2"/>
  <c r="H33" i="2"/>
  <c r="M33" i="2" s="1"/>
  <c r="J33" i="2"/>
  <c r="L33" i="2" s="1"/>
  <c r="O33" i="2" s="1"/>
  <c r="F34" i="2"/>
  <c r="H34" i="2"/>
  <c r="J34" i="2"/>
  <c r="L34" i="2"/>
  <c r="M34" i="2"/>
  <c r="O34" i="2"/>
  <c r="N34" i="2" s="1"/>
  <c r="F35" i="2"/>
  <c r="H35" i="2"/>
  <c r="J35" i="2"/>
  <c r="L35" i="2"/>
  <c r="O35" i="2" s="1"/>
  <c r="M35" i="2"/>
  <c r="N35" i="2"/>
  <c r="F36" i="2"/>
  <c r="H36" i="2"/>
  <c r="J36" i="2"/>
  <c r="L36" i="2"/>
  <c r="M36" i="2"/>
  <c r="O36" i="2"/>
  <c r="N36" i="2" s="1"/>
  <c r="F37" i="2"/>
  <c r="H37" i="2"/>
  <c r="J37" i="2"/>
  <c r="L37" i="2"/>
  <c r="O37" i="2" s="1"/>
  <c r="M37" i="2"/>
  <c r="N37" i="2"/>
  <c r="F38" i="2"/>
  <c r="H38" i="2"/>
  <c r="J38" i="2"/>
  <c r="L38" i="2"/>
  <c r="O38" i="2" s="1"/>
  <c r="M38" i="2"/>
  <c r="N38" i="2" s="1"/>
  <c r="F42" i="2"/>
  <c r="H42" i="2"/>
  <c r="J42" i="2"/>
  <c r="L42" i="2"/>
  <c r="M42" i="2"/>
  <c r="O42" i="2"/>
  <c r="N42" i="2" s="1"/>
  <c r="F43" i="2"/>
  <c r="H43" i="2"/>
  <c r="M43" i="2" s="1"/>
  <c r="J43" i="2"/>
  <c r="L43" i="2" s="1"/>
  <c r="O43" i="2"/>
  <c r="F44" i="2"/>
  <c r="H44" i="2" s="1"/>
  <c r="M44" i="2" s="1"/>
  <c r="N44" i="2" s="1"/>
  <c r="J44" i="2"/>
  <c r="L44" i="2"/>
  <c r="O44" i="2"/>
  <c r="F45" i="2"/>
  <c r="H45" i="2"/>
  <c r="M45" i="2" s="1"/>
  <c r="J45" i="2"/>
  <c r="L45" i="2" s="1"/>
  <c r="O45" i="2" s="1"/>
  <c r="F46" i="2"/>
  <c r="H46" i="2"/>
  <c r="J46" i="2"/>
  <c r="L46" i="2"/>
  <c r="M46" i="2"/>
  <c r="O46" i="2"/>
  <c r="N46" i="2" s="1"/>
  <c r="F47" i="2"/>
  <c r="H47" i="2"/>
  <c r="M47" i="2" s="1"/>
  <c r="N47" i="2" s="1"/>
  <c r="J47" i="2"/>
  <c r="L47" i="2"/>
  <c r="O47" i="2"/>
  <c r="F51" i="2"/>
  <c r="H51" i="2"/>
  <c r="J51" i="2"/>
  <c r="L51" i="2"/>
  <c r="O51" i="2" s="1"/>
  <c r="N51" i="2" s="1"/>
  <c r="M51" i="2"/>
  <c r="F52" i="2"/>
  <c r="H52" i="2"/>
  <c r="M52" i="2" s="1"/>
  <c r="N52" i="2" s="1"/>
  <c r="J52" i="2"/>
  <c r="L52" i="2"/>
  <c r="O52" i="2"/>
  <c r="F53" i="2"/>
  <c r="H53" i="2" s="1"/>
  <c r="J53" i="2"/>
  <c r="L53" i="2"/>
  <c r="M53" i="2"/>
  <c r="O53" i="2"/>
  <c r="N53" i="2" s="1"/>
  <c r="F54" i="2"/>
  <c r="H54" i="2"/>
  <c r="J54" i="2"/>
  <c r="L54" i="2"/>
  <c r="M54" i="2"/>
  <c r="O54" i="2"/>
  <c r="N54" i="2" s="1"/>
  <c r="F55" i="2"/>
  <c r="H55" i="2"/>
  <c r="M55" i="2" s="1"/>
  <c r="J55" i="2"/>
  <c r="L55" i="2"/>
  <c r="O55" i="2" s="1"/>
  <c r="F56" i="2"/>
  <c r="H56" i="2"/>
  <c r="J56" i="2"/>
  <c r="L56" i="2"/>
  <c r="M56" i="2"/>
  <c r="O56" i="2"/>
  <c r="N56" i="2" s="1"/>
  <c r="F60" i="2"/>
  <c r="H60" i="2"/>
  <c r="M60" i="2" s="1"/>
  <c r="N60" i="2" s="1"/>
  <c r="J60" i="2"/>
  <c r="L60" i="2" s="1"/>
  <c r="O60" i="2" s="1"/>
  <c r="F61" i="2"/>
  <c r="H61" i="2"/>
  <c r="J61" i="2"/>
  <c r="L61" i="2"/>
  <c r="M61" i="2"/>
  <c r="O61" i="2"/>
  <c r="N61" i="2" s="1"/>
  <c r="F62" i="2"/>
  <c r="H62" i="2"/>
  <c r="J62" i="2"/>
  <c r="L62" i="2"/>
  <c r="M62" i="2"/>
  <c r="O62" i="2"/>
  <c r="N62" i="2" s="1"/>
  <c r="F63" i="2"/>
  <c r="H63" i="2" s="1"/>
  <c r="M63" i="2" s="1"/>
  <c r="N63" i="2" s="1"/>
  <c r="J63" i="2"/>
  <c r="L63" i="2"/>
  <c r="O63" i="2"/>
  <c r="F64" i="2"/>
  <c r="H64" i="2"/>
  <c r="J64" i="2"/>
  <c r="L64" i="2"/>
  <c r="M64" i="2"/>
  <c r="O64" i="2"/>
  <c r="N64" i="2" s="1"/>
  <c r="F65" i="2"/>
  <c r="H65" i="2" s="1"/>
  <c r="M65" i="2" s="1"/>
  <c r="J65" i="2"/>
  <c r="L65" i="2"/>
  <c r="N65" i="2"/>
  <c r="O65" i="2"/>
  <c r="F69" i="2"/>
  <c r="H69" i="2"/>
  <c r="J69" i="2"/>
  <c r="L69" i="2"/>
  <c r="M69" i="2"/>
  <c r="O69" i="2"/>
  <c r="N69" i="2" s="1"/>
  <c r="F70" i="2"/>
  <c r="H70" i="2"/>
  <c r="J70" i="2"/>
  <c r="L70" i="2"/>
  <c r="O70" i="2" s="1"/>
  <c r="M70" i="2"/>
  <c r="N70" i="2" s="1"/>
  <c r="F71" i="2"/>
  <c r="H71" i="2"/>
  <c r="J71" i="2"/>
  <c r="L71" i="2"/>
  <c r="O71" i="2" s="1"/>
  <c r="M71" i="2"/>
  <c r="N71" i="2" s="1"/>
  <c r="F72" i="2"/>
  <c r="H72" i="2"/>
  <c r="J72" i="2"/>
  <c r="L72" i="2"/>
  <c r="O72" i="2" s="1"/>
  <c r="M72" i="2"/>
  <c r="N72" i="2" s="1"/>
  <c r="F73" i="2"/>
  <c r="H73" i="2"/>
  <c r="J73" i="2"/>
  <c r="L73" i="2"/>
  <c r="M73" i="2"/>
  <c r="O73" i="2"/>
  <c r="N73" i="2" s="1"/>
  <c r="F74" i="2"/>
  <c r="H74" i="2"/>
  <c r="J74" i="2"/>
  <c r="L74" i="2"/>
  <c r="M74" i="2"/>
  <c r="O74" i="2"/>
  <c r="N74" i="2" s="1"/>
  <c r="F78" i="2"/>
  <c r="H78" i="2"/>
  <c r="M78" i="2" s="1"/>
  <c r="J78" i="2"/>
  <c r="L78" i="2"/>
  <c r="O78" i="2"/>
  <c r="N78" i="2" s="1"/>
  <c r="F79" i="2"/>
  <c r="H79" i="2"/>
  <c r="J79" i="2"/>
  <c r="L79" i="2"/>
  <c r="O79" i="2" s="1"/>
  <c r="M79" i="2"/>
  <c r="N79" i="2" s="1"/>
  <c r="F80" i="2"/>
  <c r="H80" i="2"/>
  <c r="M80" i="2" s="1"/>
  <c r="J80" i="2"/>
  <c r="L80" i="2" s="1"/>
  <c r="O80" i="2"/>
  <c r="F81" i="2"/>
  <c r="H81" i="2"/>
  <c r="J81" i="2"/>
  <c r="L81" i="2"/>
  <c r="M81" i="2"/>
  <c r="O81" i="2"/>
  <c r="N81" i="2" s="1"/>
  <c r="F82" i="2"/>
  <c r="H82" i="2" s="1"/>
  <c r="M82" i="2" s="1"/>
  <c r="N82" i="2" s="1"/>
  <c r="J82" i="2"/>
  <c r="L82" i="2"/>
  <c r="O82" i="2" s="1"/>
  <c r="F83" i="2"/>
  <c r="H83" i="2"/>
  <c r="J83" i="2"/>
  <c r="L83" i="2"/>
  <c r="M83" i="2"/>
  <c r="O83" i="2"/>
  <c r="N83" i="2" s="1"/>
  <c r="F87" i="2"/>
  <c r="H87" i="2"/>
  <c r="J87" i="2"/>
  <c r="L87" i="2"/>
  <c r="O87" i="2" s="1"/>
  <c r="M87" i="2"/>
  <c r="N87" i="2"/>
  <c r="F88" i="2"/>
  <c r="H88" i="2"/>
  <c r="J88" i="2"/>
  <c r="L88" i="2"/>
  <c r="M88" i="2"/>
  <c r="O88" i="2"/>
  <c r="N88" i="2" s="1"/>
  <c r="F89" i="2"/>
  <c r="H89" i="2"/>
  <c r="J89" i="2"/>
  <c r="L89" i="2"/>
  <c r="M89" i="2"/>
  <c r="O89" i="2"/>
  <c r="N89" i="2" s="1"/>
  <c r="F90" i="2"/>
  <c r="H90" i="2"/>
  <c r="M90" i="2" s="1"/>
  <c r="J90" i="2"/>
  <c r="L90" i="2" s="1"/>
  <c r="O90" i="2"/>
  <c r="F91" i="2"/>
  <c r="H91" i="2"/>
  <c r="J91" i="2"/>
  <c r="L91" i="2"/>
  <c r="M91" i="2"/>
  <c r="O91" i="2"/>
  <c r="N91" i="2" s="1"/>
  <c r="F92" i="2"/>
  <c r="H92" i="2"/>
  <c r="M92" i="2" s="1"/>
  <c r="N92" i="2" s="1"/>
  <c r="J92" i="2"/>
  <c r="L92" i="2" s="1"/>
  <c r="O92" i="2" s="1"/>
  <c r="F96" i="2"/>
  <c r="H96" i="2"/>
  <c r="M96" i="2" s="1"/>
  <c r="J96" i="2"/>
  <c r="L96" i="2"/>
  <c r="O96" i="2" s="1"/>
  <c r="F97" i="2"/>
  <c r="H97" i="2"/>
  <c r="J97" i="2"/>
  <c r="L97" i="2"/>
  <c r="M97" i="2"/>
  <c r="O97" i="2"/>
  <c r="N97" i="2" s="1"/>
  <c r="F98" i="2"/>
  <c r="H98" i="2"/>
  <c r="J98" i="2"/>
  <c r="L98" i="2"/>
  <c r="O98" i="2" s="1"/>
  <c r="N98" i="2" s="1"/>
  <c r="M98" i="2"/>
  <c r="F99" i="2"/>
  <c r="H99" i="2"/>
  <c r="J99" i="2"/>
  <c r="L99" i="2"/>
  <c r="M99" i="2"/>
  <c r="O99" i="2"/>
  <c r="N99" i="2" s="1"/>
  <c r="F100" i="2"/>
  <c r="H100" i="2" s="1"/>
  <c r="J100" i="2"/>
  <c r="L100" i="2"/>
  <c r="M100" i="2"/>
  <c r="O100" i="2"/>
  <c r="N100" i="2" s="1"/>
  <c r="F101" i="2"/>
  <c r="H101" i="2"/>
  <c r="M101" i="2" s="1"/>
  <c r="N101" i="2" s="1"/>
  <c r="J101" i="2"/>
  <c r="L101" i="2"/>
  <c r="O101" i="2"/>
  <c r="F105" i="2"/>
  <c r="H105" i="2"/>
  <c r="M105" i="2" s="1"/>
  <c r="J105" i="2"/>
  <c r="L105" i="2"/>
  <c r="O105" i="2" s="1"/>
  <c r="F106" i="2"/>
  <c r="H106" i="2"/>
  <c r="J106" i="2"/>
  <c r="L106" i="2"/>
  <c r="O106" i="2" s="1"/>
  <c r="M106" i="2"/>
  <c r="N106" i="2" s="1"/>
  <c r="F107" i="2"/>
  <c r="H107" i="2"/>
  <c r="M107" i="2" s="1"/>
  <c r="J107" i="2"/>
  <c r="L107" i="2"/>
  <c r="O107" i="2" s="1"/>
  <c r="F108" i="2"/>
  <c r="H108" i="2"/>
  <c r="J108" i="2"/>
  <c r="L108" i="2"/>
  <c r="M108" i="2"/>
  <c r="O108" i="2"/>
  <c r="N108" i="2" s="1"/>
  <c r="F109" i="2"/>
  <c r="H109" i="2"/>
  <c r="J109" i="2"/>
  <c r="L109" i="2"/>
  <c r="O109" i="2" s="1"/>
  <c r="M109" i="2"/>
  <c r="N109" i="2" s="1"/>
  <c r="F110" i="2"/>
  <c r="H110" i="2" s="1"/>
  <c r="J110" i="2"/>
  <c r="L110" i="2"/>
  <c r="M110" i="2"/>
  <c r="O110" i="2"/>
  <c r="N110" i="2" s="1"/>
  <c r="F114" i="2"/>
  <c r="H114" i="2"/>
  <c r="J114" i="2"/>
  <c r="L114" i="2"/>
  <c r="O114" i="2" s="1"/>
  <c r="M114" i="2"/>
  <c r="N114" i="2"/>
  <c r="F115" i="2"/>
  <c r="H115" i="2" s="1"/>
  <c r="M115" i="2" s="1"/>
  <c r="J115" i="2"/>
  <c r="L115" i="2"/>
  <c r="O115" i="2"/>
  <c r="N115" i="2" s="1"/>
  <c r="F116" i="2"/>
  <c r="H116" i="2"/>
  <c r="J116" i="2"/>
  <c r="L116" i="2"/>
  <c r="M116" i="2"/>
  <c r="O116" i="2"/>
  <c r="N116" i="2" s="1"/>
  <c r="F117" i="2"/>
  <c r="H117" i="2"/>
  <c r="J117" i="2"/>
  <c r="L117" i="2"/>
  <c r="O117" i="2" s="1"/>
  <c r="M117" i="2"/>
  <c r="N117" i="2" s="1"/>
  <c r="F118" i="2"/>
  <c r="H118" i="2"/>
  <c r="J118" i="2"/>
  <c r="L118" i="2"/>
  <c r="M118" i="2"/>
  <c r="O118" i="2"/>
  <c r="N118" i="2" s="1"/>
  <c r="F119" i="2"/>
  <c r="H119" i="2"/>
  <c r="M119" i="2" s="1"/>
  <c r="J119" i="2"/>
  <c r="L119" i="2" s="1"/>
  <c r="O119" i="2" s="1"/>
  <c r="F123" i="2"/>
  <c r="H123" i="2"/>
  <c r="J123" i="2"/>
  <c r="L123" i="2"/>
  <c r="M123" i="2"/>
  <c r="O123" i="2"/>
  <c r="N123" i="2" s="1"/>
  <c r="F124" i="2"/>
  <c r="H124" i="2"/>
  <c r="J124" i="2"/>
  <c r="L124" i="2"/>
  <c r="M124" i="2"/>
  <c r="O124" i="2"/>
  <c r="N124" i="2" s="1"/>
  <c r="F125" i="2"/>
  <c r="H125" i="2"/>
  <c r="M125" i="2" s="1"/>
  <c r="J125" i="2"/>
  <c r="L125" i="2"/>
  <c r="O125" i="2"/>
  <c r="N125" i="2" s="1"/>
  <c r="F126" i="2"/>
  <c r="H126" i="2"/>
  <c r="J126" i="2"/>
  <c r="L126" i="2"/>
  <c r="M126" i="2"/>
  <c r="O126" i="2"/>
  <c r="N126" i="2" s="1"/>
  <c r="F127" i="2"/>
  <c r="H127" i="2"/>
  <c r="M127" i="2" s="1"/>
  <c r="J127" i="2"/>
  <c r="L127" i="2" s="1"/>
  <c r="O127" i="2"/>
  <c r="F128" i="2"/>
  <c r="H128" i="2" s="1"/>
  <c r="M128" i="2" s="1"/>
  <c r="N128" i="2" s="1"/>
  <c r="J128" i="2"/>
  <c r="L128" i="2" s="1"/>
  <c r="O128" i="2" s="1"/>
  <c r="F132" i="2"/>
  <c r="H132" i="2"/>
  <c r="J132" i="2"/>
  <c r="L132" i="2"/>
  <c r="O132" i="2" s="1"/>
  <c r="M132" i="2"/>
  <c r="N132" i="2"/>
  <c r="F133" i="2"/>
  <c r="H133" i="2"/>
  <c r="J133" i="2"/>
  <c r="L133" i="2"/>
  <c r="M133" i="2"/>
  <c r="O133" i="2"/>
  <c r="N133" i="2" s="1"/>
  <c r="F134" i="2"/>
  <c r="H134" i="2" s="1"/>
  <c r="M134" i="2" s="1"/>
  <c r="N134" i="2" s="1"/>
  <c r="J134" i="2"/>
  <c r="L134" i="2"/>
  <c r="O134" i="2" s="1"/>
  <c r="F135" i="2"/>
  <c r="H135" i="2"/>
  <c r="J135" i="2"/>
  <c r="L135" i="2"/>
  <c r="M135" i="2"/>
  <c r="O135" i="2"/>
  <c r="N135" i="2" s="1"/>
  <c r="F136" i="2"/>
  <c r="H136" i="2"/>
  <c r="M136" i="2" s="1"/>
  <c r="N136" i="2" s="1"/>
  <c r="J136" i="2"/>
  <c r="L136" i="2"/>
  <c r="O136" i="2"/>
  <c r="F137" i="2"/>
  <c r="H137" i="2"/>
  <c r="M137" i="2" s="1"/>
  <c r="J137" i="2"/>
  <c r="L137" i="2" s="1"/>
  <c r="O137" i="2"/>
  <c r="F141" i="2"/>
  <c r="H141" i="2"/>
  <c r="J141" i="2"/>
  <c r="L141" i="2"/>
  <c r="M141" i="2"/>
  <c r="O141" i="2"/>
  <c r="N141" i="2" s="1"/>
  <c r="F142" i="2"/>
  <c r="H142" i="2"/>
  <c r="M142" i="2" s="1"/>
  <c r="N142" i="2" s="1"/>
  <c r="J142" i="2"/>
  <c r="L142" i="2" s="1"/>
  <c r="O142" i="2" s="1"/>
  <c r="F143" i="2"/>
  <c r="H143" i="2"/>
  <c r="J143" i="2"/>
  <c r="L143" i="2"/>
  <c r="M143" i="2"/>
  <c r="O143" i="2"/>
  <c r="N143" i="2" s="1"/>
  <c r="F144" i="2"/>
  <c r="H144" i="2"/>
  <c r="J144" i="2"/>
  <c r="L144" i="2"/>
  <c r="O144" i="2" s="1"/>
  <c r="M144" i="2"/>
  <c r="N144" i="2"/>
  <c r="F145" i="2"/>
  <c r="H145" i="2"/>
  <c r="J145" i="2"/>
  <c r="L145" i="2"/>
  <c r="M145" i="2"/>
  <c r="O145" i="2"/>
  <c r="N145" i="2" s="1"/>
  <c r="F146" i="2"/>
  <c r="H146" i="2"/>
  <c r="M146" i="2" s="1"/>
  <c r="N146" i="2" s="1"/>
  <c r="J146" i="2"/>
  <c r="L146" i="2"/>
  <c r="O146" i="2"/>
  <c r="F150" i="2"/>
  <c r="H150" i="2" s="1"/>
  <c r="M150" i="2" s="1"/>
  <c r="N150" i="2" s="1"/>
  <c r="J150" i="2"/>
  <c r="L150" i="2"/>
  <c r="O150" i="2"/>
  <c r="F151" i="2"/>
  <c r="H151" i="2"/>
  <c r="J151" i="2"/>
  <c r="L151" i="2"/>
  <c r="M151" i="2"/>
  <c r="O151" i="2"/>
  <c r="N151" i="2" s="1"/>
  <c r="F152" i="2"/>
  <c r="H152" i="2"/>
  <c r="M152" i="2" s="1"/>
  <c r="J152" i="2"/>
  <c r="L152" i="2"/>
  <c r="O152" i="2" s="1"/>
  <c r="F153" i="2"/>
  <c r="H153" i="2"/>
  <c r="J153" i="2"/>
  <c r="L153" i="2"/>
  <c r="M153" i="2"/>
  <c r="O153" i="2"/>
  <c r="N153" i="2" s="1"/>
  <c r="F154" i="2"/>
  <c r="H154" i="2"/>
  <c r="M154" i="2" s="1"/>
  <c r="J154" i="2"/>
  <c r="L154" i="2"/>
  <c r="O154" i="2" s="1"/>
  <c r="F155" i="2"/>
  <c r="H155" i="2"/>
  <c r="M155" i="2" s="1"/>
  <c r="N155" i="2" s="1"/>
  <c r="J155" i="2"/>
  <c r="L155" i="2"/>
  <c r="O155" i="2"/>
  <c r="F159" i="2"/>
  <c r="H159" i="2"/>
  <c r="J159" i="2"/>
  <c r="L159" i="2"/>
  <c r="M159" i="2"/>
  <c r="O159" i="2"/>
  <c r="N159" i="2" s="1"/>
  <c r="F160" i="2"/>
  <c r="H160" i="2" s="1"/>
  <c r="J160" i="2"/>
  <c r="L160" i="2"/>
  <c r="M160" i="2"/>
  <c r="O160" i="2"/>
  <c r="N160" i="2" s="1"/>
  <c r="F161" i="2"/>
  <c r="H161" i="2" s="1"/>
  <c r="M161" i="2" s="1"/>
  <c r="N161" i="2" s="1"/>
  <c r="J161" i="2"/>
  <c r="L161" i="2"/>
  <c r="O161" i="2"/>
  <c r="F162" i="2"/>
  <c r="H162" i="2" s="1"/>
  <c r="M162" i="2" s="1"/>
  <c r="J162" i="2"/>
  <c r="L162" i="2"/>
  <c r="O162" i="2"/>
  <c r="N162" i="2" s="1"/>
  <c r="F163" i="2"/>
  <c r="H163" i="2"/>
  <c r="J163" i="2"/>
  <c r="L163" i="2"/>
  <c r="O163" i="2" s="1"/>
  <c r="N163" i="2" s="1"/>
  <c r="M163" i="2"/>
  <c r="F164" i="2"/>
  <c r="H164" i="2"/>
  <c r="J164" i="2"/>
  <c r="L164" i="2"/>
  <c r="O164" i="2" s="1"/>
  <c r="M164" i="2"/>
  <c r="N164" i="2" s="1"/>
  <c r="F168" i="2"/>
  <c r="H168" i="2"/>
  <c r="J168" i="2"/>
  <c r="L168" i="2"/>
  <c r="M168" i="2"/>
  <c r="O168" i="2"/>
  <c r="N168" i="2" s="1"/>
  <c r="F169" i="2"/>
  <c r="H169" i="2"/>
  <c r="M169" i="2" s="1"/>
  <c r="N169" i="2" s="1"/>
  <c r="J169" i="2"/>
  <c r="L169" i="2"/>
  <c r="O169" i="2" s="1"/>
  <c r="F170" i="2"/>
  <c r="H170" i="2"/>
  <c r="J170" i="2"/>
  <c r="L170" i="2"/>
  <c r="M170" i="2"/>
  <c r="O170" i="2"/>
  <c r="N170" i="2" s="1"/>
  <c r="F171" i="2"/>
  <c r="H171" i="2"/>
  <c r="J171" i="2"/>
  <c r="L171" i="2"/>
  <c r="M171" i="2"/>
  <c r="O171" i="2"/>
  <c r="N171" i="2" s="1"/>
  <c r="F172" i="2"/>
  <c r="H172" i="2" s="1"/>
  <c r="M172" i="2" s="1"/>
  <c r="N172" i="2" s="1"/>
  <c r="J172" i="2"/>
  <c r="L172" i="2"/>
  <c r="O172" i="2"/>
  <c r="F173" i="2"/>
  <c r="H173" i="2"/>
  <c r="J173" i="2"/>
  <c r="L173" i="2"/>
  <c r="M173" i="2"/>
  <c r="O173" i="2"/>
  <c r="N173" i="2" s="1"/>
  <c r="F177" i="2"/>
  <c r="H177" i="2"/>
  <c r="M177" i="2" s="1"/>
  <c r="N177" i="2" s="1"/>
  <c r="J177" i="2"/>
  <c r="L177" i="2" s="1"/>
  <c r="O177" i="2"/>
  <c r="F178" i="2"/>
  <c r="H178" i="2"/>
  <c r="J178" i="2"/>
  <c r="L178" i="2"/>
  <c r="M178" i="2"/>
  <c r="O178" i="2"/>
  <c r="N178" i="2" s="1"/>
  <c r="F179" i="2"/>
  <c r="H179" i="2"/>
  <c r="J179" i="2"/>
  <c r="L179" i="2"/>
  <c r="O179" i="2" s="1"/>
  <c r="M179" i="2"/>
  <c r="N179" i="2"/>
  <c r="F180" i="2"/>
  <c r="H180" i="2"/>
  <c r="J180" i="2"/>
  <c r="L180" i="2" s="1"/>
  <c r="O180" i="2" s="1"/>
  <c r="N180" i="2" s="1"/>
  <c r="M180" i="2"/>
  <c r="F181" i="2"/>
  <c r="H181" i="2"/>
  <c r="J181" i="2"/>
  <c r="L181" i="2"/>
  <c r="O181" i="2" s="1"/>
  <c r="M181" i="2"/>
  <c r="N181" i="2"/>
  <c r="F182" i="2"/>
  <c r="H182" i="2"/>
  <c r="J182" i="2"/>
  <c r="L182" i="2"/>
  <c r="O182" i="2" s="1"/>
  <c r="N182" i="2" s="1"/>
  <c r="M182" i="2"/>
  <c r="F186" i="2"/>
  <c r="H186" i="2"/>
  <c r="J186" i="2"/>
  <c r="L186" i="2"/>
  <c r="M186" i="2"/>
  <c r="O186" i="2"/>
  <c r="N186" i="2" s="1"/>
  <c r="F187" i="2"/>
  <c r="H187" i="2"/>
  <c r="M187" i="2" s="1"/>
  <c r="J187" i="2"/>
  <c r="L187" i="2" s="1"/>
  <c r="O187" i="2"/>
  <c r="F188" i="2"/>
  <c r="H188" i="2"/>
  <c r="M188" i="2" s="1"/>
  <c r="J188" i="2"/>
  <c r="L188" i="2"/>
  <c r="O188" i="2" s="1"/>
  <c r="F189" i="2"/>
  <c r="H189" i="2"/>
  <c r="M189" i="2" s="1"/>
  <c r="J189" i="2"/>
  <c r="L189" i="2" s="1"/>
  <c r="O189" i="2" s="1"/>
  <c r="F190" i="2"/>
  <c r="H190" i="2"/>
  <c r="J190" i="2"/>
  <c r="L190" i="2"/>
  <c r="O190" i="2" s="1"/>
  <c r="M190" i="2"/>
  <c r="N190" i="2" s="1"/>
  <c r="F191" i="2"/>
  <c r="H191" i="2" s="1"/>
  <c r="M191" i="2" s="1"/>
  <c r="N191" i="2" s="1"/>
  <c r="J191" i="2"/>
  <c r="L191" i="2"/>
  <c r="O191" i="2"/>
  <c r="F195" i="2"/>
  <c r="H195" i="2"/>
  <c r="J195" i="2"/>
  <c r="L195" i="2"/>
  <c r="M195" i="2"/>
  <c r="O195" i="2"/>
  <c r="N195" i="2" s="1"/>
  <c r="F196" i="2"/>
  <c r="H196" i="2"/>
  <c r="J196" i="2"/>
  <c r="L196" i="2"/>
  <c r="O196" i="2" s="1"/>
  <c r="M196" i="2"/>
  <c r="N196" i="2" s="1"/>
  <c r="F197" i="2"/>
  <c r="H197" i="2" s="1"/>
  <c r="J197" i="2"/>
  <c r="L197" i="2"/>
  <c r="M197" i="2"/>
  <c r="O197" i="2"/>
  <c r="N197" i="2" s="1"/>
  <c r="F198" i="2"/>
  <c r="H198" i="2"/>
  <c r="J198" i="2"/>
  <c r="L198" i="2"/>
  <c r="O198" i="2" s="1"/>
  <c r="M198" i="2"/>
  <c r="N198" i="2"/>
  <c r="F199" i="2"/>
  <c r="H199" i="2"/>
  <c r="M199" i="2" s="1"/>
  <c r="J199" i="2"/>
  <c r="L199" i="2"/>
  <c r="O199" i="2" s="1"/>
  <c r="F200" i="2"/>
  <c r="H200" i="2"/>
  <c r="J200" i="2"/>
  <c r="L200" i="2"/>
  <c r="M200" i="2"/>
  <c r="O200" i="2"/>
  <c r="N200" i="2" s="1"/>
  <c r="F204" i="2"/>
  <c r="H204" i="2"/>
  <c r="M204" i="2" s="1"/>
  <c r="J204" i="2"/>
  <c r="L204" i="2"/>
  <c r="O204" i="2" s="1"/>
  <c r="F205" i="2"/>
  <c r="H205" i="2"/>
  <c r="M205" i="2" s="1"/>
  <c r="N205" i="2" s="1"/>
  <c r="J205" i="2"/>
  <c r="L205" i="2"/>
  <c r="O205" i="2"/>
  <c r="F206" i="2"/>
  <c r="H206" i="2"/>
  <c r="J206" i="2"/>
  <c r="L206" i="2"/>
  <c r="M206" i="2"/>
  <c r="O206" i="2"/>
  <c r="N206" i="2" s="1"/>
  <c r="F207" i="2"/>
  <c r="H207" i="2" s="1"/>
  <c r="M207" i="2" s="1"/>
  <c r="N207" i="2" s="1"/>
  <c r="J207" i="2"/>
  <c r="L207" i="2"/>
  <c r="O207" i="2"/>
  <c r="F208" i="2"/>
  <c r="H208" i="2"/>
  <c r="J208" i="2"/>
  <c r="L208" i="2"/>
  <c r="M208" i="2"/>
  <c r="O208" i="2"/>
  <c r="N208" i="2" s="1"/>
  <c r="F209" i="2"/>
  <c r="H209" i="2" s="1"/>
  <c r="J209" i="2"/>
  <c r="L209" i="2"/>
  <c r="M209" i="2"/>
  <c r="O209" i="2"/>
  <c r="N209" i="2" s="1"/>
  <c r="F213" i="2"/>
  <c r="H213" i="2" s="1"/>
  <c r="M213" i="2" s="1"/>
  <c r="N213" i="2" s="1"/>
  <c r="J213" i="2"/>
  <c r="L213" i="2"/>
  <c r="O213" i="2"/>
  <c r="F214" i="2"/>
  <c r="H214" i="2"/>
  <c r="J214" i="2"/>
  <c r="L214" i="2"/>
  <c r="O214" i="2" s="1"/>
  <c r="M214" i="2"/>
  <c r="N214" i="2" s="1"/>
  <c r="F215" i="2"/>
  <c r="H215" i="2"/>
  <c r="M215" i="2" s="1"/>
  <c r="J215" i="2"/>
  <c r="L215" i="2" s="1"/>
  <c r="O215" i="2" s="1"/>
  <c r="F216" i="2"/>
  <c r="H216" i="2"/>
  <c r="J216" i="2"/>
  <c r="L216" i="2"/>
  <c r="O216" i="2" s="1"/>
  <c r="M216" i="2"/>
  <c r="N216" i="2" s="1"/>
  <c r="F217" i="2"/>
  <c r="H217" i="2"/>
  <c r="J217" i="2"/>
  <c r="L217" i="2"/>
  <c r="O217" i="2" s="1"/>
  <c r="N217" i="2" s="1"/>
  <c r="M217" i="2"/>
  <c r="F218" i="2"/>
  <c r="H218" i="2"/>
  <c r="M218" i="2" s="1"/>
  <c r="N218" i="2" s="1"/>
  <c r="J218" i="2"/>
  <c r="L218" i="2"/>
  <c r="O218" i="2"/>
  <c r="F222" i="2"/>
  <c r="H222" i="2"/>
  <c r="M222" i="2" s="1"/>
  <c r="J222" i="2"/>
  <c r="L222" i="2"/>
  <c r="O222" i="2"/>
  <c r="N222" i="2" s="1"/>
  <c r="F223" i="2"/>
  <c r="H223" i="2"/>
  <c r="M223" i="2" s="1"/>
  <c r="J223" i="2"/>
  <c r="L223" i="2" s="1"/>
  <c r="O223" i="2" s="1"/>
  <c r="F224" i="2"/>
  <c r="H224" i="2"/>
  <c r="M224" i="2" s="1"/>
  <c r="J224" i="2"/>
  <c r="L224" i="2" s="1"/>
  <c r="O224" i="2"/>
  <c r="N224" i="2" s="1"/>
  <c r="F225" i="2"/>
  <c r="H225" i="2"/>
  <c r="J225" i="2"/>
  <c r="L225" i="2"/>
  <c r="M225" i="2"/>
  <c r="O225" i="2"/>
  <c r="N225" i="2" s="1"/>
  <c r="F226" i="2"/>
  <c r="H226" i="2"/>
  <c r="M226" i="2" s="1"/>
  <c r="N226" i="2" s="1"/>
  <c r="J226" i="2"/>
  <c r="L226" i="2"/>
  <c r="O226" i="2" s="1"/>
  <c r="F227" i="2"/>
  <c r="H227" i="2"/>
  <c r="J227" i="2"/>
  <c r="L227" i="2"/>
  <c r="M227" i="2"/>
  <c r="O227" i="2"/>
  <c r="N227" i="2" s="1"/>
  <c r="F231" i="2"/>
  <c r="H231" i="2"/>
  <c r="M231" i="2" s="1"/>
  <c r="J231" i="2"/>
  <c r="L231" i="2" s="1"/>
  <c r="O231" i="2" s="1"/>
  <c r="F232" i="2"/>
  <c r="H232" i="2"/>
  <c r="J232" i="2"/>
  <c r="L232" i="2"/>
  <c r="M232" i="2"/>
  <c r="O232" i="2"/>
  <c r="N232" i="2" s="1"/>
  <c r="F233" i="2"/>
  <c r="H233" i="2"/>
  <c r="J233" i="2"/>
  <c r="L233" i="2"/>
  <c r="M233" i="2"/>
  <c r="O233" i="2"/>
  <c r="N233" i="2" s="1"/>
  <c r="F234" i="2"/>
  <c r="H234" i="2" s="1"/>
  <c r="M234" i="2" s="1"/>
  <c r="N234" i="2" s="1"/>
  <c r="J234" i="2"/>
  <c r="L234" i="2" s="1"/>
  <c r="O234" i="2"/>
  <c r="F235" i="2"/>
  <c r="H235" i="2"/>
  <c r="J235" i="2"/>
  <c r="L235" i="2"/>
  <c r="M235" i="2"/>
  <c r="O235" i="2"/>
  <c r="N235" i="2" s="1"/>
  <c r="F236" i="2"/>
  <c r="H236" i="2"/>
  <c r="M236" i="2" s="1"/>
  <c r="J236" i="2"/>
  <c r="L236" i="2" s="1"/>
  <c r="O236" i="2"/>
  <c r="F240" i="2"/>
  <c r="H240" i="2"/>
  <c r="J240" i="2"/>
  <c r="L240" i="2"/>
  <c r="M240" i="2"/>
  <c r="O240" i="2"/>
  <c r="N240" i="2" s="1"/>
  <c r="F241" i="2"/>
  <c r="H241" i="2"/>
  <c r="J241" i="2"/>
  <c r="L241" i="2"/>
  <c r="M241" i="2"/>
  <c r="O241" i="2"/>
  <c r="N241" i="2" s="1"/>
  <c r="F242" i="2"/>
  <c r="H242" i="2"/>
  <c r="J242" i="2"/>
  <c r="L242" i="2"/>
  <c r="O242" i="2" s="1"/>
  <c r="N242" i="2" s="1"/>
  <c r="M242" i="2"/>
  <c r="F243" i="2"/>
  <c r="H243" i="2"/>
  <c r="J243" i="2"/>
  <c r="L243" i="2"/>
  <c r="M243" i="2"/>
  <c r="O243" i="2"/>
  <c r="N243" i="2" s="1"/>
  <c r="F244" i="2"/>
  <c r="H244" i="2" s="1"/>
  <c r="M244" i="2" s="1"/>
  <c r="N244" i="2" s="1"/>
  <c r="J244" i="2"/>
  <c r="L244" i="2"/>
  <c r="O244" i="2" s="1"/>
  <c r="F245" i="2"/>
  <c r="H245" i="2"/>
  <c r="J245" i="2"/>
  <c r="L245" i="2"/>
  <c r="M245" i="2"/>
  <c r="O245" i="2"/>
  <c r="N245" i="2" s="1"/>
  <c r="F249" i="2"/>
  <c r="H249" i="2"/>
  <c r="M249" i="2" s="1"/>
  <c r="J249" i="2"/>
  <c r="L249" i="2"/>
  <c r="O249" i="2" s="1"/>
  <c r="F250" i="2"/>
  <c r="H250" i="2"/>
  <c r="J250" i="2"/>
  <c r="L250" i="2"/>
  <c r="O250" i="2" s="1"/>
  <c r="M250" i="2"/>
  <c r="N250" i="2" s="1"/>
  <c r="F251" i="2"/>
  <c r="H251" i="2"/>
  <c r="M251" i="2" s="1"/>
  <c r="J251" i="2"/>
  <c r="L251" i="2"/>
  <c r="O251" i="2" s="1"/>
  <c r="F252" i="2"/>
  <c r="H252" i="2"/>
  <c r="J252" i="2"/>
  <c r="L252" i="2"/>
  <c r="M252" i="2"/>
  <c r="O252" i="2"/>
  <c r="N252" i="2" s="1"/>
  <c r="F253" i="2"/>
  <c r="H253" i="2" s="1"/>
  <c r="M253" i="2" s="1"/>
  <c r="N253" i="2" s="1"/>
  <c r="J253" i="2"/>
  <c r="L253" i="2"/>
  <c r="O253" i="2"/>
  <c r="F254" i="2"/>
  <c r="H254" i="2" s="1"/>
  <c r="J254" i="2"/>
  <c r="L254" i="2"/>
  <c r="M254" i="2"/>
  <c r="O254" i="2"/>
  <c r="N254" i="2" s="1"/>
  <c r="F258" i="2"/>
  <c r="H258" i="2"/>
  <c r="J258" i="2"/>
  <c r="L258" i="2"/>
  <c r="O258" i="2" s="1"/>
  <c r="M258" i="2"/>
  <c r="N258" i="2"/>
  <c r="F259" i="2"/>
  <c r="H259" i="2" s="1"/>
  <c r="J259" i="2"/>
  <c r="L259" i="2"/>
  <c r="M259" i="2"/>
  <c r="O259" i="2"/>
  <c r="N259" i="2" s="1"/>
  <c r="F260" i="2"/>
  <c r="H260" i="2"/>
  <c r="J260" i="2"/>
  <c r="L260" i="2"/>
  <c r="M260" i="2"/>
  <c r="O260" i="2"/>
  <c r="N260" i="2" s="1"/>
  <c r="F261" i="2"/>
  <c r="H261" i="2"/>
  <c r="J261" i="2"/>
  <c r="L261" i="2"/>
  <c r="O261" i="2" s="1"/>
  <c r="M261" i="2"/>
  <c r="N261" i="2" s="1"/>
  <c r="F262" i="2"/>
  <c r="H262" i="2"/>
  <c r="J262" i="2"/>
  <c r="L262" i="2"/>
  <c r="O262" i="2" s="1"/>
  <c r="N262" i="2" s="1"/>
  <c r="M262" i="2"/>
  <c r="F263" i="2"/>
  <c r="H263" i="2"/>
  <c r="J263" i="2"/>
  <c r="L263" i="2"/>
  <c r="O263" i="2" s="1"/>
  <c r="M263" i="2"/>
  <c r="N263" i="2" s="1"/>
  <c r="F267" i="2"/>
  <c r="H267" i="2"/>
  <c r="J267" i="2"/>
  <c r="L267" i="2"/>
  <c r="M267" i="2"/>
  <c r="O267" i="2"/>
  <c r="N267" i="2" s="1"/>
  <c r="F268" i="2"/>
  <c r="H268" i="2"/>
  <c r="J268" i="2"/>
  <c r="L268" i="2"/>
  <c r="M268" i="2"/>
  <c r="O268" i="2"/>
  <c r="N268" i="2" s="1"/>
  <c r="F269" i="2"/>
  <c r="H269" i="2" s="1"/>
  <c r="M269" i="2" s="1"/>
  <c r="N269" i="2" s="1"/>
  <c r="J269" i="2"/>
  <c r="L269" i="2"/>
  <c r="O269" i="2"/>
  <c r="F270" i="2"/>
  <c r="H270" i="2"/>
  <c r="J270" i="2"/>
  <c r="L270" i="2"/>
  <c r="M270" i="2"/>
  <c r="O270" i="2"/>
  <c r="N270" i="2" s="1"/>
  <c r="F271" i="2"/>
  <c r="H271" i="2"/>
  <c r="M271" i="2" s="1"/>
  <c r="J271" i="2"/>
  <c r="L271" i="2" s="1"/>
  <c r="O271" i="2"/>
  <c r="N271" i="2" s="1"/>
  <c r="F272" i="2"/>
  <c r="H272" i="2"/>
  <c r="J272" i="2"/>
  <c r="L272" i="2"/>
  <c r="M272" i="2"/>
  <c r="O272" i="2"/>
  <c r="N272" i="2" s="1"/>
  <c r="F276" i="2"/>
  <c r="H276" i="2"/>
  <c r="J276" i="2"/>
  <c r="L276" i="2"/>
  <c r="O276" i="2" s="1"/>
  <c r="M276" i="2"/>
  <c r="N276" i="2"/>
  <c r="F277" i="2"/>
  <c r="H277" i="2"/>
  <c r="J277" i="2"/>
  <c r="L277" i="2"/>
  <c r="M277" i="2"/>
  <c r="O277" i="2"/>
  <c r="N277" i="2" s="1"/>
  <c r="F278" i="2"/>
  <c r="H278" i="2"/>
  <c r="J278" i="2"/>
  <c r="L278" i="2"/>
  <c r="O278" i="2" s="1"/>
  <c r="M278" i="2"/>
  <c r="N278" i="2"/>
  <c r="F279" i="2"/>
  <c r="H279" i="2"/>
  <c r="J279" i="2"/>
  <c r="L279" i="2" s="1"/>
  <c r="O279" i="2" s="1"/>
  <c r="N279" i="2" s="1"/>
  <c r="M279" i="2"/>
  <c r="F280" i="2"/>
  <c r="H280" i="2"/>
  <c r="J280" i="2"/>
  <c r="L280" i="2"/>
  <c r="M280" i="2"/>
  <c r="O280" i="2"/>
  <c r="N280" i="2" s="1"/>
  <c r="F281" i="2"/>
  <c r="H281" i="2"/>
  <c r="M281" i="2" s="1"/>
  <c r="J281" i="2"/>
  <c r="L281" i="2" s="1"/>
  <c r="O281" i="2"/>
  <c r="N281" i="2" s="1"/>
  <c r="F285" i="2"/>
  <c r="H285" i="2" s="1"/>
  <c r="M285" i="2" s="1"/>
  <c r="N285" i="2" s="1"/>
  <c r="J285" i="2"/>
  <c r="L285" i="2"/>
  <c r="O285" i="2"/>
  <c r="F286" i="2"/>
  <c r="H286" i="2"/>
  <c r="M286" i="2" s="1"/>
  <c r="J286" i="2"/>
  <c r="L286" i="2" s="1"/>
  <c r="O286" i="2"/>
  <c r="F287" i="2"/>
  <c r="H287" i="2"/>
  <c r="J287" i="2"/>
  <c r="L287" i="2"/>
  <c r="M287" i="2"/>
  <c r="O287" i="2"/>
  <c r="N287" i="2" s="1"/>
  <c r="F288" i="2"/>
  <c r="H288" i="2" s="1"/>
  <c r="M288" i="2" s="1"/>
  <c r="N288" i="2" s="1"/>
  <c r="J288" i="2"/>
  <c r="L288" i="2"/>
  <c r="O288" i="2"/>
  <c r="F289" i="2"/>
  <c r="H289" i="2"/>
  <c r="J289" i="2"/>
  <c r="L289" i="2"/>
  <c r="M289" i="2"/>
  <c r="O289" i="2"/>
  <c r="N289" i="2" s="1"/>
  <c r="F290" i="2"/>
  <c r="H290" i="2" s="1"/>
  <c r="M290" i="2" s="1"/>
  <c r="N290" i="2" s="1"/>
  <c r="J290" i="2"/>
  <c r="L290" i="2"/>
  <c r="O290" i="2"/>
  <c r="F294" i="2"/>
  <c r="H294" i="2" s="1"/>
  <c r="J294" i="2"/>
  <c r="L294" i="2"/>
  <c r="M294" i="2"/>
  <c r="O294" i="2"/>
  <c r="N294" i="2" s="1"/>
  <c r="F295" i="2"/>
  <c r="H295" i="2"/>
  <c r="J295" i="2"/>
  <c r="L295" i="2"/>
  <c r="O295" i="2" s="1"/>
  <c r="M295" i="2"/>
  <c r="N295" i="2"/>
  <c r="F296" i="2"/>
  <c r="H296" i="2"/>
  <c r="M296" i="2" s="1"/>
  <c r="J296" i="2"/>
  <c r="L296" i="2"/>
  <c r="O296" i="2"/>
  <c r="F297" i="2"/>
  <c r="H297" i="2"/>
  <c r="J297" i="2"/>
  <c r="L297" i="2" s="1"/>
  <c r="O297" i="2" s="1"/>
  <c r="N297" i="2" s="1"/>
  <c r="M297" i="2"/>
  <c r="F298" i="2"/>
  <c r="H298" i="2" s="1"/>
  <c r="M298" i="2" s="1"/>
  <c r="N298" i="2" s="1"/>
  <c r="J298" i="2"/>
  <c r="L298" i="2"/>
  <c r="O298" i="2" s="1"/>
  <c r="F299" i="2"/>
  <c r="H299" i="2"/>
  <c r="J299" i="2"/>
  <c r="L299" i="2"/>
  <c r="M299" i="2"/>
  <c r="O299" i="2"/>
  <c r="N299" i="2" s="1"/>
  <c r="F303" i="2"/>
  <c r="H303" i="2"/>
  <c r="J303" i="2"/>
  <c r="L303" i="2"/>
  <c r="M303" i="2"/>
  <c r="O303" i="2"/>
  <c r="N303" i="2" s="1"/>
  <c r="F304" i="2"/>
  <c r="H304" i="2" s="1"/>
  <c r="M304" i="2" s="1"/>
  <c r="N304" i="2" s="1"/>
  <c r="J304" i="2"/>
  <c r="L304" i="2"/>
  <c r="O304" i="2"/>
  <c r="F305" i="2"/>
  <c r="H305" i="2"/>
  <c r="J305" i="2"/>
  <c r="L305" i="2"/>
  <c r="M305" i="2"/>
  <c r="O305" i="2"/>
  <c r="N305" i="2" s="1"/>
  <c r="F306" i="2"/>
  <c r="H306" i="2" s="1"/>
  <c r="M306" i="2" s="1"/>
  <c r="N306" i="2" s="1"/>
  <c r="J306" i="2"/>
  <c r="L306" i="2"/>
  <c r="O306" i="2"/>
  <c r="F307" i="2"/>
  <c r="H307" i="2"/>
  <c r="J307" i="2"/>
  <c r="L307" i="2"/>
  <c r="M307" i="2"/>
  <c r="O307" i="2"/>
  <c r="N307" i="2" s="1"/>
  <c r="F308" i="2"/>
  <c r="H308" i="2"/>
  <c r="J308" i="2"/>
  <c r="L308" i="2"/>
  <c r="O308" i="2" s="1"/>
  <c r="M308" i="2"/>
  <c r="N308" i="2" s="1"/>
  <c r="F312" i="2"/>
  <c r="H312" i="2"/>
  <c r="M312" i="2" s="1"/>
  <c r="N312" i="2" s="1"/>
  <c r="J312" i="2"/>
  <c r="L312" i="2"/>
  <c r="O312" i="2"/>
  <c r="F313" i="2"/>
  <c r="H313" i="2"/>
  <c r="J313" i="2"/>
  <c r="L313" i="2"/>
  <c r="O313" i="2" s="1"/>
  <c r="M313" i="2"/>
  <c r="N313" i="2" s="1"/>
  <c r="F314" i="2"/>
  <c r="H314" i="2"/>
  <c r="M314" i="2" s="1"/>
  <c r="J314" i="2"/>
  <c r="L314" i="2"/>
  <c r="O314" i="2" s="1"/>
  <c r="F315" i="2"/>
  <c r="H315" i="2"/>
  <c r="J315" i="2"/>
  <c r="L315" i="2"/>
  <c r="M315" i="2"/>
  <c r="O315" i="2"/>
  <c r="N315" i="2" s="1"/>
  <c r="F316" i="2"/>
  <c r="H316" i="2"/>
  <c r="J316" i="2"/>
  <c r="L316" i="2"/>
  <c r="M316" i="2"/>
  <c r="O316" i="2"/>
  <c r="N316" i="2" s="1"/>
  <c r="F317" i="2"/>
  <c r="H317" i="2" s="1"/>
  <c r="M317" i="2" s="1"/>
  <c r="N317" i="2" s="1"/>
  <c r="J317" i="2"/>
  <c r="L317" i="2"/>
  <c r="O317" i="2"/>
  <c r="F321" i="2"/>
  <c r="H321" i="2"/>
  <c r="M321" i="2" s="1"/>
  <c r="J321" i="2"/>
  <c r="L321" i="2" s="1"/>
  <c r="O321" i="2"/>
  <c r="N321" i="2" s="1"/>
  <c r="F322" i="2"/>
  <c r="H322" i="2"/>
  <c r="M322" i="2" s="1"/>
  <c r="J322" i="2"/>
  <c r="L322" i="2" s="1"/>
  <c r="O322" i="2" s="1"/>
  <c r="F323" i="2"/>
  <c r="H323" i="2"/>
  <c r="J323" i="2"/>
  <c r="L323" i="2"/>
  <c r="O323" i="2" s="1"/>
  <c r="M323" i="2"/>
  <c r="N323" i="2"/>
  <c r="F324" i="2"/>
  <c r="H324" i="2"/>
  <c r="M324" i="2" s="1"/>
  <c r="N324" i="2" s="1"/>
  <c r="J324" i="2"/>
  <c r="L324" i="2"/>
  <c r="O324" i="2"/>
  <c r="F325" i="2"/>
  <c r="H325" i="2" s="1"/>
  <c r="M325" i="2" s="1"/>
  <c r="N325" i="2" s="1"/>
  <c r="J325" i="2"/>
  <c r="L325" i="2"/>
  <c r="O325" i="2" s="1"/>
  <c r="F326" i="2"/>
  <c r="H326" i="2"/>
  <c r="J326" i="2"/>
  <c r="L326" i="2"/>
  <c r="M326" i="2"/>
  <c r="O326" i="2"/>
  <c r="N326" i="2" s="1"/>
  <c r="F330" i="2"/>
  <c r="H330" i="2"/>
  <c r="M330" i="2" s="1"/>
  <c r="N330" i="2" s="1"/>
  <c r="J330" i="2"/>
  <c r="L330" i="2"/>
  <c r="O330" i="2"/>
  <c r="F331" i="2"/>
  <c r="H331" i="2"/>
  <c r="M331" i="2" s="1"/>
  <c r="J331" i="2"/>
  <c r="L331" i="2" s="1"/>
  <c r="O331" i="2"/>
  <c r="N331" i="2" s="1"/>
  <c r="F332" i="2"/>
  <c r="H332" i="2"/>
  <c r="J332" i="2"/>
  <c r="L332" i="2"/>
  <c r="M332" i="2"/>
  <c r="O332" i="2"/>
  <c r="N332" i="2" s="1"/>
  <c r="F333" i="2"/>
  <c r="H333" i="2" s="1"/>
  <c r="M333" i="2" s="1"/>
  <c r="N333" i="2" s="1"/>
  <c r="J333" i="2"/>
  <c r="L333" i="2" s="1"/>
  <c r="O333" i="2"/>
  <c r="F334" i="2"/>
  <c r="H334" i="2"/>
  <c r="J334" i="2"/>
  <c r="L334" i="2"/>
  <c r="M334" i="2"/>
  <c r="O334" i="2"/>
  <c r="N334" i="2" s="1"/>
  <c r="F335" i="2"/>
  <c r="H335" i="2"/>
  <c r="M335" i="2" s="1"/>
  <c r="J335" i="2"/>
  <c r="L335" i="2"/>
  <c r="O335" i="2" s="1"/>
  <c r="F339" i="2"/>
  <c r="H339" i="2"/>
  <c r="J339" i="2"/>
  <c r="L339" i="2"/>
  <c r="M339" i="2"/>
  <c r="O339" i="2"/>
  <c r="N339" i="2" s="1"/>
  <c r="F340" i="2"/>
  <c r="H340" i="2"/>
  <c r="J340" i="2"/>
  <c r="L340" i="2"/>
  <c r="M340" i="2"/>
  <c r="O340" i="2"/>
  <c r="N340" i="2" s="1"/>
  <c r="F341" i="2"/>
  <c r="H341" i="2" s="1"/>
  <c r="M341" i="2" s="1"/>
  <c r="N341" i="2" s="1"/>
  <c r="J341" i="2"/>
  <c r="L341" i="2"/>
  <c r="O341" i="2"/>
  <c r="F342" i="2"/>
  <c r="H342" i="2"/>
  <c r="J342" i="2"/>
  <c r="L342" i="2"/>
  <c r="M342" i="2"/>
  <c r="O342" i="2"/>
  <c r="N342" i="2" s="1"/>
  <c r="F343" i="2"/>
  <c r="H343" i="2"/>
  <c r="M343" i="2" s="1"/>
  <c r="N343" i="2" s="1"/>
  <c r="J343" i="2"/>
  <c r="L343" i="2"/>
  <c r="O343" i="2"/>
  <c r="F344" i="2"/>
  <c r="H344" i="2"/>
  <c r="J344" i="2"/>
  <c r="L344" i="2"/>
  <c r="M344" i="2"/>
  <c r="O344" i="2"/>
  <c r="N344" i="2" s="1"/>
  <c r="F348" i="2"/>
  <c r="H348" i="2"/>
  <c r="M348" i="2" s="1"/>
  <c r="J348" i="2"/>
  <c r="L348" i="2"/>
  <c r="O348" i="2" s="1"/>
  <c r="F349" i="2"/>
  <c r="H349" i="2"/>
  <c r="M349" i="2" s="1"/>
  <c r="J349" i="2"/>
  <c r="L349" i="2"/>
  <c r="O349" i="2" s="1"/>
  <c r="F350" i="2"/>
  <c r="H350" i="2"/>
  <c r="J350" i="2"/>
  <c r="L350" i="2"/>
  <c r="M350" i="2"/>
  <c r="O350" i="2"/>
  <c r="N350" i="2" s="1"/>
  <c r="F351" i="2"/>
  <c r="H351" i="2" s="1"/>
  <c r="J351" i="2"/>
  <c r="L351" i="2"/>
  <c r="O351" i="2" s="1"/>
  <c r="M351" i="2"/>
  <c r="N351" i="2" s="1"/>
  <c r="F352" i="2"/>
  <c r="H352" i="2"/>
  <c r="J352" i="2"/>
  <c r="L352" i="2"/>
  <c r="M352" i="2"/>
  <c r="O352" i="2"/>
  <c r="N352" i="2" s="1"/>
  <c r="F353" i="2"/>
  <c r="H353" i="2" s="1"/>
  <c r="J353" i="2"/>
  <c r="L353" i="2"/>
  <c r="M353" i="2"/>
  <c r="O353" i="2"/>
  <c r="N353" i="2" s="1"/>
  <c r="F357" i="2"/>
  <c r="H357" i="2"/>
  <c r="M357" i="2" s="1"/>
  <c r="J357" i="2"/>
  <c r="L357" i="2" s="1"/>
  <c r="O357" i="2" s="1"/>
  <c r="F358" i="2"/>
  <c r="H358" i="2"/>
  <c r="J358" i="2"/>
  <c r="L358" i="2"/>
  <c r="O358" i="2" s="1"/>
  <c r="M358" i="2"/>
  <c r="N358" i="2" s="1"/>
  <c r="F359" i="2"/>
  <c r="H359" i="2"/>
  <c r="J359" i="2"/>
  <c r="L359" i="2"/>
  <c r="O359" i="2" s="1"/>
  <c r="M359" i="2"/>
  <c r="N359" i="2" s="1"/>
  <c r="F360" i="2"/>
  <c r="H360" i="2"/>
  <c r="J360" i="2"/>
  <c r="L360" i="2"/>
  <c r="O360" i="2" s="1"/>
  <c r="M360" i="2"/>
  <c r="N360" i="2" s="1"/>
  <c r="F361" i="2"/>
  <c r="H361" i="2"/>
  <c r="J361" i="2"/>
  <c r="L361" i="2"/>
  <c r="M361" i="2"/>
  <c r="O361" i="2"/>
  <c r="N361" i="2" s="1"/>
  <c r="F362" i="2"/>
  <c r="H362" i="2"/>
  <c r="M362" i="2" s="1"/>
  <c r="J362" i="2"/>
  <c r="L362" i="2"/>
  <c r="O362" i="2" s="1"/>
  <c r="F366" i="2"/>
  <c r="H366" i="2"/>
  <c r="J366" i="2"/>
  <c r="L366" i="2"/>
  <c r="M366" i="2"/>
  <c r="O366" i="2"/>
  <c r="N366" i="2" s="1"/>
  <c r="F367" i="2"/>
  <c r="H367" i="2"/>
  <c r="M367" i="2" s="1"/>
  <c r="J367" i="2"/>
  <c r="L367" i="2"/>
  <c r="O367" i="2" s="1"/>
  <c r="F368" i="2"/>
  <c r="H368" i="2"/>
  <c r="M368" i="2" s="1"/>
  <c r="J368" i="2"/>
  <c r="L368" i="2" s="1"/>
  <c r="O368" i="2"/>
  <c r="N368" i="2" s="1"/>
  <c r="F369" i="2"/>
  <c r="H369" i="2"/>
  <c r="M369" i="2" s="1"/>
  <c r="N369" i="2" s="1"/>
  <c r="J369" i="2"/>
  <c r="L369" i="2"/>
  <c r="O369" i="2"/>
  <c r="F370" i="2"/>
  <c r="H370" i="2"/>
  <c r="M370" i="2" s="1"/>
  <c r="J370" i="2"/>
  <c r="L370" i="2" s="1"/>
  <c r="O370" i="2" s="1"/>
  <c r="F371" i="2"/>
  <c r="H371" i="2"/>
  <c r="J371" i="2"/>
  <c r="L371" i="2"/>
  <c r="M371" i="2"/>
  <c r="O371" i="2"/>
  <c r="N371" i="2" s="1"/>
  <c r="F375" i="2"/>
  <c r="H375" i="2"/>
  <c r="M375" i="2" s="1"/>
  <c r="J375" i="2"/>
  <c r="L375" i="2"/>
  <c r="O375" i="2" s="1"/>
  <c r="F376" i="2"/>
  <c r="H376" i="2"/>
  <c r="J376" i="2"/>
  <c r="L376" i="2"/>
  <c r="M376" i="2"/>
  <c r="O376" i="2"/>
  <c r="N376" i="2" s="1"/>
  <c r="F377" i="2"/>
  <c r="H377" i="2"/>
  <c r="J377" i="2"/>
  <c r="L377" i="2"/>
  <c r="O377" i="2" s="1"/>
  <c r="N377" i="2" s="1"/>
  <c r="M377" i="2"/>
  <c r="F378" i="2"/>
  <c r="H378" i="2"/>
  <c r="M378" i="2" s="1"/>
  <c r="N378" i="2" s="1"/>
  <c r="J378" i="2"/>
  <c r="L378" i="2" s="1"/>
  <c r="O378" i="2"/>
  <c r="F379" i="2"/>
  <c r="H379" i="2"/>
  <c r="J379" i="2"/>
  <c r="L379" i="2"/>
  <c r="M379" i="2"/>
  <c r="O379" i="2"/>
  <c r="N379" i="2" s="1"/>
  <c r="F380" i="2"/>
  <c r="H380" i="2"/>
  <c r="M380" i="2" s="1"/>
  <c r="J380" i="2"/>
  <c r="L380" i="2" s="1"/>
  <c r="O380" i="2"/>
  <c r="F384" i="2"/>
  <c r="H384" i="2"/>
  <c r="J384" i="2"/>
  <c r="L384" i="2"/>
  <c r="M384" i="2"/>
  <c r="O384" i="2"/>
  <c r="N384" i="2" s="1"/>
  <c r="F385" i="2"/>
  <c r="H385" i="2"/>
  <c r="J385" i="2"/>
  <c r="L385" i="2"/>
  <c r="M385" i="2"/>
  <c r="O385" i="2"/>
  <c r="N385" i="2" s="1"/>
  <c r="F386" i="2"/>
  <c r="H386" i="2"/>
  <c r="J386" i="2"/>
  <c r="L386" i="2" s="1"/>
  <c r="O386" i="2" s="1"/>
  <c r="N386" i="2" s="1"/>
  <c r="M386" i="2"/>
  <c r="F387" i="2"/>
  <c r="H387" i="2"/>
  <c r="J387" i="2"/>
  <c r="L387" i="2"/>
  <c r="M387" i="2"/>
  <c r="O387" i="2"/>
  <c r="N387" i="2" s="1"/>
  <c r="F388" i="2"/>
  <c r="H388" i="2" s="1"/>
  <c r="J388" i="2"/>
  <c r="L388" i="2"/>
  <c r="O388" i="2" s="1"/>
  <c r="M388" i="2"/>
  <c r="N388" i="2" s="1"/>
  <c r="F389" i="2"/>
  <c r="H389" i="2"/>
  <c r="J389" i="2"/>
  <c r="L389" i="2"/>
  <c r="M389" i="2"/>
  <c r="O389" i="2"/>
  <c r="N389" i="2" s="1"/>
  <c r="F393" i="2"/>
  <c r="H393" i="2"/>
  <c r="M393" i="2" s="1"/>
  <c r="J393" i="2"/>
  <c r="L393" i="2"/>
  <c r="O393" i="2"/>
  <c r="F394" i="2"/>
  <c r="H394" i="2"/>
  <c r="M394" i="2" s="1"/>
  <c r="J394" i="2"/>
  <c r="L394" i="2"/>
  <c r="O394" i="2" s="1"/>
  <c r="F395" i="2"/>
  <c r="H395" i="2"/>
  <c r="M395" i="2" s="1"/>
  <c r="J395" i="2"/>
  <c r="L395" i="2"/>
  <c r="O395" i="2" s="1"/>
  <c r="F396" i="2"/>
  <c r="H396" i="2"/>
  <c r="J396" i="2"/>
  <c r="L396" i="2"/>
  <c r="M396" i="2"/>
  <c r="O396" i="2"/>
  <c r="N396" i="2" s="1"/>
  <c r="F397" i="2"/>
  <c r="H397" i="2"/>
  <c r="J397" i="2"/>
  <c r="L397" i="2"/>
  <c r="M397" i="2"/>
  <c r="O397" i="2"/>
  <c r="N397" i="2" s="1"/>
  <c r="F398" i="2"/>
  <c r="H398" i="2" s="1"/>
  <c r="J398" i="2"/>
  <c r="L398" i="2"/>
  <c r="M398" i="2"/>
  <c r="O398" i="2"/>
  <c r="N398" i="2" s="1"/>
  <c r="F402" i="2"/>
  <c r="H402" i="2"/>
  <c r="J402" i="2"/>
  <c r="L402" i="2"/>
  <c r="O402" i="2" s="1"/>
  <c r="M402" i="2"/>
  <c r="N402" i="2" s="1"/>
  <c r="F403" i="2"/>
  <c r="H403" i="2" s="1"/>
  <c r="J403" i="2"/>
  <c r="L403" i="2"/>
  <c r="M403" i="2"/>
  <c r="O403" i="2"/>
  <c r="N403" i="2" s="1"/>
  <c r="F404" i="2"/>
  <c r="H404" i="2"/>
  <c r="M404" i="2" s="1"/>
  <c r="N404" i="2" s="1"/>
  <c r="J404" i="2"/>
  <c r="L404" i="2"/>
  <c r="O404" i="2" s="1"/>
  <c r="F405" i="2"/>
  <c r="H405" i="2"/>
  <c r="J405" i="2"/>
  <c r="L405" i="2"/>
  <c r="O405" i="2" s="1"/>
  <c r="M405" i="2"/>
  <c r="N405" i="2" s="1"/>
  <c r="F406" i="2"/>
  <c r="H406" i="2"/>
  <c r="J406" i="2"/>
  <c r="L406" i="2"/>
  <c r="M406" i="2"/>
  <c r="O406" i="2"/>
  <c r="N406" i="2" s="1"/>
  <c r="F407" i="2"/>
  <c r="H407" i="2"/>
  <c r="J407" i="2"/>
  <c r="L407" i="2"/>
  <c r="O407" i="2" s="1"/>
  <c r="M407" i="2"/>
  <c r="N407" i="2" s="1"/>
  <c r="N90" i="3" l="1"/>
  <c r="N269" i="3"/>
  <c r="N233" i="3"/>
  <c r="N286" i="3"/>
  <c r="N8" i="3"/>
  <c r="N348" i="3"/>
  <c r="N62" i="3"/>
  <c r="N339" i="3"/>
  <c r="N107" i="3"/>
  <c r="N160" i="3"/>
  <c r="N402" i="3"/>
  <c r="N344" i="3"/>
  <c r="N335" i="3"/>
  <c r="N133" i="3"/>
  <c r="N379" i="3"/>
  <c r="N308" i="3"/>
  <c r="N79" i="3"/>
  <c r="N407" i="3"/>
  <c r="N240" i="3"/>
  <c r="N24" i="3"/>
  <c r="N289" i="3"/>
  <c r="N200" i="3"/>
  <c r="N387" i="3"/>
  <c r="N164" i="3"/>
  <c r="N199" i="3"/>
  <c r="N55" i="3"/>
  <c r="N405" i="3"/>
  <c r="N386" i="3"/>
  <c r="N253" i="3"/>
  <c r="N154" i="3"/>
  <c r="N10" i="3"/>
  <c r="N350" i="3"/>
  <c r="N118" i="3"/>
  <c r="N385" i="3"/>
  <c r="N305" i="3"/>
  <c r="N28" i="3"/>
  <c r="N234" i="3"/>
  <c r="N394" i="3"/>
  <c r="N216" i="3"/>
  <c r="N99" i="3"/>
  <c r="N358" i="3"/>
  <c r="N152" i="3"/>
  <c r="N161" i="3"/>
  <c r="N17" i="3"/>
  <c r="N206" i="3"/>
  <c r="N16" i="3"/>
  <c r="N207" i="3"/>
  <c r="N168" i="3"/>
  <c r="N60" i="3"/>
  <c r="N215" i="3"/>
  <c r="N204" i="3"/>
  <c r="N29" i="3"/>
  <c r="N251" i="3"/>
  <c r="N105" i="3"/>
  <c r="N369" i="3"/>
  <c r="N136" i="3"/>
  <c r="N259" i="3"/>
  <c r="N209" i="3"/>
  <c r="N236" i="3"/>
  <c r="N142" i="3"/>
  <c r="N45" i="3"/>
  <c r="N189" i="3"/>
  <c r="N92" i="3"/>
  <c r="N24" i="2"/>
  <c r="N119" i="2"/>
  <c r="N11" i="2"/>
  <c r="N349" i="2"/>
  <c r="N367" i="2"/>
  <c r="N393" i="2"/>
  <c r="N348" i="2"/>
  <c r="N215" i="2"/>
  <c r="N8" i="2"/>
  <c r="N362" i="2"/>
  <c r="N204" i="2"/>
  <c r="N249" i="2"/>
  <c r="N43" i="2"/>
  <c r="N25" i="2"/>
  <c r="N96" i="2"/>
  <c r="N236" i="2"/>
  <c r="N33" i="2"/>
  <c r="N127" i="2"/>
  <c r="N314" i="2"/>
  <c r="N154" i="2"/>
  <c r="N394" i="2"/>
  <c r="N322" i="2"/>
  <c r="N188" i="2"/>
  <c r="N19" i="2"/>
  <c r="N357" i="2"/>
  <c r="N187" i="2"/>
  <c r="N152" i="2"/>
  <c r="N375" i="2"/>
  <c r="N380" i="2"/>
  <c r="N223" i="2"/>
  <c r="N335" i="2"/>
  <c r="N370" i="2"/>
  <c r="N231" i="2"/>
  <c r="N10" i="2"/>
  <c r="N105" i="2"/>
  <c r="N395" i="2"/>
  <c r="N189" i="2"/>
  <c r="N251" i="2"/>
  <c r="N80" i="2"/>
  <c r="N296" i="2"/>
  <c r="N55" i="2"/>
  <c r="N286" i="2"/>
  <c r="N45" i="2"/>
  <c r="N137" i="2"/>
  <c r="N107" i="2"/>
  <c r="N199" i="2"/>
  <c r="N90" i="2"/>
</calcChain>
</file>

<file path=xl/sharedStrings.xml><?xml version="1.0" encoding="utf-8"?>
<sst xmlns="http://schemas.openxmlformats.org/spreadsheetml/2006/main" count="3461" uniqueCount="367">
  <si>
    <t>Sandy Loam</t>
  </si>
  <si>
    <r>
      <t>150-</t>
    </r>
    <r>
      <rPr>
        <b/>
        <sz val="10"/>
        <rFont val="Arial"/>
        <family val="2"/>
      </rPr>
      <t>180</t>
    </r>
  </si>
  <si>
    <r>
      <t>120-</t>
    </r>
    <r>
      <rPr>
        <b/>
        <sz val="10"/>
        <rFont val="Arial"/>
        <family val="2"/>
      </rPr>
      <t>150</t>
    </r>
  </si>
  <si>
    <t>Sandy Clay Loam</t>
  </si>
  <si>
    <r>
      <t>90-</t>
    </r>
    <r>
      <rPr>
        <b/>
        <sz val="10"/>
        <rFont val="Arial"/>
        <family val="2"/>
      </rPr>
      <t>120</t>
    </r>
  </si>
  <si>
    <r>
      <t>60-</t>
    </r>
    <r>
      <rPr>
        <b/>
        <sz val="10"/>
        <rFont val="Arial"/>
        <family val="2"/>
      </rPr>
      <t>90</t>
    </r>
  </si>
  <si>
    <r>
      <t>30-</t>
    </r>
    <r>
      <rPr>
        <b/>
        <sz val="10"/>
        <rFont val="Arial"/>
        <family val="2"/>
      </rPr>
      <t>60</t>
    </r>
  </si>
  <si>
    <t>Date</t>
  </si>
  <si>
    <r>
      <t>0-</t>
    </r>
    <r>
      <rPr>
        <b/>
        <sz val="10"/>
        <rFont val="Arial"/>
        <family val="2"/>
      </rPr>
      <t>30</t>
    </r>
  </si>
  <si>
    <t>mNorth</t>
  </si>
  <si>
    <t>mEast</t>
  </si>
  <si>
    <t>Location:</t>
  </si>
  <si>
    <t>Soil Texture Class</t>
  </si>
  <si>
    <t>% Clay</t>
  </si>
  <si>
    <t>% Silt</t>
  </si>
  <si>
    <t>% Sand</t>
  </si>
  <si>
    <t>Adjusted    2hr Hydrometer   Reading</t>
  </si>
  <si>
    <t>2hr Hydrometer Reading</t>
  </si>
  <si>
    <t>2hr    Temp Farenheit</t>
  </si>
  <si>
    <t>2hr Temp Celcius</t>
  </si>
  <si>
    <t>Adjusted      40 sec Hydrometer Reading</t>
  </si>
  <si>
    <t>40 sec Hydrometer Reading</t>
  </si>
  <si>
    <t>40 sec. Farenheit</t>
  </si>
  <si>
    <t>40 sec. Celcius</t>
  </si>
  <si>
    <t>Vol. (mL) (NaPO3)6</t>
  </si>
  <si>
    <t>Soil   Weight gm</t>
  </si>
  <si>
    <t>Depth</t>
  </si>
  <si>
    <t>Plot #45</t>
  </si>
  <si>
    <t xml:space="preserve">Sandy Clay </t>
  </si>
  <si>
    <t>Plot #44</t>
  </si>
  <si>
    <t>Clay Loam</t>
  </si>
  <si>
    <t>Plot #43</t>
  </si>
  <si>
    <t>Plot #42</t>
  </si>
  <si>
    <t>Plot #41</t>
  </si>
  <si>
    <t>.</t>
  </si>
  <si>
    <t>Plot #40</t>
  </si>
  <si>
    <t>Sandy Clay</t>
  </si>
  <si>
    <t>Clay</t>
  </si>
  <si>
    <t>Plot #39</t>
  </si>
  <si>
    <t>Plot #38</t>
  </si>
  <si>
    <t>Plot #37</t>
  </si>
  <si>
    <t>Plot #36</t>
  </si>
  <si>
    <t>Plot #35</t>
  </si>
  <si>
    <t>Plot #34</t>
  </si>
  <si>
    <t>Plot #33</t>
  </si>
  <si>
    <t>Plot #32</t>
  </si>
  <si>
    <t>F10545F</t>
  </si>
  <si>
    <t>F10545E</t>
  </si>
  <si>
    <t>Plot #31</t>
  </si>
  <si>
    <t>F10545D</t>
  </si>
  <si>
    <t>F10545C</t>
  </si>
  <si>
    <t>F10545B</t>
  </si>
  <si>
    <t>F10545A</t>
  </si>
  <si>
    <t>F10544F</t>
  </si>
  <si>
    <t>F10544E</t>
  </si>
  <si>
    <t>F10544D</t>
  </si>
  <si>
    <t>F10544C</t>
  </si>
  <si>
    <t>F10544B</t>
  </si>
  <si>
    <t>Plot #30</t>
  </si>
  <si>
    <t>F10544A</t>
  </si>
  <si>
    <t>F10543F</t>
  </si>
  <si>
    <t>F10543E</t>
  </si>
  <si>
    <t>F10543D</t>
  </si>
  <si>
    <t>F10543C</t>
  </si>
  <si>
    <t>F10543B</t>
  </si>
  <si>
    <t>F10543A</t>
  </si>
  <si>
    <t>F10542F</t>
  </si>
  <si>
    <t>F10542E</t>
  </si>
  <si>
    <t>Plot #29</t>
  </si>
  <si>
    <t>F10542D</t>
  </si>
  <si>
    <t>F10542C</t>
  </si>
  <si>
    <t>F10542B</t>
  </si>
  <si>
    <t>F10542A</t>
  </si>
  <si>
    <t>F10541F</t>
  </si>
  <si>
    <t>F10541E</t>
  </si>
  <si>
    <t>F10541D</t>
  </si>
  <si>
    <t>F10541C</t>
  </si>
  <si>
    <t>F10541B</t>
  </si>
  <si>
    <t>Plot #28</t>
  </si>
  <si>
    <t>F10541A</t>
  </si>
  <si>
    <t>F10540F</t>
  </si>
  <si>
    <t>F10540E</t>
  </si>
  <si>
    <t>F10540D</t>
  </si>
  <si>
    <t>F10540C</t>
  </si>
  <si>
    <t>F10540B</t>
  </si>
  <si>
    <t>F10540A</t>
  </si>
  <si>
    <t>F10539F</t>
  </si>
  <si>
    <t>F10539E</t>
  </si>
  <si>
    <t>Plot #27</t>
  </si>
  <si>
    <t>F10539D</t>
  </si>
  <si>
    <t>F10539C</t>
  </si>
  <si>
    <t>F10539B</t>
  </si>
  <si>
    <t>F10539A</t>
  </si>
  <si>
    <t xml:space="preserve">Clay </t>
  </si>
  <si>
    <t>F10538F</t>
  </si>
  <si>
    <t>F10538E</t>
  </si>
  <si>
    <t>F10538D</t>
  </si>
  <si>
    <t>F10538C</t>
  </si>
  <si>
    <t>F10538B</t>
  </si>
  <si>
    <t>Plot #26</t>
  </si>
  <si>
    <t>F10538A</t>
  </si>
  <si>
    <t>F10537F</t>
  </si>
  <si>
    <t>F10537E</t>
  </si>
  <si>
    <t>F10537D</t>
  </si>
  <si>
    <t>F10537C</t>
  </si>
  <si>
    <t>F10537B</t>
  </si>
  <si>
    <t>F10537A</t>
  </si>
  <si>
    <t>F10536F</t>
  </si>
  <si>
    <t>F10536E</t>
  </si>
  <si>
    <t>Plot #25</t>
  </si>
  <si>
    <t>F10536D</t>
  </si>
  <si>
    <t>F10536C</t>
  </si>
  <si>
    <t>F10536B</t>
  </si>
  <si>
    <t>F10536A</t>
  </si>
  <si>
    <t>F10535F</t>
  </si>
  <si>
    <t>F10535E</t>
  </si>
  <si>
    <t>F10535D</t>
  </si>
  <si>
    <t>F10535C</t>
  </si>
  <si>
    <t>F10535B</t>
  </si>
  <si>
    <t>Plot #24</t>
  </si>
  <si>
    <t>F10535A</t>
  </si>
  <si>
    <t>F10534F</t>
  </si>
  <si>
    <t>F10534E</t>
  </si>
  <si>
    <t>F10534D</t>
  </si>
  <si>
    <t>F10534C</t>
  </si>
  <si>
    <t>F10534B</t>
  </si>
  <si>
    <t>F10534A</t>
  </si>
  <si>
    <t>F10533F</t>
  </si>
  <si>
    <t>F10533E</t>
  </si>
  <si>
    <t>Plot #23</t>
  </si>
  <si>
    <t>F10533D</t>
  </si>
  <si>
    <t>F10533C</t>
  </si>
  <si>
    <t>F10533B</t>
  </si>
  <si>
    <t>F10533A</t>
  </si>
  <si>
    <t>F10532F</t>
  </si>
  <si>
    <t>F10532E</t>
  </si>
  <si>
    <t>F10532D</t>
  </si>
  <si>
    <t>F10532C</t>
  </si>
  <si>
    <t>F10532B</t>
  </si>
  <si>
    <t>Plot #22</t>
  </si>
  <si>
    <t>F10532A</t>
  </si>
  <si>
    <t>F10531F</t>
  </si>
  <si>
    <t>F10531E</t>
  </si>
  <si>
    <t>F10531D</t>
  </si>
  <si>
    <t>F10531C</t>
  </si>
  <si>
    <t>F10531B</t>
  </si>
  <si>
    <t>F10531A</t>
  </si>
  <si>
    <t>F10530F</t>
  </si>
  <si>
    <t>F10530E</t>
  </si>
  <si>
    <t>Plot #21</t>
  </si>
  <si>
    <t>F10530D</t>
  </si>
  <si>
    <t>F10530C</t>
  </si>
  <si>
    <t>F10530B</t>
  </si>
  <si>
    <t>F10530A</t>
  </si>
  <si>
    <t>F10529F</t>
  </si>
  <si>
    <t>F10529E</t>
  </si>
  <si>
    <t>F10529D</t>
  </si>
  <si>
    <t>F10529C</t>
  </si>
  <si>
    <t>F10529B</t>
  </si>
  <si>
    <t>Plot #20</t>
  </si>
  <si>
    <t>F10529A</t>
  </si>
  <si>
    <t>F10528F</t>
  </si>
  <si>
    <t>F10528E</t>
  </si>
  <si>
    <t>F10528D</t>
  </si>
  <si>
    <t>F10528C</t>
  </si>
  <si>
    <t>F10528B</t>
  </si>
  <si>
    <t>F10528A</t>
  </si>
  <si>
    <t>F10527F</t>
  </si>
  <si>
    <t>F10527E</t>
  </si>
  <si>
    <t>Plot #19</t>
  </si>
  <si>
    <t>F10527D</t>
  </si>
  <si>
    <t>F10527C</t>
  </si>
  <si>
    <t>F10527B</t>
  </si>
  <si>
    <t>F10527A</t>
  </si>
  <si>
    <t>F10526F</t>
  </si>
  <si>
    <t>F10526E</t>
  </si>
  <si>
    <t>F10526D</t>
  </si>
  <si>
    <t>F10526C</t>
  </si>
  <si>
    <t>F10526B</t>
  </si>
  <si>
    <t>Plot #18</t>
  </si>
  <si>
    <t>F10526A</t>
  </si>
  <si>
    <t>F10525F</t>
  </si>
  <si>
    <t>F10525E</t>
  </si>
  <si>
    <t>F10525D</t>
  </si>
  <si>
    <t>F10525C</t>
  </si>
  <si>
    <t>F10525B</t>
  </si>
  <si>
    <t>F10525A</t>
  </si>
  <si>
    <t>F10524F</t>
  </si>
  <si>
    <t>F10524E</t>
  </si>
  <si>
    <t>Plot #17</t>
  </si>
  <si>
    <t>F10524D</t>
  </si>
  <si>
    <t>F10524C</t>
  </si>
  <si>
    <t>F10524B</t>
  </si>
  <si>
    <t>F10524A</t>
  </si>
  <si>
    <t>F10523F</t>
  </si>
  <si>
    <t>F10523E</t>
  </si>
  <si>
    <t>F10523D</t>
  </si>
  <si>
    <t>F10523C</t>
  </si>
  <si>
    <t>F10523B</t>
  </si>
  <si>
    <t>Plot #16</t>
  </si>
  <si>
    <t>F10523A</t>
  </si>
  <si>
    <t>F10522F</t>
  </si>
  <si>
    <t>F10522E</t>
  </si>
  <si>
    <t>F10522D</t>
  </si>
  <si>
    <t>F10522C</t>
  </si>
  <si>
    <t>F10522B</t>
  </si>
  <si>
    <t>F10522A</t>
  </si>
  <si>
    <t>F10521F</t>
  </si>
  <si>
    <t>F10521E</t>
  </si>
  <si>
    <t>Plot #15</t>
  </si>
  <si>
    <t>F10521D</t>
  </si>
  <si>
    <t>F10521C</t>
  </si>
  <si>
    <t>F10521B</t>
  </si>
  <si>
    <t>F10521A</t>
  </si>
  <si>
    <t>F10520F</t>
  </si>
  <si>
    <t>F10520E</t>
  </si>
  <si>
    <t>F10520D</t>
  </si>
  <si>
    <t>F10520C</t>
  </si>
  <si>
    <t>F10520B</t>
  </si>
  <si>
    <t>Plot #14</t>
  </si>
  <si>
    <t>F10520A</t>
  </si>
  <si>
    <t>F10519F</t>
  </si>
  <si>
    <t>F10519E</t>
  </si>
  <si>
    <t>F10519D</t>
  </si>
  <si>
    <t>F10519C</t>
  </si>
  <si>
    <t>F10519B</t>
  </si>
  <si>
    <t>F10519A</t>
  </si>
  <si>
    <t>F10518F</t>
  </si>
  <si>
    <t>F10518E</t>
  </si>
  <si>
    <t>Plot #13</t>
  </si>
  <si>
    <t>F10518D</t>
  </si>
  <si>
    <t>F10518C</t>
  </si>
  <si>
    <t>F10518B</t>
  </si>
  <si>
    <t>F10518A</t>
  </si>
  <si>
    <t>F10517F</t>
  </si>
  <si>
    <t>F10517E</t>
  </si>
  <si>
    <t>F10517D</t>
  </si>
  <si>
    <t>F10517C</t>
  </si>
  <si>
    <t>F10517B</t>
  </si>
  <si>
    <t>Plot #12</t>
  </si>
  <si>
    <t>F10517A</t>
  </si>
  <si>
    <t>F10516F</t>
  </si>
  <si>
    <t>F10516E</t>
  </si>
  <si>
    <t>F10516D</t>
  </si>
  <si>
    <t>F10516C</t>
  </si>
  <si>
    <t>F10516B</t>
  </si>
  <si>
    <t>F10516A</t>
  </si>
  <si>
    <t>F10515F</t>
  </si>
  <si>
    <t>F10515E</t>
  </si>
  <si>
    <t>Plot #11</t>
  </si>
  <si>
    <t>F10515D</t>
  </si>
  <si>
    <t>F10515C</t>
  </si>
  <si>
    <t>F10515B</t>
  </si>
  <si>
    <t>F10515A</t>
  </si>
  <si>
    <t>F10514F</t>
  </si>
  <si>
    <t>F10514E</t>
  </si>
  <si>
    <t>F10514D</t>
  </si>
  <si>
    <t>F10514C</t>
  </si>
  <si>
    <t>F10514B</t>
  </si>
  <si>
    <t>Plot #10</t>
  </si>
  <si>
    <t>F10514A</t>
  </si>
  <si>
    <t>F10513F</t>
  </si>
  <si>
    <t>F10513E</t>
  </si>
  <si>
    <t>F10513D</t>
  </si>
  <si>
    <t>F10513C</t>
  </si>
  <si>
    <t>F10513B</t>
  </si>
  <si>
    <t>F10513A</t>
  </si>
  <si>
    <t>F10512F</t>
  </si>
  <si>
    <t>F10512E</t>
  </si>
  <si>
    <t>Plot #9</t>
  </si>
  <si>
    <t>F10512D</t>
  </si>
  <si>
    <t>F10512C</t>
  </si>
  <si>
    <t>F10512B</t>
  </si>
  <si>
    <t>F10512A</t>
  </si>
  <si>
    <t>F10511F</t>
  </si>
  <si>
    <t>F10511E</t>
  </si>
  <si>
    <t>F10511D</t>
  </si>
  <si>
    <t>F10511C</t>
  </si>
  <si>
    <t>F10511B</t>
  </si>
  <si>
    <t>Plot #8</t>
  </si>
  <si>
    <t>F10511A</t>
  </si>
  <si>
    <t>F10510F</t>
  </si>
  <si>
    <t>F10510E</t>
  </si>
  <si>
    <t>F10510D</t>
  </si>
  <si>
    <t>F10510C</t>
  </si>
  <si>
    <t>F10510B</t>
  </si>
  <si>
    <t>F10510A</t>
  </si>
  <si>
    <t>F10509F</t>
  </si>
  <si>
    <t>F10509E</t>
  </si>
  <si>
    <t>Plot #7</t>
  </si>
  <si>
    <t>F10509D</t>
  </si>
  <si>
    <t>F10509C</t>
  </si>
  <si>
    <t>F10509B</t>
  </si>
  <si>
    <t>F10509A</t>
  </si>
  <si>
    <t>F10508F</t>
  </si>
  <si>
    <t>F10508E</t>
  </si>
  <si>
    <t>F10508D</t>
  </si>
  <si>
    <t>F10508C</t>
  </si>
  <si>
    <t>F10508B</t>
  </si>
  <si>
    <t>Plot #6</t>
  </si>
  <si>
    <t>F10508A</t>
  </si>
  <si>
    <t>F10507F</t>
  </si>
  <si>
    <t>F10507E</t>
  </si>
  <si>
    <t>F10507D</t>
  </si>
  <si>
    <t>F10507C</t>
  </si>
  <si>
    <t>F10507B</t>
  </si>
  <si>
    <t>F10507A</t>
  </si>
  <si>
    <t>Loam</t>
  </si>
  <si>
    <t>F10506F</t>
  </si>
  <si>
    <t>F10506E</t>
  </si>
  <si>
    <t>Plot #5</t>
  </si>
  <si>
    <t>F10506D</t>
  </si>
  <si>
    <t>F10506C</t>
  </si>
  <si>
    <t>F10506B</t>
  </si>
  <si>
    <t>F10506A</t>
  </si>
  <si>
    <t>F10505F</t>
  </si>
  <si>
    <t>F10505E</t>
  </si>
  <si>
    <t>F10505D</t>
  </si>
  <si>
    <t>F10505C</t>
  </si>
  <si>
    <t>F10505B</t>
  </si>
  <si>
    <t>Plot #4</t>
  </si>
  <si>
    <t>F10505A</t>
  </si>
  <si>
    <t>F10504F</t>
  </si>
  <si>
    <t>F10504E</t>
  </si>
  <si>
    <t>F10504D</t>
  </si>
  <si>
    <t>F10504C</t>
  </si>
  <si>
    <t>F10504B</t>
  </si>
  <si>
    <t>F10504A</t>
  </si>
  <si>
    <t>F10503F</t>
  </si>
  <si>
    <t>F10503E</t>
  </si>
  <si>
    <t>Plot #3</t>
  </si>
  <si>
    <t>F10503D</t>
  </si>
  <si>
    <t>F10503C</t>
  </si>
  <si>
    <t>F10503B</t>
  </si>
  <si>
    <t>F10503A</t>
  </si>
  <si>
    <t>F10502F</t>
  </si>
  <si>
    <t>F10502E</t>
  </si>
  <si>
    <t>F10502D</t>
  </si>
  <si>
    <t>F10502C</t>
  </si>
  <si>
    <t>F10502B</t>
  </si>
  <si>
    <t>Plot #2</t>
  </si>
  <si>
    <t>F10502A</t>
  </si>
  <si>
    <t>F10501F</t>
  </si>
  <si>
    <t>F10501E</t>
  </si>
  <si>
    <t>F10501D</t>
  </si>
  <si>
    <t>F10501C</t>
  </si>
  <si>
    <t>F10501B</t>
  </si>
  <si>
    <t>F10501A</t>
  </si>
  <si>
    <t>no units</t>
  </si>
  <si>
    <t>cm/day</t>
  </si>
  <si>
    <t>1/cm</t>
  </si>
  <si>
    <t>cm3/cm3</t>
  </si>
  <si>
    <t>L</t>
  </si>
  <si>
    <t>Ko</t>
  </si>
  <si>
    <t>Ks</t>
  </si>
  <si>
    <t>N</t>
  </si>
  <si>
    <t>Alpha</t>
  </si>
  <si>
    <t>Theta_s</t>
  </si>
  <si>
    <t>Theta_r</t>
  </si>
  <si>
    <t>Description</t>
  </si>
  <si>
    <t>Code</t>
  </si>
  <si>
    <t>Plot #1</t>
  </si>
  <si>
    <t>Rosetta Info</t>
  </si>
  <si>
    <t xml:space="preserve"> Soil Texture Analysis  Field 105 Camelina  2011-2012  (Linear Irrigation Year)</t>
  </si>
  <si>
    <t xml:space="preserve">                                                                        </t>
  </si>
  <si>
    <t>Loamy Sand</t>
  </si>
  <si>
    <t>Soil Texture Analysis Field 105 Wheat 2011 - 2012   (Linear Irrigation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</si>
</sst>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2" fontId="2" fillId="0" borderId="1" xfId="0" applyNumberFormat="1" applyFont="1" applyBorder="1" applyAlignment="1">
      <alignment horizontal="left" wrapText="1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0" borderId="0" xfId="0" applyNumberFormat="1"/>
    <xf numFmtId="2" fontId="0" fillId="0" borderId="0" xfId="0" applyNumberFormat="1"/>
    <xf numFmtId="0" fontId="0" fillId="0" borderId="2" xfId="0" applyBorder="1"/>
    <xf numFmtId="165" fontId="3" fillId="0" borderId="3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2" fillId="0" borderId="7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0453-65CB-4502-9245-C9B27AEBB60F}">
  <dimension ref="A1"/>
  <sheetViews>
    <sheetView tabSelected="1" workbookViewId="0">
      <selection activeCell="D33" sqref="D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9134C-F92F-421D-8ED4-9E254B927A59}">
  <dimension ref="A2:AB472"/>
  <sheetViews>
    <sheetView zoomScale="85" zoomScaleNormal="85" workbookViewId="0">
      <selection activeCell="S3" sqref="S3"/>
    </sheetView>
  </sheetViews>
  <sheetFormatPr defaultRowHeight="15" x14ac:dyDescent="0.25"/>
  <cols>
    <col min="1" max="1" width="10.5703125" style="1" customWidth="1"/>
    <col min="2" max="2" width="7.85546875" bestFit="1" customWidth="1"/>
    <col min="3" max="3" width="7.5703125" bestFit="1" customWidth="1"/>
    <col min="4" max="4" width="8.85546875" customWidth="1"/>
    <col min="5" max="5" width="8" bestFit="1" customWidth="1"/>
    <col min="6" max="6" width="9.85546875" customWidth="1"/>
    <col min="7" max="7" width="11.85546875" customWidth="1"/>
    <col min="8" max="8" width="12.28515625" bestFit="1" customWidth="1"/>
    <col min="9" max="9" width="7.7109375" customWidth="1"/>
    <col min="10" max="10" width="9.85546875" bestFit="1" customWidth="1"/>
    <col min="11" max="12" width="12.28515625" bestFit="1" customWidth="1"/>
    <col min="13" max="13" width="7.7109375" bestFit="1" customWidth="1"/>
    <col min="14" max="14" width="6" bestFit="1" customWidth="1"/>
    <col min="15" max="15" width="7" bestFit="1" customWidth="1"/>
    <col min="16" max="16" width="21" bestFit="1" customWidth="1"/>
    <col min="17" max="17" width="13.85546875" bestFit="1" customWidth="1"/>
    <col min="18" max="18" width="15" bestFit="1" customWidth="1"/>
    <col min="19" max="19" width="2.42578125" customWidth="1"/>
  </cols>
  <sheetData>
    <row r="2" spans="1:28" x14ac:dyDescent="0.25">
      <c r="A2" s="1" t="s">
        <v>364</v>
      </c>
      <c r="G2" s="8" t="s">
        <v>363</v>
      </c>
      <c r="H2" s="8"/>
      <c r="I2" s="8"/>
      <c r="J2" s="8"/>
      <c r="K2" s="8"/>
      <c r="L2" s="8"/>
    </row>
    <row r="3" spans="1:28" x14ac:dyDescent="0.25">
      <c r="T3" t="s">
        <v>362</v>
      </c>
    </row>
    <row r="4" spans="1:28" ht="51.75" x14ac:dyDescent="0.25">
      <c r="A4" s="19" t="s">
        <v>361</v>
      </c>
      <c r="B4" s="22" t="s">
        <v>26</v>
      </c>
      <c r="C4" s="26" t="s">
        <v>25</v>
      </c>
      <c r="D4" s="25" t="s">
        <v>24</v>
      </c>
      <c r="E4" s="24" t="s">
        <v>23</v>
      </c>
      <c r="F4" s="24" t="s">
        <v>22</v>
      </c>
      <c r="G4" s="24" t="s">
        <v>21</v>
      </c>
      <c r="H4" s="24" t="s">
        <v>20</v>
      </c>
      <c r="I4" s="24" t="s">
        <v>19</v>
      </c>
      <c r="J4" s="24" t="s">
        <v>18</v>
      </c>
      <c r="K4" s="24" t="s">
        <v>17</v>
      </c>
      <c r="L4" s="24" t="s">
        <v>16</v>
      </c>
      <c r="M4" s="23" t="s">
        <v>15</v>
      </c>
      <c r="N4" s="23" t="s">
        <v>14</v>
      </c>
      <c r="O4" s="23" t="s">
        <v>13</v>
      </c>
      <c r="P4" s="39" t="s">
        <v>12</v>
      </c>
      <c r="Q4" s="27" t="s">
        <v>11</v>
      </c>
      <c r="R4" s="27"/>
      <c r="S4" s="38"/>
      <c r="T4" s="37" t="s">
        <v>360</v>
      </c>
      <c r="U4" s="37" t="s">
        <v>359</v>
      </c>
      <c r="V4" s="37" t="s">
        <v>358</v>
      </c>
      <c r="W4" s="37" t="s">
        <v>357</v>
      </c>
      <c r="X4" s="37" t="s">
        <v>356</v>
      </c>
      <c r="Y4" s="37" t="s">
        <v>355</v>
      </c>
      <c r="Z4" s="37" t="s">
        <v>354</v>
      </c>
      <c r="AA4" s="37" t="s">
        <v>353</v>
      </c>
      <c r="AB4" s="37" t="s">
        <v>352</v>
      </c>
    </row>
    <row r="5" spans="1:28" x14ac:dyDescent="0.25">
      <c r="A5" s="20"/>
      <c r="B5" s="22"/>
      <c r="C5" s="26"/>
      <c r="D5" s="25"/>
      <c r="E5" s="24"/>
      <c r="F5" s="24"/>
      <c r="G5" s="24"/>
      <c r="H5" s="24"/>
      <c r="I5" s="24"/>
      <c r="J5" s="24"/>
      <c r="K5" s="24"/>
      <c r="L5" s="24"/>
      <c r="M5" s="23"/>
      <c r="N5" s="23"/>
      <c r="O5" s="23"/>
      <c r="P5" s="22"/>
      <c r="Q5" s="21" t="s">
        <v>10</v>
      </c>
      <c r="R5" s="21" t="s">
        <v>9</v>
      </c>
      <c r="T5" s="14"/>
      <c r="U5" s="14"/>
      <c r="V5" s="14" t="s">
        <v>351</v>
      </c>
      <c r="W5" s="14" t="s">
        <v>351</v>
      </c>
      <c r="X5" s="14" t="s">
        <v>350</v>
      </c>
      <c r="Y5" s="14" t="s">
        <v>348</v>
      </c>
      <c r="Z5" s="14" t="s">
        <v>349</v>
      </c>
      <c r="AA5" s="14" t="s">
        <v>349</v>
      </c>
      <c r="AB5" s="14" t="s">
        <v>348</v>
      </c>
    </row>
    <row r="6" spans="1:28" x14ac:dyDescent="0.25">
      <c r="A6" s="20"/>
      <c r="B6" s="14" t="s">
        <v>8</v>
      </c>
      <c r="C6" s="15">
        <v>50</v>
      </c>
      <c r="D6" s="14">
        <v>20</v>
      </c>
      <c r="E6" s="13">
        <v>26</v>
      </c>
      <c r="F6" s="13">
        <f>1.8*E6+32</f>
        <v>78.800000000000011</v>
      </c>
      <c r="G6" s="13">
        <v>18</v>
      </c>
      <c r="H6" s="13">
        <f>IF(F6&gt;68,G6+(F6-68)*0.2,Y234-(68-F6)*0.2)</f>
        <v>20.160000000000004</v>
      </c>
      <c r="I6" s="13">
        <v>25</v>
      </c>
      <c r="J6" s="13">
        <f>1.8*I6+32</f>
        <v>77</v>
      </c>
      <c r="K6" s="13">
        <v>10</v>
      </c>
      <c r="L6" s="13">
        <f>IF(J6&gt;68,K6+(J6-68)*0.2,K6-(68-J6)*0.2)</f>
        <v>11.8</v>
      </c>
      <c r="M6" s="13">
        <f>(C6-H6)/C6*100</f>
        <v>59.679999999999986</v>
      </c>
      <c r="N6" s="13">
        <f>100-(M6+O6)</f>
        <v>16.720000000000013</v>
      </c>
      <c r="O6" s="13">
        <f>L6/C6*100</f>
        <v>23.6</v>
      </c>
      <c r="P6" s="12" t="s">
        <v>3</v>
      </c>
      <c r="Q6" s="11">
        <v>409278.10639999999</v>
      </c>
      <c r="R6" s="11">
        <v>3659183.4621819998</v>
      </c>
      <c r="T6" s="14">
        <v>2011105</v>
      </c>
      <c r="U6" s="14" t="s">
        <v>347</v>
      </c>
      <c r="V6" s="14">
        <v>6.4530000000000004E-2</v>
      </c>
      <c r="W6" s="14">
        <v>0.38679000000000002</v>
      </c>
      <c r="X6" s="14">
        <v>2.6349999999999998E-2</v>
      </c>
      <c r="Y6" s="14">
        <v>1.3281700000000001</v>
      </c>
      <c r="Z6" s="14">
        <v>14.888859999999999</v>
      </c>
      <c r="AA6" s="14">
        <v>9.1028000000000002</v>
      </c>
      <c r="AB6" s="14">
        <v>-1.4809600000000001</v>
      </c>
    </row>
    <row r="7" spans="1:28" x14ac:dyDescent="0.25">
      <c r="A7" s="19" t="s">
        <v>7</v>
      </c>
      <c r="B7" s="14" t="s">
        <v>6</v>
      </c>
      <c r="C7" s="15">
        <v>50</v>
      </c>
      <c r="D7" s="14">
        <v>20</v>
      </c>
      <c r="E7" s="13">
        <v>26</v>
      </c>
      <c r="F7" s="13">
        <f>1.8*E7+32</f>
        <v>78.800000000000011</v>
      </c>
      <c r="G7" s="13">
        <v>17</v>
      </c>
      <c r="H7" s="13">
        <f>IF(F7&gt;68,G7+(F7-68)*0.2,Y235-(68-F7)*0.2)</f>
        <v>19.160000000000004</v>
      </c>
      <c r="I7" s="13">
        <v>25</v>
      </c>
      <c r="J7" s="13">
        <f>1.8*I7+32</f>
        <v>77</v>
      </c>
      <c r="K7" s="13">
        <v>10</v>
      </c>
      <c r="L7" s="13">
        <f>IF(J7&gt;68,K7+(J7-68)*0.2,K7-(68-J7)*0.2)</f>
        <v>11.8</v>
      </c>
      <c r="M7" s="13">
        <f>(C7-H7)/C7*100</f>
        <v>61.679999999999993</v>
      </c>
      <c r="N7" s="13">
        <f>100-(M7+O7)</f>
        <v>14.719999999999999</v>
      </c>
      <c r="O7" s="13">
        <f>L7/C7*100</f>
        <v>23.6</v>
      </c>
      <c r="P7" s="12" t="s">
        <v>3</v>
      </c>
      <c r="Q7" s="11">
        <v>409278.10639999999</v>
      </c>
      <c r="R7" s="11">
        <v>3659183.4621819998</v>
      </c>
      <c r="T7" s="14">
        <v>2011105</v>
      </c>
      <c r="U7" s="14" t="s">
        <v>346</v>
      </c>
      <c r="V7" s="14">
        <v>6.4269999999999994E-2</v>
      </c>
      <c r="W7" s="14">
        <v>0.38419999999999999</v>
      </c>
      <c r="X7" s="14">
        <v>2.7179999999999999E-2</v>
      </c>
      <c r="Y7" s="14">
        <v>1.3229</v>
      </c>
      <c r="Z7" s="14">
        <v>15.42563</v>
      </c>
      <c r="AA7" s="14">
        <v>9.3432999999999993</v>
      </c>
      <c r="AB7" s="14">
        <v>-1.5404800000000001</v>
      </c>
    </row>
    <row r="8" spans="1:28" x14ac:dyDescent="0.25">
      <c r="A8" s="18">
        <v>41451</v>
      </c>
      <c r="B8" s="14" t="s">
        <v>5</v>
      </c>
      <c r="C8" s="15">
        <v>50</v>
      </c>
      <c r="D8" s="14">
        <v>20</v>
      </c>
      <c r="E8" s="13">
        <v>26</v>
      </c>
      <c r="F8" s="13">
        <f>1.8*E8+32</f>
        <v>78.800000000000011</v>
      </c>
      <c r="G8" s="13">
        <v>24</v>
      </c>
      <c r="H8" s="13">
        <f>IF(F8&gt;68,G8+(F8-68)*0.2,Y236-(68-F8)*0.2)</f>
        <v>26.160000000000004</v>
      </c>
      <c r="I8" s="13">
        <v>24</v>
      </c>
      <c r="J8" s="13">
        <f>1.8*I8+32</f>
        <v>75.2</v>
      </c>
      <c r="K8" s="13">
        <v>14</v>
      </c>
      <c r="L8" s="13">
        <f>IF(J8&gt;68,K8+(J8-68)*0.2,K8-(68-J8)*0.2)</f>
        <v>15.440000000000001</v>
      </c>
      <c r="M8" s="13">
        <f>(C8-H8)/C8*100</f>
        <v>47.679999999999993</v>
      </c>
      <c r="N8" s="13">
        <f>100-(M8+O8)</f>
        <v>21.439999999999998</v>
      </c>
      <c r="O8" s="13">
        <f>L8/C8*100</f>
        <v>30.880000000000003</v>
      </c>
      <c r="P8" s="12" t="s">
        <v>3</v>
      </c>
      <c r="Q8" s="11">
        <v>409278.10639999999</v>
      </c>
      <c r="R8" s="11">
        <v>3659183.4621819998</v>
      </c>
      <c r="T8" s="14">
        <v>2011105</v>
      </c>
      <c r="U8" s="14" t="s">
        <v>345</v>
      </c>
      <c r="V8" s="14">
        <v>7.5490000000000002E-2</v>
      </c>
      <c r="W8" s="14">
        <v>0.40620000000000001</v>
      </c>
      <c r="X8" s="14">
        <v>2.179E-2</v>
      </c>
      <c r="Y8" s="14">
        <v>1.3181400000000001</v>
      </c>
      <c r="Z8" s="14">
        <v>7.58941</v>
      </c>
      <c r="AA8" s="14">
        <v>6.4098100000000002</v>
      </c>
      <c r="AB8" s="14">
        <v>-1.41107</v>
      </c>
    </row>
    <row r="9" spans="1:28" x14ac:dyDescent="0.25">
      <c r="A9" s="17"/>
      <c r="B9" s="14" t="s">
        <v>4</v>
      </c>
      <c r="C9" s="15">
        <v>50</v>
      </c>
      <c r="D9" s="14">
        <v>20</v>
      </c>
      <c r="E9" s="13">
        <v>26</v>
      </c>
      <c r="F9" s="13">
        <f>1.8*E9+32</f>
        <v>78.800000000000011</v>
      </c>
      <c r="G9" s="13">
        <v>26</v>
      </c>
      <c r="H9" s="13">
        <f>IF(F9&gt;68,G9+(F9-68)*0.2,Y237-(68-F9)*0.2)</f>
        <v>28.160000000000004</v>
      </c>
      <c r="I9" s="13">
        <v>24</v>
      </c>
      <c r="J9" s="13">
        <f>1.8*I9+32</f>
        <v>75.2</v>
      </c>
      <c r="K9" s="13">
        <v>20</v>
      </c>
      <c r="L9" s="13">
        <f>IF(J9&gt;68,K9+(J9-68)*0.2,K9-(68-J9)*0.2)</f>
        <v>21.44</v>
      </c>
      <c r="M9" s="13">
        <f>(C9-H9)/C9*100</f>
        <v>43.679999999999993</v>
      </c>
      <c r="N9" s="13">
        <f>100-(M9+O9)</f>
        <v>13.439999999999998</v>
      </c>
      <c r="O9" s="13">
        <f>L9/C9*100</f>
        <v>42.88</v>
      </c>
      <c r="P9" s="12" t="s">
        <v>30</v>
      </c>
      <c r="Q9" s="11">
        <v>409278.10639999999</v>
      </c>
      <c r="R9" s="11">
        <v>3659183.4621819998</v>
      </c>
      <c r="T9" s="14">
        <v>2011105</v>
      </c>
      <c r="U9" s="14" t="s">
        <v>344</v>
      </c>
      <c r="V9" s="14">
        <v>8.5129999999999997E-2</v>
      </c>
      <c r="W9" s="14">
        <v>0.42122999999999999</v>
      </c>
      <c r="X9" s="14">
        <v>2.699E-2</v>
      </c>
      <c r="Y9" s="14">
        <v>1.2277499999999999</v>
      </c>
      <c r="Z9" s="14">
        <v>12.06955</v>
      </c>
      <c r="AA9" s="14">
        <v>6.7109399999999999</v>
      </c>
      <c r="AB9" s="14">
        <v>-2.5394899999999998</v>
      </c>
    </row>
    <row r="10" spans="1:28" x14ac:dyDescent="0.25">
      <c r="A10" s="16"/>
      <c r="B10" s="14" t="s">
        <v>2</v>
      </c>
      <c r="C10" s="15">
        <v>50</v>
      </c>
      <c r="D10" s="14">
        <v>20</v>
      </c>
      <c r="E10" s="13">
        <v>26</v>
      </c>
      <c r="F10" s="13">
        <f>1.8*E10+32</f>
        <v>78.800000000000011</v>
      </c>
      <c r="G10" s="13">
        <v>24</v>
      </c>
      <c r="H10" s="13">
        <f>IF(F10&gt;68,G10+(F10-68)*0.2,Y238-(68-F10)*0.2)</f>
        <v>26.160000000000004</v>
      </c>
      <c r="I10" s="13">
        <v>25</v>
      </c>
      <c r="J10" s="13">
        <f>1.8*I10+32</f>
        <v>77</v>
      </c>
      <c r="K10" s="13">
        <v>11</v>
      </c>
      <c r="L10" s="13">
        <f>IF(J10&gt;68,K10+(J10-68)*0.2,K10-(68-J10)*0.2)</f>
        <v>12.8</v>
      </c>
      <c r="M10" s="13">
        <f>(C10-H10)/C10*100</f>
        <v>47.679999999999993</v>
      </c>
      <c r="N10" s="13">
        <f>100-(M10+O10)</f>
        <v>26.72</v>
      </c>
      <c r="O10" s="13">
        <f>L10/C10*100</f>
        <v>25.6</v>
      </c>
      <c r="P10" s="12" t="s">
        <v>3</v>
      </c>
      <c r="Q10" s="11">
        <v>409278.10639999999</v>
      </c>
      <c r="R10" s="11">
        <v>3659183.4621819998</v>
      </c>
      <c r="T10" s="14">
        <v>2011105</v>
      </c>
      <c r="U10" s="14" t="s">
        <v>343</v>
      </c>
      <c r="V10" s="14">
        <v>6.9889999999999994E-2</v>
      </c>
      <c r="W10" s="14">
        <v>0.40388000000000002</v>
      </c>
      <c r="X10" s="14">
        <v>1.8720000000000001E-2</v>
      </c>
      <c r="Y10" s="14">
        <v>1.37232</v>
      </c>
      <c r="Z10" s="14">
        <v>9.1985499999999991</v>
      </c>
      <c r="AA10" s="14">
        <v>5.9957700000000003</v>
      </c>
      <c r="AB10" s="14">
        <v>-1.0314700000000001</v>
      </c>
    </row>
    <row r="11" spans="1:28" x14ac:dyDescent="0.25">
      <c r="A11" s="16"/>
      <c r="B11" s="14" t="s">
        <v>1</v>
      </c>
      <c r="C11" s="15">
        <v>50</v>
      </c>
      <c r="D11" s="14">
        <v>20</v>
      </c>
      <c r="E11" s="13">
        <v>26</v>
      </c>
      <c r="F11" s="13">
        <f>1.8*E11+32</f>
        <v>78.800000000000011</v>
      </c>
      <c r="G11" s="13">
        <v>16</v>
      </c>
      <c r="H11" s="13">
        <f>IF(F11&gt;68,G11+(F11-68)*0.2,Y239-(68-F11)*0.2)</f>
        <v>18.160000000000004</v>
      </c>
      <c r="I11" s="13">
        <v>25</v>
      </c>
      <c r="J11" s="13">
        <f>1.8*I11+32</f>
        <v>77</v>
      </c>
      <c r="K11" s="13">
        <v>11</v>
      </c>
      <c r="L11" s="13">
        <f>IF(J11&gt;68,K11+(J11-68)*0.2,K11-(68-J11)*0.2)</f>
        <v>12.8</v>
      </c>
      <c r="M11" s="13">
        <f>(C11-H11)/C11*100</f>
        <v>63.679999999999993</v>
      </c>
      <c r="N11" s="13">
        <f>100-(M11+O11)</f>
        <v>10.719999999999999</v>
      </c>
      <c r="O11" s="13">
        <f>L11/C11*100</f>
        <v>25.6</v>
      </c>
      <c r="P11" s="12" t="s">
        <v>3</v>
      </c>
      <c r="Q11" s="11">
        <v>409278.10639999999</v>
      </c>
      <c r="R11" s="11">
        <v>3659183.4621819998</v>
      </c>
      <c r="T11" s="14">
        <v>2011105</v>
      </c>
      <c r="U11" s="14" t="s">
        <v>342</v>
      </c>
      <c r="V11" s="14">
        <v>6.6600000000000006E-2</v>
      </c>
      <c r="W11" s="14">
        <v>0.38084000000000001</v>
      </c>
      <c r="X11" s="14">
        <v>2.7439999999999999E-2</v>
      </c>
      <c r="Y11" s="14">
        <v>1.3030600000000001</v>
      </c>
      <c r="Z11" s="14">
        <v>14.301410000000001</v>
      </c>
      <c r="AA11" s="14">
        <v>8.7716799999999999</v>
      </c>
      <c r="AB11" s="14">
        <v>-1.7008000000000001</v>
      </c>
    </row>
    <row r="12" spans="1:28" x14ac:dyDescent="0.25">
      <c r="T12" s="14">
        <v>2011105</v>
      </c>
      <c r="U12" s="14" t="s">
        <v>341</v>
      </c>
      <c r="V12" s="14">
        <v>5.8729999999999997E-2</v>
      </c>
      <c r="W12" s="14">
        <v>0.37919999999999998</v>
      </c>
      <c r="X12" s="14">
        <v>2.928E-2</v>
      </c>
      <c r="Y12" s="14">
        <v>1.3523400000000001</v>
      </c>
      <c r="Z12" s="14">
        <v>22.191669999999998</v>
      </c>
      <c r="AA12" s="14">
        <v>11.32652</v>
      </c>
      <c r="AB12" s="14">
        <v>-1.4263999999999999</v>
      </c>
    </row>
    <row r="13" spans="1:28" ht="51.75" x14ac:dyDescent="0.25">
      <c r="A13" s="19" t="s">
        <v>340</v>
      </c>
      <c r="B13" s="22" t="s">
        <v>26</v>
      </c>
      <c r="C13" s="26" t="s">
        <v>25</v>
      </c>
      <c r="D13" s="25" t="s">
        <v>24</v>
      </c>
      <c r="E13" s="24" t="s">
        <v>23</v>
      </c>
      <c r="F13" s="24" t="s">
        <v>22</v>
      </c>
      <c r="G13" s="24" t="s">
        <v>21</v>
      </c>
      <c r="H13" s="24" t="s">
        <v>20</v>
      </c>
      <c r="I13" s="24" t="s">
        <v>19</v>
      </c>
      <c r="J13" s="24" t="s">
        <v>18</v>
      </c>
      <c r="K13" s="24" t="s">
        <v>17</v>
      </c>
      <c r="L13" s="24" t="s">
        <v>16</v>
      </c>
      <c r="M13" s="23" t="s">
        <v>15</v>
      </c>
      <c r="N13" s="23" t="s">
        <v>14</v>
      </c>
      <c r="O13" s="23" t="s">
        <v>13</v>
      </c>
      <c r="P13" s="22" t="s">
        <v>12</v>
      </c>
      <c r="Q13" s="27" t="s">
        <v>11</v>
      </c>
      <c r="R13" s="27"/>
      <c r="T13" s="14">
        <v>2011105</v>
      </c>
      <c r="U13" s="14" t="s">
        <v>339</v>
      </c>
      <c r="V13" s="14">
        <v>6.6600000000000006E-2</v>
      </c>
      <c r="W13" s="14">
        <v>0.38084000000000001</v>
      </c>
      <c r="X13" s="14">
        <v>2.7439999999999999E-2</v>
      </c>
      <c r="Y13" s="14">
        <v>1.3030600000000001</v>
      </c>
      <c r="Z13" s="14">
        <v>14.301410000000001</v>
      </c>
      <c r="AA13" s="14">
        <v>8.7716799999999999</v>
      </c>
      <c r="AB13" s="14">
        <v>-1.7008000000000001</v>
      </c>
    </row>
    <row r="14" spans="1:28" x14ac:dyDescent="0.25">
      <c r="A14" s="20"/>
      <c r="B14" s="22"/>
      <c r="C14" s="26"/>
      <c r="D14" s="25"/>
      <c r="E14" s="24"/>
      <c r="F14" s="24"/>
      <c r="G14" s="24"/>
      <c r="H14" s="24"/>
      <c r="I14" s="24"/>
      <c r="J14" s="24"/>
      <c r="K14" s="24"/>
      <c r="L14" s="24"/>
      <c r="M14" s="23"/>
      <c r="N14" s="23"/>
      <c r="O14" s="23"/>
      <c r="P14" s="22"/>
      <c r="Q14" s="21" t="s">
        <v>10</v>
      </c>
      <c r="R14" s="21" t="s">
        <v>9</v>
      </c>
      <c r="T14" s="14">
        <v>2011105</v>
      </c>
      <c r="U14" s="14" t="s">
        <v>338</v>
      </c>
      <c r="V14" s="14">
        <v>5.2670000000000002E-2</v>
      </c>
      <c r="W14" s="14">
        <v>0.38034000000000001</v>
      </c>
      <c r="X14" s="14">
        <v>3.1449999999999999E-2</v>
      </c>
      <c r="Y14" s="14">
        <v>1.3896200000000001</v>
      </c>
      <c r="Z14" s="14">
        <v>31.997330000000002</v>
      </c>
      <c r="AA14" s="14">
        <v>14.25386</v>
      </c>
      <c r="AB14" s="14">
        <v>-1.28346</v>
      </c>
    </row>
    <row r="15" spans="1:28" x14ac:dyDescent="0.25">
      <c r="A15" s="20"/>
      <c r="B15" s="14" t="s">
        <v>8</v>
      </c>
      <c r="C15" s="15">
        <v>50</v>
      </c>
      <c r="D15" s="14">
        <v>20</v>
      </c>
      <c r="E15" s="13">
        <v>26</v>
      </c>
      <c r="F15" s="13">
        <f>1.8*E15+32</f>
        <v>78.800000000000011</v>
      </c>
      <c r="G15" s="13">
        <v>14</v>
      </c>
      <c r="H15" s="13">
        <f>IF(F15&gt;68,G15+(F15-68)*0.2,Y243-(68-F15)*0.2)</f>
        <v>16.160000000000004</v>
      </c>
      <c r="I15" s="13">
        <v>25</v>
      </c>
      <c r="J15" s="13">
        <f>1.8*I15+32</f>
        <v>77</v>
      </c>
      <c r="K15" s="13">
        <v>8</v>
      </c>
      <c r="L15" s="13">
        <f>IF(J15&gt;68,K15+(J15-68)*0.2,K15-(68-J15)*0.2)</f>
        <v>9.8000000000000007</v>
      </c>
      <c r="M15" s="13">
        <f>(C15-H15)/C15*100</f>
        <v>67.679999999999993</v>
      </c>
      <c r="N15" s="13">
        <f>100-(M15+O15)</f>
        <v>12.719999999999999</v>
      </c>
      <c r="O15" s="13">
        <f>L15/C15*100</f>
        <v>19.600000000000001</v>
      </c>
      <c r="P15" s="12" t="s">
        <v>0</v>
      </c>
      <c r="Q15" s="11">
        <v>409278.10639999999</v>
      </c>
      <c r="R15" s="11">
        <v>3659192.558892</v>
      </c>
      <c r="T15" s="14">
        <v>2011105</v>
      </c>
      <c r="U15" s="14" t="s">
        <v>337</v>
      </c>
      <c r="V15" s="14">
        <v>5.33E-2</v>
      </c>
      <c r="W15" s="14">
        <v>0.37869999999999998</v>
      </c>
      <c r="X15" s="14">
        <v>3.1579999999999997E-2</v>
      </c>
      <c r="Y15" s="14">
        <v>1.4018900000000001</v>
      </c>
      <c r="Z15" s="14">
        <v>33.618949999999998</v>
      </c>
      <c r="AA15" s="14">
        <v>14.2949</v>
      </c>
      <c r="AB15" s="14">
        <v>-1.2654000000000001</v>
      </c>
    </row>
    <row r="16" spans="1:28" x14ac:dyDescent="0.25">
      <c r="A16" s="19" t="s">
        <v>7</v>
      </c>
      <c r="B16" s="14" t="s">
        <v>6</v>
      </c>
      <c r="C16" s="15">
        <v>50</v>
      </c>
      <c r="D16" s="14">
        <v>20</v>
      </c>
      <c r="E16" s="13">
        <v>26</v>
      </c>
      <c r="F16" s="13">
        <f>1.8*E16+32</f>
        <v>78.800000000000011</v>
      </c>
      <c r="G16" s="13">
        <v>16</v>
      </c>
      <c r="H16" s="13">
        <f>IF(F16&gt;68,G16+(F16-68)*0.2,Y244-(68-F16)*0.2)</f>
        <v>18.160000000000004</v>
      </c>
      <c r="I16" s="13">
        <v>25</v>
      </c>
      <c r="J16" s="13">
        <f>1.8*I16+32</f>
        <v>77</v>
      </c>
      <c r="K16" s="13">
        <v>11</v>
      </c>
      <c r="L16" s="13">
        <f>IF(J16&gt;68,K16+(J16-68)*0.2,K16-(68-J16)*0.2)</f>
        <v>12.8</v>
      </c>
      <c r="M16" s="13">
        <f>(C16-H16)/C16*100</f>
        <v>63.679999999999993</v>
      </c>
      <c r="N16" s="13">
        <f>100-(M16+O16)</f>
        <v>10.719999999999999</v>
      </c>
      <c r="O16" s="13">
        <f>L16/C16*100</f>
        <v>25.6</v>
      </c>
      <c r="P16" s="12" t="s">
        <v>3</v>
      </c>
      <c r="Q16" s="11">
        <v>409278.10639999999</v>
      </c>
      <c r="R16" s="11">
        <v>3659192.558892</v>
      </c>
      <c r="T16" s="14">
        <v>2011105</v>
      </c>
      <c r="U16" s="14" t="s">
        <v>336</v>
      </c>
      <c r="V16" s="14">
        <v>5.0340000000000003E-2</v>
      </c>
      <c r="W16" s="14">
        <v>0.37963000000000002</v>
      </c>
      <c r="X16" s="14">
        <v>3.3059999999999999E-2</v>
      </c>
      <c r="Y16" s="14">
        <v>1.43</v>
      </c>
      <c r="Z16" s="14">
        <v>41.136690000000002</v>
      </c>
      <c r="AA16" s="14">
        <v>16.423390000000001</v>
      </c>
      <c r="AB16" s="14">
        <v>-1.1948000000000001</v>
      </c>
    </row>
    <row r="17" spans="1:28" x14ac:dyDescent="0.25">
      <c r="A17" s="18">
        <v>41456</v>
      </c>
      <c r="B17" s="14" t="s">
        <v>5</v>
      </c>
      <c r="C17" s="15">
        <v>50</v>
      </c>
      <c r="D17" s="14">
        <v>20</v>
      </c>
      <c r="E17" s="13">
        <v>26</v>
      </c>
      <c r="F17" s="13">
        <f>1.8*E17+32</f>
        <v>78.800000000000011</v>
      </c>
      <c r="G17" s="13">
        <v>13</v>
      </c>
      <c r="H17" s="13">
        <f>IF(F17&gt;68,G17+(F17-68)*0.2,Y245-(68-F17)*0.2)</f>
        <v>15.160000000000002</v>
      </c>
      <c r="I17" s="13">
        <v>25</v>
      </c>
      <c r="J17" s="13">
        <f>1.8*I17+32</f>
        <v>77</v>
      </c>
      <c r="K17" s="13">
        <v>6</v>
      </c>
      <c r="L17" s="13">
        <f>IF(J17&gt;68,K17+(J17-68)*0.2,K17-(68-J17)*0.2)</f>
        <v>7.8</v>
      </c>
      <c r="M17" s="13">
        <f>(C17-H17)/C17*100</f>
        <v>69.679999999999993</v>
      </c>
      <c r="N17" s="13">
        <f>100-(M17+O17)</f>
        <v>14.720000000000013</v>
      </c>
      <c r="O17" s="13">
        <f>L17/C17*100</f>
        <v>15.6</v>
      </c>
      <c r="P17" s="12" t="s">
        <v>0</v>
      </c>
      <c r="Q17" s="11">
        <v>409278.10639999999</v>
      </c>
      <c r="R17" s="11">
        <v>3659192.558892</v>
      </c>
      <c r="T17" s="14">
        <v>2011105</v>
      </c>
      <c r="U17" s="14" t="s">
        <v>335</v>
      </c>
      <c r="V17" s="14">
        <v>5.3830000000000003E-2</v>
      </c>
      <c r="W17" s="14">
        <v>0.37758000000000003</v>
      </c>
      <c r="X17" s="14">
        <v>3.141E-2</v>
      </c>
      <c r="Y17" s="14">
        <v>1.41248</v>
      </c>
      <c r="Z17" s="14">
        <v>34.696150000000003</v>
      </c>
      <c r="AA17" s="14">
        <v>14.182729999999999</v>
      </c>
      <c r="AB17" s="14">
        <v>-1.24515</v>
      </c>
    </row>
    <row r="18" spans="1:28" x14ac:dyDescent="0.25">
      <c r="A18" s="17"/>
      <c r="B18" s="14" t="s">
        <v>4</v>
      </c>
      <c r="C18" s="15">
        <v>50</v>
      </c>
      <c r="D18" s="14">
        <v>20</v>
      </c>
      <c r="E18" s="13">
        <v>26</v>
      </c>
      <c r="F18" s="13">
        <f>1.8*E18+32</f>
        <v>78.800000000000011</v>
      </c>
      <c r="G18" s="13">
        <v>12</v>
      </c>
      <c r="H18" s="13">
        <f>IF(F18&gt;68,G18+(F18-68)*0.2,Y246-(68-F18)*0.2)</f>
        <v>14.160000000000002</v>
      </c>
      <c r="I18" s="13">
        <v>25</v>
      </c>
      <c r="J18" s="13">
        <f>1.8*I18+32</f>
        <v>77</v>
      </c>
      <c r="K18" s="13">
        <v>6</v>
      </c>
      <c r="L18" s="13">
        <f>IF(J18&gt;68,K18+(J18-68)*0.2,K18-(68-J18)*0.2)</f>
        <v>7.8</v>
      </c>
      <c r="M18" s="13">
        <f>(C18-H18)/C18*100</f>
        <v>71.679999999999993</v>
      </c>
      <c r="N18" s="13">
        <f>100-(M18+O18)</f>
        <v>12.720000000000013</v>
      </c>
      <c r="O18" s="13">
        <f>L18/C18*100</f>
        <v>15.6</v>
      </c>
      <c r="P18" s="12" t="s">
        <v>0</v>
      </c>
      <c r="Q18" s="11">
        <v>409278.10639999999</v>
      </c>
      <c r="R18" s="11">
        <v>3659192.558892</v>
      </c>
      <c r="T18" s="14">
        <v>2011105</v>
      </c>
      <c r="U18" s="14" t="s">
        <v>334</v>
      </c>
      <c r="V18" s="14">
        <v>6.1440000000000002E-2</v>
      </c>
      <c r="W18" s="14">
        <v>0.38100000000000001</v>
      </c>
      <c r="X18" s="14">
        <v>2.8289999999999999E-2</v>
      </c>
      <c r="Y18" s="14">
        <v>1.33463</v>
      </c>
      <c r="Z18" s="14">
        <v>18.41217</v>
      </c>
      <c r="AA18" s="14">
        <v>10.267139999999999</v>
      </c>
      <c r="AB18" s="14">
        <v>-1.49739</v>
      </c>
    </row>
    <row r="19" spans="1:28" x14ac:dyDescent="0.25">
      <c r="A19" s="16"/>
      <c r="B19" s="14" t="s">
        <v>2</v>
      </c>
      <c r="C19" s="15">
        <v>50</v>
      </c>
      <c r="D19" s="14">
        <v>20</v>
      </c>
      <c r="E19" s="13">
        <v>27</v>
      </c>
      <c r="F19" s="13">
        <f>1.8*E19+32</f>
        <v>80.599999999999994</v>
      </c>
      <c r="G19" s="13">
        <v>11</v>
      </c>
      <c r="H19" s="13">
        <f>IF(F19&gt;68,G19+(F19-68)*0.2,Y247-(68-F19)*0.2)</f>
        <v>13.52</v>
      </c>
      <c r="I19" s="13">
        <v>25</v>
      </c>
      <c r="J19" s="13">
        <f>1.8*I19+32</f>
        <v>77</v>
      </c>
      <c r="K19" s="13">
        <v>5</v>
      </c>
      <c r="L19" s="13">
        <f>IF(J19&gt;68,K19+(J19-68)*0.2,K19-(68-J19)*0.2)</f>
        <v>6.8</v>
      </c>
      <c r="M19" s="13">
        <f>(C19-H19)/C19*100</f>
        <v>72.960000000000008</v>
      </c>
      <c r="N19" s="13">
        <f>100-(M19+O19)</f>
        <v>13.439999999999998</v>
      </c>
      <c r="O19" s="13">
        <f>L19/C19*100</f>
        <v>13.600000000000001</v>
      </c>
      <c r="P19" s="12" t="s">
        <v>0</v>
      </c>
      <c r="Q19" s="11">
        <v>409278.10639999999</v>
      </c>
      <c r="R19" s="11">
        <v>3659192.558892</v>
      </c>
      <c r="T19" s="14">
        <v>2011105</v>
      </c>
      <c r="U19" s="14" t="s">
        <v>333</v>
      </c>
      <c r="V19" s="14">
        <v>5.8650000000000001E-2</v>
      </c>
      <c r="W19" s="14">
        <v>0.37996000000000002</v>
      </c>
      <c r="X19" s="14">
        <v>2.92E-2</v>
      </c>
      <c r="Y19" s="14">
        <v>1.35124</v>
      </c>
      <c r="Z19" s="14">
        <v>22.02495</v>
      </c>
      <c r="AA19" s="14">
        <v>11.32147</v>
      </c>
      <c r="AB19" s="14">
        <v>-1.4248799999999999</v>
      </c>
    </row>
    <row r="20" spans="1:28" x14ac:dyDescent="0.25">
      <c r="A20" s="16"/>
      <c r="B20" s="14" t="s">
        <v>1</v>
      </c>
      <c r="C20" s="15">
        <v>50</v>
      </c>
      <c r="D20" s="14">
        <v>20</v>
      </c>
      <c r="E20" s="13">
        <v>27</v>
      </c>
      <c r="F20" s="13">
        <f>1.8*E20+32</f>
        <v>80.599999999999994</v>
      </c>
      <c r="G20" s="13">
        <v>11</v>
      </c>
      <c r="H20" s="13">
        <f>IF(F20&gt;68,G20+(F20-68)*0.2,Y248-(68-F20)*0.2)</f>
        <v>13.52</v>
      </c>
      <c r="I20" s="13">
        <v>25</v>
      </c>
      <c r="J20" s="13">
        <f>1.8*I20+32</f>
        <v>77</v>
      </c>
      <c r="K20" s="13">
        <v>6</v>
      </c>
      <c r="L20" s="13">
        <f>IF(J20&gt;68,K20+(J20-68)*0.2,K20-(68-J20)*0.2)</f>
        <v>7.8</v>
      </c>
      <c r="M20" s="13">
        <f>(C20-H20)/C20*100</f>
        <v>72.960000000000008</v>
      </c>
      <c r="N20" s="13">
        <f>100-(M20+O20)</f>
        <v>11.439999999999998</v>
      </c>
      <c r="O20" s="13">
        <f>L20/C20*100</f>
        <v>15.6</v>
      </c>
      <c r="P20" s="12" t="s">
        <v>0</v>
      </c>
      <c r="Q20" s="11">
        <v>409278.10639999999</v>
      </c>
      <c r="R20" s="11">
        <v>3659192.558892</v>
      </c>
      <c r="T20" s="14">
        <v>2011105</v>
      </c>
      <c r="U20" s="14" t="s">
        <v>332</v>
      </c>
      <c r="V20" s="14">
        <v>5.5509999999999997E-2</v>
      </c>
      <c r="W20" s="14">
        <v>0.38124000000000002</v>
      </c>
      <c r="X20" s="14">
        <v>2.989E-2</v>
      </c>
      <c r="Y20" s="14">
        <v>1.36632</v>
      </c>
      <c r="Z20" s="14">
        <v>25.8384</v>
      </c>
      <c r="AA20" s="14">
        <v>12.50745</v>
      </c>
      <c r="AB20" s="14">
        <v>-1.3478000000000001</v>
      </c>
    </row>
    <row r="21" spans="1:28" x14ac:dyDescent="0.25">
      <c r="T21" s="14">
        <v>2011105</v>
      </c>
      <c r="U21" s="14" t="s">
        <v>331</v>
      </c>
      <c r="V21" s="14">
        <v>6.1650000000000003E-2</v>
      </c>
      <c r="W21" s="14">
        <v>0.38567000000000001</v>
      </c>
      <c r="X21" s="14">
        <v>2.681E-2</v>
      </c>
      <c r="Y21" s="14">
        <v>1.34056</v>
      </c>
      <c r="Z21" s="14">
        <v>17.33278</v>
      </c>
      <c r="AA21" s="14">
        <v>9.8200199999999995</v>
      </c>
      <c r="AB21" s="14">
        <v>-1.4122399999999999</v>
      </c>
    </row>
    <row r="22" spans="1:28" ht="51.75" x14ac:dyDescent="0.25">
      <c r="A22" s="19" t="s">
        <v>330</v>
      </c>
      <c r="B22" s="22" t="s">
        <v>26</v>
      </c>
      <c r="C22" s="26" t="s">
        <v>25</v>
      </c>
      <c r="D22" s="25" t="s">
        <v>24</v>
      </c>
      <c r="E22" s="24" t="s">
        <v>23</v>
      </c>
      <c r="F22" s="24" t="s">
        <v>22</v>
      </c>
      <c r="G22" s="24" t="s">
        <v>21</v>
      </c>
      <c r="H22" s="24" t="s">
        <v>20</v>
      </c>
      <c r="I22" s="24" t="s">
        <v>19</v>
      </c>
      <c r="J22" s="24" t="s">
        <v>18</v>
      </c>
      <c r="K22" s="24" t="s">
        <v>17</v>
      </c>
      <c r="L22" s="24" t="s">
        <v>16</v>
      </c>
      <c r="M22" s="23" t="s">
        <v>15</v>
      </c>
      <c r="N22" s="23" t="s">
        <v>14</v>
      </c>
      <c r="O22" s="23" t="s">
        <v>13</v>
      </c>
      <c r="P22" s="22" t="s">
        <v>12</v>
      </c>
      <c r="Q22" s="27" t="s">
        <v>11</v>
      </c>
      <c r="R22" s="27"/>
      <c r="T22" s="14">
        <v>2011105</v>
      </c>
      <c r="U22" s="14" t="s">
        <v>329</v>
      </c>
      <c r="V22" s="14">
        <v>7.2429999999999994E-2</v>
      </c>
      <c r="W22" s="14">
        <v>0.40606999999999999</v>
      </c>
      <c r="X22" s="14">
        <v>1.934E-2</v>
      </c>
      <c r="Y22" s="14">
        <v>1.3566100000000001</v>
      </c>
      <c r="Z22" s="14">
        <v>8.1748799999999999</v>
      </c>
      <c r="AA22" s="14">
        <v>5.97363</v>
      </c>
      <c r="AB22" s="14">
        <v>-1.1232800000000001</v>
      </c>
    </row>
    <row r="23" spans="1:28" x14ac:dyDescent="0.25">
      <c r="A23" s="20"/>
      <c r="B23" s="22"/>
      <c r="C23" s="26"/>
      <c r="D23" s="25"/>
      <c r="E23" s="24"/>
      <c r="F23" s="24"/>
      <c r="G23" s="24"/>
      <c r="H23" s="24"/>
      <c r="I23" s="24"/>
      <c r="J23" s="24"/>
      <c r="K23" s="24"/>
      <c r="L23" s="24"/>
      <c r="M23" s="23"/>
      <c r="N23" s="23"/>
      <c r="O23" s="23"/>
      <c r="P23" s="22"/>
      <c r="Q23" s="21" t="s">
        <v>10</v>
      </c>
      <c r="R23" s="21" t="s">
        <v>9</v>
      </c>
      <c r="T23" s="14">
        <v>2011105</v>
      </c>
      <c r="U23" s="14" t="s">
        <v>328</v>
      </c>
      <c r="V23" s="14">
        <v>7.6350000000000001E-2</v>
      </c>
      <c r="W23" s="14">
        <v>0.4078</v>
      </c>
      <c r="X23" s="14">
        <v>2.172E-2</v>
      </c>
      <c r="Y23" s="14">
        <v>1.31501</v>
      </c>
      <c r="Z23" s="14">
        <v>7.2762399999999996</v>
      </c>
      <c r="AA23" s="14">
        <v>6.3106099999999996</v>
      </c>
      <c r="AB23" s="14">
        <v>-1.4273800000000001</v>
      </c>
    </row>
    <row r="24" spans="1:28" x14ac:dyDescent="0.25">
      <c r="A24" s="20"/>
      <c r="B24" s="14" t="s">
        <v>8</v>
      </c>
      <c r="C24" s="15">
        <v>50</v>
      </c>
      <c r="D24" s="14">
        <v>20</v>
      </c>
      <c r="E24" s="13">
        <v>27</v>
      </c>
      <c r="F24" s="13">
        <f>1.8*E24+32</f>
        <v>80.599999999999994</v>
      </c>
      <c r="G24" s="13">
        <v>15</v>
      </c>
      <c r="H24" s="13">
        <f>IF(F24&gt;68,G24+(F24-68)*0.2,Y252-(68-F24)*0.2)</f>
        <v>17.52</v>
      </c>
      <c r="I24" s="13">
        <v>25</v>
      </c>
      <c r="J24" s="13">
        <f>1.8*I24+32</f>
        <v>77</v>
      </c>
      <c r="K24" s="13">
        <v>9</v>
      </c>
      <c r="L24" s="13">
        <f>IF(J24&gt;68,K24+(J24-68)*0.2,K24-(68-J24)*0.2)</f>
        <v>10.8</v>
      </c>
      <c r="M24" s="13">
        <f>(C24-H24)/C24*100</f>
        <v>64.960000000000008</v>
      </c>
      <c r="N24" s="13">
        <f>100-(M24+O24)</f>
        <v>13.439999999999998</v>
      </c>
      <c r="O24" s="13">
        <f>L24/C24*100</f>
        <v>21.6</v>
      </c>
      <c r="P24" s="12" t="s">
        <v>3</v>
      </c>
      <c r="Q24" s="11">
        <v>409278.10639999999</v>
      </c>
      <c r="R24" s="11">
        <v>3659201.667467</v>
      </c>
      <c r="T24" s="14">
        <v>2011105</v>
      </c>
      <c r="U24" s="14" t="s">
        <v>327</v>
      </c>
      <c r="V24" s="14">
        <v>5.8540000000000002E-2</v>
      </c>
      <c r="W24" s="14">
        <v>0.3841</v>
      </c>
      <c r="X24" s="14">
        <v>2.7830000000000001E-2</v>
      </c>
      <c r="Y24" s="14">
        <v>1.3516600000000001</v>
      </c>
      <c r="Z24" s="14">
        <v>20.6568</v>
      </c>
      <c r="AA24" s="14">
        <v>10.86266</v>
      </c>
      <c r="AB24" s="14">
        <v>-1.3692899999999999</v>
      </c>
    </row>
    <row r="25" spans="1:28" x14ac:dyDescent="0.25">
      <c r="A25" s="19" t="s">
        <v>7</v>
      </c>
      <c r="B25" s="14" t="s">
        <v>6</v>
      </c>
      <c r="C25" s="15">
        <v>50</v>
      </c>
      <c r="D25" s="14">
        <v>20</v>
      </c>
      <c r="E25" s="13">
        <v>27</v>
      </c>
      <c r="F25" s="13">
        <f>1.8*E25+32</f>
        <v>80.599999999999994</v>
      </c>
      <c r="G25" s="13">
        <v>14</v>
      </c>
      <c r="H25" s="13">
        <f>IF(F25&gt;68,G25+(F25-68)*0.2,Y253-(68-F25)*0.2)</f>
        <v>16.52</v>
      </c>
      <c r="I25" s="13">
        <v>25</v>
      </c>
      <c r="J25" s="13">
        <f>1.8*I25+32</f>
        <v>77</v>
      </c>
      <c r="K25" s="13">
        <v>8</v>
      </c>
      <c r="L25" s="13">
        <f>IF(J25&gt;68,K25+(J25-68)*0.2,K25-(68-J25)*0.2)</f>
        <v>9.8000000000000007</v>
      </c>
      <c r="M25" s="13">
        <f>(C25-H25)/C25*100</f>
        <v>66.960000000000008</v>
      </c>
      <c r="N25" s="13">
        <f>100-(M25+O25)</f>
        <v>13.439999999999998</v>
      </c>
      <c r="O25" s="13">
        <f>L25/C25*100</f>
        <v>19.600000000000001</v>
      </c>
      <c r="P25" s="12" t="s">
        <v>0</v>
      </c>
      <c r="Q25" s="11">
        <v>409278.10639999999</v>
      </c>
      <c r="R25" s="11">
        <v>3659201.667467</v>
      </c>
      <c r="T25" s="14">
        <v>2011105</v>
      </c>
      <c r="U25" s="14" t="s">
        <v>326</v>
      </c>
      <c r="V25" s="14">
        <v>7.0199999999999999E-2</v>
      </c>
      <c r="W25" s="14">
        <v>0.39324999999999999</v>
      </c>
      <c r="X25" s="14">
        <v>2.4840000000000001E-2</v>
      </c>
      <c r="Y25" s="14">
        <v>1.31175</v>
      </c>
      <c r="Z25" s="14">
        <v>10.88499</v>
      </c>
      <c r="AA25" s="14">
        <v>7.7904299999999997</v>
      </c>
      <c r="AB25" s="14">
        <v>-1.5522899999999999</v>
      </c>
    </row>
    <row r="26" spans="1:28" x14ac:dyDescent="0.25">
      <c r="A26" s="18">
        <v>41456</v>
      </c>
      <c r="B26" s="14" t="s">
        <v>5</v>
      </c>
      <c r="C26" s="15">
        <v>50</v>
      </c>
      <c r="D26" s="14">
        <v>20</v>
      </c>
      <c r="E26" s="13">
        <v>27</v>
      </c>
      <c r="F26" s="13">
        <f>1.8*E26+32</f>
        <v>80.599999999999994</v>
      </c>
      <c r="G26" s="13">
        <v>14</v>
      </c>
      <c r="H26" s="13">
        <f>IF(F26&gt;68,G26+(F26-68)*0.2,Y254-(68-F26)*0.2)</f>
        <v>16.52</v>
      </c>
      <c r="I26" s="13">
        <v>25</v>
      </c>
      <c r="J26" s="13">
        <f>1.8*I26+32</f>
        <v>77</v>
      </c>
      <c r="K26" s="13">
        <v>7</v>
      </c>
      <c r="L26" s="13">
        <f>IF(J26&gt;68,K26+(J26-68)*0.2,K26-(68-J26)*0.2)</f>
        <v>8.8000000000000007</v>
      </c>
      <c r="M26" s="13">
        <f>(C26-H26)/C26*100</f>
        <v>66.960000000000008</v>
      </c>
      <c r="N26" s="13">
        <f>100-(M26+O26)</f>
        <v>15.439999999999998</v>
      </c>
      <c r="O26" s="13">
        <f>L26/C26*100</f>
        <v>17.600000000000001</v>
      </c>
      <c r="P26" s="12" t="s">
        <v>0</v>
      </c>
      <c r="Q26" s="11">
        <v>409278.10639999999</v>
      </c>
      <c r="R26" s="11">
        <v>3659201.667467</v>
      </c>
      <c r="T26" s="14">
        <v>2011105</v>
      </c>
      <c r="U26" s="14" t="s">
        <v>325</v>
      </c>
      <c r="V26" s="14">
        <v>6.9889999999999994E-2</v>
      </c>
      <c r="W26" s="14">
        <v>0.40910000000000002</v>
      </c>
      <c r="X26" s="14">
        <v>1.511E-2</v>
      </c>
      <c r="Y26" s="14">
        <v>1.4100600000000001</v>
      </c>
      <c r="Z26" s="14">
        <v>7.8243799999999997</v>
      </c>
      <c r="AA26" s="14">
        <v>4.7252099999999997</v>
      </c>
      <c r="AB26" s="14">
        <v>-0.75497999999999998</v>
      </c>
    </row>
    <row r="27" spans="1:28" x14ac:dyDescent="0.25">
      <c r="A27" s="17"/>
      <c r="B27" s="14" t="s">
        <v>4</v>
      </c>
      <c r="C27" s="15">
        <v>50</v>
      </c>
      <c r="D27" s="14">
        <v>20</v>
      </c>
      <c r="E27" s="13">
        <v>27</v>
      </c>
      <c r="F27" s="13">
        <f>1.8*E27+32</f>
        <v>80.599999999999994</v>
      </c>
      <c r="G27" s="13">
        <v>17</v>
      </c>
      <c r="H27" s="13">
        <f>IF(F27&gt;68,G27+(F27-68)*0.2,Y255-(68-F27)*0.2)</f>
        <v>19.52</v>
      </c>
      <c r="I27" s="13">
        <v>25</v>
      </c>
      <c r="J27" s="13">
        <f>1.8*I27+32</f>
        <v>77</v>
      </c>
      <c r="K27" s="13">
        <v>9</v>
      </c>
      <c r="L27" s="13">
        <f>IF(J27&gt;68,K27+(J27-68)*0.2,K27-(68-J27)*0.2)</f>
        <v>10.8</v>
      </c>
      <c r="M27" s="13">
        <f>(C27-H27)/C27*100</f>
        <v>60.96</v>
      </c>
      <c r="N27" s="13">
        <f>100-(M27+O27)</f>
        <v>17.439999999999998</v>
      </c>
      <c r="O27" s="13">
        <f>L27/C27*100</f>
        <v>21.6</v>
      </c>
      <c r="P27" s="12" t="s">
        <v>3</v>
      </c>
      <c r="Q27" s="11">
        <v>409278.10639999999</v>
      </c>
      <c r="R27" s="11">
        <v>3659201.667467</v>
      </c>
      <c r="T27" s="14">
        <v>2011105</v>
      </c>
      <c r="U27" s="14" t="s">
        <v>324</v>
      </c>
      <c r="V27" s="14">
        <v>7.8460000000000002E-2</v>
      </c>
      <c r="W27" s="14">
        <v>0.41456999999999999</v>
      </c>
      <c r="X27" s="14">
        <v>2.0209999999999999E-2</v>
      </c>
      <c r="Y27" s="14">
        <v>1.32141</v>
      </c>
      <c r="Z27" s="14">
        <v>6.2005800000000004</v>
      </c>
      <c r="AA27" s="14">
        <v>5.72607</v>
      </c>
      <c r="AB27" s="14">
        <v>-1.33006</v>
      </c>
    </row>
    <row r="28" spans="1:28" x14ac:dyDescent="0.25">
      <c r="A28" s="16"/>
      <c r="B28" s="14" t="s">
        <v>2</v>
      </c>
      <c r="C28" s="15">
        <v>50</v>
      </c>
      <c r="D28" s="14">
        <v>20</v>
      </c>
      <c r="E28" s="13">
        <v>27</v>
      </c>
      <c r="F28" s="13">
        <f>1.8*E28+32</f>
        <v>80.599999999999994</v>
      </c>
      <c r="G28" s="13">
        <v>24</v>
      </c>
      <c r="H28" s="13">
        <f>IF(F28&gt;68,G28+(F28-68)*0.2,Y256-(68-F28)*0.2)</f>
        <v>26.52</v>
      </c>
      <c r="I28" s="13">
        <v>25</v>
      </c>
      <c r="J28" s="13">
        <f>1.8*I28+32</f>
        <v>77</v>
      </c>
      <c r="K28" s="13">
        <v>12</v>
      </c>
      <c r="L28" s="13">
        <f>IF(J28&gt;68,K28+(J28-68)*0.2,K28-(68-J28)*0.2)</f>
        <v>13.8</v>
      </c>
      <c r="M28" s="13">
        <f>(C28-H28)/C28*100</f>
        <v>46.96</v>
      </c>
      <c r="N28" s="13">
        <f>100-(M28+O28)</f>
        <v>25.439999999999998</v>
      </c>
      <c r="O28" s="13">
        <f>L28/C28*100</f>
        <v>27.6</v>
      </c>
      <c r="P28" s="12" t="s">
        <v>3</v>
      </c>
      <c r="Q28" s="11">
        <v>409278.10639999999</v>
      </c>
      <c r="R28" s="11">
        <v>3659201.667467</v>
      </c>
      <c r="T28" s="14">
        <v>2011105</v>
      </c>
      <c r="U28" s="14" t="s">
        <v>323</v>
      </c>
      <c r="V28" s="14">
        <v>8.0930000000000002E-2</v>
      </c>
      <c r="W28" s="14">
        <v>0.41097</v>
      </c>
      <c r="X28" s="14">
        <v>2.547E-2</v>
      </c>
      <c r="Y28" s="14">
        <v>1.25769</v>
      </c>
      <c r="Z28" s="14">
        <v>9.3511900000000008</v>
      </c>
      <c r="AA28" s="14">
        <v>6.75596</v>
      </c>
      <c r="AB28" s="14">
        <v>-2.05599</v>
      </c>
    </row>
    <row r="29" spans="1:28" x14ac:dyDescent="0.25">
      <c r="A29" s="16"/>
      <c r="B29" s="14" t="s">
        <v>1</v>
      </c>
      <c r="C29" s="15">
        <v>50</v>
      </c>
      <c r="D29" s="14">
        <v>20</v>
      </c>
      <c r="E29" s="13">
        <v>27</v>
      </c>
      <c r="F29" s="13">
        <f>1.8*E29+32</f>
        <v>80.599999999999994</v>
      </c>
      <c r="G29" s="13">
        <v>24</v>
      </c>
      <c r="H29" s="13">
        <f>IF(F29&gt;68,G29+(F29-68)*0.2,Y257-(68-F29)*0.2)</f>
        <v>26.52</v>
      </c>
      <c r="I29" s="13">
        <v>25</v>
      </c>
      <c r="J29" s="13">
        <f>1.8*I29+32</f>
        <v>77</v>
      </c>
      <c r="K29" s="13">
        <v>14</v>
      </c>
      <c r="L29" s="13">
        <f>IF(J29&gt;68,K29+(J29-68)*0.2,K29-(68-J29)*0.2)</f>
        <v>15.8</v>
      </c>
      <c r="M29" s="13">
        <f>(C29-H29)/C29*100</f>
        <v>46.96</v>
      </c>
      <c r="N29" s="13">
        <f>100-(M29+O29)</f>
        <v>21.439999999999998</v>
      </c>
      <c r="O29" s="13">
        <f>L29/C29*100</f>
        <v>31.6</v>
      </c>
      <c r="P29" s="12" t="s">
        <v>3</v>
      </c>
      <c r="Q29" s="11">
        <v>409278.10639999999</v>
      </c>
      <c r="R29" s="11">
        <v>3659201.667467</v>
      </c>
      <c r="T29" s="14">
        <v>2011105</v>
      </c>
      <c r="U29" s="14" t="s">
        <v>322</v>
      </c>
      <c r="V29" s="14">
        <v>7.7399999999999997E-2</v>
      </c>
      <c r="W29" s="14">
        <v>0.40500999999999998</v>
      </c>
      <c r="X29" s="14">
        <v>2.4209999999999999E-2</v>
      </c>
      <c r="Y29" s="14">
        <v>1.28467</v>
      </c>
      <c r="Z29" s="14">
        <v>8.2770700000000001</v>
      </c>
      <c r="AA29" s="14">
        <v>6.80837</v>
      </c>
      <c r="AB29" s="14">
        <v>-1.7401800000000001</v>
      </c>
    </row>
    <row r="30" spans="1:28" x14ac:dyDescent="0.25">
      <c r="T30" s="14">
        <v>2011105</v>
      </c>
      <c r="U30" s="14" t="s">
        <v>321</v>
      </c>
      <c r="V30" s="14">
        <v>6.6949999999999996E-2</v>
      </c>
      <c r="W30" s="14">
        <v>0.40681</v>
      </c>
      <c r="X30" s="14">
        <v>1.3849999999999999E-2</v>
      </c>
      <c r="Y30" s="14">
        <v>1.43164</v>
      </c>
      <c r="Z30" s="14">
        <v>8.4099900000000005</v>
      </c>
      <c r="AA30" s="14">
        <v>4.4483100000000002</v>
      </c>
      <c r="AB30" s="14">
        <v>-0.62763000000000002</v>
      </c>
    </row>
    <row r="31" spans="1:28" ht="51.75" x14ac:dyDescent="0.25">
      <c r="A31" s="19" t="s">
        <v>320</v>
      </c>
      <c r="B31" s="22" t="s">
        <v>26</v>
      </c>
      <c r="C31" s="26" t="s">
        <v>25</v>
      </c>
      <c r="D31" s="25" t="s">
        <v>24</v>
      </c>
      <c r="E31" s="24" t="s">
        <v>23</v>
      </c>
      <c r="F31" s="24" t="s">
        <v>22</v>
      </c>
      <c r="G31" s="24" t="s">
        <v>21</v>
      </c>
      <c r="H31" s="24" t="s">
        <v>20</v>
      </c>
      <c r="I31" s="24" t="s">
        <v>19</v>
      </c>
      <c r="J31" s="24" t="s">
        <v>18</v>
      </c>
      <c r="K31" s="24" t="s">
        <v>17</v>
      </c>
      <c r="L31" s="24" t="s">
        <v>16</v>
      </c>
      <c r="M31" s="23" t="s">
        <v>15</v>
      </c>
      <c r="N31" s="23" t="s">
        <v>14</v>
      </c>
      <c r="O31" s="23" t="s">
        <v>13</v>
      </c>
      <c r="P31" s="22" t="s">
        <v>12</v>
      </c>
      <c r="Q31" s="27" t="s">
        <v>11</v>
      </c>
      <c r="R31" s="27"/>
      <c r="T31" s="14">
        <v>2011105</v>
      </c>
      <c r="U31" s="14" t="s">
        <v>319</v>
      </c>
      <c r="V31" s="14">
        <v>6.9860000000000005E-2</v>
      </c>
      <c r="W31" s="14">
        <v>0.39102999999999999</v>
      </c>
      <c r="X31" s="14">
        <v>2.5590000000000002E-2</v>
      </c>
      <c r="Y31" s="14">
        <v>1.3057399999999999</v>
      </c>
      <c r="Z31" s="14">
        <v>11.384309999999999</v>
      </c>
      <c r="AA31" s="14">
        <v>7.9963899999999999</v>
      </c>
      <c r="AB31" s="14">
        <v>-1.6183700000000001</v>
      </c>
    </row>
    <row r="32" spans="1:28" x14ac:dyDescent="0.25">
      <c r="A32" s="20"/>
      <c r="B32" s="22"/>
      <c r="C32" s="26"/>
      <c r="D32" s="25"/>
      <c r="E32" s="24"/>
      <c r="F32" s="24"/>
      <c r="G32" s="24"/>
      <c r="H32" s="24"/>
      <c r="I32" s="24"/>
      <c r="J32" s="24"/>
      <c r="K32" s="24"/>
      <c r="L32" s="24"/>
      <c r="M32" s="23"/>
      <c r="N32" s="23"/>
      <c r="O32" s="23"/>
      <c r="P32" s="22"/>
      <c r="Q32" s="21" t="s">
        <v>10</v>
      </c>
      <c r="R32" s="21" t="s">
        <v>9</v>
      </c>
      <c r="T32" s="14">
        <v>2011105</v>
      </c>
      <c r="U32" s="14" t="s">
        <v>318</v>
      </c>
      <c r="V32" s="14">
        <v>8.7510000000000004E-2</v>
      </c>
      <c r="W32" s="14">
        <v>0.43836999999999998</v>
      </c>
      <c r="X32" s="14">
        <v>2.1590000000000002E-2</v>
      </c>
      <c r="Y32" s="14">
        <v>1.2651600000000001</v>
      </c>
      <c r="Z32" s="14">
        <v>7.2108100000000004</v>
      </c>
      <c r="AA32" s="14">
        <v>5.5063700000000004</v>
      </c>
      <c r="AB32" s="14">
        <v>-1.78542</v>
      </c>
    </row>
    <row r="33" spans="1:28" x14ac:dyDescent="0.25">
      <c r="A33" s="20"/>
      <c r="B33" s="14" t="s">
        <v>8</v>
      </c>
      <c r="C33" s="15">
        <v>50</v>
      </c>
      <c r="D33" s="14">
        <v>20</v>
      </c>
      <c r="E33" s="13">
        <v>27</v>
      </c>
      <c r="F33" s="13">
        <f>1.8*E33+32</f>
        <v>80.599999999999994</v>
      </c>
      <c r="G33" s="13">
        <v>16</v>
      </c>
      <c r="H33" s="13">
        <f>IF(F33&gt;68,G33+(F33-68)*0.2,Y261-(68-F33)*0.2)</f>
        <v>18.52</v>
      </c>
      <c r="I33" s="13">
        <v>25</v>
      </c>
      <c r="J33" s="13">
        <f>1.8*I33+32</f>
        <v>77</v>
      </c>
      <c r="K33" s="13">
        <v>8</v>
      </c>
      <c r="L33" s="13">
        <f>IF(J33&gt;68,K33+(J33-68)*0.2,K33-(68-J33)*0.2)</f>
        <v>9.8000000000000007</v>
      </c>
      <c r="M33" s="13">
        <f>(C33-H33)/C33*100</f>
        <v>62.960000000000008</v>
      </c>
      <c r="N33" s="13">
        <f>100-(M33+O33)</f>
        <v>17.439999999999998</v>
      </c>
      <c r="O33" s="13">
        <f>L33/C33*100</f>
        <v>19.600000000000001</v>
      </c>
      <c r="P33" s="12" t="s">
        <v>0</v>
      </c>
      <c r="Q33" s="11">
        <v>409278.10639999999</v>
      </c>
      <c r="R33" s="11">
        <v>3659215.367877</v>
      </c>
      <c r="T33" s="14">
        <v>2011105</v>
      </c>
      <c r="U33" s="14" t="s">
        <v>317</v>
      </c>
      <c r="V33" s="14">
        <v>7.9500000000000001E-2</v>
      </c>
      <c r="W33" s="14">
        <v>0.41776999999999997</v>
      </c>
      <c r="X33" s="14">
        <v>1.966E-2</v>
      </c>
      <c r="Y33" s="14">
        <v>1.3226500000000001</v>
      </c>
      <c r="Z33" s="14">
        <v>5.7967399999999998</v>
      </c>
      <c r="AA33" s="14">
        <v>5.4975100000000001</v>
      </c>
      <c r="AB33" s="14">
        <v>-1.2993600000000001</v>
      </c>
    </row>
    <row r="34" spans="1:28" x14ac:dyDescent="0.25">
      <c r="A34" s="19" t="s">
        <v>7</v>
      </c>
      <c r="B34" s="14" t="s">
        <v>6</v>
      </c>
      <c r="C34" s="15">
        <v>50</v>
      </c>
      <c r="D34" s="14">
        <v>20</v>
      </c>
      <c r="E34" s="13">
        <v>27</v>
      </c>
      <c r="F34" s="13">
        <f>1.8*E34+32</f>
        <v>80.599999999999994</v>
      </c>
      <c r="G34" s="13">
        <v>20</v>
      </c>
      <c r="H34" s="13">
        <f>IF(F34&gt;68,G34+(F34-68)*0.2,Y262-(68-F34)*0.2)</f>
        <v>22.52</v>
      </c>
      <c r="I34" s="13">
        <v>25</v>
      </c>
      <c r="J34" s="13">
        <f>1.8*I34+32</f>
        <v>77</v>
      </c>
      <c r="K34" s="13">
        <v>12</v>
      </c>
      <c r="L34" s="13">
        <f>IF(J34&gt;68,K34+(J34-68)*0.2,K34-(68-J34)*0.2)</f>
        <v>13.8</v>
      </c>
      <c r="M34" s="13">
        <f>(C34-H34)/C34*100</f>
        <v>54.96</v>
      </c>
      <c r="N34" s="13">
        <f>100-(M34+O34)</f>
        <v>17.439999999999998</v>
      </c>
      <c r="O34" s="13">
        <f>L34/C34*100</f>
        <v>27.6</v>
      </c>
      <c r="P34" s="12" t="s">
        <v>3</v>
      </c>
      <c r="Q34" s="11">
        <v>409278.10639999999</v>
      </c>
      <c r="R34" s="11">
        <v>3659215.367877</v>
      </c>
      <c r="T34" s="14">
        <v>2011105</v>
      </c>
      <c r="U34" s="14" t="s">
        <v>316</v>
      </c>
      <c r="V34" s="14">
        <v>6.1440000000000002E-2</v>
      </c>
      <c r="W34" s="14">
        <v>0.38185000000000002</v>
      </c>
      <c r="X34" s="14">
        <v>2.8119999999999999E-2</v>
      </c>
      <c r="Y34" s="14">
        <v>1.3350500000000001</v>
      </c>
      <c r="Z34" s="14">
        <v>18.272960000000001</v>
      </c>
      <c r="AA34" s="14">
        <v>10.23231</v>
      </c>
      <c r="AB34" s="14">
        <v>-1.4875499999999999</v>
      </c>
    </row>
    <row r="35" spans="1:28" x14ac:dyDescent="0.25">
      <c r="A35" s="18">
        <v>41451</v>
      </c>
      <c r="B35" s="14" t="s">
        <v>5</v>
      </c>
      <c r="C35" s="15">
        <v>50</v>
      </c>
      <c r="D35" s="14">
        <v>20</v>
      </c>
      <c r="E35" s="13">
        <v>26</v>
      </c>
      <c r="F35" s="13">
        <f>1.8*E35+32</f>
        <v>78.800000000000011</v>
      </c>
      <c r="G35" s="13">
        <v>26</v>
      </c>
      <c r="H35" s="13">
        <f>IF(F35&gt;68,G35+(F35-68)*0.2,Y263-(68-F35)*0.2)</f>
        <v>28.160000000000004</v>
      </c>
      <c r="I35" s="13">
        <v>24</v>
      </c>
      <c r="J35" s="13">
        <f>1.8*I35+32</f>
        <v>75.2</v>
      </c>
      <c r="K35" s="13">
        <v>11</v>
      </c>
      <c r="L35" s="13">
        <f>IF(J35&gt;68,K35+(J35-68)*0.2,K35-(68-J35)*0.2)</f>
        <v>12.440000000000001</v>
      </c>
      <c r="M35" s="13">
        <f>(C35-H35)/C35*100</f>
        <v>43.679999999999993</v>
      </c>
      <c r="N35" s="13">
        <f>100-(M35+O35)</f>
        <v>31.439999999999998</v>
      </c>
      <c r="O35" s="13">
        <f>L35/C35*100</f>
        <v>24.880000000000003</v>
      </c>
      <c r="P35" s="12" t="s">
        <v>30</v>
      </c>
      <c r="Q35" s="11">
        <v>409278.10639999999</v>
      </c>
      <c r="R35" s="11">
        <v>3659215.367877</v>
      </c>
      <c r="T35" s="14">
        <v>2011105</v>
      </c>
      <c r="U35" s="14" t="s">
        <v>315</v>
      </c>
      <c r="V35" s="14">
        <v>5.926E-2</v>
      </c>
      <c r="W35" s="14">
        <v>0.37645000000000001</v>
      </c>
      <c r="X35" s="14">
        <v>2.913E-2</v>
      </c>
      <c r="Y35" s="14">
        <v>1.35968</v>
      </c>
      <c r="Z35" s="14">
        <v>22.63475</v>
      </c>
      <c r="AA35" s="14">
        <v>11.138019999999999</v>
      </c>
      <c r="AB35" s="14">
        <v>-1.4098999999999999</v>
      </c>
    </row>
    <row r="36" spans="1:28" x14ac:dyDescent="0.25">
      <c r="A36" s="17"/>
      <c r="B36" s="14" t="s">
        <v>4</v>
      </c>
      <c r="C36" s="15">
        <v>50</v>
      </c>
      <c r="D36" s="14">
        <v>20</v>
      </c>
      <c r="E36" s="13">
        <v>26</v>
      </c>
      <c r="F36" s="13">
        <f>1.8*E36+32</f>
        <v>78.800000000000011</v>
      </c>
      <c r="G36" s="13">
        <v>26</v>
      </c>
      <c r="H36" s="13">
        <f>IF(F36&gt;68,G36+(F36-68)*0.2,Y264-(68-F36)*0.2)</f>
        <v>28.160000000000004</v>
      </c>
      <c r="I36" s="13">
        <v>24</v>
      </c>
      <c r="J36" s="13">
        <f>1.8*I36+32</f>
        <v>75.2</v>
      </c>
      <c r="K36" s="13">
        <v>15</v>
      </c>
      <c r="L36" s="13">
        <f>IF(J36&gt;68,K36+(J36-68)*0.2,K36-(68-J36)*0.2)</f>
        <v>16.440000000000001</v>
      </c>
      <c r="M36" s="13">
        <f>(C36-H36)/C36*100</f>
        <v>43.679999999999993</v>
      </c>
      <c r="N36" s="13">
        <f>100-(M36+O36)</f>
        <v>23.439999999999998</v>
      </c>
      <c r="O36" s="13">
        <f>L36/C36*100</f>
        <v>32.880000000000003</v>
      </c>
      <c r="P36" s="12" t="s">
        <v>30</v>
      </c>
      <c r="Q36" s="11">
        <v>409278.10639999999</v>
      </c>
      <c r="R36" s="11">
        <v>3659215.367877</v>
      </c>
      <c r="T36" s="14">
        <v>2011105</v>
      </c>
      <c r="U36" s="14" t="s">
        <v>314</v>
      </c>
      <c r="V36" s="14">
        <v>6.4530000000000004E-2</v>
      </c>
      <c r="W36" s="14">
        <v>0.38679000000000002</v>
      </c>
      <c r="X36" s="14">
        <v>2.6349999999999998E-2</v>
      </c>
      <c r="Y36" s="14">
        <v>1.3281700000000001</v>
      </c>
      <c r="Z36" s="14">
        <v>14.888859999999999</v>
      </c>
      <c r="AA36" s="14">
        <v>9.1028000000000002</v>
      </c>
      <c r="AB36" s="14">
        <v>-1.4809600000000001</v>
      </c>
    </row>
    <row r="37" spans="1:28" x14ac:dyDescent="0.25">
      <c r="A37" s="16"/>
      <c r="B37" s="14" t="s">
        <v>2</v>
      </c>
      <c r="C37" s="15">
        <v>50</v>
      </c>
      <c r="D37" s="14">
        <v>20</v>
      </c>
      <c r="E37" s="13">
        <v>27</v>
      </c>
      <c r="F37" s="13">
        <f>1.8*E37+32</f>
        <v>80.599999999999994</v>
      </c>
      <c r="G37" s="13">
        <v>24</v>
      </c>
      <c r="H37" s="13">
        <f>IF(F37&gt;68,G37+(F37-68)*0.2,Y265-(68-F37)*0.2)</f>
        <v>26.52</v>
      </c>
      <c r="I37" s="13">
        <v>25</v>
      </c>
      <c r="J37" s="13">
        <f>1.8*I37+32</f>
        <v>77</v>
      </c>
      <c r="K37" s="13">
        <v>17</v>
      </c>
      <c r="L37" s="13">
        <f>IF(J37&gt;68,K37+(J37-68)*0.2,K37-(68-J37)*0.2)</f>
        <v>18.8</v>
      </c>
      <c r="M37" s="13">
        <f>(C37-H37)/C37*100</f>
        <v>46.96</v>
      </c>
      <c r="N37" s="13">
        <f>100-(M37+O37)</f>
        <v>15.439999999999998</v>
      </c>
      <c r="O37" s="13">
        <f>L37/C37*100</f>
        <v>37.6</v>
      </c>
      <c r="P37" s="12" t="s">
        <v>3</v>
      </c>
      <c r="Q37" s="11">
        <v>409278.10639999999</v>
      </c>
      <c r="R37" s="11">
        <v>3659215.367877</v>
      </c>
      <c r="T37" s="14">
        <v>2011105</v>
      </c>
      <c r="U37" s="14" t="s">
        <v>313</v>
      </c>
      <c r="V37" s="14">
        <v>6.7790000000000003E-2</v>
      </c>
      <c r="W37" s="14">
        <v>0.3921</v>
      </c>
      <c r="X37" s="14">
        <v>2.4590000000000001E-2</v>
      </c>
      <c r="Y37" s="14">
        <v>1.32637</v>
      </c>
      <c r="Z37" s="14">
        <v>12.10993</v>
      </c>
      <c r="AA37" s="14">
        <v>8.0870099999999994</v>
      </c>
      <c r="AB37" s="14">
        <v>-1.44615</v>
      </c>
    </row>
    <row r="38" spans="1:28" x14ac:dyDescent="0.25">
      <c r="A38" s="16"/>
      <c r="B38" s="14" t="s">
        <v>1</v>
      </c>
      <c r="C38" s="15">
        <v>50</v>
      </c>
      <c r="D38" s="14">
        <v>20</v>
      </c>
      <c r="E38" s="13">
        <v>27</v>
      </c>
      <c r="F38" s="13">
        <f>1.8*E38+32</f>
        <v>80.599999999999994</v>
      </c>
      <c r="G38" s="13">
        <v>23</v>
      </c>
      <c r="H38" s="13">
        <f>IF(F38&gt;68,G38+(F38-68)*0.2,Y266-(68-F38)*0.2)</f>
        <v>25.52</v>
      </c>
      <c r="I38" s="13">
        <v>25</v>
      </c>
      <c r="J38" s="13">
        <f>1.8*I38+32</f>
        <v>77</v>
      </c>
      <c r="K38" s="13">
        <v>15</v>
      </c>
      <c r="L38" s="13">
        <f>IF(J38&gt;68,K38+(J38-68)*0.2,K38-(68-J38)*0.2)</f>
        <v>16.8</v>
      </c>
      <c r="M38" s="13">
        <f>(C38-H38)/C38*100</f>
        <v>48.96</v>
      </c>
      <c r="N38" s="13">
        <f>100-(M38+O38)</f>
        <v>17.439999999999998</v>
      </c>
      <c r="O38" s="13">
        <f>L38/C38*100</f>
        <v>33.6</v>
      </c>
      <c r="P38" s="12" t="s">
        <v>3</v>
      </c>
      <c r="Q38" s="11">
        <v>409278.10639999999</v>
      </c>
      <c r="R38" s="11">
        <v>3659215.367877</v>
      </c>
      <c r="T38" s="14">
        <v>2011105</v>
      </c>
      <c r="U38" s="14" t="s">
        <v>312</v>
      </c>
      <c r="V38" s="14">
        <v>7.1069999999999994E-2</v>
      </c>
      <c r="W38" s="14">
        <v>0.39842</v>
      </c>
      <c r="X38" s="14">
        <v>2.2800000000000001E-2</v>
      </c>
      <c r="Y38" s="14">
        <v>1.3279000000000001</v>
      </c>
      <c r="Z38" s="14">
        <v>9.7632899999999996</v>
      </c>
      <c r="AA38" s="14">
        <v>7.1566700000000001</v>
      </c>
      <c r="AB38" s="14">
        <v>-1.38575</v>
      </c>
    </row>
    <row r="39" spans="1:28" x14ac:dyDescent="0.25">
      <c r="T39" s="14">
        <v>2011105</v>
      </c>
      <c r="U39" s="14" t="s">
        <v>311</v>
      </c>
      <c r="V39" s="14">
        <v>6.9889999999999994E-2</v>
      </c>
      <c r="W39" s="14">
        <v>0.40388000000000002</v>
      </c>
      <c r="X39" s="14">
        <v>1.8720000000000001E-2</v>
      </c>
      <c r="Y39" s="14">
        <v>1.37232</v>
      </c>
      <c r="Z39" s="14">
        <v>9.1985499999999991</v>
      </c>
      <c r="AA39" s="14">
        <v>5.9957700000000003</v>
      </c>
      <c r="AB39" s="14">
        <v>-1.0314700000000001</v>
      </c>
    </row>
    <row r="40" spans="1:28" ht="51.75" x14ac:dyDescent="0.25">
      <c r="A40" s="19" t="s">
        <v>310</v>
      </c>
      <c r="B40" s="22" t="s">
        <v>26</v>
      </c>
      <c r="C40" s="26" t="s">
        <v>25</v>
      </c>
      <c r="D40" s="25" t="s">
        <v>24</v>
      </c>
      <c r="E40" s="24" t="s">
        <v>23</v>
      </c>
      <c r="F40" s="24" t="s">
        <v>22</v>
      </c>
      <c r="G40" s="24" t="s">
        <v>21</v>
      </c>
      <c r="H40" s="24" t="s">
        <v>20</v>
      </c>
      <c r="I40" s="24" t="s">
        <v>19</v>
      </c>
      <c r="J40" s="24" t="s">
        <v>18</v>
      </c>
      <c r="K40" s="24" t="s">
        <v>17</v>
      </c>
      <c r="L40" s="24" t="s">
        <v>16</v>
      </c>
      <c r="M40" s="23" t="s">
        <v>15</v>
      </c>
      <c r="N40" s="23" t="s">
        <v>14</v>
      </c>
      <c r="O40" s="23" t="s">
        <v>13</v>
      </c>
      <c r="P40" s="22" t="s">
        <v>12</v>
      </c>
      <c r="Q40" s="27" t="s">
        <v>11</v>
      </c>
      <c r="R40" s="27"/>
      <c r="T40" s="14">
        <v>2011105</v>
      </c>
      <c r="U40" s="14" t="s">
        <v>309</v>
      </c>
      <c r="V40" s="14">
        <v>7.6980000000000007E-2</v>
      </c>
      <c r="W40" s="14">
        <v>0.41149000000000002</v>
      </c>
      <c r="X40" s="14">
        <v>2.0299999999999999E-2</v>
      </c>
      <c r="Y40" s="14">
        <v>1.32711</v>
      </c>
      <c r="Z40" s="14">
        <v>6.6588700000000003</v>
      </c>
      <c r="AA40" s="14">
        <v>5.8702100000000002</v>
      </c>
      <c r="AB40" s="14">
        <v>-1.30355</v>
      </c>
    </row>
    <row r="41" spans="1:28" x14ac:dyDescent="0.25">
      <c r="A41" s="20"/>
      <c r="B41" s="22"/>
      <c r="C41" s="26"/>
      <c r="D41" s="25"/>
      <c r="E41" s="24"/>
      <c r="F41" s="24"/>
      <c r="G41" s="24"/>
      <c r="H41" s="24"/>
      <c r="I41" s="24"/>
      <c r="J41" s="24"/>
      <c r="K41" s="24"/>
      <c r="L41" s="24"/>
      <c r="M41" s="23"/>
      <c r="N41" s="23"/>
      <c r="O41" s="23"/>
      <c r="P41" s="22"/>
      <c r="Q41" s="21" t="s">
        <v>10</v>
      </c>
      <c r="R41" s="21" t="s">
        <v>9</v>
      </c>
      <c r="T41" s="14">
        <v>2011105</v>
      </c>
      <c r="U41" s="14" t="s">
        <v>308</v>
      </c>
      <c r="V41" s="14">
        <v>6.1440000000000002E-2</v>
      </c>
      <c r="W41" s="14">
        <v>0.38100000000000001</v>
      </c>
      <c r="X41" s="14">
        <v>2.8289999999999999E-2</v>
      </c>
      <c r="Y41" s="14">
        <v>1.33463</v>
      </c>
      <c r="Z41" s="14">
        <v>18.41217</v>
      </c>
      <c r="AA41" s="14">
        <v>10.267139999999999</v>
      </c>
      <c r="AB41" s="14">
        <v>-1.49739</v>
      </c>
    </row>
    <row r="42" spans="1:28" x14ac:dyDescent="0.25">
      <c r="A42" s="20"/>
      <c r="B42" s="14" t="s">
        <v>8</v>
      </c>
      <c r="C42" s="15">
        <v>50</v>
      </c>
      <c r="D42" s="14">
        <v>20</v>
      </c>
      <c r="E42" s="13">
        <v>26</v>
      </c>
      <c r="F42" s="13">
        <f>1.8*E42+32</f>
        <v>78.800000000000011</v>
      </c>
      <c r="G42" s="13">
        <v>26</v>
      </c>
      <c r="H42" s="13">
        <f>IF(F42&gt;68,G42+(F42-68)*0.2,Y270-(68-F42)*0.2)</f>
        <v>28.160000000000004</v>
      </c>
      <c r="I42" s="13">
        <v>24</v>
      </c>
      <c r="J42" s="13">
        <f>1.8*I42+32</f>
        <v>75.2</v>
      </c>
      <c r="K42" s="13">
        <v>10</v>
      </c>
      <c r="L42" s="13">
        <f>IF(J42&gt;68,K42+(J42-68)*0.2,K42-(68-J42)*0.2)</f>
        <v>11.440000000000001</v>
      </c>
      <c r="M42" s="13">
        <f>(C42-H42)/C42*100</f>
        <v>43.679999999999993</v>
      </c>
      <c r="N42" s="13">
        <f>100-(M42+O42)</f>
        <v>33.44</v>
      </c>
      <c r="O42" s="13">
        <f>L42/C42*100</f>
        <v>22.880000000000003</v>
      </c>
      <c r="P42" s="12" t="s">
        <v>307</v>
      </c>
      <c r="Q42" s="11">
        <v>409278.10639999999</v>
      </c>
      <c r="R42" s="11">
        <v>3659224.5359789999</v>
      </c>
      <c r="T42" s="14">
        <v>2011105</v>
      </c>
      <c r="U42" s="14" t="s">
        <v>306</v>
      </c>
      <c r="V42" s="14">
        <v>6.4350000000000004E-2</v>
      </c>
      <c r="W42" s="14">
        <v>0.38512999999999997</v>
      </c>
      <c r="X42" s="14">
        <v>2.6919999999999999E-2</v>
      </c>
      <c r="Y42" s="14">
        <v>1.3245899999999999</v>
      </c>
      <c r="Z42" s="14">
        <v>15.24859</v>
      </c>
      <c r="AA42" s="14">
        <v>9.2717799999999997</v>
      </c>
      <c r="AB42" s="14">
        <v>-1.5208900000000001</v>
      </c>
    </row>
    <row r="43" spans="1:28" x14ac:dyDescent="0.25">
      <c r="A43" s="19" t="s">
        <v>7</v>
      </c>
      <c r="B43" s="14" t="s">
        <v>6</v>
      </c>
      <c r="C43" s="15">
        <v>50</v>
      </c>
      <c r="D43" s="14">
        <v>20</v>
      </c>
      <c r="E43" s="13">
        <v>25</v>
      </c>
      <c r="F43" s="13">
        <f>1.8*E43+32</f>
        <v>77</v>
      </c>
      <c r="G43" s="13">
        <v>20</v>
      </c>
      <c r="H43" s="13">
        <f>IF(F43&gt;68,G43+(F43-68)*0.2,Y271-(68-F43)*0.2)</f>
        <v>21.8</v>
      </c>
      <c r="I43" s="13">
        <v>25</v>
      </c>
      <c r="J43" s="13">
        <f>1.8*I43+32</f>
        <v>77</v>
      </c>
      <c r="K43" s="13">
        <v>12</v>
      </c>
      <c r="L43" s="13">
        <f>IF(J43&gt;68,K43+(J43-68)*0.2,K43-(68-J43)*0.2)</f>
        <v>13.8</v>
      </c>
      <c r="M43" s="13">
        <f>(C43-H43)/C43*100</f>
        <v>56.399999999999991</v>
      </c>
      <c r="N43" s="13">
        <f>100-(M43+O43)</f>
        <v>16</v>
      </c>
      <c r="O43" s="13">
        <f>L43/C43*100</f>
        <v>27.6</v>
      </c>
      <c r="P43" s="12" t="s">
        <v>3</v>
      </c>
      <c r="Q43" s="11">
        <v>409278.10639999999</v>
      </c>
      <c r="R43" s="11">
        <v>3659224.5359789999</v>
      </c>
      <c r="T43" s="14">
        <v>2011105</v>
      </c>
      <c r="U43" s="14" t="s">
        <v>305</v>
      </c>
      <c r="V43" s="14">
        <v>6.4170000000000005E-2</v>
      </c>
      <c r="W43" s="14">
        <v>0.38255</v>
      </c>
      <c r="X43" s="14">
        <v>2.7560000000000001E-2</v>
      </c>
      <c r="Y43" s="14">
        <v>1.3205</v>
      </c>
      <c r="Z43" s="14">
        <v>15.69645</v>
      </c>
      <c r="AA43" s="14">
        <v>9.42624</v>
      </c>
      <c r="AB43" s="14">
        <v>-1.5696399999999999</v>
      </c>
    </row>
    <row r="44" spans="1:28" x14ac:dyDescent="0.25">
      <c r="A44" s="18">
        <v>41451</v>
      </c>
      <c r="B44" s="14" t="s">
        <v>5</v>
      </c>
      <c r="C44" s="15">
        <v>50</v>
      </c>
      <c r="D44" s="14">
        <v>20</v>
      </c>
      <c r="E44" s="13">
        <v>26</v>
      </c>
      <c r="F44" s="13">
        <f>1.8*E44+32</f>
        <v>78.800000000000011</v>
      </c>
      <c r="G44" s="13">
        <v>30</v>
      </c>
      <c r="H44" s="13">
        <f>IF(F44&gt;68,G44+(F44-68)*0.2,Y272-(68-F44)*0.2)</f>
        <v>32.160000000000004</v>
      </c>
      <c r="I44" s="13">
        <v>24</v>
      </c>
      <c r="J44" s="13">
        <f>1.8*I44+32</f>
        <v>75.2</v>
      </c>
      <c r="K44" s="13">
        <v>20</v>
      </c>
      <c r="L44" s="13">
        <f>IF(J44&gt;68,K44+(J44-68)*0.2,K44-(68-J44)*0.2)</f>
        <v>21.44</v>
      </c>
      <c r="M44" s="13">
        <f>(C44-H44)/C44*100</f>
        <v>35.679999999999993</v>
      </c>
      <c r="N44" s="13">
        <f>100-(M44+O44)</f>
        <v>21.439999999999998</v>
      </c>
      <c r="O44" s="13">
        <f>L44/C44*100</f>
        <v>42.88</v>
      </c>
      <c r="P44" s="12" t="s">
        <v>36</v>
      </c>
      <c r="Q44" s="11">
        <v>409278.10639999999</v>
      </c>
      <c r="R44" s="11">
        <v>3659224.5359789999</v>
      </c>
      <c r="T44" s="14">
        <v>2011105</v>
      </c>
      <c r="U44" s="14" t="s">
        <v>304</v>
      </c>
      <c r="V44" s="14">
        <v>7.0199999999999999E-2</v>
      </c>
      <c r="W44" s="14">
        <v>0.39324999999999999</v>
      </c>
      <c r="X44" s="14">
        <v>2.4840000000000001E-2</v>
      </c>
      <c r="Y44" s="14">
        <v>1.31175</v>
      </c>
      <c r="Z44" s="14">
        <v>10.88499</v>
      </c>
      <c r="AA44" s="14">
        <v>7.7904299999999997</v>
      </c>
      <c r="AB44" s="14">
        <v>-1.5522899999999999</v>
      </c>
    </row>
    <row r="45" spans="1:28" x14ac:dyDescent="0.25">
      <c r="A45" s="17"/>
      <c r="B45" s="14" t="s">
        <v>4</v>
      </c>
      <c r="C45" s="15">
        <v>50</v>
      </c>
      <c r="D45" s="14">
        <v>20</v>
      </c>
      <c r="E45" s="13">
        <v>28</v>
      </c>
      <c r="F45" s="13">
        <f>1.8*E45+32</f>
        <v>82.4</v>
      </c>
      <c r="G45" s="13">
        <v>26</v>
      </c>
      <c r="H45" s="13">
        <f>IF(F45&gt;68,G45+(F45-68)*0.2,Y273-(68-F45)*0.2)</f>
        <v>28.880000000000003</v>
      </c>
      <c r="I45" s="13">
        <v>25</v>
      </c>
      <c r="J45" s="13">
        <f>1.8*I45+32</f>
        <v>77</v>
      </c>
      <c r="K45" s="13">
        <v>15</v>
      </c>
      <c r="L45" s="13">
        <f>IF(J45&gt;68,K45+(J45-68)*0.2,K45-(68-J45)*0.2)</f>
        <v>16.8</v>
      </c>
      <c r="M45" s="13">
        <f>(C45-H45)/C45*100</f>
        <v>42.239999999999995</v>
      </c>
      <c r="N45" s="13">
        <f>100-(M45+O45)</f>
        <v>24.159999999999997</v>
      </c>
      <c r="O45" s="13">
        <f>L45/C45*100</f>
        <v>33.6</v>
      </c>
      <c r="P45" s="12" t="s">
        <v>30</v>
      </c>
      <c r="Q45" s="11">
        <v>409278.10639999999</v>
      </c>
      <c r="R45" s="11">
        <v>3659224.5359789999</v>
      </c>
      <c r="T45" s="14">
        <v>2011105</v>
      </c>
      <c r="U45" s="14" t="s">
        <v>303</v>
      </c>
      <c r="V45" s="14">
        <v>7.7399999999999997E-2</v>
      </c>
      <c r="W45" s="14">
        <v>0.40500999999999998</v>
      </c>
      <c r="X45" s="14">
        <v>2.4209999999999999E-2</v>
      </c>
      <c r="Y45" s="14">
        <v>1.28467</v>
      </c>
      <c r="Z45" s="14">
        <v>8.2770700000000001</v>
      </c>
      <c r="AA45" s="14">
        <v>6.80837</v>
      </c>
      <c r="AB45" s="14">
        <v>-1.7401800000000001</v>
      </c>
    </row>
    <row r="46" spans="1:28" x14ac:dyDescent="0.25">
      <c r="A46" s="16"/>
      <c r="B46" s="14" t="s">
        <v>2</v>
      </c>
      <c r="C46" s="15">
        <v>50</v>
      </c>
      <c r="D46" s="14">
        <v>20</v>
      </c>
      <c r="E46" s="13">
        <v>28</v>
      </c>
      <c r="F46" s="13">
        <f>1.8*E46+32</f>
        <v>82.4</v>
      </c>
      <c r="G46" s="13">
        <v>15</v>
      </c>
      <c r="H46" s="13">
        <f>IF(F46&gt;68,G46+(F46-68)*0.2,Y274-(68-F46)*0.2)</f>
        <v>17.880000000000003</v>
      </c>
      <c r="I46" s="13">
        <v>25</v>
      </c>
      <c r="J46" s="13">
        <f>1.8*I46+32</f>
        <v>77</v>
      </c>
      <c r="K46" s="13">
        <v>9</v>
      </c>
      <c r="L46" s="13">
        <f>IF(J46&gt;68,K46+(J46-68)*0.2,K46-(68-J46)*0.2)</f>
        <v>10.8</v>
      </c>
      <c r="M46" s="13">
        <f>(C46-H46)/C46*100</f>
        <v>64.239999999999995</v>
      </c>
      <c r="N46" s="13">
        <f>100-(M46+O46)</f>
        <v>14.159999999999997</v>
      </c>
      <c r="O46" s="13">
        <f>L46/C46*100</f>
        <v>21.6</v>
      </c>
      <c r="P46" s="12" t="s">
        <v>3</v>
      </c>
      <c r="Q46" s="11">
        <v>409278.10639999999</v>
      </c>
      <c r="R46" s="11">
        <v>3659224.5359789999</v>
      </c>
      <c r="T46" s="14">
        <v>2011105</v>
      </c>
      <c r="U46" s="14" t="s">
        <v>302</v>
      </c>
      <c r="V46" s="14">
        <v>7.2749999999999995E-2</v>
      </c>
      <c r="W46" s="14">
        <v>0.39672000000000002</v>
      </c>
      <c r="X46" s="14">
        <v>2.4510000000000001E-2</v>
      </c>
      <c r="Y46" s="14">
        <v>1.3026599999999999</v>
      </c>
      <c r="Z46" s="14">
        <v>9.65794</v>
      </c>
      <c r="AA46" s="14">
        <v>7.3755600000000001</v>
      </c>
      <c r="AB46" s="14">
        <v>-1.60809</v>
      </c>
    </row>
    <row r="47" spans="1:28" x14ac:dyDescent="0.25">
      <c r="A47" s="16"/>
      <c r="B47" s="14" t="s">
        <v>1</v>
      </c>
      <c r="C47" s="15">
        <v>50</v>
      </c>
      <c r="D47" s="14">
        <v>20</v>
      </c>
      <c r="E47" s="13">
        <v>28</v>
      </c>
      <c r="F47" s="13">
        <f>1.8*E47+32</f>
        <v>82.4</v>
      </c>
      <c r="G47" s="13">
        <v>12</v>
      </c>
      <c r="H47" s="13">
        <f>IF(F47&gt;68,G47+(F47-68)*0.2,Y275-(68-F47)*0.2)</f>
        <v>14.88</v>
      </c>
      <c r="I47" s="13">
        <v>25</v>
      </c>
      <c r="J47" s="13">
        <f>1.8*I47+32</f>
        <v>77</v>
      </c>
      <c r="K47" s="13">
        <v>8</v>
      </c>
      <c r="L47" s="13">
        <f>IF(J47&gt;68,K47+(J47-68)*0.2,K47-(68-J47)*0.2)</f>
        <v>9.8000000000000007</v>
      </c>
      <c r="M47" s="13">
        <f>(C47-H47)/C47*100</f>
        <v>70.239999999999995</v>
      </c>
      <c r="N47" s="13">
        <f>100-(M47+O47)</f>
        <v>10.159999999999997</v>
      </c>
      <c r="O47" s="13">
        <f>L47/C47*100</f>
        <v>19.600000000000001</v>
      </c>
      <c r="P47" s="12" t="s">
        <v>0</v>
      </c>
      <c r="Q47" s="11">
        <v>409278.10639999999</v>
      </c>
      <c r="R47" s="11">
        <v>3659224.5359789999</v>
      </c>
      <c r="T47" s="14">
        <v>2011105</v>
      </c>
      <c r="U47" s="14" t="s">
        <v>301</v>
      </c>
      <c r="V47" s="14">
        <v>6.5019999999999994E-2</v>
      </c>
      <c r="W47" s="14">
        <v>0.39034000000000002</v>
      </c>
      <c r="X47" s="14">
        <v>2.479E-2</v>
      </c>
      <c r="Y47" s="14">
        <v>1.33805</v>
      </c>
      <c r="Z47" s="14">
        <v>13.955880000000001</v>
      </c>
      <c r="AA47" s="14">
        <v>8.5828000000000007</v>
      </c>
      <c r="AB47" s="14">
        <v>-1.3775299999999999</v>
      </c>
    </row>
    <row r="48" spans="1:28" x14ac:dyDescent="0.25">
      <c r="T48" s="14">
        <v>2011105</v>
      </c>
      <c r="U48" s="14" t="s">
        <v>300</v>
      </c>
      <c r="V48" s="14">
        <v>6.2899999999999998E-2</v>
      </c>
      <c r="W48" s="14">
        <v>0.38928000000000001</v>
      </c>
      <c r="X48" s="14">
        <v>2.4989999999999998E-2</v>
      </c>
      <c r="Y48" s="14">
        <v>1.3462700000000001</v>
      </c>
      <c r="Z48" s="14">
        <v>15.53904</v>
      </c>
      <c r="AA48" s="14">
        <v>9.0044500000000003</v>
      </c>
      <c r="AB48" s="14">
        <v>-1.3320399999999999</v>
      </c>
    </row>
    <row r="49" spans="1:28" ht="51.75" x14ac:dyDescent="0.25">
      <c r="A49" s="19" t="s">
        <v>299</v>
      </c>
      <c r="B49" s="22" t="s">
        <v>26</v>
      </c>
      <c r="C49" s="26" t="s">
        <v>25</v>
      </c>
      <c r="D49" s="25" t="s">
        <v>24</v>
      </c>
      <c r="E49" s="24" t="s">
        <v>23</v>
      </c>
      <c r="F49" s="24" t="s">
        <v>22</v>
      </c>
      <c r="G49" s="24" t="s">
        <v>21</v>
      </c>
      <c r="H49" s="24" t="s">
        <v>20</v>
      </c>
      <c r="I49" s="24" t="s">
        <v>19</v>
      </c>
      <c r="J49" s="24" t="s">
        <v>18</v>
      </c>
      <c r="K49" s="24" t="s">
        <v>17</v>
      </c>
      <c r="L49" s="24" t="s">
        <v>16</v>
      </c>
      <c r="M49" s="23" t="s">
        <v>15</v>
      </c>
      <c r="N49" s="23" t="s">
        <v>14</v>
      </c>
      <c r="O49" s="23" t="s">
        <v>13</v>
      </c>
      <c r="P49" s="22" t="s">
        <v>12</v>
      </c>
      <c r="Q49" s="27" t="s">
        <v>11</v>
      </c>
      <c r="R49" s="27"/>
      <c r="T49" s="14">
        <v>2011105</v>
      </c>
      <c r="U49" s="14" t="s">
        <v>298</v>
      </c>
      <c r="V49" s="14">
        <v>5.6250000000000001E-2</v>
      </c>
      <c r="W49" s="14">
        <v>0.38377</v>
      </c>
      <c r="X49" s="14">
        <v>2.8400000000000002E-2</v>
      </c>
      <c r="Y49" s="14">
        <v>1.3609199999999999</v>
      </c>
      <c r="Z49" s="14">
        <v>23.256460000000001</v>
      </c>
      <c r="AA49" s="14">
        <v>11.64636</v>
      </c>
      <c r="AB49" s="14">
        <v>-1.32684</v>
      </c>
    </row>
    <row r="50" spans="1:28" x14ac:dyDescent="0.25">
      <c r="A50" s="20"/>
      <c r="B50" s="22"/>
      <c r="C50" s="26"/>
      <c r="D50" s="25"/>
      <c r="E50" s="24"/>
      <c r="F50" s="24"/>
      <c r="G50" s="24"/>
      <c r="H50" s="24"/>
      <c r="I50" s="24"/>
      <c r="J50" s="24"/>
      <c r="K50" s="24"/>
      <c r="L50" s="24"/>
      <c r="M50" s="23"/>
      <c r="N50" s="23"/>
      <c r="O50" s="23"/>
      <c r="P50" s="22"/>
      <c r="Q50" s="21" t="s">
        <v>10</v>
      </c>
      <c r="R50" s="21" t="s">
        <v>9</v>
      </c>
      <c r="T50" s="14">
        <v>2011105</v>
      </c>
      <c r="U50" s="14" t="s">
        <v>297</v>
      </c>
      <c r="V50" s="14">
        <v>6.6949999999999996E-2</v>
      </c>
      <c r="W50" s="14">
        <v>0.39728000000000002</v>
      </c>
      <c r="X50" s="14">
        <v>2.1260000000000001E-2</v>
      </c>
      <c r="Y50" s="14">
        <v>1.35924</v>
      </c>
      <c r="Z50" s="14">
        <v>11.545959999999999</v>
      </c>
      <c r="AA50" s="14">
        <v>7.1695000000000002</v>
      </c>
      <c r="AB50" s="14">
        <v>-1.1674500000000001</v>
      </c>
    </row>
    <row r="51" spans="1:28" x14ac:dyDescent="0.25">
      <c r="A51" s="20"/>
      <c r="B51" s="14" t="s">
        <v>8</v>
      </c>
      <c r="C51" s="15">
        <v>50</v>
      </c>
      <c r="D51" s="14">
        <v>20</v>
      </c>
      <c r="E51" s="13">
        <v>26</v>
      </c>
      <c r="F51" s="13">
        <f>1.8*E51+32</f>
        <v>78.800000000000011</v>
      </c>
      <c r="G51" s="13">
        <v>18</v>
      </c>
      <c r="H51" s="13">
        <f>IF(F51&gt;68,G51+(F51-68)*0.2,Y279-(68-F51)*0.2)</f>
        <v>20.160000000000004</v>
      </c>
      <c r="I51" s="13">
        <v>25</v>
      </c>
      <c r="J51" s="13">
        <f>1.8*I51+32</f>
        <v>77</v>
      </c>
      <c r="K51" s="13">
        <v>10</v>
      </c>
      <c r="L51" s="13">
        <f>IF(J51&gt;68,K51+(J51-68)*0.2,K51-(68-J51)*0.2)</f>
        <v>11.8</v>
      </c>
      <c r="M51" s="13">
        <f>(C51-H51)/C51*100</f>
        <v>59.679999999999986</v>
      </c>
      <c r="N51" s="13">
        <f>100-(M51+O51)</f>
        <v>16.720000000000013</v>
      </c>
      <c r="O51" s="13">
        <f>L51/C51*100</f>
        <v>23.6</v>
      </c>
      <c r="P51" s="12" t="s">
        <v>3</v>
      </c>
      <c r="Q51" s="11">
        <v>409286.23440000002</v>
      </c>
      <c r="R51" s="11">
        <v>3659224.5359789999</v>
      </c>
      <c r="T51" s="14">
        <v>2011105</v>
      </c>
      <c r="U51" s="14" t="s">
        <v>296</v>
      </c>
      <c r="V51" s="14">
        <v>7.2779999999999997E-2</v>
      </c>
      <c r="W51" s="14">
        <v>0.40486</v>
      </c>
      <c r="X51" s="14">
        <v>2.0330000000000001E-2</v>
      </c>
      <c r="Y51" s="14">
        <v>1.3450500000000001</v>
      </c>
      <c r="Z51" s="14">
        <v>8.2818900000000006</v>
      </c>
      <c r="AA51" s="14">
        <v>6.2511999999999999</v>
      </c>
      <c r="AB51" s="14">
        <v>-1.2126699999999999</v>
      </c>
    </row>
    <row r="52" spans="1:28" x14ac:dyDescent="0.25">
      <c r="A52" s="19" t="s">
        <v>7</v>
      </c>
      <c r="B52" s="14" t="s">
        <v>6</v>
      </c>
      <c r="C52" s="15">
        <v>50</v>
      </c>
      <c r="D52" s="14">
        <v>20</v>
      </c>
      <c r="E52" s="13">
        <v>26</v>
      </c>
      <c r="F52" s="13">
        <f>1.8*E52+32</f>
        <v>78.800000000000011</v>
      </c>
      <c r="G52" s="13">
        <v>20</v>
      </c>
      <c r="H52" s="13">
        <f>IF(F52&gt;68,G52+(F52-68)*0.2,Y280-(68-F52)*0.2)</f>
        <v>22.160000000000004</v>
      </c>
      <c r="I52" s="13">
        <v>25</v>
      </c>
      <c r="J52" s="13">
        <f>1.8*I52+32</f>
        <v>77</v>
      </c>
      <c r="K52" s="13">
        <v>11</v>
      </c>
      <c r="L52" s="13">
        <f>IF(J52&gt;68,K52+(J52-68)*0.2,K52-(68-J52)*0.2)</f>
        <v>12.8</v>
      </c>
      <c r="M52" s="13">
        <f>(C52-H52)/C52*100</f>
        <v>55.679999999999993</v>
      </c>
      <c r="N52" s="13">
        <f>100-(M52+O52)</f>
        <v>18.72</v>
      </c>
      <c r="O52" s="13">
        <f>L52/C52*100</f>
        <v>25.6</v>
      </c>
      <c r="P52" s="12" t="s">
        <v>3</v>
      </c>
      <c r="Q52" s="11">
        <v>409286.23440000002</v>
      </c>
      <c r="R52" s="11">
        <v>3659224.5359789999</v>
      </c>
      <c r="T52" s="14">
        <v>2011105</v>
      </c>
      <c r="U52" s="14" t="s">
        <v>295</v>
      </c>
      <c r="V52" s="14">
        <v>7.2779999999999997E-2</v>
      </c>
      <c r="W52" s="14">
        <v>0.40486</v>
      </c>
      <c r="X52" s="14">
        <v>2.0330000000000001E-2</v>
      </c>
      <c r="Y52" s="14">
        <v>1.3450500000000001</v>
      </c>
      <c r="Z52" s="14">
        <v>8.2818900000000006</v>
      </c>
      <c r="AA52" s="14">
        <v>6.2511999999999999</v>
      </c>
      <c r="AB52" s="14">
        <v>-1.2126699999999999</v>
      </c>
    </row>
    <row r="53" spans="1:28" x14ac:dyDescent="0.25">
      <c r="A53" s="18">
        <v>41456</v>
      </c>
      <c r="B53" s="14" t="s">
        <v>5</v>
      </c>
      <c r="C53" s="15">
        <v>50</v>
      </c>
      <c r="D53" s="14">
        <v>20</v>
      </c>
      <c r="E53" s="13">
        <v>26</v>
      </c>
      <c r="F53" s="13">
        <f>1.8*E53+32</f>
        <v>78.800000000000011</v>
      </c>
      <c r="G53" s="13">
        <v>22</v>
      </c>
      <c r="H53" s="13">
        <f>IF(F53&gt;68,G53+(F53-68)*0.2,Y281-(68-F53)*0.2)</f>
        <v>24.160000000000004</v>
      </c>
      <c r="I53" s="13">
        <v>25</v>
      </c>
      <c r="J53" s="13">
        <f>1.8*I53+32</f>
        <v>77</v>
      </c>
      <c r="K53" s="13">
        <v>12</v>
      </c>
      <c r="L53" s="13">
        <f>IF(J53&gt;68,K53+(J53-68)*0.2,K53-(68-J53)*0.2)</f>
        <v>13.8</v>
      </c>
      <c r="M53" s="13">
        <f>(C53-H53)/C53*100</f>
        <v>51.679999999999993</v>
      </c>
      <c r="N53" s="13">
        <f>100-(M53+O53)</f>
        <v>20.72</v>
      </c>
      <c r="O53" s="13">
        <f>L53/C53*100</f>
        <v>27.6</v>
      </c>
      <c r="P53" s="12" t="s">
        <v>3</v>
      </c>
      <c r="Q53" s="11">
        <v>409286.23440000002</v>
      </c>
      <c r="R53" s="11">
        <v>3659224.5359789999</v>
      </c>
      <c r="T53" s="14">
        <v>2011105</v>
      </c>
      <c r="U53" s="14" t="s">
        <v>294</v>
      </c>
      <c r="V53" s="14">
        <v>6.2219999999999998E-2</v>
      </c>
      <c r="W53" s="14">
        <v>0.38206000000000001</v>
      </c>
      <c r="X53" s="14">
        <v>2.793E-2</v>
      </c>
      <c r="Y53" s="14">
        <v>1.33097</v>
      </c>
      <c r="Z53" s="14">
        <v>17.4663</v>
      </c>
      <c r="AA53" s="14">
        <v>9.9857499999999995</v>
      </c>
      <c r="AB53" s="14">
        <v>-1.50891</v>
      </c>
    </row>
    <row r="54" spans="1:28" x14ac:dyDescent="0.25">
      <c r="A54" s="17"/>
      <c r="B54" s="14" t="s">
        <v>4</v>
      </c>
      <c r="C54" s="15">
        <v>50</v>
      </c>
      <c r="D54" s="14">
        <v>20</v>
      </c>
      <c r="E54" s="13">
        <v>26</v>
      </c>
      <c r="F54" s="13">
        <f>1.8*E54+32</f>
        <v>78.800000000000011</v>
      </c>
      <c r="G54" s="13">
        <v>24</v>
      </c>
      <c r="H54" s="13">
        <f>IF(F54&gt;68,G54+(F54-68)*0.2,Y282-(68-F54)*0.2)</f>
        <v>26.160000000000004</v>
      </c>
      <c r="I54" s="13">
        <v>25</v>
      </c>
      <c r="J54" s="13">
        <f>1.8*I54+32</f>
        <v>77</v>
      </c>
      <c r="K54" s="13">
        <v>11</v>
      </c>
      <c r="L54" s="13">
        <f>IF(J54&gt;68,K54+(J54-68)*0.2,K54-(68-J54)*0.2)</f>
        <v>12.8</v>
      </c>
      <c r="M54" s="13">
        <f>(C54-H54)/C54*100</f>
        <v>47.679999999999993</v>
      </c>
      <c r="N54" s="13">
        <f>100-(M54+O54)</f>
        <v>26.72</v>
      </c>
      <c r="O54" s="13">
        <f>L54/C54*100</f>
        <v>25.6</v>
      </c>
      <c r="P54" s="12" t="s">
        <v>3</v>
      </c>
      <c r="Q54" s="11">
        <v>409286.23440000002</v>
      </c>
      <c r="R54" s="11">
        <v>3659224.5359789999</v>
      </c>
      <c r="T54" s="14">
        <v>2011105</v>
      </c>
      <c r="U54" s="14" t="s">
        <v>293</v>
      </c>
      <c r="V54" s="14">
        <v>5.6529999999999997E-2</v>
      </c>
      <c r="W54" s="14">
        <v>0.38005</v>
      </c>
      <c r="X54" s="14">
        <v>2.989E-2</v>
      </c>
      <c r="Y54" s="14">
        <v>1.36392</v>
      </c>
      <c r="Z54" s="14">
        <v>25.103490000000001</v>
      </c>
      <c r="AA54" s="14">
        <v>12.22494</v>
      </c>
      <c r="AB54" s="14">
        <v>-1.3717200000000001</v>
      </c>
    </row>
    <row r="55" spans="1:28" x14ac:dyDescent="0.25">
      <c r="A55" s="16"/>
      <c r="B55" s="14" t="s">
        <v>2</v>
      </c>
      <c r="C55" s="15">
        <v>50</v>
      </c>
      <c r="D55" s="14">
        <v>20</v>
      </c>
      <c r="E55" s="13">
        <v>27</v>
      </c>
      <c r="F55" s="13">
        <f>1.8*E55+32</f>
        <v>80.599999999999994</v>
      </c>
      <c r="G55" s="13">
        <v>25</v>
      </c>
      <c r="H55" s="13">
        <f>IF(F55&gt;68,G55+(F55-68)*0.2,Y283-(68-F55)*0.2)</f>
        <v>27.52</v>
      </c>
      <c r="I55" s="13">
        <v>25</v>
      </c>
      <c r="J55" s="13">
        <f>1.8*I55+32</f>
        <v>77</v>
      </c>
      <c r="K55" s="13">
        <v>14</v>
      </c>
      <c r="L55" s="13">
        <f>IF(J55&gt;68,K55+(J55-68)*0.2,K55-(68-J55)*0.2)</f>
        <v>15.8</v>
      </c>
      <c r="M55" s="13">
        <f>(C55-H55)/C55*100</f>
        <v>44.96</v>
      </c>
      <c r="N55" s="13">
        <f>100-(M55+O55)</f>
        <v>23.439999999999998</v>
      </c>
      <c r="O55" s="13">
        <f>L55/C55*100</f>
        <v>31.6</v>
      </c>
      <c r="P55" s="12" t="s">
        <v>3</v>
      </c>
      <c r="Q55" s="11">
        <v>409286.23440000002</v>
      </c>
      <c r="R55" s="11">
        <v>3659224.5359789999</v>
      </c>
      <c r="T55" s="14">
        <v>2011105</v>
      </c>
      <c r="U55" s="14" t="s">
        <v>292</v>
      </c>
      <c r="V55" s="14">
        <v>5.6250000000000001E-2</v>
      </c>
      <c r="W55" s="14">
        <v>0.38377</v>
      </c>
      <c r="X55" s="14">
        <v>2.8400000000000002E-2</v>
      </c>
      <c r="Y55" s="14">
        <v>1.3609199999999999</v>
      </c>
      <c r="Z55" s="14">
        <v>23.256460000000001</v>
      </c>
      <c r="AA55" s="14">
        <v>11.64636</v>
      </c>
      <c r="AB55" s="14">
        <v>-1.32684</v>
      </c>
    </row>
    <row r="56" spans="1:28" x14ac:dyDescent="0.25">
      <c r="A56" s="16"/>
      <c r="B56" s="14" t="s">
        <v>1</v>
      </c>
      <c r="C56" s="15">
        <v>50</v>
      </c>
      <c r="D56" s="14">
        <v>20</v>
      </c>
      <c r="E56" s="13">
        <v>27</v>
      </c>
      <c r="F56" s="13">
        <f>1.8*E56+32</f>
        <v>80.599999999999994</v>
      </c>
      <c r="G56" s="13">
        <v>15</v>
      </c>
      <c r="H56" s="13">
        <f>IF(F56&gt;68,G56+(F56-68)*0.2,Y284-(68-F56)*0.2)</f>
        <v>17.52</v>
      </c>
      <c r="I56" s="13">
        <v>25</v>
      </c>
      <c r="J56" s="13">
        <f>1.8*I56+32</f>
        <v>77</v>
      </c>
      <c r="K56" s="13">
        <v>9</v>
      </c>
      <c r="L56" s="13">
        <f>IF(J56&gt;68,K56+(J56-68)*0.2,K56-(68-J56)*0.2)</f>
        <v>10.8</v>
      </c>
      <c r="M56" s="13">
        <f>(C56-H56)/C56*100</f>
        <v>64.960000000000008</v>
      </c>
      <c r="N56" s="13">
        <f>100-(M56+O56)</f>
        <v>13.439999999999998</v>
      </c>
      <c r="O56" s="13">
        <f>L56/C56*100</f>
        <v>21.6</v>
      </c>
      <c r="P56" s="12" t="s">
        <v>3</v>
      </c>
      <c r="Q56" s="11">
        <v>409286.23440000002</v>
      </c>
      <c r="R56" s="11">
        <v>3659224.5359789999</v>
      </c>
      <c r="T56" s="14">
        <v>2011105</v>
      </c>
      <c r="U56" s="14" t="s">
        <v>291</v>
      </c>
      <c r="V56" s="14">
        <v>5.0189999999999999E-2</v>
      </c>
      <c r="W56" s="14">
        <v>0.38135000000000002</v>
      </c>
      <c r="X56" s="14">
        <v>3.2300000000000002E-2</v>
      </c>
      <c r="Y56" s="14">
        <v>1.40073</v>
      </c>
      <c r="Z56" s="14">
        <v>35.717739999999999</v>
      </c>
      <c r="AA56" s="14">
        <v>15.56179</v>
      </c>
      <c r="AB56" s="14">
        <v>-1.24082</v>
      </c>
    </row>
    <row r="57" spans="1:28" x14ac:dyDescent="0.25">
      <c r="T57" s="14">
        <v>2011105</v>
      </c>
      <c r="U57" s="14" t="s">
        <v>290</v>
      </c>
      <c r="V57" s="14">
        <v>5.9459999999999999E-2</v>
      </c>
      <c r="W57" s="14">
        <v>0.38507999999999998</v>
      </c>
      <c r="X57" s="14">
        <v>2.7220000000000001E-2</v>
      </c>
      <c r="Y57" s="14">
        <v>1.3494600000000001</v>
      </c>
      <c r="Z57" s="14">
        <v>19.42146</v>
      </c>
      <c r="AA57" s="14">
        <v>10.43216</v>
      </c>
      <c r="AB57" s="14">
        <v>-1.3666199999999999</v>
      </c>
    </row>
    <row r="58" spans="1:28" ht="51.75" x14ac:dyDescent="0.25">
      <c r="A58" s="19" t="s">
        <v>289</v>
      </c>
      <c r="B58" s="22" t="s">
        <v>26</v>
      </c>
      <c r="C58" s="26" t="s">
        <v>25</v>
      </c>
      <c r="D58" s="25" t="s">
        <v>24</v>
      </c>
      <c r="E58" s="24" t="s">
        <v>23</v>
      </c>
      <c r="F58" s="24" t="s">
        <v>22</v>
      </c>
      <c r="G58" s="24" t="s">
        <v>21</v>
      </c>
      <c r="H58" s="24" t="s">
        <v>20</v>
      </c>
      <c r="I58" s="24" t="s">
        <v>19</v>
      </c>
      <c r="J58" s="24" t="s">
        <v>18</v>
      </c>
      <c r="K58" s="24" t="s">
        <v>17</v>
      </c>
      <c r="L58" s="24" t="s">
        <v>16</v>
      </c>
      <c r="M58" s="23" t="s">
        <v>15</v>
      </c>
      <c r="N58" s="23" t="s">
        <v>14</v>
      </c>
      <c r="O58" s="23" t="s">
        <v>13</v>
      </c>
      <c r="P58" s="22" t="s">
        <v>12</v>
      </c>
      <c r="Q58" s="27" t="s">
        <v>11</v>
      </c>
      <c r="R58" s="27"/>
      <c r="T58" s="14">
        <v>2011105</v>
      </c>
      <c r="U58" s="14" t="s">
        <v>288</v>
      </c>
      <c r="V58" s="14">
        <v>7.1620000000000003E-2</v>
      </c>
      <c r="W58" s="14">
        <v>0.39828000000000002</v>
      </c>
      <c r="X58" s="14">
        <v>2.317E-2</v>
      </c>
      <c r="Y58" s="14">
        <v>1.32172</v>
      </c>
      <c r="Z58" s="14">
        <v>9.6131600000000006</v>
      </c>
      <c r="AA58" s="14">
        <v>7.19156</v>
      </c>
      <c r="AB58" s="14">
        <v>-1.4352499999999999</v>
      </c>
    </row>
    <row r="59" spans="1:28" x14ac:dyDescent="0.25">
      <c r="A59" s="20"/>
      <c r="B59" s="22"/>
      <c r="C59" s="26"/>
      <c r="D59" s="25"/>
      <c r="E59" s="24"/>
      <c r="F59" s="24"/>
      <c r="G59" s="24"/>
      <c r="H59" s="24"/>
      <c r="I59" s="24"/>
      <c r="J59" s="24"/>
      <c r="K59" s="24"/>
      <c r="L59" s="24"/>
      <c r="M59" s="23"/>
      <c r="N59" s="23"/>
      <c r="O59" s="23"/>
      <c r="P59" s="22"/>
      <c r="Q59" s="21" t="s">
        <v>10</v>
      </c>
      <c r="R59" s="21" t="s">
        <v>9</v>
      </c>
      <c r="T59" s="14">
        <v>2011105</v>
      </c>
      <c r="U59" s="14" t="s">
        <v>287</v>
      </c>
      <c r="V59" s="14">
        <v>6.5979999999999997E-2</v>
      </c>
      <c r="W59" s="14">
        <v>0.39184000000000002</v>
      </c>
      <c r="X59" s="14">
        <v>2.4219999999999998E-2</v>
      </c>
      <c r="Y59" s="14">
        <v>1.33819</v>
      </c>
      <c r="Z59" s="14">
        <v>13.11374</v>
      </c>
      <c r="AA59" s="14">
        <v>8.2595700000000001</v>
      </c>
      <c r="AB59" s="14">
        <v>-1.3623799999999999</v>
      </c>
    </row>
    <row r="60" spans="1:28" x14ac:dyDescent="0.25">
      <c r="A60" s="20"/>
      <c r="B60" s="14" t="s">
        <v>8</v>
      </c>
      <c r="C60" s="15">
        <v>50</v>
      </c>
      <c r="D60" s="14">
        <v>20</v>
      </c>
      <c r="E60" s="13">
        <v>27</v>
      </c>
      <c r="F60" s="13">
        <f>1.8*E60+32</f>
        <v>80.599999999999994</v>
      </c>
      <c r="G60" s="13">
        <v>17</v>
      </c>
      <c r="H60" s="13">
        <f>IF(F60&gt;68,G60+(F60-68)*0.2,Y288-(68-F60)*0.2)</f>
        <v>19.52</v>
      </c>
      <c r="I60" s="13">
        <v>25</v>
      </c>
      <c r="J60" s="13">
        <f>1.8*I60+32</f>
        <v>77</v>
      </c>
      <c r="K60" s="13">
        <v>10</v>
      </c>
      <c r="L60" s="13">
        <f>IF(J60&gt;68,K60+(J60-68)*0.2,K60-(68-J60)*0.2)</f>
        <v>11.8</v>
      </c>
      <c r="M60" s="13">
        <f>(C60-H60)/C60*100</f>
        <v>60.96</v>
      </c>
      <c r="N60" s="13">
        <f>100-(M60+O60)</f>
        <v>15.439999999999998</v>
      </c>
      <c r="O60" s="13">
        <f>L60/C60*100</f>
        <v>23.6</v>
      </c>
      <c r="P60" s="12" t="s">
        <v>3</v>
      </c>
      <c r="Q60" s="11">
        <v>409294.36040000001</v>
      </c>
      <c r="R60" s="11">
        <v>3659192.558892</v>
      </c>
      <c r="T60" s="14">
        <v>2011105</v>
      </c>
      <c r="U60" s="14" t="s">
        <v>286</v>
      </c>
      <c r="V60" s="14">
        <v>5.6309999999999999E-2</v>
      </c>
      <c r="W60" s="14">
        <v>0.38555</v>
      </c>
      <c r="X60" s="14">
        <v>2.7140000000000001E-2</v>
      </c>
      <c r="Y60" s="14">
        <v>1.3635200000000001</v>
      </c>
      <c r="Z60" s="14">
        <v>22.18404</v>
      </c>
      <c r="AA60" s="14">
        <v>11.097490000000001</v>
      </c>
      <c r="AB60" s="14">
        <v>-1.2766900000000001</v>
      </c>
    </row>
    <row r="61" spans="1:28" x14ac:dyDescent="0.25">
      <c r="A61" s="19" t="s">
        <v>7</v>
      </c>
      <c r="B61" s="14" t="s">
        <v>6</v>
      </c>
      <c r="C61" s="15">
        <v>50</v>
      </c>
      <c r="D61" s="14">
        <v>20</v>
      </c>
      <c r="E61" s="13">
        <v>27</v>
      </c>
      <c r="F61" s="13">
        <f>1.8*E61+32</f>
        <v>80.599999999999994</v>
      </c>
      <c r="G61" s="13">
        <v>16</v>
      </c>
      <c r="H61" s="13">
        <f>IF(F61&gt;68,G61+(F61-68)*0.2,Y289-(68-F61)*0.2)</f>
        <v>18.52</v>
      </c>
      <c r="I61" s="13">
        <v>25</v>
      </c>
      <c r="J61" s="13">
        <f>1.8*I61+32</f>
        <v>77</v>
      </c>
      <c r="K61" s="13">
        <v>10</v>
      </c>
      <c r="L61" s="13">
        <f>IF(J61&gt;68,K61+(J61-68)*0.2,K61-(68-J61)*0.2)</f>
        <v>11.8</v>
      </c>
      <c r="M61" s="13">
        <f>(C61-H61)/C61*100</f>
        <v>62.960000000000008</v>
      </c>
      <c r="N61" s="13">
        <f>100-(M61+O61)</f>
        <v>13.439999999999998</v>
      </c>
      <c r="O61" s="13">
        <f>L61/C61*100</f>
        <v>23.6</v>
      </c>
      <c r="P61" s="12" t="s">
        <v>3</v>
      </c>
      <c r="Q61" s="11">
        <v>409294.36040000001</v>
      </c>
      <c r="R61" s="11">
        <v>3659192.558892</v>
      </c>
      <c r="T61" s="14">
        <v>2011105</v>
      </c>
      <c r="U61" s="14" t="s">
        <v>285</v>
      </c>
      <c r="V61" s="14">
        <v>5.2990000000000002E-2</v>
      </c>
      <c r="W61" s="14">
        <v>0.38296000000000002</v>
      </c>
      <c r="X61" s="14">
        <v>2.9819999999999999E-2</v>
      </c>
      <c r="Y61" s="14">
        <v>1.37452</v>
      </c>
      <c r="Z61" s="14">
        <v>27.988</v>
      </c>
      <c r="AA61" s="14">
        <v>13.16987</v>
      </c>
      <c r="AB61" s="14">
        <v>-1.2848299999999999</v>
      </c>
    </row>
    <row r="62" spans="1:28" x14ac:dyDescent="0.25">
      <c r="A62" s="18">
        <v>41456</v>
      </c>
      <c r="B62" s="14" t="s">
        <v>5</v>
      </c>
      <c r="C62" s="15">
        <v>50</v>
      </c>
      <c r="D62" s="14">
        <v>20</v>
      </c>
      <c r="E62" s="13">
        <v>27</v>
      </c>
      <c r="F62" s="13">
        <f>1.8*E62+32</f>
        <v>80.599999999999994</v>
      </c>
      <c r="G62" s="13">
        <v>20</v>
      </c>
      <c r="H62" s="13">
        <f>IF(F62&gt;68,G62+(F62-68)*0.2,Y290-(68-F62)*0.2)</f>
        <v>22.52</v>
      </c>
      <c r="I62" s="13">
        <v>25</v>
      </c>
      <c r="J62" s="13">
        <f>1.8*I62+32</f>
        <v>77</v>
      </c>
      <c r="K62" s="13">
        <v>12</v>
      </c>
      <c r="L62" s="13">
        <f>IF(J62&gt;68,K62+(J62-68)*0.2,K62-(68-J62)*0.2)</f>
        <v>13.8</v>
      </c>
      <c r="M62" s="13">
        <f>(C62-H62)/C62*100</f>
        <v>54.96</v>
      </c>
      <c r="N62" s="13">
        <f>100-(M62+O62)</f>
        <v>17.439999999999998</v>
      </c>
      <c r="O62" s="13">
        <f>L62/C62*100</f>
        <v>27.6</v>
      </c>
      <c r="P62" s="12" t="s">
        <v>3</v>
      </c>
      <c r="Q62" s="11">
        <v>409294.36040000001</v>
      </c>
      <c r="R62" s="11">
        <v>3659192.558892</v>
      </c>
      <c r="T62" s="14">
        <v>2011105</v>
      </c>
      <c r="U62" s="14" t="s">
        <v>284</v>
      </c>
      <c r="V62" s="14">
        <v>6.2899999999999998E-2</v>
      </c>
      <c r="W62" s="14">
        <v>0.38928000000000001</v>
      </c>
      <c r="X62" s="14">
        <v>2.4989999999999998E-2</v>
      </c>
      <c r="Y62" s="14">
        <v>1.3462700000000001</v>
      </c>
      <c r="Z62" s="14">
        <v>15.53904</v>
      </c>
      <c r="AA62" s="14">
        <v>9.0044500000000003</v>
      </c>
      <c r="AB62" s="14">
        <v>-1.3320399999999999</v>
      </c>
    </row>
    <row r="63" spans="1:28" x14ac:dyDescent="0.25">
      <c r="A63" s="17"/>
      <c r="B63" s="14" t="s">
        <v>4</v>
      </c>
      <c r="C63" s="15">
        <v>50</v>
      </c>
      <c r="D63" s="14">
        <v>20</v>
      </c>
      <c r="E63" s="13">
        <v>27</v>
      </c>
      <c r="F63" s="13">
        <f>1.8*E63+32</f>
        <v>80.599999999999994</v>
      </c>
      <c r="G63" s="13">
        <v>23</v>
      </c>
      <c r="H63" s="13">
        <f>IF(F63&gt;68,G63+(F63-68)*0.2,Y291-(68-F63)*0.2)</f>
        <v>25.52</v>
      </c>
      <c r="I63" s="13">
        <v>25</v>
      </c>
      <c r="J63" s="13">
        <f>1.8*I63+32</f>
        <v>77</v>
      </c>
      <c r="K63" s="13">
        <v>15</v>
      </c>
      <c r="L63" s="13">
        <f>IF(J63&gt;68,K63+(J63-68)*0.2,K63-(68-J63)*0.2)</f>
        <v>16.8</v>
      </c>
      <c r="M63" s="13">
        <f>(C63-H63)/C63*100</f>
        <v>48.96</v>
      </c>
      <c r="N63" s="13">
        <f>100-(M63+O63)</f>
        <v>17.439999999999998</v>
      </c>
      <c r="O63" s="13">
        <f>L63/C63*100</f>
        <v>33.6</v>
      </c>
      <c r="P63" s="12" t="s">
        <v>3</v>
      </c>
      <c r="Q63" s="11">
        <v>409294.36040000001</v>
      </c>
      <c r="R63" s="11">
        <v>3659192.558892</v>
      </c>
      <c r="T63" s="14">
        <v>2011105</v>
      </c>
      <c r="U63" s="14" t="s">
        <v>283</v>
      </c>
      <c r="V63" s="14">
        <v>8.2720000000000002E-2</v>
      </c>
      <c r="W63" s="14">
        <v>0.42830000000000001</v>
      </c>
      <c r="X63" s="14">
        <v>1.83E-2</v>
      </c>
      <c r="Y63" s="14">
        <v>1.32223</v>
      </c>
      <c r="Z63" s="14">
        <v>5.0708500000000001</v>
      </c>
      <c r="AA63" s="14">
        <v>4.9149200000000004</v>
      </c>
      <c r="AB63" s="14">
        <v>-1.2340599999999999</v>
      </c>
    </row>
    <row r="64" spans="1:28" x14ac:dyDescent="0.25">
      <c r="A64" s="16"/>
      <c r="B64" s="14" t="s">
        <v>2</v>
      </c>
      <c r="C64" s="15">
        <v>50</v>
      </c>
      <c r="D64" s="14">
        <v>20</v>
      </c>
      <c r="E64" s="13">
        <v>27</v>
      </c>
      <c r="F64" s="13">
        <f>1.8*E64+32</f>
        <v>80.599999999999994</v>
      </c>
      <c r="G64" s="13">
        <v>21</v>
      </c>
      <c r="H64" s="13">
        <f>IF(F64&gt;68,G64+(F64-68)*0.2,Y292-(68-F64)*0.2)</f>
        <v>23.52</v>
      </c>
      <c r="I64" s="13">
        <v>25</v>
      </c>
      <c r="J64" s="13">
        <f>1.8*I64+32</f>
        <v>77</v>
      </c>
      <c r="K64" s="13">
        <v>13</v>
      </c>
      <c r="L64" s="13">
        <f>IF(J64&gt;68,K64+(J64-68)*0.2,K64-(68-J64)*0.2)</f>
        <v>14.8</v>
      </c>
      <c r="M64" s="13">
        <f>(C64-H64)/C64*100</f>
        <v>52.959999999999994</v>
      </c>
      <c r="N64" s="13">
        <f>100-(M64+O64)</f>
        <v>17.439999999999998</v>
      </c>
      <c r="O64" s="13">
        <f>L64/C64*100</f>
        <v>29.600000000000005</v>
      </c>
      <c r="P64" s="12" t="s">
        <v>3</v>
      </c>
      <c r="Q64" s="11">
        <v>409294.36040000001</v>
      </c>
      <c r="R64" s="11">
        <v>3659192.558892</v>
      </c>
      <c r="T64" s="14">
        <v>2011105</v>
      </c>
      <c r="U64" s="14" t="s">
        <v>282</v>
      </c>
      <c r="V64" s="14">
        <v>7.7179999999999999E-2</v>
      </c>
      <c r="W64" s="14">
        <v>0.41011999999999998</v>
      </c>
      <c r="X64" s="14">
        <v>2.128E-2</v>
      </c>
      <c r="Y64" s="14">
        <v>1.3158399999999999</v>
      </c>
      <c r="Z64" s="14">
        <v>6.8774300000000004</v>
      </c>
      <c r="AA64" s="14">
        <v>6.1207000000000003</v>
      </c>
      <c r="AB64" s="14">
        <v>-1.4053899999999999</v>
      </c>
    </row>
    <row r="65" spans="1:28" x14ac:dyDescent="0.25">
      <c r="A65" s="16"/>
      <c r="B65" s="14" t="s">
        <v>1</v>
      </c>
      <c r="C65" s="15">
        <v>50</v>
      </c>
      <c r="D65" s="14">
        <v>20</v>
      </c>
      <c r="E65" s="13">
        <v>27</v>
      </c>
      <c r="F65" s="13">
        <f>1.8*E65+32</f>
        <v>80.599999999999994</v>
      </c>
      <c r="G65" s="13">
        <v>19</v>
      </c>
      <c r="H65" s="13">
        <f>IF(F65&gt;68,G65+(F65-68)*0.2,Y293-(68-F65)*0.2)</f>
        <v>21.52</v>
      </c>
      <c r="I65" s="13">
        <v>25</v>
      </c>
      <c r="J65" s="13">
        <f>1.8*I65+32</f>
        <v>77</v>
      </c>
      <c r="K65" s="13">
        <v>10</v>
      </c>
      <c r="L65" s="13">
        <f>IF(J65&gt;68,K65+(J65-68)*0.2,K65-(68-J65)*0.2)</f>
        <v>11.8</v>
      </c>
      <c r="M65" s="13">
        <f>(C65-H65)/C65*100</f>
        <v>56.96</v>
      </c>
      <c r="N65" s="13">
        <f>100-(M65+O65)</f>
        <v>19.439999999999998</v>
      </c>
      <c r="O65" s="13">
        <f>L65/C65*100</f>
        <v>23.6</v>
      </c>
      <c r="P65" s="12" t="s">
        <v>3</v>
      </c>
      <c r="Q65" s="11">
        <v>409294.36040000001</v>
      </c>
      <c r="R65" s="11">
        <v>3659192.558892</v>
      </c>
      <c r="T65" s="14">
        <v>2011105</v>
      </c>
      <c r="U65" s="14" t="s">
        <v>281</v>
      </c>
      <c r="V65" s="14">
        <v>6.2219999999999998E-2</v>
      </c>
      <c r="W65" s="14">
        <v>0.38206000000000001</v>
      </c>
      <c r="X65" s="14">
        <v>2.793E-2</v>
      </c>
      <c r="Y65" s="14">
        <v>1.33097</v>
      </c>
      <c r="Z65" s="14">
        <v>17.4663</v>
      </c>
      <c r="AA65" s="14">
        <v>9.9857499999999995</v>
      </c>
      <c r="AB65" s="14">
        <v>-1.50891</v>
      </c>
    </row>
    <row r="66" spans="1:28" x14ac:dyDescent="0.25">
      <c r="T66" s="14">
        <v>2011105</v>
      </c>
      <c r="U66" s="14" t="s">
        <v>280</v>
      </c>
      <c r="V66" s="14">
        <v>5.6250000000000001E-2</v>
      </c>
      <c r="W66" s="14">
        <v>0.38377</v>
      </c>
      <c r="X66" s="14">
        <v>2.8400000000000002E-2</v>
      </c>
      <c r="Y66" s="14">
        <v>1.3609199999999999</v>
      </c>
      <c r="Z66" s="14">
        <v>23.256460000000001</v>
      </c>
      <c r="AA66" s="14">
        <v>11.64636</v>
      </c>
      <c r="AB66" s="14">
        <v>-1.32684</v>
      </c>
    </row>
    <row r="67" spans="1:28" ht="51.75" x14ac:dyDescent="0.25">
      <c r="A67" s="19" t="s">
        <v>279</v>
      </c>
      <c r="B67" s="22" t="s">
        <v>26</v>
      </c>
      <c r="C67" s="26" t="s">
        <v>25</v>
      </c>
      <c r="D67" s="25" t="s">
        <v>24</v>
      </c>
      <c r="E67" s="24" t="s">
        <v>23</v>
      </c>
      <c r="F67" s="24" t="s">
        <v>22</v>
      </c>
      <c r="G67" s="24" t="s">
        <v>21</v>
      </c>
      <c r="H67" s="24" t="s">
        <v>20</v>
      </c>
      <c r="I67" s="24" t="s">
        <v>19</v>
      </c>
      <c r="J67" s="24" t="s">
        <v>18</v>
      </c>
      <c r="K67" s="24" t="s">
        <v>17</v>
      </c>
      <c r="L67" s="24" t="s">
        <v>16</v>
      </c>
      <c r="M67" s="23" t="s">
        <v>15</v>
      </c>
      <c r="N67" s="23" t="s">
        <v>14</v>
      </c>
      <c r="O67" s="23" t="s">
        <v>13</v>
      </c>
      <c r="P67" s="22" t="s">
        <v>12</v>
      </c>
      <c r="Q67" s="27" t="s">
        <v>11</v>
      </c>
      <c r="R67" s="27"/>
      <c r="T67" s="14">
        <v>2011105</v>
      </c>
      <c r="U67" s="14" t="s">
        <v>278</v>
      </c>
      <c r="V67" s="14">
        <v>5.323E-2</v>
      </c>
      <c r="W67" s="14">
        <v>0.38140000000000002</v>
      </c>
      <c r="X67" s="14">
        <v>3.0710000000000001E-2</v>
      </c>
      <c r="Y67" s="14">
        <v>1.37849</v>
      </c>
      <c r="Z67" s="14">
        <v>29.348400000000002</v>
      </c>
      <c r="AA67" s="14">
        <v>13.590619999999999</v>
      </c>
      <c r="AB67" s="14">
        <v>-1.3020400000000001</v>
      </c>
    </row>
    <row r="68" spans="1:28" x14ac:dyDescent="0.25">
      <c r="A68" s="20"/>
      <c r="B68" s="22"/>
      <c r="C68" s="26"/>
      <c r="D68" s="25"/>
      <c r="E68" s="24"/>
      <c r="F68" s="24"/>
      <c r="G68" s="24"/>
      <c r="H68" s="24"/>
      <c r="I68" s="24"/>
      <c r="J68" s="24"/>
      <c r="K68" s="24"/>
      <c r="L68" s="24"/>
      <c r="M68" s="23"/>
      <c r="N68" s="23"/>
      <c r="O68" s="23"/>
      <c r="P68" s="22"/>
      <c r="Q68" s="21" t="s">
        <v>10</v>
      </c>
      <c r="R68" s="21" t="s">
        <v>9</v>
      </c>
      <c r="T68" s="14">
        <v>2011105</v>
      </c>
      <c r="U68" s="14" t="s">
        <v>277</v>
      </c>
      <c r="V68" s="14">
        <v>5.4339999999999999E-2</v>
      </c>
      <c r="W68" s="14">
        <v>0.38153999999999999</v>
      </c>
      <c r="X68" s="14">
        <v>3.0190000000000002E-2</v>
      </c>
      <c r="Y68" s="14">
        <v>1.3717299999999999</v>
      </c>
      <c r="Z68" s="14">
        <v>27.373390000000001</v>
      </c>
      <c r="AA68" s="14">
        <v>12.987120000000001</v>
      </c>
      <c r="AB68" s="14">
        <v>-1.3229900000000001</v>
      </c>
    </row>
    <row r="69" spans="1:28" x14ac:dyDescent="0.25">
      <c r="A69" s="20"/>
      <c r="B69" s="14" t="s">
        <v>8</v>
      </c>
      <c r="C69" s="15">
        <v>50</v>
      </c>
      <c r="D69" s="14">
        <v>20</v>
      </c>
      <c r="E69" s="13">
        <v>23</v>
      </c>
      <c r="F69" s="13">
        <f>1.8*E69+32</f>
        <v>73.400000000000006</v>
      </c>
      <c r="G69" s="13">
        <v>20</v>
      </c>
      <c r="H69" s="13">
        <f>IF(F69&gt;68,G69+(F69-68)*0.2,Y297-(68-F69)*0.2)</f>
        <v>21.080000000000002</v>
      </c>
      <c r="I69" s="13">
        <v>23</v>
      </c>
      <c r="J69" s="13">
        <f>1.8*I69+32</f>
        <v>73.400000000000006</v>
      </c>
      <c r="K69" s="13">
        <v>10</v>
      </c>
      <c r="L69" s="13">
        <f>IF(J69&gt;68,K69+(J69-68)*0.2,K69-(68-J69)*0.2)</f>
        <v>11.080000000000002</v>
      </c>
      <c r="M69" s="13">
        <f>(C69-H69)/C69*100</f>
        <v>57.839999999999989</v>
      </c>
      <c r="N69" s="13">
        <f>100-(M69+O69)</f>
        <v>20</v>
      </c>
      <c r="O69" s="13">
        <f>L69/C69*100</f>
        <v>22.160000000000004</v>
      </c>
      <c r="P69" s="12" t="s">
        <v>3</v>
      </c>
      <c r="Q69" s="11">
        <v>409330.93839999998</v>
      </c>
      <c r="R69" s="11">
        <v>3659224.5359789999</v>
      </c>
      <c r="T69" s="14">
        <v>2011105</v>
      </c>
      <c r="U69" s="14" t="s">
        <v>276</v>
      </c>
      <c r="V69" s="14">
        <v>5.416E-2</v>
      </c>
      <c r="W69" s="14">
        <v>0.38318999999999998</v>
      </c>
      <c r="X69" s="14">
        <v>2.928E-2</v>
      </c>
      <c r="Y69" s="14">
        <v>1.36931</v>
      </c>
      <c r="Z69" s="14">
        <v>26.172940000000001</v>
      </c>
      <c r="AA69" s="14">
        <v>12.580679999999999</v>
      </c>
      <c r="AB69" s="14">
        <v>-1.30033</v>
      </c>
    </row>
    <row r="70" spans="1:28" x14ac:dyDescent="0.25">
      <c r="A70" s="19" t="s">
        <v>7</v>
      </c>
      <c r="B70" s="14" t="s">
        <v>6</v>
      </c>
      <c r="C70" s="15">
        <v>50</v>
      </c>
      <c r="D70" s="14">
        <v>20</v>
      </c>
      <c r="E70" s="13">
        <v>23</v>
      </c>
      <c r="F70" s="13">
        <f>1.8*E70+32</f>
        <v>73.400000000000006</v>
      </c>
      <c r="G70" s="13">
        <v>17</v>
      </c>
      <c r="H70" s="13">
        <f>IF(F70&gt;68,G70+(F70-68)*0.2,Y298-(68-F70)*0.2)</f>
        <v>18.080000000000002</v>
      </c>
      <c r="I70" s="13">
        <v>23</v>
      </c>
      <c r="J70" s="13">
        <f>1.8*I70+32</f>
        <v>73.400000000000006</v>
      </c>
      <c r="K70" s="13">
        <v>8</v>
      </c>
      <c r="L70" s="13">
        <f>IF(J70&gt;68,K70+(J70-68)*0.2,K70-(68-J70)*0.2)</f>
        <v>9.0800000000000018</v>
      </c>
      <c r="M70" s="13">
        <f>(C70-H70)/C70*100</f>
        <v>63.839999999999996</v>
      </c>
      <c r="N70" s="13">
        <f>100-(M70+O70)</f>
        <v>18</v>
      </c>
      <c r="O70" s="13">
        <f>L70/C70*100</f>
        <v>18.160000000000004</v>
      </c>
      <c r="P70" s="12" t="s">
        <v>0</v>
      </c>
      <c r="Q70" s="11">
        <v>409330.93839999998</v>
      </c>
      <c r="R70" s="11">
        <v>3659224.5359789999</v>
      </c>
      <c r="T70" s="14">
        <v>2011105</v>
      </c>
      <c r="U70" s="14" t="s">
        <v>275</v>
      </c>
      <c r="V70" s="14">
        <v>5.7410000000000003E-2</v>
      </c>
      <c r="W70" s="14">
        <v>0.38418000000000002</v>
      </c>
      <c r="X70" s="14">
        <v>2.7949999999999999E-2</v>
      </c>
      <c r="Y70" s="14">
        <v>1.3566</v>
      </c>
      <c r="Z70" s="14">
        <v>21.780480000000001</v>
      </c>
      <c r="AA70" s="14">
        <v>11.177530000000001</v>
      </c>
      <c r="AB70" s="14">
        <v>-1.3413200000000001</v>
      </c>
    </row>
    <row r="71" spans="1:28" x14ac:dyDescent="0.25">
      <c r="A71" s="18">
        <v>41304</v>
      </c>
      <c r="B71" s="14" t="s">
        <v>5</v>
      </c>
      <c r="C71" s="15">
        <v>50</v>
      </c>
      <c r="D71" s="14">
        <v>20</v>
      </c>
      <c r="E71" s="13">
        <v>23</v>
      </c>
      <c r="F71" s="13">
        <f>1.8*E71+32</f>
        <v>73.400000000000006</v>
      </c>
      <c r="G71" s="13">
        <v>23</v>
      </c>
      <c r="H71" s="13">
        <f>IF(F71&gt;68,G71+(F71-68)*0.2,Y299-(68-F71)*0.2)</f>
        <v>24.080000000000002</v>
      </c>
      <c r="I71" s="13">
        <v>23</v>
      </c>
      <c r="J71" s="13">
        <f>1.8*I71+32</f>
        <v>73.400000000000006</v>
      </c>
      <c r="K71" s="13">
        <v>11</v>
      </c>
      <c r="L71" s="13">
        <f>IF(J71&gt;68,K71+(J71-68)*0.2,K71-(68-J71)*0.2)</f>
        <v>12.080000000000002</v>
      </c>
      <c r="M71" s="13">
        <f>(C71-H71)/C71*100</f>
        <v>51.839999999999996</v>
      </c>
      <c r="N71" s="13">
        <f>100-(M71+O71)</f>
        <v>24</v>
      </c>
      <c r="O71" s="13">
        <f>L71/C71*100</f>
        <v>24.160000000000004</v>
      </c>
      <c r="P71" s="12" t="s">
        <v>3</v>
      </c>
      <c r="Q71" s="11">
        <v>409330.93839999998</v>
      </c>
      <c r="R71" s="11">
        <v>3659224.5359789999</v>
      </c>
      <c r="T71" s="14">
        <v>2011105</v>
      </c>
      <c r="U71" s="14" t="s">
        <v>274</v>
      </c>
      <c r="V71" s="14">
        <v>6.9379999999999997E-2</v>
      </c>
      <c r="W71" s="14">
        <v>0.39296999999999999</v>
      </c>
      <c r="X71" s="14">
        <v>2.4680000000000001E-2</v>
      </c>
      <c r="Y71" s="14">
        <v>1.3174999999999999</v>
      </c>
      <c r="Z71" s="14">
        <v>11.23972</v>
      </c>
      <c r="AA71" s="14">
        <v>7.8723299999999998</v>
      </c>
      <c r="AB71" s="14">
        <v>-1.5077</v>
      </c>
    </row>
    <row r="72" spans="1:28" x14ac:dyDescent="0.25">
      <c r="A72" s="17"/>
      <c r="B72" s="14" t="s">
        <v>4</v>
      </c>
      <c r="C72" s="15">
        <v>50</v>
      </c>
      <c r="D72" s="14">
        <v>20</v>
      </c>
      <c r="E72" s="13">
        <v>23</v>
      </c>
      <c r="F72" s="13">
        <f>1.8*E72+32</f>
        <v>73.400000000000006</v>
      </c>
      <c r="G72" s="13">
        <v>25</v>
      </c>
      <c r="H72" s="13">
        <f>IF(F72&gt;68,G72+(F72-68)*0.2,Y300-(68-F72)*0.2)</f>
        <v>26.080000000000002</v>
      </c>
      <c r="I72" s="13">
        <v>23</v>
      </c>
      <c r="J72" s="13">
        <f>1.8*I72+32</f>
        <v>73.400000000000006</v>
      </c>
      <c r="K72" s="13">
        <v>13</v>
      </c>
      <c r="L72" s="13">
        <f>IF(J72&gt;68,K72+(J72-68)*0.2,K72-(68-J72)*0.2)</f>
        <v>14.080000000000002</v>
      </c>
      <c r="M72" s="13">
        <f>(C72-H72)/C72*100</f>
        <v>47.839999999999996</v>
      </c>
      <c r="N72" s="13">
        <f>100-(M72+O72)</f>
        <v>24</v>
      </c>
      <c r="O72" s="13">
        <f>L72/C72*100</f>
        <v>28.16</v>
      </c>
      <c r="P72" s="12" t="s">
        <v>3</v>
      </c>
      <c r="Q72" s="11">
        <v>409330.93839999998</v>
      </c>
      <c r="R72" s="11">
        <v>3659224.5359789999</v>
      </c>
      <c r="T72" s="14">
        <v>2011105</v>
      </c>
      <c r="U72" s="14" t="s">
        <v>273</v>
      </c>
      <c r="V72" s="14">
        <v>6.0420000000000001E-2</v>
      </c>
      <c r="W72" s="14">
        <v>0.38281999999999999</v>
      </c>
      <c r="X72" s="14">
        <v>2.8039999999999999E-2</v>
      </c>
      <c r="Y72" s="14">
        <v>1.3411999999999999</v>
      </c>
      <c r="Z72" s="14">
        <v>19.117709999999999</v>
      </c>
      <c r="AA72" s="14">
        <v>10.474030000000001</v>
      </c>
      <c r="AB72" s="14">
        <v>-1.44339</v>
      </c>
    </row>
    <row r="73" spans="1:28" x14ac:dyDescent="0.25">
      <c r="A73" s="16"/>
      <c r="B73" s="14" t="s">
        <v>2</v>
      </c>
      <c r="C73" s="15">
        <v>50</v>
      </c>
      <c r="D73" s="14">
        <v>20</v>
      </c>
      <c r="E73" s="13">
        <v>23</v>
      </c>
      <c r="F73" s="13">
        <f>1.8*E73+32</f>
        <v>73.400000000000006</v>
      </c>
      <c r="G73" s="13">
        <v>25</v>
      </c>
      <c r="H73" s="13">
        <f>IF(F73&gt;68,G73+(F73-68)*0.2,Y301-(68-F73)*0.2)</f>
        <v>26.080000000000002</v>
      </c>
      <c r="I73" s="13">
        <v>23</v>
      </c>
      <c r="J73" s="13">
        <f>1.8*I73+32</f>
        <v>73.400000000000006</v>
      </c>
      <c r="K73" s="13">
        <v>13</v>
      </c>
      <c r="L73" s="13">
        <f>IF(J73&gt;68,K73+(J73-68)*0.2,K73-(68-J73)*0.2)</f>
        <v>14.080000000000002</v>
      </c>
      <c r="M73" s="13">
        <f>(C73-H73)/C73*100</f>
        <v>47.839999999999996</v>
      </c>
      <c r="N73" s="13">
        <f>100-(M73+O73)</f>
        <v>24</v>
      </c>
      <c r="O73" s="13">
        <f>L73/C73*100</f>
        <v>28.16</v>
      </c>
      <c r="P73" s="12" t="s">
        <v>3</v>
      </c>
      <c r="Q73" s="11">
        <v>409330.93839999998</v>
      </c>
      <c r="R73" s="11">
        <v>3659224.5359789999</v>
      </c>
      <c r="T73" s="14">
        <v>2011105</v>
      </c>
      <c r="U73" s="14" t="s">
        <v>272</v>
      </c>
      <c r="V73" s="14">
        <v>5.8520000000000003E-2</v>
      </c>
      <c r="W73" s="14">
        <v>0.38205</v>
      </c>
      <c r="X73" s="14">
        <v>2.87E-2</v>
      </c>
      <c r="Y73" s="14">
        <v>1.3501399999999999</v>
      </c>
      <c r="Z73" s="14">
        <v>21.430630000000001</v>
      </c>
      <c r="AA73" s="14">
        <v>11.17967</v>
      </c>
      <c r="AB73" s="14">
        <v>-1.4067499999999999</v>
      </c>
    </row>
    <row r="74" spans="1:28" x14ac:dyDescent="0.25">
      <c r="A74" s="16"/>
      <c r="B74" s="14" t="s">
        <v>1</v>
      </c>
      <c r="C74" s="15">
        <v>50</v>
      </c>
      <c r="D74" s="14">
        <v>20</v>
      </c>
      <c r="E74" s="13">
        <v>23</v>
      </c>
      <c r="F74" s="13">
        <f>1.8*E74+32</f>
        <v>73.400000000000006</v>
      </c>
      <c r="G74" s="13">
        <v>17</v>
      </c>
      <c r="H74" s="13">
        <f>IF(F74&gt;68,G74+(F74-68)*0.2,Y302-(68-F74)*0.2)</f>
        <v>18.080000000000002</v>
      </c>
      <c r="I74" s="13">
        <v>23</v>
      </c>
      <c r="J74" s="13">
        <f>1.8*I74+32</f>
        <v>73.400000000000006</v>
      </c>
      <c r="K74" s="13">
        <v>10</v>
      </c>
      <c r="L74" s="13">
        <f>IF(J74&gt;68,K74+(J74-68)*0.2,K74-(68-J74)*0.2)</f>
        <v>11.080000000000002</v>
      </c>
      <c r="M74" s="13">
        <f>(C74-H74)/C74*100</f>
        <v>63.839999999999996</v>
      </c>
      <c r="N74" s="13">
        <f>100-(M74+O74)</f>
        <v>14</v>
      </c>
      <c r="O74" s="13">
        <f>L74/C74*100</f>
        <v>22.160000000000004</v>
      </c>
      <c r="P74" s="12" t="s">
        <v>3</v>
      </c>
      <c r="Q74" s="11">
        <v>409330.93839999998</v>
      </c>
      <c r="R74" s="11">
        <v>3659224.5359789999</v>
      </c>
      <c r="T74" s="14">
        <v>2011105</v>
      </c>
      <c r="U74" s="14" t="s">
        <v>271</v>
      </c>
      <c r="V74" s="14">
        <v>6.3189999999999996E-2</v>
      </c>
      <c r="W74" s="14">
        <v>0.37148999999999999</v>
      </c>
      <c r="X74" s="14">
        <v>2.6679999999999999E-2</v>
      </c>
      <c r="Y74" s="14">
        <v>1.3547100000000001</v>
      </c>
      <c r="Z74" s="14">
        <v>19.308140000000002</v>
      </c>
      <c r="AA74" s="14">
        <v>9.1708300000000005</v>
      </c>
      <c r="AB74" s="14">
        <v>-1.41903</v>
      </c>
    </row>
    <row r="75" spans="1:28" x14ac:dyDescent="0.25">
      <c r="I75" t="s">
        <v>34</v>
      </c>
      <c r="T75" s="14">
        <v>2011105</v>
      </c>
      <c r="U75" s="14" t="s">
        <v>270</v>
      </c>
      <c r="V75" s="14">
        <v>6.148E-2</v>
      </c>
      <c r="W75" s="14">
        <v>0.38334000000000001</v>
      </c>
      <c r="X75" s="14">
        <v>2.7709999999999999E-2</v>
      </c>
      <c r="Y75" s="14">
        <v>1.33653</v>
      </c>
      <c r="Z75" s="14">
        <v>17.965039999999998</v>
      </c>
      <c r="AA75" s="14">
        <v>10.11932</v>
      </c>
      <c r="AB75" s="14">
        <v>-1.46384</v>
      </c>
    </row>
    <row r="76" spans="1:28" ht="51.75" x14ac:dyDescent="0.25">
      <c r="A76" s="19" t="s">
        <v>269</v>
      </c>
      <c r="B76" s="22" t="s">
        <v>26</v>
      </c>
      <c r="C76" s="26" t="s">
        <v>25</v>
      </c>
      <c r="D76" s="25" t="s">
        <v>24</v>
      </c>
      <c r="E76" s="24" t="s">
        <v>23</v>
      </c>
      <c r="F76" s="24" t="s">
        <v>22</v>
      </c>
      <c r="G76" s="24" t="s">
        <v>21</v>
      </c>
      <c r="H76" s="24" t="s">
        <v>20</v>
      </c>
      <c r="I76" s="24" t="s">
        <v>19</v>
      </c>
      <c r="J76" s="24" t="s">
        <v>18</v>
      </c>
      <c r="K76" s="24" t="s">
        <v>17</v>
      </c>
      <c r="L76" s="24" t="s">
        <v>16</v>
      </c>
      <c r="M76" s="23" t="s">
        <v>15</v>
      </c>
      <c r="N76" s="23" t="s">
        <v>14</v>
      </c>
      <c r="O76" s="23" t="s">
        <v>13</v>
      </c>
      <c r="P76" s="22" t="s">
        <v>12</v>
      </c>
      <c r="Q76" s="27" t="s">
        <v>11</v>
      </c>
      <c r="R76" s="27"/>
      <c r="T76" s="14">
        <v>2011105</v>
      </c>
      <c r="U76" s="14" t="s">
        <v>268</v>
      </c>
      <c r="V76" s="14">
        <v>6.6809999999999994E-2</v>
      </c>
      <c r="W76" s="14">
        <v>0.3846</v>
      </c>
      <c r="X76" s="14">
        <v>2.7E-2</v>
      </c>
      <c r="Y76" s="14">
        <v>1.30806</v>
      </c>
      <c r="Z76" s="14">
        <v>13.693569999999999</v>
      </c>
      <c r="AA76" s="14">
        <v>8.7581500000000005</v>
      </c>
      <c r="AB76" s="14">
        <v>-1.6434</v>
      </c>
    </row>
    <row r="77" spans="1:28" x14ac:dyDescent="0.25">
      <c r="A77" s="20"/>
      <c r="B77" s="22"/>
      <c r="C77" s="26"/>
      <c r="D77" s="25"/>
      <c r="E77" s="24"/>
      <c r="F77" s="24"/>
      <c r="G77" s="24"/>
      <c r="H77" s="24"/>
      <c r="I77" s="24"/>
      <c r="J77" s="24"/>
      <c r="K77" s="24"/>
      <c r="L77" s="24"/>
      <c r="M77" s="23"/>
      <c r="N77" s="23"/>
      <c r="O77" s="23"/>
      <c r="P77" s="22"/>
      <c r="Q77" s="21" t="s">
        <v>10</v>
      </c>
      <c r="R77" s="21" t="s">
        <v>9</v>
      </c>
      <c r="T77" s="14">
        <v>2011105</v>
      </c>
      <c r="U77" s="14" t="s">
        <v>267</v>
      </c>
      <c r="V77" s="14">
        <v>6.9250000000000006E-2</v>
      </c>
      <c r="W77" s="14">
        <v>0.39212000000000002</v>
      </c>
      <c r="X77" s="14">
        <v>2.5000000000000001E-2</v>
      </c>
      <c r="Y77" s="14">
        <v>1.3150500000000001</v>
      </c>
      <c r="Z77" s="14">
        <v>11.42798</v>
      </c>
      <c r="AA77" s="14">
        <v>7.9664599999999997</v>
      </c>
      <c r="AB77" s="14">
        <v>-1.53362</v>
      </c>
    </row>
    <row r="78" spans="1:28" x14ac:dyDescent="0.25">
      <c r="A78" s="20"/>
      <c r="B78" s="14" t="s">
        <v>8</v>
      </c>
      <c r="C78" s="15">
        <v>50</v>
      </c>
      <c r="D78" s="14">
        <v>20</v>
      </c>
      <c r="E78" s="13">
        <v>23</v>
      </c>
      <c r="F78" s="13">
        <f>1.8*E78+32</f>
        <v>73.400000000000006</v>
      </c>
      <c r="G78" s="13">
        <v>15</v>
      </c>
      <c r="H78" s="13">
        <f>IF(F78&gt;68,G78+(F78-68)*0.2,Y306-(68-F78)*0.2)</f>
        <v>16.080000000000002</v>
      </c>
      <c r="I78" s="13">
        <v>23</v>
      </c>
      <c r="J78" s="13">
        <f>1.8*I78+32</f>
        <v>73.400000000000006</v>
      </c>
      <c r="K78" s="13">
        <v>8</v>
      </c>
      <c r="L78" s="13">
        <f>IF(J78&gt;68,K78+(J78-68)*0.2,K78-(68-J78)*0.2)</f>
        <v>9.0800000000000018</v>
      </c>
      <c r="M78" s="13">
        <f>(C78-H78)/C78*100</f>
        <v>67.84</v>
      </c>
      <c r="N78" s="13">
        <f>100-(M78+O78)</f>
        <v>14</v>
      </c>
      <c r="O78" s="13">
        <f>L78/C78*100</f>
        <v>18.160000000000004</v>
      </c>
      <c r="P78" s="12" t="s">
        <v>0</v>
      </c>
      <c r="Q78" s="11">
        <v>409290.29639999999</v>
      </c>
      <c r="R78" s="11">
        <v>3659192.558892</v>
      </c>
      <c r="T78" s="14">
        <v>2011105</v>
      </c>
      <c r="U78" s="14" t="s">
        <v>266</v>
      </c>
      <c r="V78" s="14">
        <v>6.4329999999999998E-2</v>
      </c>
      <c r="W78" s="14">
        <v>0.39195999999999998</v>
      </c>
      <c r="X78" s="14">
        <v>2.367E-2</v>
      </c>
      <c r="Y78" s="14">
        <v>1.3497699999999999</v>
      </c>
      <c r="Z78" s="14">
        <v>14.01412</v>
      </c>
      <c r="AA78" s="14">
        <v>8.3364499999999992</v>
      </c>
      <c r="AB78" s="14">
        <v>-1.2798</v>
      </c>
    </row>
    <row r="79" spans="1:28" x14ac:dyDescent="0.25">
      <c r="A79" s="19" t="s">
        <v>7</v>
      </c>
      <c r="B79" s="14" t="s">
        <v>6</v>
      </c>
      <c r="C79" s="15">
        <v>50</v>
      </c>
      <c r="D79" s="14">
        <v>20</v>
      </c>
      <c r="E79" s="13">
        <v>23</v>
      </c>
      <c r="F79" s="13">
        <f>1.8*E79+32</f>
        <v>73.400000000000006</v>
      </c>
      <c r="G79" s="13">
        <v>17</v>
      </c>
      <c r="H79" s="13">
        <f>IF(F79&gt;68,G79+(F79-68)*0.2,Y307-(68-F79)*0.2)</f>
        <v>18.080000000000002</v>
      </c>
      <c r="I79" s="13">
        <v>23</v>
      </c>
      <c r="J79" s="13">
        <f>1.8*I79+32</f>
        <v>73.400000000000006</v>
      </c>
      <c r="K79" s="13">
        <v>8</v>
      </c>
      <c r="L79" s="13">
        <f>IF(J79&gt;68,K79+(J79-68)*0.2,K79-(68-J79)*0.2)</f>
        <v>9.0800000000000018</v>
      </c>
      <c r="M79" s="13">
        <f>(C79-H79)/C79*100</f>
        <v>63.839999999999996</v>
      </c>
      <c r="N79" s="13">
        <f>100-(M79+O79)</f>
        <v>18</v>
      </c>
      <c r="O79" s="13">
        <f>L79/C79*100</f>
        <v>18.160000000000004</v>
      </c>
      <c r="P79" s="12" t="s">
        <v>0</v>
      </c>
      <c r="Q79" s="11">
        <v>409290.29639999999</v>
      </c>
      <c r="R79" s="11">
        <v>3659192.558892</v>
      </c>
      <c r="T79" s="14">
        <v>2011105</v>
      </c>
      <c r="U79" s="14" t="s">
        <v>265</v>
      </c>
      <c r="V79" s="14">
        <v>6.3920000000000005E-2</v>
      </c>
      <c r="W79" s="14">
        <v>0.38944000000000001</v>
      </c>
      <c r="X79" s="14">
        <v>2.5069999999999999E-2</v>
      </c>
      <c r="Y79" s="14">
        <v>1.34108</v>
      </c>
      <c r="Z79" s="14">
        <v>14.82831</v>
      </c>
      <c r="AA79" s="14">
        <v>8.8519199999999998</v>
      </c>
      <c r="AB79" s="14">
        <v>-1.3655999999999999</v>
      </c>
    </row>
    <row r="80" spans="1:28" x14ac:dyDescent="0.25">
      <c r="A80" s="18">
        <v>41304</v>
      </c>
      <c r="B80" s="14" t="s">
        <v>5</v>
      </c>
      <c r="C80" s="15">
        <v>50</v>
      </c>
      <c r="D80" s="14">
        <v>20</v>
      </c>
      <c r="E80" s="13">
        <v>23</v>
      </c>
      <c r="F80" s="13">
        <f>1.8*E80+32</f>
        <v>73.400000000000006</v>
      </c>
      <c r="G80" s="13">
        <v>14</v>
      </c>
      <c r="H80" s="13">
        <f>IF(F80&gt;68,G80+(F80-68)*0.2,Y308-(68-F80)*0.2)</f>
        <v>15.080000000000002</v>
      </c>
      <c r="I80" s="13">
        <v>23</v>
      </c>
      <c r="J80" s="13">
        <f>1.8*I80+32</f>
        <v>73.400000000000006</v>
      </c>
      <c r="K80" s="13">
        <v>6</v>
      </c>
      <c r="L80" s="13">
        <f>IF(J80&gt;68,K80+(J80-68)*0.2,K80-(68-J80)*0.2)</f>
        <v>7.080000000000001</v>
      </c>
      <c r="M80" s="13">
        <f>(C80-H80)/C80*100</f>
        <v>69.84</v>
      </c>
      <c r="N80" s="13">
        <f>100-(M80+O80)</f>
        <v>16</v>
      </c>
      <c r="O80" s="13">
        <f>L80/C80*100</f>
        <v>14.160000000000004</v>
      </c>
      <c r="P80" s="12" t="s">
        <v>0</v>
      </c>
      <c r="Q80" s="11">
        <v>409290.29639999999</v>
      </c>
      <c r="R80" s="11">
        <v>3659192.558892</v>
      </c>
      <c r="T80" s="14">
        <v>2011105</v>
      </c>
      <c r="U80" s="14" t="s">
        <v>264</v>
      </c>
      <c r="V80" s="14">
        <v>6.5019999999999994E-2</v>
      </c>
      <c r="W80" s="14">
        <v>0.39034000000000002</v>
      </c>
      <c r="X80" s="14">
        <v>2.479E-2</v>
      </c>
      <c r="Y80" s="14">
        <v>1.33805</v>
      </c>
      <c r="Z80" s="14">
        <v>13.955880000000001</v>
      </c>
      <c r="AA80" s="14">
        <v>8.5828000000000007</v>
      </c>
      <c r="AB80" s="14">
        <v>-1.3775299999999999</v>
      </c>
    </row>
    <row r="81" spans="1:28" x14ac:dyDescent="0.25">
      <c r="A81" s="17"/>
      <c r="B81" s="14" t="s">
        <v>4</v>
      </c>
      <c r="C81" s="15">
        <v>50</v>
      </c>
      <c r="D81" s="14">
        <v>20</v>
      </c>
      <c r="E81" s="13">
        <v>23</v>
      </c>
      <c r="F81" s="13">
        <f>1.8*E81+32</f>
        <v>73.400000000000006</v>
      </c>
      <c r="G81" s="13">
        <v>18</v>
      </c>
      <c r="H81" s="13">
        <f>IF(F81&gt;68,G81+(F81-68)*0.2,Y309-(68-F81)*0.2)</f>
        <v>19.080000000000002</v>
      </c>
      <c r="I81" s="13">
        <v>23</v>
      </c>
      <c r="J81" s="13">
        <f>1.8*I81+32</f>
        <v>73.400000000000006</v>
      </c>
      <c r="K81" s="13">
        <v>9</v>
      </c>
      <c r="L81" s="13">
        <f>IF(J81&gt;68,K81+(J81-68)*0.2,K81-(68-J81)*0.2)</f>
        <v>10.080000000000002</v>
      </c>
      <c r="M81" s="13">
        <f>(C81-H81)/C81*100</f>
        <v>61.839999999999996</v>
      </c>
      <c r="N81" s="13">
        <f>100-(M81+O81)</f>
        <v>18</v>
      </c>
      <c r="O81" s="13">
        <f>L81/C81*100</f>
        <v>20.160000000000004</v>
      </c>
      <c r="P81" s="12" t="s">
        <v>3</v>
      </c>
      <c r="Q81" s="11">
        <v>409290.29639999999</v>
      </c>
      <c r="R81" s="11">
        <v>3659192.558892</v>
      </c>
      <c r="T81" s="14">
        <v>2011105</v>
      </c>
      <c r="U81" s="14" t="s">
        <v>263</v>
      </c>
      <c r="V81" s="14">
        <v>7.2749999999999995E-2</v>
      </c>
      <c r="W81" s="14">
        <v>0.39672000000000002</v>
      </c>
      <c r="X81" s="14">
        <v>2.4510000000000001E-2</v>
      </c>
      <c r="Y81" s="14">
        <v>1.3026599999999999</v>
      </c>
      <c r="Z81" s="14">
        <v>9.65794</v>
      </c>
      <c r="AA81" s="14">
        <v>7.3755600000000001</v>
      </c>
      <c r="AB81" s="14">
        <v>-1.60809</v>
      </c>
    </row>
    <row r="82" spans="1:28" x14ac:dyDescent="0.25">
      <c r="A82" s="16"/>
      <c r="B82" s="14" t="s">
        <v>2</v>
      </c>
      <c r="C82" s="15">
        <v>50</v>
      </c>
      <c r="D82" s="14">
        <v>20</v>
      </c>
      <c r="E82" s="13">
        <v>23</v>
      </c>
      <c r="F82" s="13">
        <f>1.8*E82+32</f>
        <v>73.400000000000006</v>
      </c>
      <c r="G82" s="13">
        <v>23</v>
      </c>
      <c r="H82" s="13">
        <f>IF(F82&gt;68,G82+(F82-68)*0.2,Y310-(68-F82)*0.2)</f>
        <v>24.080000000000002</v>
      </c>
      <c r="I82" s="13">
        <v>23</v>
      </c>
      <c r="J82" s="13">
        <f>1.8*I82+32</f>
        <v>73.400000000000006</v>
      </c>
      <c r="K82" s="13">
        <v>13</v>
      </c>
      <c r="L82" s="13">
        <f>IF(J82&gt;68,K82+(J82-68)*0.2,K82-(68-J82)*0.2)</f>
        <v>14.080000000000002</v>
      </c>
      <c r="M82" s="13">
        <f>(C82-H82)/C82*100</f>
        <v>51.839999999999996</v>
      </c>
      <c r="N82" s="13">
        <f>100-(M82+O82)</f>
        <v>20</v>
      </c>
      <c r="O82" s="13">
        <f>L82/C82*100</f>
        <v>28.16</v>
      </c>
      <c r="P82" s="12" t="s">
        <v>3</v>
      </c>
      <c r="Q82" s="11">
        <v>409290.29639999999</v>
      </c>
      <c r="R82" s="11">
        <v>3659192.558892</v>
      </c>
      <c r="T82" s="14">
        <v>2011105</v>
      </c>
      <c r="U82" s="14" t="s">
        <v>262</v>
      </c>
      <c r="V82" s="14">
        <v>7.0849999999999996E-2</v>
      </c>
      <c r="W82" s="14">
        <v>0.40139000000000002</v>
      </c>
      <c r="X82" s="14">
        <v>2.0990000000000002E-2</v>
      </c>
      <c r="Y82" s="14">
        <v>1.3464400000000001</v>
      </c>
      <c r="Z82" s="14">
        <v>9.3689</v>
      </c>
      <c r="AA82" s="14">
        <v>6.6495600000000001</v>
      </c>
      <c r="AB82" s="14">
        <v>-1.2269600000000001</v>
      </c>
    </row>
    <row r="83" spans="1:28" x14ac:dyDescent="0.25">
      <c r="A83" s="16"/>
      <c r="B83" s="14" t="s">
        <v>1</v>
      </c>
      <c r="C83" s="15">
        <v>50</v>
      </c>
      <c r="D83" s="14">
        <v>20</v>
      </c>
      <c r="E83" s="13">
        <v>23</v>
      </c>
      <c r="F83" s="13">
        <f>1.8*E83+32</f>
        <v>73.400000000000006</v>
      </c>
      <c r="G83" s="13">
        <v>21</v>
      </c>
      <c r="H83" s="13">
        <f>IF(F83&gt;68,G83+(F83-68)*0.2,Y311-(68-F83)*0.2)</f>
        <v>22.080000000000002</v>
      </c>
      <c r="I83" s="13">
        <v>23</v>
      </c>
      <c r="J83" s="13">
        <f>1.8*I83+32</f>
        <v>73.400000000000006</v>
      </c>
      <c r="K83" s="13">
        <v>11</v>
      </c>
      <c r="L83" s="13">
        <f>IF(J83&gt;68,K83+(J83-68)*0.2,K83-(68-J83)*0.2)</f>
        <v>12.080000000000002</v>
      </c>
      <c r="M83" s="13">
        <f>(C83-H83)/C83*100</f>
        <v>55.84</v>
      </c>
      <c r="N83" s="13">
        <f>100-(M83+O83)</f>
        <v>20</v>
      </c>
      <c r="O83" s="13">
        <f>L83/C83*100</f>
        <v>24.160000000000004</v>
      </c>
      <c r="P83" s="12" t="s">
        <v>3</v>
      </c>
      <c r="Q83" s="11">
        <v>409290.29639999999</v>
      </c>
      <c r="R83" s="11">
        <v>3659192.558892</v>
      </c>
      <c r="T83" s="14">
        <v>2011105</v>
      </c>
      <c r="U83" s="14" t="s">
        <v>261</v>
      </c>
      <c r="V83" s="14">
        <v>6.6809999999999994E-2</v>
      </c>
      <c r="W83" s="14">
        <v>0.3846</v>
      </c>
      <c r="X83" s="14">
        <v>2.7E-2</v>
      </c>
      <c r="Y83" s="14">
        <v>1.30806</v>
      </c>
      <c r="Z83" s="14">
        <v>13.693569999999999</v>
      </c>
      <c r="AA83" s="14">
        <v>8.7581500000000005</v>
      </c>
      <c r="AB83" s="14">
        <v>-1.6434</v>
      </c>
    </row>
    <row r="84" spans="1:28" x14ac:dyDescent="0.25">
      <c r="Q84" s="31"/>
      <c r="R84" s="31"/>
      <c r="T84" s="14">
        <v>2011105</v>
      </c>
      <c r="U84" s="14" t="s">
        <v>260</v>
      </c>
      <c r="V84" s="14">
        <v>6.4119999999999996E-2</v>
      </c>
      <c r="W84" s="14">
        <v>0.37997999999999998</v>
      </c>
      <c r="X84" s="14">
        <v>2.7859999999999999E-2</v>
      </c>
      <c r="Y84" s="14">
        <v>1.3183800000000001</v>
      </c>
      <c r="Z84" s="14">
        <v>16.021809999999999</v>
      </c>
      <c r="AA84" s="14">
        <v>9.4367099999999997</v>
      </c>
      <c r="AB84" s="14">
        <v>-1.59911</v>
      </c>
    </row>
    <row r="85" spans="1:28" ht="51.75" x14ac:dyDescent="0.25">
      <c r="A85" s="19" t="s">
        <v>259</v>
      </c>
      <c r="B85" s="22" t="s">
        <v>26</v>
      </c>
      <c r="C85" s="26" t="s">
        <v>25</v>
      </c>
      <c r="D85" s="25" t="s">
        <v>24</v>
      </c>
      <c r="E85" s="24" t="s">
        <v>23</v>
      </c>
      <c r="F85" s="24" t="s">
        <v>22</v>
      </c>
      <c r="G85" s="24" t="s">
        <v>21</v>
      </c>
      <c r="H85" s="24" t="s">
        <v>20</v>
      </c>
      <c r="I85" s="24" t="s">
        <v>19</v>
      </c>
      <c r="J85" s="24" t="s">
        <v>18</v>
      </c>
      <c r="K85" s="24" t="s">
        <v>17</v>
      </c>
      <c r="L85" s="24" t="s">
        <v>16</v>
      </c>
      <c r="M85" s="23" t="s">
        <v>15</v>
      </c>
      <c r="N85" s="23" t="s">
        <v>14</v>
      </c>
      <c r="O85" s="23" t="s">
        <v>13</v>
      </c>
      <c r="P85" s="22" t="s">
        <v>12</v>
      </c>
      <c r="Q85" s="34" t="s">
        <v>11</v>
      </c>
      <c r="R85" s="33"/>
      <c r="T85" s="14">
        <v>2011105</v>
      </c>
      <c r="U85" s="14" t="s">
        <v>258</v>
      </c>
      <c r="V85" s="14">
        <v>5.6660000000000002E-2</v>
      </c>
      <c r="W85" s="14">
        <v>0.38079000000000002</v>
      </c>
      <c r="X85" s="14">
        <v>2.964E-2</v>
      </c>
      <c r="Y85" s="14">
        <v>1.36103</v>
      </c>
      <c r="Z85" s="14">
        <v>24.43111</v>
      </c>
      <c r="AA85" s="14">
        <v>12.067489999999999</v>
      </c>
      <c r="AB85" s="14">
        <v>-1.3746499999999999</v>
      </c>
    </row>
    <row r="86" spans="1:28" x14ac:dyDescent="0.25">
      <c r="A86" s="20"/>
      <c r="B86" s="22"/>
      <c r="C86" s="26"/>
      <c r="D86" s="25"/>
      <c r="E86" s="24"/>
      <c r="F86" s="24"/>
      <c r="G86" s="24"/>
      <c r="H86" s="24"/>
      <c r="I86" s="24"/>
      <c r="J86" s="24"/>
      <c r="K86" s="24"/>
      <c r="L86" s="24"/>
      <c r="M86" s="23"/>
      <c r="N86" s="23"/>
      <c r="O86" s="23"/>
      <c r="P86" s="22"/>
      <c r="Q86" s="21" t="s">
        <v>10</v>
      </c>
      <c r="R86" s="21" t="s">
        <v>9</v>
      </c>
      <c r="T86" s="14">
        <v>2011105</v>
      </c>
      <c r="U86" s="14" t="s">
        <v>257</v>
      </c>
      <c r="V86" s="14">
        <v>6.0539999999999997E-2</v>
      </c>
      <c r="W86" s="14">
        <v>0.38505</v>
      </c>
      <c r="X86" s="14">
        <v>2.7150000000000001E-2</v>
      </c>
      <c r="Y86" s="14">
        <v>1.3444100000000001</v>
      </c>
      <c r="Z86" s="14">
        <v>18.446850000000001</v>
      </c>
      <c r="AA86" s="14">
        <v>10.168939999999999</v>
      </c>
      <c r="AB86" s="14">
        <v>-1.39679</v>
      </c>
    </row>
    <row r="87" spans="1:28" x14ac:dyDescent="0.25">
      <c r="A87" s="20"/>
      <c r="B87" s="14" t="s">
        <v>8</v>
      </c>
      <c r="C87" s="15">
        <v>50</v>
      </c>
      <c r="D87" s="14">
        <v>20</v>
      </c>
      <c r="E87" s="13">
        <v>23</v>
      </c>
      <c r="F87" s="13">
        <f>1.8*E87+32</f>
        <v>73.400000000000006</v>
      </c>
      <c r="G87" s="13">
        <v>18</v>
      </c>
      <c r="H87" s="13">
        <f>IF(F87&gt;68,G87+(F87-68)*0.2,Y315-(68-F87)*0.2)</f>
        <v>19.080000000000002</v>
      </c>
      <c r="I87" s="13">
        <v>23</v>
      </c>
      <c r="J87" s="13">
        <f>1.8*I87+32</f>
        <v>73.400000000000006</v>
      </c>
      <c r="K87" s="13">
        <v>8</v>
      </c>
      <c r="L87" s="13">
        <f>IF(J87&gt;68,K87+(J87-68)*0.2,K87-(68-J87)*0.2)</f>
        <v>9.0800000000000018</v>
      </c>
      <c r="M87" s="13">
        <f>(C87-H87)/C87*100</f>
        <v>61.839999999999996</v>
      </c>
      <c r="N87" s="13">
        <f>100-(M87+O87)</f>
        <v>20</v>
      </c>
      <c r="O87" s="13">
        <f>L87/C87*100</f>
        <v>18.160000000000004</v>
      </c>
      <c r="P87" s="12" t="s">
        <v>0</v>
      </c>
      <c r="Q87" s="11">
        <v>409326.87239999999</v>
      </c>
      <c r="R87" s="11">
        <v>3659215.367877</v>
      </c>
      <c r="T87" s="14">
        <v>2011105</v>
      </c>
      <c r="U87" s="14" t="s">
        <v>256</v>
      </c>
      <c r="V87" s="14">
        <v>6.4329999999999998E-2</v>
      </c>
      <c r="W87" s="14">
        <v>0.39195999999999998</v>
      </c>
      <c r="X87" s="14">
        <v>2.367E-2</v>
      </c>
      <c r="Y87" s="14">
        <v>1.3497699999999999</v>
      </c>
      <c r="Z87" s="14">
        <v>14.01412</v>
      </c>
      <c r="AA87" s="14">
        <v>8.3364499999999992</v>
      </c>
      <c r="AB87" s="14">
        <v>-1.2798</v>
      </c>
    </row>
    <row r="88" spans="1:28" x14ac:dyDescent="0.25">
      <c r="A88" s="19" t="s">
        <v>7</v>
      </c>
      <c r="B88" s="14" t="s">
        <v>6</v>
      </c>
      <c r="C88" s="15">
        <v>50</v>
      </c>
      <c r="D88" s="14">
        <v>20</v>
      </c>
      <c r="E88" s="13">
        <v>23</v>
      </c>
      <c r="F88" s="13">
        <f>1.8*E88+32</f>
        <v>73.400000000000006</v>
      </c>
      <c r="G88" s="13">
        <v>16</v>
      </c>
      <c r="H88" s="13">
        <f>IF(F88&gt;68,G88+(F88-68)*0.2,Y316-(68-F88)*0.2)</f>
        <v>17.080000000000002</v>
      </c>
      <c r="I88" s="13">
        <v>23</v>
      </c>
      <c r="J88" s="13">
        <f>1.8*I88+32</f>
        <v>73.400000000000006</v>
      </c>
      <c r="K88" s="13">
        <v>7</v>
      </c>
      <c r="L88" s="13">
        <f>IF(J88&gt;68,K88+(J88-68)*0.2,K88-(68-J88)*0.2)</f>
        <v>8.0800000000000018</v>
      </c>
      <c r="M88" s="13">
        <f>(C88-H88)/C88*100</f>
        <v>65.84</v>
      </c>
      <c r="N88" s="13">
        <f>100-(M88+O88)</f>
        <v>18</v>
      </c>
      <c r="O88" s="13">
        <f>L88/C88*100</f>
        <v>16.160000000000004</v>
      </c>
      <c r="P88" s="12" t="s">
        <v>0</v>
      </c>
      <c r="Q88" s="11">
        <v>409326.87239999999</v>
      </c>
      <c r="R88" s="11">
        <v>3659215.367877</v>
      </c>
      <c r="T88" s="14">
        <v>2011105</v>
      </c>
      <c r="U88" s="14" t="s">
        <v>255</v>
      </c>
      <c r="V88" s="14">
        <v>6.4329999999999998E-2</v>
      </c>
      <c r="W88" s="14">
        <v>0.39195999999999998</v>
      </c>
      <c r="X88" s="14">
        <v>2.367E-2</v>
      </c>
      <c r="Y88" s="14">
        <v>1.3497699999999999</v>
      </c>
      <c r="Z88" s="14">
        <v>14.01412</v>
      </c>
      <c r="AA88" s="14">
        <v>8.3364499999999992</v>
      </c>
      <c r="AB88" s="14">
        <v>-1.2798</v>
      </c>
    </row>
    <row r="89" spans="1:28" x14ac:dyDescent="0.25">
      <c r="A89" s="18">
        <v>41304</v>
      </c>
      <c r="B89" s="14" t="s">
        <v>5</v>
      </c>
      <c r="C89" s="15">
        <v>50</v>
      </c>
      <c r="D89" s="14">
        <v>20</v>
      </c>
      <c r="E89" s="13">
        <v>23</v>
      </c>
      <c r="F89" s="13">
        <f>1.8*E89+32</f>
        <v>73.400000000000006</v>
      </c>
      <c r="G89" s="13">
        <v>20</v>
      </c>
      <c r="H89" s="13">
        <f>IF(F89&gt;68,G89+(F89-68)*0.2,Y317-(68-F89)*0.2)</f>
        <v>21.080000000000002</v>
      </c>
      <c r="I89" s="13">
        <v>23</v>
      </c>
      <c r="J89" s="13">
        <f>1.8*I89+32</f>
        <v>73.400000000000006</v>
      </c>
      <c r="K89" s="13">
        <v>10</v>
      </c>
      <c r="L89" s="13">
        <f>IF(J89&gt;68,K89+(J89-68)*0.2,K89-(68-J89)*0.2)</f>
        <v>11.080000000000002</v>
      </c>
      <c r="M89" s="13">
        <f>(C89-H89)/C89*100</f>
        <v>57.839999999999989</v>
      </c>
      <c r="N89" s="13">
        <f>100-(M89+O89)</f>
        <v>20</v>
      </c>
      <c r="O89" s="13">
        <f>L89/C89*100</f>
        <v>22.160000000000004</v>
      </c>
      <c r="P89" s="12" t="s">
        <v>3</v>
      </c>
      <c r="Q89" s="11">
        <v>409326.87239999999</v>
      </c>
      <c r="R89" s="11">
        <v>3659215.367877</v>
      </c>
      <c r="T89" s="14">
        <v>2011105</v>
      </c>
      <c r="U89" s="14" t="s">
        <v>254</v>
      </c>
      <c r="V89" s="14">
        <v>6.5259999999999999E-2</v>
      </c>
      <c r="W89" s="14">
        <v>0.38492999999999999</v>
      </c>
      <c r="X89" s="14">
        <v>2.6950000000000002E-2</v>
      </c>
      <c r="Y89" s="14">
        <v>1.3186800000000001</v>
      </c>
      <c r="Z89" s="14">
        <v>14.61115</v>
      </c>
      <c r="AA89" s="14">
        <v>9.0823300000000007</v>
      </c>
      <c r="AB89" s="14">
        <v>-1.56324</v>
      </c>
    </row>
    <row r="90" spans="1:28" x14ac:dyDescent="0.25">
      <c r="A90" s="17"/>
      <c r="B90" s="14" t="s">
        <v>4</v>
      </c>
      <c r="C90" s="15">
        <v>50</v>
      </c>
      <c r="D90" s="14">
        <v>20</v>
      </c>
      <c r="E90" s="13">
        <v>23</v>
      </c>
      <c r="F90" s="13">
        <f>1.8*E90+32</f>
        <v>73.400000000000006</v>
      </c>
      <c r="G90" s="13">
        <v>30</v>
      </c>
      <c r="H90" s="13">
        <f>IF(F90&gt;68,G90+(F90-68)*0.2,Y318-(68-F90)*0.2)</f>
        <v>31.080000000000002</v>
      </c>
      <c r="I90" s="13">
        <v>23</v>
      </c>
      <c r="J90" s="13">
        <f>1.8*I90+32</f>
        <v>73.400000000000006</v>
      </c>
      <c r="K90" s="13">
        <v>17</v>
      </c>
      <c r="L90" s="13">
        <f>IF(J90&gt;68,K90+(J90-68)*0.2,K90-(68-J90)*0.2)</f>
        <v>18.080000000000002</v>
      </c>
      <c r="M90" s="13">
        <f>(C90-H90)/C90*100</f>
        <v>37.839999999999996</v>
      </c>
      <c r="N90" s="13">
        <f>100-(M90+O90)</f>
        <v>26</v>
      </c>
      <c r="O90" s="13">
        <f>L90/C90*100</f>
        <v>36.160000000000004</v>
      </c>
      <c r="P90" s="12" t="s">
        <v>30</v>
      </c>
      <c r="Q90" s="11">
        <v>409326.87239999999</v>
      </c>
      <c r="R90" s="11">
        <v>3659215.367877</v>
      </c>
      <c r="T90" s="14">
        <v>2011105</v>
      </c>
      <c r="U90" s="14" t="s">
        <v>253</v>
      </c>
      <c r="V90" s="14">
        <v>6.3920000000000005E-2</v>
      </c>
      <c r="W90" s="14">
        <v>0.38944000000000001</v>
      </c>
      <c r="X90" s="14">
        <v>2.5069999999999999E-2</v>
      </c>
      <c r="Y90" s="14">
        <v>1.34108</v>
      </c>
      <c r="Z90" s="14">
        <v>14.82831</v>
      </c>
      <c r="AA90" s="14">
        <v>8.8519199999999998</v>
      </c>
      <c r="AB90" s="14">
        <v>-1.3655999999999999</v>
      </c>
    </row>
    <row r="91" spans="1:28" x14ac:dyDescent="0.25">
      <c r="A91" s="16"/>
      <c r="B91" s="14" t="s">
        <v>2</v>
      </c>
      <c r="C91" s="15">
        <v>50</v>
      </c>
      <c r="D91" s="14">
        <v>20</v>
      </c>
      <c r="E91" s="13">
        <v>23</v>
      </c>
      <c r="F91" s="13">
        <f>1.8*E91+32</f>
        <v>73.400000000000006</v>
      </c>
      <c r="G91" s="13">
        <v>26</v>
      </c>
      <c r="H91" s="13">
        <f>IF(F91&gt;68,G91+(F91-68)*0.2,Y319-(68-F91)*0.2)</f>
        <v>27.080000000000002</v>
      </c>
      <c r="I91" s="13">
        <v>23</v>
      </c>
      <c r="J91" s="13">
        <f>1.8*I91+32</f>
        <v>73.400000000000006</v>
      </c>
      <c r="K91" s="13">
        <v>15</v>
      </c>
      <c r="L91" s="13">
        <f>IF(J91&gt;68,K91+(J91-68)*0.2,K91-(68-J91)*0.2)</f>
        <v>16.080000000000002</v>
      </c>
      <c r="M91" s="13">
        <f>(C91-H91)/C91*100</f>
        <v>45.839999999999996</v>
      </c>
      <c r="N91" s="13">
        <f>100-(M91+O91)</f>
        <v>22</v>
      </c>
      <c r="O91" s="13">
        <f>L91/C91*100</f>
        <v>32.160000000000004</v>
      </c>
      <c r="P91" s="12" t="s">
        <v>3</v>
      </c>
      <c r="Q91" s="11">
        <v>409326.87239999999</v>
      </c>
      <c r="R91" s="11">
        <v>3659215.367877</v>
      </c>
      <c r="T91" s="14">
        <v>2011105</v>
      </c>
      <c r="U91" s="14" t="s">
        <v>252</v>
      </c>
      <c r="V91" s="14">
        <v>5.0729999999999997E-2</v>
      </c>
      <c r="W91" s="14">
        <v>0.38364999999999999</v>
      </c>
      <c r="X91" s="14">
        <v>3.0020000000000002E-2</v>
      </c>
      <c r="Y91" s="14">
        <v>1.38215</v>
      </c>
      <c r="Z91" s="14">
        <v>30.353629999999999</v>
      </c>
      <c r="AA91" s="14">
        <v>13.89115</v>
      </c>
      <c r="AB91" s="14">
        <v>-1.2384999999999999</v>
      </c>
    </row>
    <row r="92" spans="1:28" x14ac:dyDescent="0.25">
      <c r="A92" s="16"/>
      <c r="B92" s="14" t="s">
        <v>1</v>
      </c>
      <c r="C92" s="15">
        <v>50</v>
      </c>
      <c r="D92" s="14">
        <v>20</v>
      </c>
      <c r="E92" s="13">
        <v>23</v>
      </c>
      <c r="F92" s="13">
        <f>1.8*E92+32</f>
        <v>73.400000000000006</v>
      </c>
      <c r="G92" s="13">
        <v>17</v>
      </c>
      <c r="H92" s="13">
        <f>IF(F92&gt;68,G92+(F92-68)*0.2,Y320-(68-F92)*0.2)</f>
        <v>18.080000000000002</v>
      </c>
      <c r="I92" s="13">
        <v>23</v>
      </c>
      <c r="J92" s="13">
        <f>1.8*I92+32</f>
        <v>73.400000000000006</v>
      </c>
      <c r="K92" s="13">
        <v>10</v>
      </c>
      <c r="L92" s="13">
        <f>IF(J92&gt;68,K92+(J92-68)*0.2,K92-(68-J92)*0.2)</f>
        <v>11.080000000000002</v>
      </c>
      <c r="M92" s="13">
        <f>(C92-H92)/C92*100</f>
        <v>63.839999999999996</v>
      </c>
      <c r="N92" s="13">
        <f>100-(M92+O92)</f>
        <v>14</v>
      </c>
      <c r="O92" s="13">
        <f>L92/C92*100</f>
        <v>22.160000000000004</v>
      </c>
      <c r="P92" s="12" t="s">
        <v>3</v>
      </c>
      <c r="Q92" s="11">
        <v>409326.87239999999</v>
      </c>
      <c r="R92" s="11">
        <v>3659215.367877</v>
      </c>
      <c r="T92" s="14">
        <v>2011105</v>
      </c>
      <c r="U92" s="14" t="s">
        <v>251</v>
      </c>
      <c r="V92" s="14">
        <v>5.4269999999999999E-2</v>
      </c>
      <c r="W92" s="14">
        <v>0.37864999999999999</v>
      </c>
      <c r="X92" s="14">
        <v>3.1109999999999999E-2</v>
      </c>
      <c r="Y92" s="14">
        <v>1.3911100000000001</v>
      </c>
      <c r="Z92" s="14">
        <v>31.057179999999999</v>
      </c>
      <c r="AA92" s="14">
        <v>13.65375</v>
      </c>
      <c r="AB92" s="14">
        <v>-1.29491</v>
      </c>
    </row>
    <row r="93" spans="1:28" x14ac:dyDescent="0.25">
      <c r="Q93" s="31"/>
      <c r="R93" s="31"/>
      <c r="T93" s="14">
        <v>2011105</v>
      </c>
      <c r="U93" s="14" t="s">
        <v>250</v>
      </c>
      <c r="V93" s="14">
        <v>5.4199999999999998E-2</v>
      </c>
      <c r="W93" s="14">
        <v>0.38274000000000002</v>
      </c>
      <c r="X93" s="14">
        <v>2.9569999999999999E-2</v>
      </c>
      <c r="Y93" s="14">
        <v>1.3696699999999999</v>
      </c>
      <c r="Z93" s="14">
        <v>26.512840000000001</v>
      </c>
      <c r="AA93" s="14">
        <v>12.71405</v>
      </c>
      <c r="AB93" s="14">
        <v>-1.3086199999999999</v>
      </c>
    </row>
    <row r="94" spans="1:28" ht="51.75" x14ac:dyDescent="0.25">
      <c r="A94" s="19" t="s">
        <v>249</v>
      </c>
      <c r="B94" s="22" t="s">
        <v>26</v>
      </c>
      <c r="C94" s="26" t="s">
        <v>25</v>
      </c>
      <c r="D94" s="25" t="s">
        <v>24</v>
      </c>
      <c r="E94" s="24" t="s">
        <v>23</v>
      </c>
      <c r="F94" s="24" t="s">
        <v>22</v>
      </c>
      <c r="G94" s="24" t="s">
        <v>21</v>
      </c>
      <c r="H94" s="24" t="s">
        <v>20</v>
      </c>
      <c r="I94" s="24" t="s">
        <v>19</v>
      </c>
      <c r="J94" s="24" t="s">
        <v>18</v>
      </c>
      <c r="K94" s="24" t="s">
        <v>17</v>
      </c>
      <c r="L94" s="24" t="s">
        <v>16</v>
      </c>
      <c r="M94" s="23" t="s">
        <v>15</v>
      </c>
      <c r="N94" s="23" t="s">
        <v>14</v>
      </c>
      <c r="O94" s="23" t="s">
        <v>13</v>
      </c>
      <c r="P94" s="22" t="s">
        <v>12</v>
      </c>
      <c r="Q94" s="34" t="s">
        <v>11</v>
      </c>
      <c r="R94" s="33"/>
      <c r="T94" s="14">
        <v>2011105</v>
      </c>
      <c r="U94" s="14" t="s">
        <v>248</v>
      </c>
      <c r="V94" s="14">
        <v>6.3920000000000005E-2</v>
      </c>
      <c r="W94" s="14">
        <v>0.38944000000000001</v>
      </c>
      <c r="X94" s="14">
        <v>2.5069999999999999E-2</v>
      </c>
      <c r="Y94" s="14">
        <v>1.34108</v>
      </c>
      <c r="Z94" s="14">
        <v>14.82831</v>
      </c>
      <c r="AA94" s="14">
        <v>8.8519199999999998</v>
      </c>
      <c r="AB94" s="14">
        <v>-1.3655999999999999</v>
      </c>
    </row>
    <row r="95" spans="1:28" x14ac:dyDescent="0.25">
      <c r="A95" s="20"/>
      <c r="B95" s="22"/>
      <c r="C95" s="26"/>
      <c r="D95" s="25"/>
      <c r="E95" s="24"/>
      <c r="F95" s="24"/>
      <c r="G95" s="24"/>
      <c r="H95" s="24"/>
      <c r="I95" s="24"/>
      <c r="J95" s="24"/>
      <c r="K95" s="24"/>
      <c r="L95" s="24"/>
      <c r="M95" s="23"/>
      <c r="N95" s="23"/>
      <c r="O95" s="23"/>
      <c r="P95" s="22"/>
      <c r="Q95" s="21" t="s">
        <v>10</v>
      </c>
      <c r="R95" s="21" t="s">
        <v>9</v>
      </c>
      <c r="T95" s="14">
        <v>2011105</v>
      </c>
      <c r="U95" s="14" t="s">
        <v>247</v>
      </c>
      <c r="V95" s="14">
        <v>7.0110000000000006E-2</v>
      </c>
      <c r="W95" s="14">
        <v>0.38711000000000001</v>
      </c>
      <c r="X95" s="14">
        <v>2.6710000000000001E-2</v>
      </c>
      <c r="Y95" s="14">
        <v>1.2907200000000001</v>
      </c>
      <c r="Z95" s="14">
        <v>12.12293</v>
      </c>
      <c r="AA95" s="14">
        <v>8.1070899999999995</v>
      </c>
      <c r="AB95" s="14">
        <v>-1.7759400000000001</v>
      </c>
    </row>
    <row r="96" spans="1:28" x14ac:dyDescent="0.25">
      <c r="A96" s="20"/>
      <c r="B96" s="14" t="s">
        <v>8</v>
      </c>
      <c r="C96" s="15">
        <v>50</v>
      </c>
      <c r="D96" s="14">
        <v>20</v>
      </c>
      <c r="E96" s="13">
        <v>23</v>
      </c>
      <c r="F96" s="13">
        <f>1.8*E96+32</f>
        <v>73.400000000000006</v>
      </c>
      <c r="G96" s="13">
        <v>17</v>
      </c>
      <c r="H96" s="13">
        <f>IF(F96&gt;68,G96+(F96-68)*0.2,Y324-(68-F96)*0.2)</f>
        <v>18.080000000000002</v>
      </c>
      <c r="I96" s="13">
        <v>23</v>
      </c>
      <c r="J96" s="13">
        <f>1.8*I96+32</f>
        <v>73.400000000000006</v>
      </c>
      <c r="K96" s="13">
        <v>8</v>
      </c>
      <c r="L96" s="13">
        <f>IF(J96&gt;68,K96+(J96-68)*0.2,K96-(68-J96)*0.2)</f>
        <v>9.0800000000000018</v>
      </c>
      <c r="M96" s="13">
        <f>(C96-H96)/C96*100</f>
        <v>63.839999999999996</v>
      </c>
      <c r="N96" s="13">
        <f>100-(M96+O96)</f>
        <v>18</v>
      </c>
      <c r="O96" s="13">
        <f>L96/C96*100</f>
        <v>18.160000000000004</v>
      </c>
      <c r="P96" s="12" t="s">
        <v>0</v>
      </c>
      <c r="Q96" s="11">
        <v>409302.49040000001</v>
      </c>
      <c r="R96" s="11">
        <v>3659192.558892</v>
      </c>
      <c r="T96" s="14">
        <v>2011105</v>
      </c>
      <c r="U96" s="14" t="s">
        <v>246</v>
      </c>
      <c r="V96" s="14">
        <v>6.3329999999999997E-2</v>
      </c>
      <c r="W96" s="14">
        <v>0.38442999999999999</v>
      </c>
      <c r="X96" s="14">
        <v>2.7179999999999999E-2</v>
      </c>
      <c r="Y96" s="14">
        <v>1.32874</v>
      </c>
      <c r="Z96" s="14">
        <v>16.14959</v>
      </c>
      <c r="AA96" s="14">
        <v>9.55518</v>
      </c>
      <c r="AB96" s="14">
        <v>-1.50024</v>
      </c>
    </row>
    <row r="97" spans="1:28" x14ac:dyDescent="0.25">
      <c r="A97" s="19" t="s">
        <v>7</v>
      </c>
      <c r="B97" s="14" t="s">
        <v>6</v>
      </c>
      <c r="C97" s="15">
        <v>50</v>
      </c>
      <c r="D97" s="14">
        <v>20</v>
      </c>
      <c r="E97" s="13">
        <v>23</v>
      </c>
      <c r="F97" s="13">
        <f>1.8*E97+32</f>
        <v>73.400000000000006</v>
      </c>
      <c r="G97" s="13">
        <v>15</v>
      </c>
      <c r="H97" s="13">
        <f>IF(F97&gt;68,G97+(F97-68)*0.2,Y325-(68-F97)*0.2)</f>
        <v>16.080000000000002</v>
      </c>
      <c r="I97" s="13">
        <v>23</v>
      </c>
      <c r="J97" s="13">
        <f>1.8*I97+32</f>
        <v>73.400000000000006</v>
      </c>
      <c r="K97" s="13">
        <v>7</v>
      </c>
      <c r="L97" s="13">
        <f>IF(J97&gt;68,K97+(J97-68)*0.2,K97-(68-J97)*0.2)</f>
        <v>8.0800000000000018</v>
      </c>
      <c r="M97" s="13">
        <f>(C97-H97)/C97*100</f>
        <v>67.84</v>
      </c>
      <c r="N97" s="13">
        <f>100-(M97+O97)</f>
        <v>16</v>
      </c>
      <c r="O97" s="13">
        <f>L97/C97*100</f>
        <v>16.160000000000004</v>
      </c>
      <c r="P97" s="12" t="s">
        <v>0</v>
      </c>
      <c r="Q97" s="11">
        <v>409302.49040000001</v>
      </c>
      <c r="R97" s="11">
        <v>3659192.558892</v>
      </c>
      <c r="T97" s="14">
        <v>2011105</v>
      </c>
      <c r="U97" s="14" t="s">
        <v>245</v>
      </c>
      <c r="V97" s="14">
        <v>6.3200000000000006E-2</v>
      </c>
      <c r="W97" s="14">
        <v>0.37944</v>
      </c>
      <c r="X97" s="14">
        <v>2.8070000000000001E-2</v>
      </c>
      <c r="Y97" s="14">
        <v>1.32409</v>
      </c>
      <c r="Z97" s="14">
        <v>16.87735</v>
      </c>
      <c r="AA97" s="14">
        <v>9.7082300000000004</v>
      </c>
      <c r="AB97" s="14">
        <v>-1.56714</v>
      </c>
    </row>
    <row r="98" spans="1:28" x14ac:dyDescent="0.25">
      <c r="A98" s="18">
        <v>41415</v>
      </c>
      <c r="B98" s="14" t="s">
        <v>5</v>
      </c>
      <c r="C98" s="15">
        <v>50</v>
      </c>
      <c r="D98" s="14">
        <v>20</v>
      </c>
      <c r="E98" s="13">
        <v>24</v>
      </c>
      <c r="F98" s="13">
        <f>1.8*E98+32</f>
        <v>75.2</v>
      </c>
      <c r="G98" s="13">
        <v>15</v>
      </c>
      <c r="H98" s="13">
        <f>IF(F98&gt;68,G98+(F98-68)*0.2,Y326-(68-F98)*0.2)</f>
        <v>16.440000000000001</v>
      </c>
      <c r="I98" s="13">
        <v>24</v>
      </c>
      <c r="J98" s="13">
        <f>1.8*I98+32</f>
        <v>75.2</v>
      </c>
      <c r="K98" s="13">
        <v>7</v>
      </c>
      <c r="L98" s="13">
        <f>IF(J98&gt;68,K98+(J98-68)*0.2,K98-(68-J98)*0.2)</f>
        <v>8.4400000000000013</v>
      </c>
      <c r="M98" s="13">
        <f>(C98-H98)/C98*100</f>
        <v>67.12</v>
      </c>
      <c r="N98" s="13">
        <f>100-(M98+O98)</f>
        <v>16</v>
      </c>
      <c r="O98" s="13">
        <f>L98/C98*100</f>
        <v>16.880000000000003</v>
      </c>
      <c r="P98" s="12" t="s">
        <v>0</v>
      </c>
      <c r="Q98" s="11">
        <v>409302.49040000001</v>
      </c>
      <c r="R98" s="11">
        <v>3659192.558892</v>
      </c>
      <c r="T98" s="14">
        <v>2011105</v>
      </c>
      <c r="U98" s="14" t="s">
        <v>244</v>
      </c>
      <c r="V98" s="14">
        <v>5.4199999999999998E-2</v>
      </c>
      <c r="W98" s="14">
        <v>0.38274000000000002</v>
      </c>
      <c r="X98" s="14">
        <v>2.9569999999999999E-2</v>
      </c>
      <c r="Y98" s="14">
        <v>1.3696699999999999</v>
      </c>
      <c r="Z98" s="14">
        <v>26.512840000000001</v>
      </c>
      <c r="AA98" s="14">
        <v>12.71405</v>
      </c>
      <c r="AB98" s="14">
        <v>-1.3086199999999999</v>
      </c>
    </row>
    <row r="99" spans="1:28" x14ac:dyDescent="0.25">
      <c r="A99" s="17"/>
      <c r="B99" s="14" t="s">
        <v>4</v>
      </c>
      <c r="C99" s="15">
        <v>50</v>
      </c>
      <c r="D99" s="14">
        <v>20</v>
      </c>
      <c r="E99" s="13">
        <v>24</v>
      </c>
      <c r="F99" s="13">
        <f>1.8*E99+32</f>
        <v>75.2</v>
      </c>
      <c r="G99" s="13">
        <v>16</v>
      </c>
      <c r="H99" s="13">
        <f>IF(F99&gt;68,G99+(F99-68)*0.2,#REF!-(68-F99)*0.2)</f>
        <v>17.440000000000001</v>
      </c>
      <c r="I99" s="13">
        <v>24</v>
      </c>
      <c r="J99" s="13">
        <f>1.8*I99+32</f>
        <v>75.2</v>
      </c>
      <c r="K99" s="13">
        <v>7</v>
      </c>
      <c r="L99" s="13">
        <f>IF(J99&gt;68,K99+(J99-68)*0.2,K99-(68-J99)*0.2)</f>
        <v>8.4400000000000013</v>
      </c>
      <c r="M99" s="13">
        <f>(C99-H99)/C99*100</f>
        <v>65.12</v>
      </c>
      <c r="N99" s="13">
        <f>100-(M99+O99)</f>
        <v>18</v>
      </c>
      <c r="O99" s="13">
        <f>L99/C99*100</f>
        <v>16.880000000000003</v>
      </c>
      <c r="P99" s="12" t="s">
        <v>0</v>
      </c>
      <c r="Q99" s="11">
        <v>409302.49040000001</v>
      </c>
      <c r="R99" s="11">
        <v>3659192.558892</v>
      </c>
      <c r="T99" s="14">
        <v>2011105</v>
      </c>
      <c r="U99" s="14" t="s">
        <v>243</v>
      </c>
      <c r="V99" s="14">
        <v>5.8630000000000002E-2</v>
      </c>
      <c r="W99" s="14">
        <v>0.37554999999999999</v>
      </c>
      <c r="X99" s="14">
        <v>2.9239999999999999E-2</v>
      </c>
      <c r="Y99" s="14">
        <v>1.3731</v>
      </c>
      <c r="Z99" s="14">
        <v>24.533909999999999</v>
      </c>
      <c r="AA99" s="14">
        <v>11.43221</v>
      </c>
      <c r="AB99" s="14">
        <v>-1.36283</v>
      </c>
    </row>
    <row r="100" spans="1:28" x14ac:dyDescent="0.25">
      <c r="A100" s="16"/>
      <c r="B100" s="14" t="s">
        <v>2</v>
      </c>
      <c r="C100" s="15">
        <v>50</v>
      </c>
      <c r="D100" s="14">
        <v>20</v>
      </c>
      <c r="E100" s="13">
        <v>24</v>
      </c>
      <c r="F100" s="13">
        <f>1.8*E100+32</f>
        <v>75.2</v>
      </c>
      <c r="G100" s="13">
        <v>17</v>
      </c>
      <c r="H100" s="13">
        <f>IF(F100&gt;68,G100+(F100-68)*0.2,#REF!-(68-F100)*0.2)</f>
        <v>18.440000000000001</v>
      </c>
      <c r="I100" s="13">
        <v>24</v>
      </c>
      <c r="J100" s="13">
        <f>1.8*I100+32</f>
        <v>75.2</v>
      </c>
      <c r="K100" s="13">
        <v>8</v>
      </c>
      <c r="L100" s="13">
        <f>IF(J100&gt;68,K100+(J100-68)*0.2,K100-(68-J100)*0.2)</f>
        <v>9.4400000000000013</v>
      </c>
      <c r="M100" s="13">
        <f>(C100-H100)/C100*100</f>
        <v>63.12</v>
      </c>
      <c r="N100" s="13">
        <f>100-(M100+O100)</f>
        <v>18</v>
      </c>
      <c r="O100" s="13">
        <f>L100/C100*100</f>
        <v>18.880000000000003</v>
      </c>
      <c r="P100" s="12" t="s">
        <v>0</v>
      </c>
      <c r="Q100" s="11">
        <v>409302.49040000001</v>
      </c>
      <c r="R100" s="11">
        <v>3659192.558892</v>
      </c>
      <c r="T100" s="14">
        <v>2011105</v>
      </c>
      <c r="U100" s="14" t="s">
        <v>242</v>
      </c>
      <c r="V100" s="14">
        <v>5.1900000000000002E-2</v>
      </c>
      <c r="W100" s="14">
        <v>0.38518000000000002</v>
      </c>
      <c r="X100" s="14">
        <v>2.793E-2</v>
      </c>
      <c r="Y100" s="14">
        <v>1.37771</v>
      </c>
      <c r="Z100" s="14">
        <v>26.97092</v>
      </c>
      <c r="AA100" s="14">
        <v>12.47096</v>
      </c>
      <c r="AB100" s="14">
        <v>-1.2054100000000001</v>
      </c>
    </row>
    <row r="101" spans="1:28" x14ac:dyDescent="0.25">
      <c r="A101" s="16"/>
      <c r="B101" s="14" t="s">
        <v>1</v>
      </c>
      <c r="C101" s="15">
        <v>50</v>
      </c>
      <c r="D101" s="14">
        <v>20</v>
      </c>
      <c r="E101" s="13">
        <v>24</v>
      </c>
      <c r="F101" s="13">
        <f>1.8*E101+32</f>
        <v>75.2</v>
      </c>
      <c r="G101" s="13">
        <v>21</v>
      </c>
      <c r="H101" s="13">
        <f>IF(F101&gt;68,G101+(F101-68)*0.2,Y327-(68-F101)*0.2)</f>
        <v>22.44</v>
      </c>
      <c r="I101" s="13">
        <v>24</v>
      </c>
      <c r="J101" s="13">
        <f>1.8*I101+32</f>
        <v>75.2</v>
      </c>
      <c r="K101" s="13">
        <v>12</v>
      </c>
      <c r="L101" s="13">
        <f>IF(J101&gt;68,K101+(J101-68)*0.2,K101-(68-J101)*0.2)</f>
        <v>13.440000000000001</v>
      </c>
      <c r="M101" s="13">
        <f>(C101-H101)/C101*100</f>
        <v>55.120000000000005</v>
      </c>
      <c r="N101" s="13">
        <f>100-(M101+O101)</f>
        <v>18</v>
      </c>
      <c r="O101" s="13">
        <f>L101/C101*100</f>
        <v>26.880000000000003</v>
      </c>
      <c r="P101" s="12" t="s">
        <v>3</v>
      </c>
      <c r="Q101" s="11">
        <v>409302.49040000001</v>
      </c>
      <c r="R101" s="11">
        <v>3659192.558892</v>
      </c>
      <c r="T101" s="14">
        <v>2011105</v>
      </c>
      <c r="U101" s="14" t="s">
        <v>241</v>
      </c>
      <c r="V101" s="14">
        <v>6.4329999999999998E-2</v>
      </c>
      <c r="W101" s="14">
        <v>0.39195999999999998</v>
      </c>
      <c r="X101" s="14">
        <v>2.367E-2</v>
      </c>
      <c r="Y101" s="14">
        <v>1.3497699999999999</v>
      </c>
      <c r="Z101" s="14">
        <v>14.01412</v>
      </c>
      <c r="AA101" s="14">
        <v>8.3364499999999992</v>
      </c>
      <c r="AB101" s="14">
        <v>-1.2798</v>
      </c>
    </row>
    <row r="102" spans="1:28" x14ac:dyDescent="0.25">
      <c r="Q102" s="31"/>
      <c r="R102" s="31"/>
      <c r="T102" s="14">
        <v>2011105</v>
      </c>
      <c r="U102" s="14" t="s">
        <v>240</v>
      </c>
      <c r="V102" s="14">
        <v>6.0539999999999997E-2</v>
      </c>
      <c r="W102" s="14">
        <v>0.38505</v>
      </c>
      <c r="X102" s="14">
        <v>2.7150000000000001E-2</v>
      </c>
      <c r="Y102" s="14">
        <v>1.3444100000000001</v>
      </c>
      <c r="Z102" s="14">
        <v>18.446850000000001</v>
      </c>
      <c r="AA102" s="14">
        <v>10.168939999999999</v>
      </c>
      <c r="AB102" s="14">
        <v>-1.39679</v>
      </c>
    </row>
    <row r="103" spans="1:28" ht="51.75" x14ac:dyDescent="0.25">
      <c r="A103" s="19" t="s">
        <v>239</v>
      </c>
      <c r="B103" s="22" t="s">
        <v>26</v>
      </c>
      <c r="C103" s="26" t="s">
        <v>25</v>
      </c>
      <c r="D103" s="25" t="s">
        <v>24</v>
      </c>
      <c r="E103" s="24" t="s">
        <v>23</v>
      </c>
      <c r="F103" s="24" t="s">
        <v>22</v>
      </c>
      <c r="G103" s="24" t="s">
        <v>21</v>
      </c>
      <c r="H103" s="24" t="s">
        <v>20</v>
      </c>
      <c r="I103" s="24" t="s">
        <v>19</v>
      </c>
      <c r="J103" s="24" t="s">
        <v>18</v>
      </c>
      <c r="K103" s="24" t="s">
        <v>17</v>
      </c>
      <c r="L103" s="24" t="s">
        <v>16</v>
      </c>
      <c r="M103" s="23" t="s">
        <v>15</v>
      </c>
      <c r="N103" s="23" t="s">
        <v>14</v>
      </c>
      <c r="O103" s="23" t="s">
        <v>13</v>
      </c>
      <c r="P103" s="22" t="s">
        <v>12</v>
      </c>
      <c r="Q103" s="34" t="s">
        <v>11</v>
      </c>
      <c r="R103" s="33"/>
      <c r="T103" s="14">
        <v>2011105</v>
      </c>
      <c r="U103" s="14" t="s">
        <v>238</v>
      </c>
      <c r="V103" s="14">
        <v>6.3920000000000005E-2</v>
      </c>
      <c r="W103" s="14">
        <v>0.38944000000000001</v>
      </c>
      <c r="X103" s="14">
        <v>2.5069999999999999E-2</v>
      </c>
      <c r="Y103" s="14">
        <v>1.34108</v>
      </c>
      <c r="Z103" s="14">
        <v>14.82831</v>
      </c>
      <c r="AA103" s="14">
        <v>8.8519199999999998</v>
      </c>
      <c r="AB103" s="14">
        <v>-1.3655999999999999</v>
      </c>
    </row>
    <row r="104" spans="1:28" x14ac:dyDescent="0.25">
      <c r="A104" s="20"/>
      <c r="B104" s="22"/>
      <c r="C104" s="26"/>
      <c r="D104" s="25"/>
      <c r="E104" s="24"/>
      <c r="F104" s="24"/>
      <c r="G104" s="24"/>
      <c r="H104" s="24"/>
      <c r="I104" s="24"/>
      <c r="J104" s="24"/>
      <c r="K104" s="24"/>
      <c r="L104" s="24"/>
      <c r="M104" s="23"/>
      <c r="N104" s="23"/>
      <c r="O104" s="23"/>
      <c r="P104" s="22"/>
      <c r="Q104" s="21" t="s">
        <v>10</v>
      </c>
      <c r="R104" s="21" t="s">
        <v>9</v>
      </c>
      <c r="T104" s="14">
        <v>2011105</v>
      </c>
      <c r="U104" s="14" t="s">
        <v>237</v>
      </c>
      <c r="V104" s="14">
        <v>5.4420000000000003E-2</v>
      </c>
      <c r="W104" s="14">
        <v>0.38106000000000001</v>
      </c>
      <c r="X104" s="14">
        <v>3.0370000000000001E-2</v>
      </c>
      <c r="Y104" s="14">
        <v>1.373</v>
      </c>
      <c r="Z104" s="14">
        <v>27.702290000000001</v>
      </c>
      <c r="AA104" s="14">
        <v>13.06453</v>
      </c>
      <c r="AB104" s="14">
        <v>-1.32582</v>
      </c>
    </row>
    <row r="105" spans="1:28" x14ac:dyDescent="0.25">
      <c r="A105" s="20"/>
      <c r="B105" s="14" t="s">
        <v>8</v>
      </c>
      <c r="C105" s="15">
        <v>50</v>
      </c>
      <c r="D105" s="14">
        <v>20</v>
      </c>
      <c r="E105" s="13">
        <v>26</v>
      </c>
      <c r="F105" s="13">
        <f>1.8*E105+32</f>
        <v>78.800000000000011</v>
      </c>
      <c r="G105" s="13">
        <v>16</v>
      </c>
      <c r="H105" s="13">
        <f>IF(F105&gt;68,G105+(F105-68)*0.2,Y331-(68-F105)*0.2)</f>
        <v>18.160000000000004</v>
      </c>
      <c r="I105" s="13">
        <v>24</v>
      </c>
      <c r="J105" s="13">
        <f>1.8*I105+32</f>
        <v>75.2</v>
      </c>
      <c r="K105" s="13">
        <v>9</v>
      </c>
      <c r="L105" s="13">
        <f>IF(J105&gt;68,K105+(J105-68)*0.2,K105-(68-J105)*0.2)</f>
        <v>10.440000000000001</v>
      </c>
      <c r="M105" s="13">
        <f>(C105-H105)/C105*100</f>
        <v>63.679999999999993</v>
      </c>
      <c r="N105" s="13">
        <f>100-(M105+O105)</f>
        <v>15.439999999999998</v>
      </c>
      <c r="O105" s="13">
        <f>L105/C105*100</f>
        <v>20.880000000000003</v>
      </c>
      <c r="P105" s="12" t="s">
        <v>3</v>
      </c>
      <c r="Q105" s="11">
        <v>409294.36040000001</v>
      </c>
      <c r="R105" s="11">
        <v>3659201.667467</v>
      </c>
      <c r="T105" s="14">
        <v>2011105</v>
      </c>
      <c r="U105" s="14" t="s">
        <v>236</v>
      </c>
      <c r="V105" s="14">
        <v>5.4829999999999997E-2</v>
      </c>
      <c r="W105" s="14">
        <v>0.37930999999999998</v>
      </c>
      <c r="X105" s="14">
        <v>3.074E-2</v>
      </c>
      <c r="Y105" s="14">
        <v>1.37991</v>
      </c>
      <c r="Z105" s="14">
        <v>28.841909999999999</v>
      </c>
      <c r="AA105" s="14">
        <v>13.19947</v>
      </c>
      <c r="AB105" s="14">
        <v>-1.3233299999999999</v>
      </c>
    </row>
    <row r="106" spans="1:28" x14ac:dyDescent="0.25">
      <c r="A106" s="19" t="s">
        <v>7</v>
      </c>
      <c r="B106" s="14" t="s">
        <v>6</v>
      </c>
      <c r="C106" s="15">
        <v>50</v>
      </c>
      <c r="D106" s="14">
        <v>20</v>
      </c>
      <c r="E106" s="13">
        <v>27</v>
      </c>
      <c r="F106" s="13">
        <f>1.8*E106+32</f>
        <v>80.599999999999994</v>
      </c>
      <c r="G106" s="13">
        <v>15</v>
      </c>
      <c r="H106" s="13">
        <f>IF(F106&gt;68,G106+(F106-68)*0.2,Y332-(68-F106)*0.2)</f>
        <v>17.52</v>
      </c>
      <c r="I106" s="13">
        <v>25</v>
      </c>
      <c r="J106" s="13">
        <f>1.8*I106+32</f>
        <v>77</v>
      </c>
      <c r="K106" s="13">
        <v>8</v>
      </c>
      <c r="L106" s="13">
        <f>IF(J106&gt;68,K106+(J106-68)*0.2,K106-(68-J106)*0.2)</f>
        <v>9.8000000000000007</v>
      </c>
      <c r="M106" s="13">
        <f>(C106-H106)/C106*100</f>
        <v>64.960000000000008</v>
      </c>
      <c r="N106" s="13">
        <f>100-(M106+O106)</f>
        <v>15.439999999999998</v>
      </c>
      <c r="O106" s="13">
        <f>L106/C106*100</f>
        <v>19.600000000000001</v>
      </c>
      <c r="P106" s="12" t="s">
        <v>0</v>
      </c>
      <c r="Q106" s="11">
        <v>409294.36040000001</v>
      </c>
      <c r="R106" s="11">
        <v>3659201.667467</v>
      </c>
      <c r="T106" s="14">
        <v>2011105</v>
      </c>
      <c r="U106" s="14" t="s">
        <v>235</v>
      </c>
      <c r="V106" s="14">
        <v>6.3189999999999996E-2</v>
      </c>
      <c r="W106" s="14">
        <v>0.38192999999999999</v>
      </c>
      <c r="X106" s="14">
        <v>2.7799999999999998E-2</v>
      </c>
      <c r="Y106" s="14">
        <v>1.3253600000000001</v>
      </c>
      <c r="Z106" s="14">
        <v>16.583469999999998</v>
      </c>
      <c r="AA106" s="14">
        <v>9.7071799999999993</v>
      </c>
      <c r="AB106" s="14">
        <v>-1.54355</v>
      </c>
    </row>
    <row r="107" spans="1:28" x14ac:dyDescent="0.25">
      <c r="A107" s="18">
        <v>41451</v>
      </c>
      <c r="B107" s="14" t="s">
        <v>5</v>
      </c>
      <c r="C107" s="15">
        <v>50</v>
      </c>
      <c r="D107" s="14">
        <v>20</v>
      </c>
      <c r="E107" s="13">
        <v>27</v>
      </c>
      <c r="F107" s="13">
        <f>1.8*E107+32</f>
        <v>80.599999999999994</v>
      </c>
      <c r="G107" s="13">
        <v>11</v>
      </c>
      <c r="H107" s="13">
        <f>IF(F107&gt;68,G107+(F107-68)*0.2,Y333-(68-F107)*0.2)</f>
        <v>13.52</v>
      </c>
      <c r="I107" s="13">
        <v>25</v>
      </c>
      <c r="J107" s="13">
        <f>1.8*I107+32</f>
        <v>77</v>
      </c>
      <c r="K107" s="13">
        <v>9</v>
      </c>
      <c r="L107" s="13">
        <f>IF(J107&gt;68,K107+(J107-68)*0.2,K107-(68-J107)*0.2)</f>
        <v>10.8</v>
      </c>
      <c r="M107" s="13">
        <f>(C107-H107)/C107*100</f>
        <v>72.960000000000008</v>
      </c>
      <c r="N107" s="13">
        <f>100-(M107+O107)</f>
        <v>5.4399999999999977</v>
      </c>
      <c r="O107" s="13">
        <f>L107/C107*100</f>
        <v>21.6</v>
      </c>
      <c r="P107" s="12" t="s">
        <v>3</v>
      </c>
      <c r="Q107" s="11">
        <v>409294.36040000001</v>
      </c>
      <c r="R107" s="11">
        <v>3659201.667467</v>
      </c>
      <c r="T107" s="14">
        <v>2011105</v>
      </c>
      <c r="U107" s="14" t="s">
        <v>234</v>
      </c>
      <c r="V107" s="14">
        <v>6.7220000000000002E-2</v>
      </c>
      <c r="W107" s="14">
        <v>0.39388000000000001</v>
      </c>
      <c r="X107" s="14">
        <v>2.35E-2</v>
      </c>
      <c r="Y107" s="14">
        <v>1.33877</v>
      </c>
      <c r="Z107" s="14">
        <v>12.09402</v>
      </c>
      <c r="AA107" s="14">
        <v>7.8591300000000004</v>
      </c>
      <c r="AB107" s="14">
        <v>-1.3402000000000001</v>
      </c>
    </row>
    <row r="108" spans="1:28" x14ac:dyDescent="0.25">
      <c r="A108" s="17"/>
      <c r="B108" s="14" t="s">
        <v>4</v>
      </c>
      <c r="C108" s="15">
        <v>50</v>
      </c>
      <c r="D108" s="14">
        <v>20</v>
      </c>
      <c r="E108" s="13">
        <v>27</v>
      </c>
      <c r="F108" s="13">
        <f>1.8*E108+32</f>
        <v>80.599999999999994</v>
      </c>
      <c r="G108" s="13">
        <v>16</v>
      </c>
      <c r="H108" s="13">
        <f>IF(F108&gt;68,G108+(F108-68)*0.2,Y334-(68-F108)*0.2)</f>
        <v>18.52</v>
      </c>
      <c r="I108" s="13">
        <v>25</v>
      </c>
      <c r="J108" s="13">
        <f>1.8*I108+32</f>
        <v>77</v>
      </c>
      <c r="K108" s="13">
        <v>9</v>
      </c>
      <c r="L108" s="13">
        <f>IF(J108&gt;68,K108+(J108-68)*0.2,K108-(68-J108)*0.2)</f>
        <v>10.8</v>
      </c>
      <c r="M108" s="13">
        <f>(C108-H108)/C108*100</f>
        <v>62.960000000000008</v>
      </c>
      <c r="N108" s="13">
        <f>100-(M108+O108)</f>
        <v>15.439999999999998</v>
      </c>
      <c r="O108" s="13">
        <f>L108/C108*100</f>
        <v>21.6</v>
      </c>
      <c r="P108" s="12" t="s">
        <v>3</v>
      </c>
      <c r="Q108" s="11">
        <v>409294.36040000001</v>
      </c>
      <c r="R108" s="11">
        <v>3659201.667467</v>
      </c>
      <c r="T108" s="14">
        <v>2011105</v>
      </c>
      <c r="U108" s="14" t="s">
        <v>233</v>
      </c>
      <c r="V108" s="14">
        <v>6.3479999999999995E-2</v>
      </c>
      <c r="W108" s="14">
        <v>0.38602999999999998</v>
      </c>
      <c r="X108" s="14">
        <v>2.6620000000000001E-2</v>
      </c>
      <c r="Y108" s="14">
        <v>1.3319099999999999</v>
      </c>
      <c r="Z108" s="14">
        <v>15.7875</v>
      </c>
      <c r="AA108" s="14">
        <v>9.3842599999999994</v>
      </c>
      <c r="AB108" s="14">
        <v>-1.46343</v>
      </c>
    </row>
    <row r="109" spans="1:28" x14ac:dyDescent="0.25">
      <c r="A109" s="16"/>
      <c r="B109" s="14" t="s">
        <v>2</v>
      </c>
      <c r="C109" s="15">
        <v>50</v>
      </c>
      <c r="D109" s="14">
        <v>20</v>
      </c>
      <c r="E109" s="13">
        <v>27</v>
      </c>
      <c r="F109" s="13">
        <f>1.8*E109+32</f>
        <v>80.599999999999994</v>
      </c>
      <c r="G109" s="13">
        <v>17</v>
      </c>
      <c r="H109" s="13">
        <f>IF(F109&gt;68,G109+(F109-68)*0.2,Y335-(68-F109)*0.2)</f>
        <v>19.52</v>
      </c>
      <c r="I109" s="13">
        <v>25</v>
      </c>
      <c r="J109" s="13">
        <f>1.8*I109+32</f>
        <v>77</v>
      </c>
      <c r="K109" s="13">
        <v>11</v>
      </c>
      <c r="L109" s="13">
        <f>IF(J109&gt;68,K109+(J109-68)*0.2,K109-(68-J109)*0.2)</f>
        <v>12.8</v>
      </c>
      <c r="M109" s="13">
        <f>(C109-H109)/C109*100</f>
        <v>60.96</v>
      </c>
      <c r="N109" s="13">
        <f>100-(M109+O109)</f>
        <v>13.439999999999998</v>
      </c>
      <c r="O109" s="13">
        <f>L109/C109*100</f>
        <v>25.6</v>
      </c>
      <c r="P109" s="12" t="s">
        <v>3</v>
      </c>
      <c r="Q109" s="11">
        <v>409294.36040000001</v>
      </c>
      <c r="R109" s="11">
        <v>3659201.667467</v>
      </c>
      <c r="T109" s="14">
        <v>2011105</v>
      </c>
      <c r="U109" s="14" t="s">
        <v>232</v>
      </c>
      <c r="V109" s="14">
        <v>5.7410000000000003E-2</v>
      </c>
      <c r="W109" s="14">
        <v>0.38418000000000002</v>
      </c>
      <c r="X109" s="14">
        <v>2.7949999999999999E-2</v>
      </c>
      <c r="Y109" s="14">
        <v>1.3566</v>
      </c>
      <c r="Z109" s="14">
        <v>21.780480000000001</v>
      </c>
      <c r="AA109" s="14">
        <v>11.177530000000001</v>
      </c>
      <c r="AB109" s="14">
        <v>-1.3413200000000001</v>
      </c>
    </row>
    <row r="110" spans="1:28" x14ac:dyDescent="0.25">
      <c r="A110" s="16"/>
      <c r="B110" s="14" t="s">
        <v>1</v>
      </c>
      <c r="C110" s="15">
        <v>50</v>
      </c>
      <c r="D110" s="14">
        <v>20</v>
      </c>
      <c r="E110" s="13">
        <v>26</v>
      </c>
      <c r="F110" s="13">
        <f>1.8*E110+32</f>
        <v>78.800000000000011</v>
      </c>
      <c r="G110" s="13">
        <v>20</v>
      </c>
      <c r="H110" s="13">
        <f>IF(F110&gt;68,G110+(F110-68)*0.2,Y336-(68-F110)*0.2)</f>
        <v>22.160000000000004</v>
      </c>
      <c r="I110" s="13">
        <v>24</v>
      </c>
      <c r="J110" s="13">
        <f>1.8*I110+32</f>
        <v>75.2</v>
      </c>
      <c r="K110" s="13">
        <v>12</v>
      </c>
      <c r="L110" s="13">
        <f>IF(J110&gt;68,K110+(J110-68)*0.2,K110-(68-J110)*0.2)</f>
        <v>13.440000000000001</v>
      </c>
      <c r="M110" s="13">
        <f>(C110-H110)/C110*100</f>
        <v>55.679999999999993</v>
      </c>
      <c r="N110" s="13">
        <f>100-(M110+O110)</f>
        <v>17.439999999999998</v>
      </c>
      <c r="O110" s="13">
        <f>L110/C110*100</f>
        <v>26.880000000000003</v>
      </c>
      <c r="P110" s="12" t="s">
        <v>3</v>
      </c>
      <c r="Q110" s="11">
        <v>409294.36040000001</v>
      </c>
      <c r="R110" s="11">
        <v>3659201.667467</v>
      </c>
      <c r="T110" s="14">
        <v>2011105</v>
      </c>
      <c r="U110" s="14" t="s">
        <v>231</v>
      </c>
      <c r="V110" s="14">
        <v>6.5930000000000002E-2</v>
      </c>
      <c r="W110" s="14">
        <v>0.38456000000000001</v>
      </c>
      <c r="X110" s="14">
        <v>2.7019999999999999E-2</v>
      </c>
      <c r="Y110" s="14">
        <v>1.31366</v>
      </c>
      <c r="Z110" s="14">
        <v>14.211410000000001</v>
      </c>
      <c r="AA110" s="14">
        <v>8.9493299999999998</v>
      </c>
      <c r="AB110" s="14">
        <v>-1.6019399999999999</v>
      </c>
    </row>
    <row r="111" spans="1:28" x14ac:dyDescent="0.25">
      <c r="Q111" s="31"/>
      <c r="R111" s="31"/>
      <c r="T111" s="14">
        <v>2011105</v>
      </c>
      <c r="U111" s="14" t="s">
        <v>230</v>
      </c>
      <c r="V111" s="14">
        <v>7.8950000000000006E-2</v>
      </c>
      <c r="W111" s="14">
        <v>0.40908</v>
      </c>
      <c r="X111" s="14">
        <v>2.385E-2</v>
      </c>
      <c r="Y111" s="14">
        <v>1.2817700000000001</v>
      </c>
      <c r="Z111" s="14">
        <v>7.8019600000000002</v>
      </c>
      <c r="AA111" s="14">
        <v>6.5942699999999999</v>
      </c>
      <c r="AB111" s="14">
        <v>-1.75013</v>
      </c>
    </row>
    <row r="112" spans="1:28" ht="51.75" x14ac:dyDescent="0.25">
      <c r="A112" s="19" t="s">
        <v>229</v>
      </c>
      <c r="B112" s="22" t="s">
        <v>26</v>
      </c>
      <c r="C112" s="26" t="s">
        <v>25</v>
      </c>
      <c r="D112" s="25" t="s">
        <v>24</v>
      </c>
      <c r="E112" s="24" t="s">
        <v>23</v>
      </c>
      <c r="F112" s="24" t="s">
        <v>22</v>
      </c>
      <c r="G112" s="24" t="s">
        <v>21</v>
      </c>
      <c r="H112" s="24" t="s">
        <v>20</v>
      </c>
      <c r="I112" s="24" t="s">
        <v>19</v>
      </c>
      <c r="J112" s="24" t="s">
        <v>18</v>
      </c>
      <c r="K112" s="24" t="s">
        <v>17</v>
      </c>
      <c r="L112" s="24" t="s">
        <v>16</v>
      </c>
      <c r="M112" s="23" t="s">
        <v>15</v>
      </c>
      <c r="N112" s="23" t="s">
        <v>14</v>
      </c>
      <c r="O112" s="23" t="s">
        <v>13</v>
      </c>
      <c r="P112" s="22" t="s">
        <v>12</v>
      </c>
      <c r="Q112" s="34" t="s">
        <v>11</v>
      </c>
      <c r="R112" s="33"/>
      <c r="T112" s="14">
        <v>2011105</v>
      </c>
      <c r="U112" s="14" t="s">
        <v>228</v>
      </c>
      <c r="V112" s="14">
        <v>7.7600000000000002E-2</v>
      </c>
      <c r="W112" s="14">
        <v>0.40941</v>
      </c>
      <c r="X112" s="14">
        <v>2.2120000000000001E-2</v>
      </c>
      <c r="Y112" s="14">
        <v>1.30522</v>
      </c>
      <c r="Z112" s="14">
        <v>7.0646800000000001</v>
      </c>
      <c r="AA112" s="14">
        <v>6.3021700000000003</v>
      </c>
      <c r="AB112" s="14">
        <v>-1.5048699999999999</v>
      </c>
    </row>
    <row r="113" spans="1:28" x14ac:dyDescent="0.25">
      <c r="A113" s="20"/>
      <c r="B113" s="22"/>
      <c r="C113" s="26"/>
      <c r="D113" s="25"/>
      <c r="E113" s="24"/>
      <c r="F113" s="24"/>
      <c r="G113" s="24"/>
      <c r="H113" s="24"/>
      <c r="I113" s="24"/>
      <c r="J113" s="24"/>
      <c r="K113" s="24"/>
      <c r="L113" s="24"/>
      <c r="M113" s="23"/>
      <c r="N113" s="23"/>
      <c r="O113" s="23"/>
      <c r="P113" s="22"/>
      <c r="Q113" s="21" t="s">
        <v>10</v>
      </c>
      <c r="R113" s="21" t="s">
        <v>9</v>
      </c>
      <c r="T113" s="14">
        <v>2011105</v>
      </c>
      <c r="U113" s="14" t="s">
        <v>227</v>
      </c>
      <c r="V113" s="14">
        <v>5.4690000000000003E-2</v>
      </c>
      <c r="W113" s="14">
        <v>0.37980999999999998</v>
      </c>
      <c r="X113" s="14">
        <v>3.0679999999999999E-2</v>
      </c>
      <c r="Y113" s="14">
        <v>1.37758</v>
      </c>
      <c r="Z113" s="14">
        <v>28.529150000000001</v>
      </c>
      <c r="AA113" s="14">
        <v>13.184659999999999</v>
      </c>
      <c r="AB113" s="14">
        <v>-1.3260000000000001</v>
      </c>
    </row>
    <row r="114" spans="1:28" x14ac:dyDescent="0.25">
      <c r="A114" s="20"/>
      <c r="B114" s="14" t="s">
        <v>8</v>
      </c>
      <c r="C114" s="15">
        <v>50</v>
      </c>
      <c r="D114" s="14">
        <v>20</v>
      </c>
      <c r="E114" s="13">
        <v>26</v>
      </c>
      <c r="F114" s="13">
        <f>1.8*E114+32</f>
        <v>78.800000000000011</v>
      </c>
      <c r="G114" s="13">
        <v>20</v>
      </c>
      <c r="H114" s="13">
        <f>IF(F114&gt;68,G114+(F114-68)*0.2,Y340-(68-F114)*0.2)</f>
        <v>22.160000000000004</v>
      </c>
      <c r="I114" s="13">
        <v>24</v>
      </c>
      <c r="J114" s="13">
        <f>1.8*I114+32</f>
        <v>75.2</v>
      </c>
      <c r="K114" s="13">
        <v>10</v>
      </c>
      <c r="L114" s="13">
        <f>IF(J114&gt;68,K114+(J114-68)*0.2,K114-(68-J114)*0.2)</f>
        <v>11.440000000000001</v>
      </c>
      <c r="M114" s="13">
        <f>(C114-H114)/C114*100</f>
        <v>55.679999999999993</v>
      </c>
      <c r="N114" s="13">
        <f>100-(M114+O114)</f>
        <v>21.439999999999998</v>
      </c>
      <c r="O114" s="13">
        <f>L114/C114*100</f>
        <v>22.880000000000003</v>
      </c>
      <c r="P114" s="12" t="s">
        <v>3</v>
      </c>
      <c r="Q114" s="11">
        <v>409294.36040000001</v>
      </c>
      <c r="R114" s="11">
        <v>3659215.367877</v>
      </c>
      <c r="T114" s="14">
        <v>2011105</v>
      </c>
      <c r="U114" s="14" t="s">
        <v>226</v>
      </c>
      <c r="V114" s="14">
        <v>6.3670000000000004E-2</v>
      </c>
      <c r="W114" s="14">
        <v>0.38763999999999998</v>
      </c>
      <c r="X114" s="14">
        <v>2.5950000000000001E-2</v>
      </c>
      <c r="Y114" s="14">
        <v>1.3358300000000001</v>
      </c>
      <c r="Z114" s="14">
        <v>15.364179999999999</v>
      </c>
      <c r="AA114" s="14">
        <v>9.1606500000000004</v>
      </c>
      <c r="AB114" s="14">
        <v>-1.42045</v>
      </c>
    </row>
    <row r="115" spans="1:28" x14ac:dyDescent="0.25">
      <c r="A115" s="19" t="s">
        <v>7</v>
      </c>
      <c r="B115" s="14" t="s">
        <v>6</v>
      </c>
      <c r="C115" s="15">
        <v>50</v>
      </c>
      <c r="D115" s="14">
        <v>20</v>
      </c>
      <c r="E115" s="13">
        <v>26</v>
      </c>
      <c r="F115" s="13">
        <f>1.8*E115+32</f>
        <v>78.800000000000011</v>
      </c>
      <c r="G115" s="13">
        <v>19</v>
      </c>
      <c r="H115" s="13">
        <f>IF(F115&gt;68,G115+(F115-68)*0.2,Y341-(68-F115)*0.2)</f>
        <v>21.160000000000004</v>
      </c>
      <c r="I115" s="13">
        <v>24</v>
      </c>
      <c r="J115" s="13">
        <f>1.8*I115+32</f>
        <v>75.2</v>
      </c>
      <c r="K115" s="13">
        <v>10</v>
      </c>
      <c r="L115" s="13">
        <f>IF(J115&gt;68,K115+(J115-68)*0.2,K115-(68-J115)*0.2)</f>
        <v>11.440000000000001</v>
      </c>
      <c r="M115" s="13">
        <f>(C115-H115)/C115*100</f>
        <v>57.68</v>
      </c>
      <c r="N115" s="13">
        <f>100-(M115+O115)</f>
        <v>19.439999999999998</v>
      </c>
      <c r="O115" s="13">
        <f>L115/C115*100</f>
        <v>22.880000000000003</v>
      </c>
      <c r="P115" s="12" t="s">
        <v>3</v>
      </c>
      <c r="Q115" s="11">
        <v>409294.36040000001</v>
      </c>
      <c r="R115" s="11">
        <v>3659215.367877</v>
      </c>
      <c r="T115" s="14">
        <v>2011105</v>
      </c>
      <c r="U115" s="14" t="s">
        <v>225</v>
      </c>
      <c r="V115" s="14">
        <v>6.0420000000000001E-2</v>
      </c>
      <c r="W115" s="14">
        <v>0.38119999999999998</v>
      </c>
      <c r="X115" s="14">
        <v>2.8479999999999998E-2</v>
      </c>
      <c r="Y115" s="14">
        <v>1.34029</v>
      </c>
      <c r="Z115" s="14">
        <v>19.483560000000001</v>
      </c>
      <c r="AA115" s="14">
        <v>10.59582</v>
      </c>
      <c r="AB115" s="14">
        <v>-1.46556</v>
      </c>
    </row>
    <row r="116" spans="1:28" x14ac:dyDescent="0.25">
      <c r="A116" s="18">
        <v>41456</v>
      </c>
      <c r="B116" s="14" t="s">
        <v>5</v>
      </c>
      <c r="C116" s="15">
        <v>50</v>
      </c>
      <c r="D116" s="14">
        <v>20</v>
      </c>
      <c r="E116" s="13">
        <v>27</v>
      </c>
      <c r="F116" s="13">
        <f>1.8*E116+32</f>
        <v>80.599999999999994</v>
      </c>
      <c r="G116" s="13">
        <v>19</v>
      </c>
      <c r="H116" s="13">
        <f>IF(F116&gt;68,G116+(F116-68)*0.2,Y342-(68-F116)*0.2)</f>
        <v>21.52</v>
      </c>
      <c r="I116" s="13">
        <v>25</v>
      </c>
      <c r="J116" s="13">
        <f>1.8*I116+32</f>
        <v>77</v>
      </c>
      <c r="K116" s="13">
        <v>10</v>
      </c>
      <c r="L116" s="13">
        <f>IF(J116&gt;68,K116+(J116-68)*0.2,K116-(68-J116)*0.2)</f>
        <v>11.8</v>
      </c>
      <c r="M116" s="13">
        <f>(C116-H116)/C116*100</f>
        <v>56.96</v>
      </c>
      <c r="N116" s="13">
        <f>100-(M116+O116)</f>
        <v>19.439999999999998</v>
      </c>
      <c r="O116" s="13">
        <f>L116/C116*100</f>
        <v>23.6</v>
      </c>
      <c r="P116" s="12" t="s">
        <v>3</v>
      </c>
      <c r="Q116" s="11">
        <v>409294.36040000001</v>
      </c>
      <c r="R116" s="11">
        <v>3659215.367877</v>
      </c>
      <c r="T116" s="14">
        <v>2011105</v>
      </c>
      <c r="U116" s="14" t="s">
        <v>224</v>
      </c>
      <c r="V116" s="14">
        <v>6.4030000000000004E-2</v>
      </c>
      <c r="W116" s="14">
        <v>0.39015</v>
      </c>
      <c r="X116" s="14">
        <v>2.47E-2</v>
      </c>
      <c r="Y116" s="14">
        <v>1.34335</v>
      </c>
      <c r="Z116" s="14">
        <v>14.60679</v>
      </c>
      <c r="AA116" s="14">
        <v>8.7170299999999994</v>
      </c>
      <c r="AB116" s="14">
        <v>-1.34263</v>
      </c>
    </row>
    <row r="117" spans="1:28" x14ac:dyDescent="0.25">
      <c r="A117" s="17"/>
      <c r="B117" s="14" t="s">
        <v>4</v>
      </c>
      <c r="C117" s="15">
        <v>50</v>
      </c>
      <c r="D117" s="14">
        <v>20</v>
      </c>
      <c r="E117" s="13">
        <v>27</v>
      </c>
      <c r="F117" s="13">
        <f>1.8*E117+32</f>
        <v>80.599999999999994</v>
      </c>
      <c r="G117" s="13">
        <v>21</v>
      </c>
      <c r="H117" s="13">
        <f>IF(F117&gt;68,G117+(F117-68)*0.2,Y343-(68-F117)*0.2)</f>
        <v>23.52</v>
      </c>
      <c r="I117" s="13">
        <v>25</v>
      </c>
      <c r="J117" s="13">
        <f>1.8*I117+32</f>
        <v>77</v>
      </c>
      <c r="K117" s="13">
        <v>13</v>
      </c>
      <c r="L117" s="13">
        <f>IF(J117&gt;68,K117+(J117-68)*0.2,K117-(68-J117)*0.2)</f>
        <v>14.8</v>
      </c>
      <c r="M117" s="13">
        <f>(C117-H117)/C117*100</f>
        <v>52.959999999999994</v>
      </c>
      <c r="N117" s="13">
        <f>100-(M117+O117)</f>
        <v>17.439999999999998</v>
      </c>
      <c r="O117" s="13">
        <f>L117/C117*100</f>
        <v>29.600000000000005</v>
      </c>
      <c r="P117" s="12" t="s">
        <v>3</v>
      </c>
      <c r="Q117" s="11">
        <v>409294.36040000001</v>
      </c>
      <c r="R117" s="11">
        <v>3659215.367877</v>
      </c>
      <c r="T117" s="14">
        <v>2011105</v>
      </c>
      <c r="U117" s="14" t="s">
        <v>223</v>
      </c>
      <c r="V117" s="14">
        <v>6.9559999999999997E-2</v>
      </c>
      <c r="W117" s="14">
        <v>0.39406000000000002</v>
      </c>
      <c r="X117" s="14">
        <v>2.426E-2</v>
      </c>
      <c r="Y117" s="14">
        <v>1.3208</v>
      </c>
      <c r="Z117" s="14">
        <v>10.99597</v>
      </c>
      <c r="AA117" s="14">
        <v>7.7410199999999998</v>
      </c>
      <c r="AB117" s="14">
        <v>-1.4733499999999999</v>
      </c>
    </row>
    <row r="118" spans="1:28" x14ac:dyDescent="0.25">
      <c r="A118" s="16"/>
      <c r="B118" s="14" t="s">
        <v>2</v>
      </c>
      <c r="C118" s="15">
        <v>50</v>
      </c>
      <c r="D118" s="14">
        <v>20</v>
      </c>
      <c r="E118" s="13">
        <v>26</v>
      </c>
      <c r="F118" s="13">
        <f>1.8*E118+32</f>
        <v>78.800000000000011</v>
      </c>
      <c r="G118" s="13">
        <v>23</v>
      </c>
      <c r="H118" s="13">
        <f>IF(F118&gt;68,G118+(F118-68)*0.2,Y344-(68-F118)*0.2)</f>
        <v>25.160000000000004</v>
      </c>
      <c r="I118" s="13">
        <v>24</v>
      </c>
      <c r="J118" s="13">
        <f>1.8*I118+32</f>
        <v>75.2</v>
      </c>
      <c r="K118" s="13">
        <v>12</v>
      </c>
      <c r="L118" s="13">
        <f>IF(J118&gt;68,K118+(J118-68)*0.2,K118-(68-J118)*0.2)</f>
        <v>13.440000000000001</v>
      </c>
      <c r="M118" s="13">
        <f>(C118-H118)/C118*100</f>
        <v>49.679999999999993</v>
      </c>
      <c r="N118" s="13">
        <f>100-(M118+O118)</f>
        <v>23.439999999999998</v>
      </c>
      <c r="O118" s="13">
        <f>L118/C118*100</f>
        <v>26.880000000000003</v>
      </c>
      <c r="P118" s="12" t="s">
        <v>3</v>
      </c>
      <c r="Q118" s="11">
        <v>409294.36040000001</v>
      </c>
      <c r="R118" s="11">
        <v>3659215.367877</v>
      </c>
      <c r="T118" s="14">
        <v>2011105</v>
      </c>
      <c r="U118" s="14" t="s">
        <v>222</v>
      </c>
      <c r="V118" s="14">
        <v>7.374E-2</v>
      </c>
      <c r="W118" s="14">
        <v>0.40638000000000002</v>
      </c>
      <c r="X118" s="14">
        <v>2.0209999999999999E-2</v>
      </c>
      <c r="Y118" s="14">
        <v>1.3421799999999999</v>
      </c>
      <c r="Z118" s="14">
        <v>7.8361299999999998</v>
      </c>
      <c r="AA118" s="14">
        <v>6.1265099999999997</v>
      </c>
      <c r="AB118" s="14">
        <v>-1.2230300000000001</v>
      </c>
    </row>
    <row r="119" spans="1:28" x14ac:dyDescent="0.25">
      <c r="A119" s="16"/>
      <c r="B119" s="14" t="s">
        <v>1</v>
      </c>
      <c r="C119" s="15">
        <v>50</v>
      </c>
      <c r="D119" s="14">
        <v>20</v>
      </c>
      <c r="E119" s="13">
        <v>27</v>
      </c>
      <c r="F119" s="13">
        <f>1.8*E119+32</f>
        <v>80.599999999999994</v>
      </c>
      <c r="G119" s="13">
        <v>17</v>
      </c>
      <c r="H119" s="13">
        <f>IF(F119&gt;68,G119+(F119-68)*0.2,Y345-(68-F119)*0.2)</f>
        <v>19.52</v>
      </c>
      <c r="I119" s="13">
        <v>25</v>
      </c>
      <c r="J119" s="13">
        <f>1.8*I119+32</f>
        <v>77</v>
      </c>
      <c r="K119" s="13">
        <v>11</v>
      </c>
      <c r="L119" s="13">
        <f>IF(J119&gt;68,K119+(J119-68)*0.2,K119-(68-J119)*0.2)</f>
        <v>12.8</v>
      </c>
      <c r="M119" s="13">
        <f>(C119-H119)/C119*100</f>
        <v>60.96</v>
      </c>
      <c r="N119" s="13">
        <f>100-(M119+O119)</f>
        <v>13.439999999999998</v>
      </c>
      <c r="O119" s="13">
        <f>L119/C119*100</f>
        <v>25.6</v>
      </c>
      <c r="P119" s="12" t="s">
        <v>3</v>
      </c>
      <c r="Q119" s="11">
        <v>409294.36040000001</v>
      </c>
      <c r="R119" s="11">
        <v>3659215.367877</v>
      </c>
      <c r="T119" s="14">
        <v>2011105</v>
      </c>
      <c r="U119" s="14" t="s">
        <v>221</v>
      </c>
      <c r="V119" s="14">
        <v>6.9620000000000001E-2</v>
      </c>
      <c r="W119" s="14">
        <v>0.39894000000000002</v>
      </c>
      <c r="X119" s="14">
        <v>2.1700000000000001E-2</v>
      </c>
      <c r="Y119" s="14">
        <v>1.3447899999999999</v>
      </c>
      <c r="Z119" s="14">
        <v>10.194380000000001</v>
      </c>
      <c r="AA119" s="14">
        <v>7.0035800000000004</v>
      </c>
      <c r="AB119" s="14">
        <v>-1.2566299999999999</v>
      </c>
    </row>
    <row r="120" spans="1:28" x14ac:dyDescent="0.25">
      <c r="Q120" s="31"/>
      <c r="R120" s="31"/>
      <c r="T120" s="14">
        <v>2011105</v>
      </c>
      <c r="U120" s="14" t="s">
        <v>220</v>
      </c>
      <c r="V120" s="14">
        <v>6.096E-2</v>
      </c>
      <c r="W120" s="14">
        <v>0.38867000000000002</v>
      </c>
      <c r="X120" s="14">
        <v>2.5080000000000002E-2</v>
      </c>
      <c r="Y120" s="14">
        <v>1.3541000000000001</v>
      </c>
      <c r="Z120" s="14">
        <v>17.048179999999999</v>
      </c>
      <c r="AA120" s="14">
        <v>9.3736099999999993</v>
      </c>
      <c r="AB120" s="14">
        <v>-1.28657</v>
      </c>
    </row>
    <row r="121" spans="1:28" ht="51.75" x14ac:dyDescent="0.25">
      <c r="A121" s="19" t="s">
        <v>219</v>
      </c>
      <c r="B121" s="22" t="s">
        <v>26</v>
      </c>
      <c r="C121" s="26" t="s">
        <v>25</v>
      </c>
      <c r="D121" s="25" t="s">
        <v>24</v>
      </c>
      <c r="E121" s="24" t="s">
        <v>23</v>
      </c>
      <c r="F121" s="24" t="s">
        <v>22</v>
      </c>
      <c r="G121" s="24" t="s">
        <v>21</v>
      </c>
      <c r="H121" s="24" t="s">
        <v>20</v>
      </c>
      <c r="I121" s="24" t="s">
        <v>19</v>
      </c>
      <c r="J121" s="24" t="s">
        <v>18</v>
      </c>
      <c r="K121" s="24" t="s">
        <v>17</v>
      </c>
      <c r="L121" s="24" t="s">
        <v>16</v>
      </c>
      <c r="M121" s="23" t="s">
        <v>15</v>
      </c>
      <c r="N121" s="23" t="s">
        <v>14</v>
      </c>
      <c r="O121" s="23" t="s">
        <v>13</v>
      </c>
      <c r="P121" s="22" t="s">
        <v>12</v>
      </c>
      <c r="Q121" s="36" t="s">
        <v>11</v>
      </c>
      <c r="R121" s="35"/>
      <c r="T121" s="14">
        <v>2011105</v>
      </c>
      <c r="U121" s="14" t="s">
        <v>218</v>
      </c>
      <c r="V121" s="14">
        <v>6.0490000000000002E-2</v>
      </c>
      <c r="W121" s="14">
        <v>0.38424999999999998</v>
      </c>
      <c r="X121" s="14">
        <v>2.751E-2</v>
      </c>
      <c r="Y121" s="14">
        <v>1.343</v>
      </c>
      <c r="Z121" s="14">
        <v>18.708269999999999</v>
      </c>
      <c r="AA121" s="14">
        <v>10.29607</v>
      </c>
      <c r="AB121" s="14">
        <v>-1.4155599999999999</v>
      </c>
    </row>
    <row r="122" spans="1:28" x14ac:dyDescent="0.25">
      <c r="A122" s="20"/>
      <c r="B122" s="22"/>
      <c r="C122" s="26"/>
      <c r="D122" s="25"/>
      <c r="E122" s="24"/>
      <c r="F122" s="24"/>
      <c r="G122" s="24"/>
      <c r="H122" s="24"/>
      <c r="I122" s="24"/>
      <c r="J122" s="24"/>
      <c r="K122" s="24"/>
      <c r="L122" s="24"/>
      <c r="M122" s="23"/>
      <c r="N122" s="23"/>
      <c r="O122" s="23"/>
      <c r="P122" s="22"/>
      <c r="Q122" s="21" t="s">
        <v>10</v>
      </c>
      <c r="R122" s="21" t="s">
        <v>9</v>
      </c>
      <c r="T122" s="14">
        <v>2011105</v>
      </c>
      <c r="U122" s="14" t="s">
        <v>217</v>
      </c>
      <c r="V122" s="14">
        <v>5.4129999999999998E-2</v>
      </c>
      <c r="W122" s="14">
        <v>0.38377</v>
      </c>
      <c r="X122" s="14">
        <v>2.887E-2</v>
      </c>
      <c r="Y122" s="14">
        <v>1.3692</v>
      </c>
      <c r="Z122" s="14">
        <v>25.731660000000002</v>
      </c>
      <c r="AA122" s="14">
        <v>12.388350000000001</v>
      </c>
      <c r="AB122" s="14">
        <v>-1.28748</v>
      </c>
    </row>
    <row r="123" spans="1:28" x14ac:dyDescent="0.25">
      <c r="A123" s="20"/>
      <c r="B123" s="14" t="s">
        <v>8</v>
      </c>
      <c r="C123" s="15">
        <v>50</v>
      </c>
      <c r="D123" s="14">
        <v>20</v>
      </c>
      <c r="E123" s="13">
        <v>27</v>
      </c>
      <c r="F123" s="13">
        <f>1.8*E123+32</f>
        <v>80.599999999999994</v>
      </c>
      <c r="G123" s="13">
        <v>15</v>
      </c>
      <c r="H123" s="13">
        <f>IF(F123&gt;68,G123+(F123-68)*0.2,Y349-(68-F123)*0.2)</f>
        <v>17.52</v>
      </c>
      <c r="I123" s="13">
        <v>25</v>
      </c>
      <c r="J123" s="13">
        <f>1.8*I123+32</f>
        <v>77</v>
      </c>
      <c r="K123" s="13">
        <v>10</v>
      </c>
      <c r="L123" s="13">
        <f>IF(J123&gt;68,K123+(J123-68)*0.2,K123-(68-J123)*0.2)</f>
        <v>11.8</v>
      </c>
      <c r="M123" s="13">
        <f>(C123-H123)/C123*100</f>
        <v>64.960000000000008</v>
      </c>
      <c r="N123" s="13">
        <f>100-(M123+O123)</f>
        <v>11.439999999999998</v>
      </c>
      <c r="O123" s="13">
        <f>L123/C123*100</f>
        <v>23.6</v>
      </c>
      <c r="P123" s="12" t="s">
        <v>3</v>
      </c>
      <c r="Q123" s="11">
        <v>409322.80839999998</v>
      </c>
      <c r="R123" s="11">
        <v>3659192.558892</v>
      </c>
      <c r="T123" s="14">
        <v>2011105</v>
      </c>
      <c r="U123" s="14" t="s">
        <v>216</v>
      </c>
      <c r="V123" s="14">
        <v>5.74E-2</v>
      </c>
      <c r="W123" s="14">
        <v>0.38295000000000001</v>
      </c>
      <c r="X123" s="14">
        <v>2.86E-2</v>
      </c>
      <c r="Y123" s="14">
        <v>1.3555699999999999</v>
      </c>
      <c r="Z123" s="14">
        <v>22.366029999999999</v>
      </c>
      <c r="AA123" s="14">
        <v>11.435689999999999</v>
      </c>
      <c r="AB123" s="14">
        <v>-1.3673999999999999</v>
      </c>
    </row>
    <row r="124" spans="1:28" x14ac:dyDescent="0.25">
      <c r="A124" s="19" t="s">
        <v>7</v>
      </c>
      <c r="B124" s="14" t="s">
        <v>6</v>
      </c>
      <c r="C124" s="15">
        <v>50</v>
      </c>
      <c r="D124" s="14">
        <v>20</v>
      </c>
      <c r="E124" s="13">
        <v>27</v>
      </c>
      <c r="F124" s="13">
        <f>1.8*E124+32</f>
        <v>80.599999999999994</v>
      </c>
      <c r="G124" s="13">
        <v>14</v>
      </c>
      <c r="H124" s="13">
        <f>IF(F124&gt;68,G124+(F124-68)*0.2,Y350-(68-F124)*0.2)</f>
        <v>16.52</v>
      </c>
      <c r="I124" s="13">
        <v>26</v>
      </c>
      <c r="J124" s="13">
        <f>1.8*I124+32</f>
        <v>78.800000000000011</v>
      </c>
      <c r="K124" s="13">
        <v>7</v>
      </c>
      <c r="L124" s="13">
        <f>IF(J124&gt;68,K124+(J124-68)*0.2,K124-(68-J124)*0.2)</f>
        <v>9.1600000000000019</v>
      </c>
      <c r="M124" s="13">
        <f>(C124-H124)/C124*100</f>
        <v>66.960000000000008</v>
      </c>
      <c r="N124" s="13">
        <f>100-(M124+O124)</f>
        <v>14.719999999999985</v>
      </c>
      <c r="O124" s="13">
        <f>L124/C124*100</f>
        <v>18.320000000000004</v>
      </c>
      <c r="P124" s="12" t="s">
        <v>0</v>
      </c>
      <c r="Q124" s="11">
        <v>409322.80839999998</v>
      </c>
      <c r="R124" s="11">
        <v>3659192.558892</v>
      </c>
      <c r="T124" s="14">
        <v>2011105</v>
      </c>
      <c r="U124" s="14" t="s">
        <v>215</v>
      </c>
      <c r="V124" s="14">
        <v>7.1779999999999997E-2</v>
      </c>
      <c r="W124" s="14">
        <v>0.40659000000000001</v>
      </c>
      <c r="X124" s="14">
        <v>1.848E-2</v>
      </c>
      <c r="Y124" s="14">
        <v>1.3680099999999999</v>
      </c>
      <c r="Z124" s="14">
        <v>8.2322199999999999</v>
      </c>
      <c r="AA124" s="14">
        <v>5.7502199999999997</v>
      </c>
      <c r="AB124" s="14">
        <v>-1.0426</v>
      </c>
    </row>
    <row r="125" spans="1:28" x14ac:dyDescent="0.25">
      <c r="A125" s="18">
        <v>41456</v>
      </c>
      <c r="B125" s="14" t="s">
        <v>5</v>
      </c>
      <c r="C125" s="15">
        <v>50</v>
      </c>
      <c r="D125" s="14">
        <v>20</v>
      </c>
      <c r="E125" s="13">
        <v>26</v>
      </c>
      <c r="F125" s="13">
        <f>1.8*E125+32</f>
        <v>78.800000000000011</v>
      </c>
      <c r="G125" s="13">
        <v>17</v>
      </c>
      <c r="H125" s="13">
        <f>IF(F125&gt;68,G125+(F125-68)*0.2,Y351-(68-F125)*0.2)</f>
        <v>19.160000000000004</v>
      </c>
      <c r="I125" s="13">
        <v>24</v>
      </c>
      <c r="J125" s="13">
        <f>1.8*I125+32</f>
        <v>75.2</v>
      </c>
      <c r="K125" s="13">
        <v>9</v>
      </c>
      <c r="L125" s="13">
        <f>IF(J125&gt;68,K125+(J125-68)*0.2,K125-(68-J125)*0.2)</f>
        <v>10.440000000000001</v>
      </c>
      <c r="M125" s="13">
        <f>(C125-H125)/C125*100</f>
        <v>61.679999999999993</v>
      </c>
      <c r="N125" s="13">
        <f>100-(M125+O125)</f>
        <v>17.439999999999998</v>
      </c>
      <c r="O125" s="13">
        <f>L125/C125*100</f>
        <v>20.880000000000003</v>
      </c>
      <c r="P125" s="12" t="s">
        <v>3</v>
      </c>
      <c r="Q125" s="11">
        <v>409322.80839999998</v>
      </c>
      <c r="R125" s="11">
        <v>3659192.558892</v>
      </c>
      <c r="T125" s="14">
        <v>2011105</v>
      </c>
      <c r="U125" s="14" t="s">
        <v>214</v>
      </c>
      <c r="V125" s="14">
        <v>6.9559999999999997E-2</v>
      </c>
      <c r="W125" s="14">
        <v>0.39406000000000002</v>
      </c>
      <c r="X125" s="14">
        <v>2.426E-2</v>
      </c>
      <c r="Y125" s="14">
        <v>1.3208</v>
      </c>
      <c r="Z125" s="14">
        <v>10.99597</v>
      </c>
      <c r="AA125" s="14">
        <v>7.7410199999999998</v>
      </c>
      <c r="AB125" s="14">
        <v>-1.4733499999999999</v>
      </c>
    </row>
    <row r="126" spans="1:28" x14ac:dyDescent="0.25">
      <c r="A126" s="17"/>
      <c r="B126" s="14" t="s">
        <v>4</v>
      </c>
      <c r="C126" s="15">
        <v>50</v>
      </c>
      <c r="D126" s="14">
        <v>20</v>
      </c>
      <c r="E126" s="13">
        <v>26</v>
      </c>
      <c r="F126" s="13">
        <f>1.8*E126+32</f>
        <v>78.800000000000011</v>
      </c>
      <c r="G126" s="13">
        <v>20</v>
      </c>
      <c r="H126" s="13">
        <f>IF(F126&gt;68,G126+(F126-68)*0.2,Y352-(68-F126)*0.2)</f>
        <v>22.160000000000004</v>
      </c>
      <c r="I126" s="13">
        <v>24</v>
      </c>
      <c r="J126" s="13">
        <f>1.8*I126+32</f>
        <v>75.2</v>
      </c>
      <c r="K126" s="13">
        <v>10</v>
      </c>
      <c r="L126" s="13">
        <f>IF(J126&gt;68,K126+(J126-68)*0.2,K126-(68-J126)*0.2)</f>
        <v>11.440000000000001</v>
      </c>
      <c r="M126" s="13">
        <f>(C126-H126)/C126*100</f>
        <v>55.679999999999993</v>
      </c>
      <c r="N126" s="13">
        <f>100-(M126+O126)</f>
        <v>21.439999999999998</v>
      </c>
      <c r="O126" s="13">
        <f>L126/C126*100</f>
        <v>22.880000000000003</v>
      </c>
      <c r="P126" s="12" t="s">
        <v>3</v>
      </c>
      <c r="Q126" s="11">
        <v>409322.80839999998</v>
      </c>
      <c r="R126" s="11">
        <v>3659192.558892</v>
      </c>
      <c r="T126" s="14">
        <v>2011105</v>
      </c>
      <c r="U126" s="14" t="s">
        <v>213</v>
      </c>
      <c r="V126" s="14">
        <v>5.6309999999999999E-2</v>
      </c>
      <c r="W126" s="14">
        <v>0.38194</v>
      </c>
      <c r="X126" s="14">
        <v>2.9340000000000001E-2</v>
      </c>
      <c r="Y126" s="14">
        <v>1.36094</v>
      </c>
      <c r="Z126" s="14">
        <v>24.24015</v>
      </c>
      <c r="AA126" s="14">
        <v>12.030340000000001</v>
      </c>
      <c r="AB126" s="14">
        <v>-1.35903</v>
      </c>
    </row>
    <row r="127" spans="1:28" x14ac:dyDescent="0.25">
      <c r="A127" s="16"/>
      <c r="B127" s="14" t="s">
        <v>2</v>
      </c>
      <c r="C127" s="15">
        <v>50</v>
      </c>
      <c r="D127" s="14">
        <v>20</v>
      </c>
      <c r="E127" s="13">
        <v>26</v>
      </c>
      <c r="F127" s="13">
        <f>1.8*E127+32</f>
        <v>78.800000000000011</v>
      </c>
      <c r="G127" s="13">
        <v>20</v>
      </c>
      <c r="H127" s="13">
        <f>IF(F127&gt;68,G127+(F127-68)*0.2,Y353-(68-F127)*0.2)</f>
        <v>22.160000000000004</v>
      </c>
      <c r="I127" s="13">
        <v>24</v>
      </c>
      <c r="J127" s="13">
        <f>1.8*I127+32</f>
        <v>75.2</v>
      </c>
      <c r="K127" s="13">
        <v>10</v>
      </c>
      <c r="L127" s="13">
        <f>IF(J127&gt;68,K127+(J127-68)*0.2,K127-(68-J127)*0.2)</f>
        <v>11.440000000000001</v>
      </c>
      <c r="M127" s="13">
        <f>(C127-H127)/C127*100</f>
        <v>55.679999999999993</v>
      </c>
      <c r="N127" s="13">
        <f>100-(M127+O127)</f>
        <v>21.439999999999998</v>
      </c>
      <c r="O127" s="13">
        <f>L127/C127*100</f>
        <v>22.880000000000003</v>
      </c>
      <c r="P127" s="12" t="s">
        <v>3</v>
      </c>
      <c r="Q127" s="11">
        <v>409322.80839999998</v>
      </c>
      <c r="R127" s="11">
        <v>3659192.558892</v>
      </c>
      <c r="T127" s="14">
        <v>2011105</v>
      </c>
      <c r="U127" s="14" t="s">
        <v>212</v>
      </c>
      <c r="V127" s="14">
        <v>6.0409999999999998E-2</v>
      </c>
      <c r="W127" s="14">
        <v>0.38201000000000002</v>
      </c>
      <c r="X127" s="14">
        <v>2.8289999999999999E-2</v>
      </c>
      <c r="Y127" s="14">
        <v>1.3405899999999999</v>
      </c>
      <c r="Z127" s="14">
        <v>19.313610000000001</v>
      </c>
      <c r="AA127" s="14">
        <v>10.54565</v>
      </c>
      <c r="AB127" s="14">
        <v>-1.45573</v>
      </c>
    </row>
    <row r="128" spans="1:28" x14ac:dyDescent="0.25">
      <c r="A128" s="16"/>
      <c r="B128" s="14" t="s">
        <v>1</v>
      </c>
      <c r="C128" s="15">
        <v>50</v>
      </c>
      <c r="D128" s="14">
        <v>20</v>
      </c>
      <c r="E128" s="13">
        <v>27</v>
      </c>
      <c r="F128" s="13">
        <f>1.8*E128+32</f>
        <v>80.599999999999994</v>
      </c>
      <c r="G128" s="13">
        <v>17</v>
      </c>
      <c r="H128" s="13">
        <f>IF(F128&gt;68,G128+(F128-68)*0.2,Y354-(68-F128)*0.2)</f>
        <v>19.52</v>
      </c>
      <c r="I128" s="13">
        <v>26</v>
      </c>
      <c r="J128" s="13">
        <f>1.8*I128+32</f>
        <v>78.800000000000011</v>
      </c>
      <c r="K128" s="13">
        <v>10</v>
      </c>
      <c r="L128" s="13">
        <f>IF(J128&gt;68,K128+(J128-68)*0.2,K128-(68-J128)*0.2)</f>
        <v>12.160000000000002</v>
      </c>
      <c r="M128" s="13">
        <f>(C128-H128)/C128*100</f>
        <v>60.96</v>
      </c>
      <c r="N128" s="13">
        <f>100-(M128+O128)</f>
        <v>14.719999999999999</v>
      </c>
      <c r="O128" s="13">
        <f>L128/C128*100</f>
        <v>24.320000000000004</v>
      </c>
      <c r="P128" s="12" t="s">
        <v>3</v>
      </c>
      <c r="Q128" s="11">
        <v>409322.80839999998</v>
      </c>
      <c r="R128" s="11">
        <v>3659192.558892</v>
      </c>
      <c r="T128" s="14">
        <v>2011105</v>
      </c>
      <c r="U128" s="14" t="s">
        <v>211</v>
      </c>
      <c r="V128" s="14">
        <v>4.725E-2</v>
      </c>
      <c r="W128" s="14">
        <v>0.38177</v>
      </c>
      <c r="X128" s="14">
        <v>3.4139999999999997E-2</v>
      </c>
      <c r="Y128" s="14">
        <v>1.42991</v>
      </c>
      <c r="Z128" s="14">
        <v>43.478099999999998</v>
      </c>
      <c r="AA128" s="14">
        <v>18.073460000000001</v>
      </c>
      <c r="AB128" s="14">
        <v>-1.17483</v>
      </c>
    </row>
    <row r="129" spans="1:28" x14ac:dyDescent="0.25">
      <c r="Q129" s="31"/>
      <c r="R129" s="31"/>
      <c r="T129" s="14">
        <v>2011105</v>
      </c>
      <c r="U129" s="14" t="s">
        <v>210</v>
      </c>
      <c r="V129" s="14">
        <v>5.67E-2</v>
      </c>
      <c r="W129" s="14">
        <v>0.37480000000000002</v>
      </c>
      <c r="X129" s="14">
        <v>2.981E-2</v>
      </c>
      <c r="Y129" s="14">
        <v>1.41425</v>
      </c>
      <c r="Z129" s="14">
        <v>31.361550000000001</v>
      </c>
      <c r="AA129" s="14">
        <v>12.57391</v>
      </c>
      <c r="AB129" s="14">
        <v>-1.24664</v>
      </c>
    </row>
    <row r="130" spans="1:28" ht="51.75" x14ac:dyDescent="0.25">
      <c r="A130" s="19" t="s">
        <v>209</v>
      </c>
      <c r="B130" s="22" t="s">
        <v>26</v>
      </c>
      <c r="C130" s="26" t="s">
        <v>25</v>
      </c>
      <c r="D130" s="25" t="s">
        <v>24</v>
      </c>
      <c r="E130" s="24" t="s">
        <v>23</v>
      </c>
      <c r="F130" s="24" t="s">
        <v>22</v>
      </c>
      <c r="G130" s="24" t="s">
        <v>21</v>
      </c>
      <c r="H130" s="24" t="s">
        <v>20</v>
      </c>
      <c r="I130" s="24" t="s">
        <v>19</v>
      </c>
      <c r="J130" s="24" t="s">
        <v>18</v>
      </c>
      <c r="K130" s="24" t="s">
        <v>17</v>
      </c>
      <c r="L130" s="24" t="s">
        <v>16</v>
      </c>
      <c r="M130" s="23" t="s">
        <v>15</v>
      </c>
      <c r="N130" s="23" t="s">
        <v>14</v>
      </c>
      <c r="O130" s="23" t="s">
        <v>13</v>
      </c>
      <c r="P130" s="22" t="s">
        <v>12</v>
      </c>
      <c r="Q130" s="34" t="s">
        <v>11</v>
      </c>
      <c r="R130" s="33"/>
      <c r="T130" s="14">
        <v>2011105</v>
      </c>
      <c r="U130" s="14" t="s">
        <v>208</v>
      </c>
      <c r="V130" s="14">
        <v>4.9739999999999999E-2</v>
      </c>
      <c r="W130" s="14">
        <v>0.38266</v>
      </c>
      <c r="X130" s="14">
        <v>3.1510000000000003E-2</v>
      </c>
      <c r="Y130" s="14">
        <v>1.39151</v>
      </c>
      <c r="Z130" s="14">
        <v>33.713830000000002</v>
      </c>
      <c r="AA130" s="14">
        <v>15.09356</v>
      </c>
      <c r="AB130" s="14">
        <v>-1.23882</v>
      </c>
    </row>
    <row r="131" spans="1:28" x14ac:dyDescent="0.25">
      <c r="A131" s="20"/>
      <c r="B131" s="22"/>
      <c r="C131" s="26"/>
      <c r="D131" s="25"/>
      <c r="E131" s="24"/>
      <c r="F131" s="24"/>
      <c r="G131" s="24"/>
      <c r="H131" s="24"/>
      <c r="I131" s="24"/>
      <c r="J131" s="24"/>
      <c r="K131" s="24"/>
      <c r="L131" s="24"/>
      <c r="M131" s="23"/>
      <c r="N131" s="23"/>
      <c r="O131" s="23"/>
      <c r="P131" s="22"/>
      <c r="Q131" s="21" t="s">
        <v>10</v>
      </c>
      <c r="R131" s="21" t="s">
        <v>9</v>
      </c>
      <c r="T131" s="14">
        <v>2011105</v>
      </c>
      <c r="U131" s="14" t="s">
        <v>207</v>
      </c>
      <c r="V131" s="14">
        <v>6.2899999999999998E-2</v>
      </c>
      <c r="W131" s="14">
        <v>0.38928000000000001</v>
      </c>
      <c r="X131" s="14">
        <v>2.4989999999999998E-2</v>
      </c>
      <c r="Y131" s="14">
        <v>1.3462700000000001</v>
      </c>
      <c r="Z131" s="14">
        <v>15.53904</v>
      </c>
      <c r="AA131" s="14">
        <v>9.0044500000000003</v>
      </c>
      <c r="AB131" s="14">
        <v>-1.3320399999999999</v>
      </c>
    </row>
    <row r="132" spans="1:28" x14ac:dyDescent="0.25">
      <c r="A132" s="20"/>
      <c r="B132" s="14" t="s">
        <v>8</v>
      </c>
      <c r="C132" s="15">
        <v>50</v>
      </c>
      <c r="D132" s="14">
        <v>20</v>
      </c>
      <c r="E132" s="13">
        <v>26</v>
      </c>
      <c r="F132" s="13">
        <f>1.8*E132+32</f>
        <v>78.800000000000011</v>
      </c>
      <c r="G132" s="13">
        <v>19</v>
      </c>
      <c r="H132" s="13">
        <f>IF(F132&gt;68,G132+(F132-68)*0.2,Y358-(68-F132)*0.2)</f>
        <v>21.160000000000004</v>
      </c>
      <c r="I132" s="13">
        <v>24</v>
      </c>
      <c r="J132" s="13">
        <f>1.8*I132+32</f>
        <v>75.2</v>
      </c>
      <c r="K132" s="13">
        <v>10</v>
      </c>
      <c r="L132" s="13">
        <f>IF(J132&gt;68,K132+(J132-68)*0.2,K132-(68-J132)*0.2)</f>
        <v>11.440000000000001</v>
      </c>
      <c r="M132" s="13">
        <f>(C132-H132)/C132*100</f>
        <v>57.68</v>
      </c>
      <c r="N132" s="13">
        <f>100-(M132+O132)</f>
        <v>19.439999999999998</v>
      </c>
      <c r="O132" s="13">
        <f>L132/C132*100</f>
        <v>22.880000000000003</v>
      </c>
      <c r="P132" s="12" t="s">
        <v>3</v>
      </c>
      <c r="Q132" s="11">
        <v>409298.4264</v>
      </c>
      <c r="R132" s="11">
        <v>3659183.4621819998</v>
      </c>
      <c r="T132" s="14">
        <v>2011105</v>
      </c>
      <c r="U132" s="14" t="s">
        <v>206</v>
      </c>
      <c r="V132" s="14">
        <v>5.7410000000000003E-2</v>
      </c>
      <c r="W132" s="14">
        <v>0.38224999999999998</v>
      </c>
      <c r="X132" s="14">
        <v>2.8899999999999999E-2</v>
      </c>
      <c r="Y132" s="14">
        <v>1.3554600000000001</v>
      </c>
      <c r="Z132" s="14">
        <v>22.672080000000001</v>
      </c>
      <c r="AA132" s="14">
        <v>11.55034</v>
      </c>
      <c r="AB132" s="14">
        <v>-1.3787400000000001</v>
      </c>
    </row>
    <row r="133" spans="1:28" x14ac:dyDescent="0.25">
      <c r="A133" s="19" t="s">
        <v>7</v>
      </c>
      <c r="B133" s="14" t="s">
        <v>6</v>
      </c>
      <c r="C133" s="15">
        <v>50</v>
      </c>
      <c r="D133" s="14">
        <v>20</v>
      </c>
      <c r="E133" s="13">
        <v>26</v>
      </c>
      <c r="F133" s="13">
        <f>1.8*E133+32</f>
        <v>78.800000000000011</v>
      </c>
      <c r="G133" s="13">
        <v>15</v>
      </c>
      <c r="H133" s="13">
        <f>IF(F133&gt;68,G133+(F133-68)*0.2,Y359-(68-F133)*0.2)</f>
        <v>17.160000000000004</v>
      </c>
      <c r="I133" s="13">
        <v>24</v>
      </c>
      <c r="J133" s="13">
        <f>1.8*I133+32</f>
        <v>75.2</v>
      </c>
      <c r="K133" s="13">
        <v>6</v>
      </c>
      <c r="L133" s="13">
        <f>IF(J133&gt;68,K133+(J133-68)*0.2,K133-(68-J133)*0.2)</f>
        <v>7.44</v>
      </c>
      <c r="M133" s="13">
        <f>(C133-H133)/C133*100</f>
        <v>65.679999999999993</v>
      </c>
      <c r="N133" s="13">
        <f>100-(M133+O133)</f>
        <v>19.440000000000012</v>
      </c>
      <c r="O133" s="13">
        <f>L133/C133*100</f>
        <v>14.88</v>
      </c>
      <c r="P133" s="12" t="s">
        <v>0</v>
      </c>
      <c r="Q133" s="11">
        <v>409298.4264</v>
      </c>
      <c r="R133" s="11">
        <v>3659183.4621819998</v>
      </c>
      <c r="T133" s="14">
        <v>2011105</v>
      </c>
      <c r="U133" s="14" t="s">
        <v>205</v>
      </c>
      <c r="V133" s="14">
        <v>5.416E-2</v>
      </c>
      <c r="W133" s="14">
        <v>0.38318999999999998</v>
      </c>
      <c r="X133" s="14">
        <v>2.928E-2</v>
      </c>
      <c r="Y133" s="14">
        <v>1.36931</v>
      </c>
      <c r="Z133" s="14">
        <v>26.172940000000001</v>
      </c>
      <c r="AA133" s="14">
        <v>12.580679999999999</v>
      </c>
      <c r="AB133" s="14">
        <v>-1.30033</v>
      </c>
    </row>
    <row r="134" spans="1:28" x14ac:dyDescent="0.25">
      <c r="A134" s="18">
        <v>41456</v>
      </c>
      <c r="B134" s="14" t="s">
        <v>5</v>
      </c>
      <c r="C134" s="15">
        <v>50</v>
      </c>
      <c r="D134" s="14">
        <v>20</v>
      </c>
      <c r="E134" s="13">
        <v>27</v>
      </c>
      <c r="F134" s="13">
        <f>1.8*E134+32</f>
        <v>80.599999999999994</v>
      </c>
      <c r="G134" s="13">
        <v>12</v>
      </c>
      <c r="H134" s="13">
        <f>IF(F134&gt;68,G134+(F134-68)*0.2,Y360-(68-F134)*0.2)</f>
        <v>14.52</v>
      </c>
      <c r="I134" s="13">
        <v>26</v>
      </c>
      <c r="J134" s="13">
        <f>1.8*I134+32</f>
        <v>78.800000000000011</v>
      </c>
      <c r="K134" s="13">
        <v>6</v>
      </c>
      <c r="L134" s="13">
        <f>IF(J134&gt;68,K134+(J134-68)*0.2,K134-(68-J134)*0.2)</f>
        <v>8.1600000000000019</v>
      </c>
      <c r="M134" s="13">
        <f>(C134-H134)/C134*100</f>
        <v>70.960000000000008</v>
      </c>
      <c r="N134" s="13">
        <f>100-(M134+O134)</f>
        <v>12.719999999999985</v>
      </c>
      <c r="O134" s="13">
        <f>L134/C134*100</f>
        <v>16.320000000000004</v>
      </c>
      <c r="P134" s="12" t="s">
        <v>0</v>
      </c>
      <c r="Q134" s="11">
        <v>409298.4264</v>
      </c>
      <c r="R134" s="11">
        <v>3659183.4621819998</v>
      </c>
      <c r="T134" s="14">
        <v>2011105</v>
      </c>
      <c r="U134" s="14" t="s">
        <v>204</v>
      </c>
      <c r="V134" s="14">
        <v>7.2559999999999999E-2</v>
      </c>
      <c r="W134" s="14">
        <v>0.39961999999999998</v>
      </c>
      <c r="X134" s="14">
        <v>2.3040000000000001E-2</v>
      </c>
      <c r="Y134" s="14">
        <v>1.3186599999999999</v>
      </c>
      <c r="Z134" s="14">
        <v>9.1470400000000005</v>
      </c>
      <c r="AA134" s="14">
        <v>7.0470499999999996</v>
      </c>
      <c r="AB134" s="14">
        <v>-1.45062</v>
      </c>
    </row>
    <row r="135" spans="1:28" x14ac:dyDescent="0.25">
      <c r="A135" s="17"/>
      <c r="B135" s="14" t="s">
        <v>4</v>
      </c>
      <c r="C135" s="15">
        <v>50</v>
      </c>
      <c r="D135" s="14">
        <v>20</v>
      </c>
      <c r="E135" s="13">
        <v>26</v>
      </c>
      <c r="F135" s="13">
        <f>1.8*E135+32</f>
        <v>78.800000000000011</v>
      </c>
      <c r="G135" s="13">
        <v>15</v>
      </c>
      <c r="H135" s="13">
        <f>IF(F135&gt;68,G135+(F135-68)*0.2,Y361-(68-F135)*0.2)</f>
        <v>17.160000000000004</v>
      </c>
      <c r="I135" s="13">
        <v>24</v>
      </c>
      <c r="J135" s="13">
        <f>1.8*I135+32</f>
        <v>75.2</v>
      </c>
      <c r="K135" s="13">
        <v>7</v>
      </c>
      <c r="L135" s="13">
        <f>IF(J135&gt;68,K135+(J135-68)*0.2,K135-(68-J135)*0.2)</f>
        <v>8.4400000000000013</v>
      </c>
      <c r="M135" s="13">
        <f>(C135-H135)/C135*100</f>
        <v>65.679999999999993</v>
      </c>
      <c r="N135" s="13">
        <f>100-(M135+O135)</f>
        <v>17.439999999999998</v>
      </c>
      <c r="O135" s="13">
        <f>L135/C135*100</f>
        <v>16.880000000000003</v>
      </c>
      <c r="P135" s="12" t="s">
        <v>0</v>
      </c>
      <c r="Q135" s="11">
        <v>409298.4264</v>
      </c>
      <c r="R135" s="11">
        <v>3659183.4621819998</v>
      </c>
      <c r="T135" s="14">
        <v>2011105</v>
      </c>
      <c r="U135" s="14" t="s">
        <v>203</v>
      </c>
      <c r="V135" s="14">
        <v>7.5050000000000006E-2</v>
      </c>
      <c r="W135" s="14">
        <v>0.40364</v>
      </c>
      <c r="X135" s="14">
        <v>2.2769999999999999E-2</v>
      </c>
      <c r="Y135" s="14">
        <v>1.31002</v>
      </c>
      <c r="Z135" s="14">
        <v>8.0824300000000004</v>
      </c>
      <c r="AA135" s="14">
        <v>6.7068599999999998</v>
      </c>
      <c r="AB135" s="14">
        <v>-1.4975799999999999</v>
      </c>
    </row>
    <row r="136" spans="1:28" x14ac:dyDescent="0.25">
      <c r="A136" s="16"/>
      <c r="B136" s="14" t="s">
        <v>2</v>
      </c>
      <c r="C136" s="15">
        <v>50</v>
      </c>
      <c r="D136" s="14">
        <v>20</v>
      </c>
      <c r="E136" s="13">
        <v>26</v>
      </c>
      <c r="F136" s="13">
        <f>1.8*E136+32</f>
        <v>78.800000000000011</v>
      </c>
      <c r="G136" s="13">
        <v>19</v>
      </c>
      <c r="H136" s="13">
        <f>IF(F136&gt;68,G136+(F136-68)*0.2,Y362-(68-F136)*0.2)</f>
        <v>21.160000000000004</v>
      </c>
      <c r="I136" s="13">
        <v>24</v>
      </c>
      <c r="J136" s="13">
        <f>1.8*I136+32</f>
        <v>75.2</v>
      </c>
      <c r="K136" s="13">
        <v>10</v>
      </c>
      <c r="L136" s="13">
        <f>IF(J136&gt;68,K136+(J136-68)*0.2,K136-(68-J136)*0.2)</f>
        <v>11.440000000000001</v>
      </c>
      <c r="M136" s="13">
        <f>(C136-H136)/C136*100</f>
        <v>57.68</v>
      </c>
      <c r="N136" s="13">
        <f>100-(M136+O136)</f>
        <v>19.439999999999998</v>
      </c>
      <c r="O136" s="13">
        <f>L136/C136*100</f>
        <v>22.880000000000003</v>
      </c>
      <c r="P136" s="12" t="s">
        <v>3</v>
      </c>
      <c r="Q136" s="11">
        <v>409298.4264</v>
      </c>
      <c r="R136" s="11">
        <v>3659183.4621819998</v>
      </c>
      <c r="T136" s="14">
        <v>2011105</v>
      </c>
      <c r="U136" s="14" t="s">
        <v>202</v>
      </c>
      <c r="V136" s="14">
        <v>6.7650000000000002E-2</v>
      </c>
      <c r="W136" s="14">
        <v>0.40099000000000001</v>
      </c>
      <c r="X136" s="14">
        <v>1.9050000000000001E-2</v>
      </c>
      <c r="Y136" s="14">
        <v>1.3766400000000001</v>
      </c>
      <c r="Z136" s="14">
        <v>10.45631</v>
      </c>
      <c r="AA136" s="14">
        <v>6.3195300000000003</v>
      </c>
      <c r="AB136" s="14">
        <v>-1.0213300000000001</v>
      </c>
    </row>
    <row r="137" spans="1:28" x14ac:dyDescent="0.25">
      <c r="A137" s="16"/>
      <c r="B137" s="14" t="s">
        <v>1</v>
      </c>
      <c r="C137" s="15">
        <v>50</v>
      </c>
      <c r="D137" s="14">
        <v>20</v>
      </c>
      <c r="E137" s="13">
        <v>27</v>
      </c>
      <c r="F137" s="13">
        <f>1.8*E137+32</f>
        <v>80.599999999999994</v>
      </c>
      <c r="G137" s="13">
        <v>18</v>
      </c>
      <c r="H137" s="13">
        <f>IF(F137&gt;68,G137+(F137-68)*0.2,Y363-(68-F137)*0.2)</f>
        <v>20.52</v>
      </c>
      <c r="I137" s="13">
        <v>26</v>
      </c>
      <c r="J137" s="13">
        <f>1.8*I137+32</f>
        <v>78.800000000000011</v>
      </c>
      <c r="K137" s="13">
        <v>12</v>
      </c>
      <c r="L137" s="13">
        <f>IF(J137&gt;68,K137+(J137-68)*0.2,K137-(68-J137)*0.2)</f>
        <v>14.160000000000002</v>
      </c>
      <c r="M137" s="13">
        <f>(C137-H137)/C137*100</f>
        <v>58.96</v>
      </c>
      <c r="N137" s="13">
        <f>100-(M137+O137)</f>
        <v>12.719999999999999</v>
      </c>
      <c r="O137" s="13">
        <f>L137/C137*100</f>
        <v>28.320000000000007</v>
      </c>
      <c r="P137" s="12" t="s">
        <v>3</v>
      </c>
      <c r="Q137" s="11">
        <v>409298.4264</v>
      </c>
      <c r="R137" s="11">
        <v>3659183.4621819998</v>
      </c>
      <c r="T137" s="14">
        <v>2011105</v>
      </c>
      <c r="U137" s="14" t="s">
        <v>201</v>
      </c>
      <c r="V137" s="14">
        <v>5.3129999999999997E-2</v>
      </c>
      <c r="W137" s="14">
        <v>0.38196999999999998</v>
      </c>
      <c r="X137" s="14">
        <v>3.0429999999999999E-2</v>
      </c>
      <c r="Y137" s="14">
        <v>1.37666</v>
      </c>
      <c r="Z137" s="14">
        <v>28.857320000000001</v>
      </c>
      <c r="AA137" s="14">
        <v>13.463200000000001</v>
      </c>
      <c r="AB137" s="14">
        <v>-1.2981</v>
      </c>
    </row>
    <row r="138" spans="1:28" x14ac:dyDescent="0.25">
      <c r="Q138" s="31"/>
      <c r="R138" s="31"/>
      <c r="T138" s="14">
        <v>2011105</v>
      </c>
      <c r="U138" s="14" t="s">
        <v>200</v>
      </c>
      <c r="V138" s="14">
        <v>5.6250000000000001E-2</v>
      </c>
      <c r="W138" s="14">
        <v>0.38377</v>
      </c>
      <c r="X138" s="14">
        <v>2.8400000000000002E-2</v>
      </c>
      <c r="Y138" s="14">
        <v>1.3609199999999999</v>
      </c>
      <c r="Z138" s="14">
        <v>23.256460000000001</v>
      </c>
      <c r="AA138" s="14">
        <v>11.64636</v>
      </c>
      <c r="AB138" s="14">
        <v>-1.32684</v>
      </c>
    </row>
    <row r="139" spans="1:28" ht="51.75" x14ac:dyDescent="0.25">
      <c r="A139" s="19" t="s">
        <v>199</v>
      </c>
      <c r="B139" s="22" t="s">
        <v>26</v>
      </c>
      <c r="C139" s="26" t="s">
        <v>25</v>
      </c>
      <c r="D139" s="25" t="s">
        <v>24</v>
      </c>
      <c r="E139" s="24" t="s">
        <v>23</v>
      </c>
      <c r="F139" s="24" t="s">
        <v>22</v>
      </c>
      <c r="G139" s="24" t="s">
        <v>21</v>
      </c>
      <c r="H139" s="24" t="s">
        <v>20</v>
      </c>
      <c r="I139" s="24" t="s">
        <v>19</v>
      </c>
      <c r="J139" s="24" t="s">
        <v>18</v>
      </c>
      <c r="K139" s="24" t="s">
        <v>17</v>
      </c>
      <c r="L139" s="24" t="s">
        <v>16</v>
      </c>
      <c r="M139" s="23" t="s">
        <v>15</v>
      </c>
      <c r="N139" s="23" t="s">
        <v>14</v>
      </c>
      <c r="O139" s="23" t="s">
        <v>13</v>
      </c>
      <c r="P139" s="22" t="s">
        <v>12</v>
      </c>
      <c r="Q139" s="34" t="s">
        <v>11</v>
      </c>
      <c r="R139" s="33"/>
      <c r="T139" s="14">
        <v>2011105</v>
      </c>
      <c r="U139" s="14" t="s">
        <v>198</v>
      </c>
      <c r="V139" s="14">
        <v>6.2899999999999998E-2</v>
      </c>
      <c r="W139" s="14">
        <v>0.38928000000000001</v>
      </c>
      <c r="X139" s="14">
        <v>2.4989999999999998E-2</v>
      </c>
      <c r="Y139" s="14">
        <v>1.3462700000000001</v>
      </c>
      <c r="Z139" s="14">
        <v>15.53904</v>
      </c>
      <c r="AA139" s="14">
        <v>9.0044500000000003</v>
      </c>
      <c r="AB139" s="14">
        <v>-1.3320399999999999</v>
      </c>
    </row>
    <row r="140" spans="1:28" x14ac:dyDescent="0.25">
      <c r="A140" s="20"/>
      <c r="B140" s="22"/>
      <c r="C140" s="26"/>
      <c r="D140" s="25"/>
      <c r="E140" s="24"/>
      <c r="F140" s="24"/>
      <c r="G140" s="24"/>
      <c r="H140" s="24"/>
      <c r="I140" s="24"/>
      <c r="J140" s="24"/>
      <c r="K140" s="24"/>
      <c r="L140" s="24"/>
      <c r="M140" s="23"/>
      <c r="N140" s="23"/>
      <c r="O140" s="23"/>
      <c r="P140" s="22"/>
      <c r="Q140" s="21" t="s">
        <v>10</v>
      </c>
      <c r="R140" s="21" t="s">
        <v>9</v>
      </c>
      <c r="T140" s="14">
        <v>2011105</v>
      </c>
      <c r="U140" s="14" t="s">
        <v>197</v>
      </c>
      <c r="V140" s="14">
        <v>7.9479999999999995E-2</v>
      </c>
      <c r="W140" s="14">
        <v>0.42674000000000001</v>
      </c>
      <c r="X140" s="14">
        <v>1.511E-2</v>
      </c>
      <c r="Y140" s="14">
        <v>1.3747199999999999</v>
      </c>
      <c r="Z140" s="14">
        <v>5.3545600000000002</v>
      </c>
      <c r="AA140" s="14">
        <v>4.1696499999999999</v>
      </c>
      <c r="AB140" s="14">
        <v>-0.86424999999999996</v>
      </c>
    </row>
    <row r="141" spans="1:28" x14ac:dyDescent="0.25">
      <c r="A141" s="20"/>
      <c r="B141" s="14" t="s">
        <v>8</v>
      </c>
      <c r="C141" s="15">
        <v>50</v>
      </c>
      <c r="D141" s="14">
        <v>20</v>
      </c>
      <c r="E141" s="13">
        <v>26</v>
      </c>
      <c r="F141" s="13">
        <f>1.8*E141+32</f>
        <v>78.800000000000011</v>
      </c>
      <c r="G141" s="13">
        <v>17</v>
      </c>
      <c r="H141" s="13">
        <f>IF(F141&gt;68,G141+(F141-68)*0.2,Y367-(68-F141)*0.2)</f>
        <v>19.160000000000004</v>
      </c>
      <c r="I141" s="13">
        <v>24</v>
      </c>
      <c r="J141" s="13">
        <f>1.8*I141+32</f>
        <v>75.2</v>
      </c>
      <c r="K141" s="13">
        <v>10</v>
      </c>
      <c r="L141" s="13">
        <f>IF(J141&gt;68,K141+(J141-68)*0.2,K141-(68-J141)*0.2)</f>
        <v>11.440000000000001</v>
      </c>
      <c r="M141" s="13">
        <f>(C141-H141)/C141*100</f>
        <v>61.679999999999993</v>
      </c>
      <c r="N141" s="13">
        <f>100-(M141+O141)</f>
        <v>15.439999999999998</v>
      </c>
      <c r="O141" s="13">
        <f>L141/C141*100</f>
        <v>22.880000000000003</v>
      </c>
      <c r="P141" s="12" t="s">
        <v>3</v>
      </c>
      <c r="Q141" s="11">
        <v>409302.49040000001</v>
      </c>
      <c r="R141" s="11">
        <v>3659215.367877</v>
      </c>
      <c r="T141" s="14">
        <v>2011105</v>
      </c>
      <c r="U141" s="14" t="s">
        <v>196</v>
      </c>
      <c r="V141" s="14">
        <v>8.2879999999999995E-2</v>
      </c>
      <c r="W141" s="14">
        <v>0.42976999999999999</v>
      </c>
      <c r="X141" s="14">
        <v>1.78E-2</v>
      </c>
      <c r="Y141" s="14">
        <v>1.3268599999999999</v>
      </c>
      <c r="Z141" s="14">
        <v>5.0473499999999998</v>
      </c>
      <c r="AA141" s="14">
        <v>4.7656099999999997</v>
      </c>
      <c r="AB141" s="14">
        <v>-1.18547</v>
      </c>
    </row>
    <row r="142" spans="1:28" x14ac:dyDescent="0.25">
      <c r="A142" s="19" t="s">
        <v>7</v>
      </c>
      <c r="B142" s="14" t="s">
        <v>6</v>
      </c>
      <c r="C142" s="15">
        <v>50</v>
      </c>
      <c r="D142" s="14">
        <v>20</v>
      </c>
      <c r="E142" s="13">
        <v>26</v>
      </c>
      <c r="F142" s="13">
        <f>1.8*E142+32</f>
        <v>78.800000000000011</v>
      </c>
      <c r="G142" s="13">
        <v>15</v>
      </c>
      <c r="H142" s="13">
        <f>IF(F142&gt;68,G142+(F142-68)*0.2,Y368-(68-F142)*0.2)</f>
        <v>17.160000000000004</v>
      </c>
      <c r="I142" s="13">
        <v>24</v>
      </c>
      <c r="J142" s="13">
        <f>1.8*I142+32</f>
        <v>75.2</v>
      </c>
      <c r="K142" s="13">
        <v>10</v>
      </c>
      <c r="L142" s="13">
        <f>IF(J142&gt;68,K142+(J142-68)*0.2,K142-(68-J142)*0.2)</f>
        <v>11.440000000000001</v>
      </c>
      <c r="M142" s="13">
        <f>(C142-H142)/C142*100</f>
        <v>65.679999999999993</v>
      </c>
      <c r="N142" s="13">
        <f>100-(M142+O142)</f>
        <v>11.439999999999998</v>
      </c>
      <c r="O142" s="13">
        <f>L142/C142*100</f>
        <v>22.880000000000003</v>
      </c>
      <c r="P142" s="12" t="s">
        <v>3</v>
      </c>
      <c r="Q142" s="11">
        <v>409302.49040000001</v>
      </c>
      <c r="R142" s="11">
        <v>3659215.367877</v>
      </c>
      <c r="T142" s="14">
        <v>2011105</v>
      </c>
      <c r="U142" s="14" t="s">
        <v>195</v>
      </c>
      <c r="V142" s="14">
        <v>7.2190000000000004E-2</v>
      </c>
      <c r="W142" s="14">
        <v>0.40155000000000002</v>
      </c>
      <c r="X142" s="14">
        <v>2.179E-2</v>
      </c>
      <c r="Y142" s="14">
        <v>1.33283</v>
      </c>
      <c r="Z142" s="14">
        <v>8.9421499999999998</v>
      </c>
      <c r="AA142" s="14">
        <v>6.7452699999999997</v>
      </c>
      <c r="AB142" s="14">
        <v>-1.3257099999999999</v>
      </c>
    </row>
    <row r="143" spans="1:28" x14ac:dyDescent="0.25">
      <c r="A143" s="18">
        <v>41451</v>
      </c>
      <c r="B143" s="14" t="s">
        <v>5</v>
      </c>
      <c r="C143" s="15">
        <v>50</v>
      </c>
      <c r="D143" s="14">
        <v>20</v>
      </c>
      <c r="E143" s="13">
        <v>26</v>
      </c>
      <c r="F143" s="13">
        <f>1.8*E143+32</f>
        <v>78.800000000000011</v>
      </c>
      <c r="G143" s="13">
        <v>15</v>
      </c>
      <c r="H143" s="13">
        <f>IF(F143&gt;68,G143+(F143-68)*0.2,Y369-(68-F143)*0.2)</f>
        <v>17.160000000000004</v>
      </c>
      <c r="I143" s="13">
        <v>24</v>
      </c>
      <c r="J143" s="13">
        <f>1.8*I143+32</f>
        <v>75.2</v>
      </c>
      <c r="K143" s="13">
        <v>7</v>
      </c>
      <c r="L143" s="13">
        <f>IF(J143&gt;68,K143+(J143-68)*0.2,K143-(68-J143)*0.2)</f>
        <v>8.4400000000000013</v>
      </c>
      <c r="M143" s="13">
        <f>(C143-H143)/C143*100</f>
        <v>65.679999999999993</v>
      </c>
      <c r="N143" s="13">
        <f>100-(M143+O143)</f>
        <v>17.439999999999998</v>
      </c>
      <c r="O143" s="13">
        <f>L143/C143*100</f>
        <v>16.880000000000003</v>
      </c>
      <c r="P143" s="12" t="s">
        <v>0</v>
      </c>
      <c r="Q143" s="11">
        <v>409302.49040000001</v>
      </c>
      <c r="R143" s="11">
        <v>3659215.367877</v>
      </c>
      <c r="T143" s="14">
        <v>2011105</v>
      </c>
      <c r="U143" s="14" t="s">
        <v>194</v>
      </c>
      <c r="V143" s="14">
        <v>5.1769999999999997E-2</v>
      </c>
      <c r="W143" s="14">
        <v>0.37835999999999997</v>
      </c>
      <c r="X143" s="14">
        <v>3.2460000000000003E-2</v>
      </c>
      <c r="Y143" s="14">
        <v>1.4348099999999999</v>
      </c>
      <c r="Z143" s="14">
        <v>40.52872</v>
      </c>
      <c r="AA143" s="14">
        <v>15.69314</v>
      </c>
      <c r="AB143" s="14">
        <v>-1.19289</v>
      </c>
    </row>
    <row r="144" spans="1:28" x14ac:dyDescent="0.25">
      <c r="A144" s="17"/>
      <c r="B144" s="14" t="s">
        <v>4</v>
      </c>
      <c r="C144" s="15">
        <v>50</v>
      </c>
      <c r="D144" s="14">
        <v>20</v>
      </c>
      <c r="E144" s="13">
        <v>26</v>
      </c>
      <c r="F144" s="13">
        <f>1.8*E144+32</f>
        <v>78.800000000000011</v>
      </c>
      <c r="G144" s="13">
        <v>12</v>
      </c>
      <c r="H144" s="13">
        <f>IF(F144&gt;68,G144+(F144-68)*0.2,Y370-(68-F144)*0.2)</f>
        <v>14.160000000000002</v>
      </c>
      <c r="I144" s="13">
        <v>24</v>
      </c>
      <c r="J144" s="13">
        <f>1.8*I144+32</f>
        <v>75.2</v>
      </c>
      <c r="K144" s="13">
        <v>8</v>
      </c>
      <c r="L144" s="13">
        <f>IF(J144&gt;68,K144+(J144-68)*0.2,K144-(68-J144)*0.2)</f>
        <v>9.4400000000000013</v>
      </c>
      <c r="M144" s="13">
        <f>(C144-H144)/C144*100</f>
        <v>71.679999999999993</v>
      </c>
      <c r="N144" s="13">
        <f>100-(M144+O144)</f>
        <v>9.4399999999999977</v>
      </c>
      <c r="O144" s="13">
        <f>L144/C144*100</f>
        <v>18.880000000000003</v>
      </c>
      <c r="P144" s="12" t="s">
        <v>0</v>
      </c>
      <c r="Q144" s="11">
        <v>409302.49040000001</v>
      </c>
      <c r="R144" s="11">
        <v>3659215.367877</v>
      </c>
      <c r="T144" s="14">
        <v>2011105</v>
      </c>
      <c r="U144" s="14" t="s">
        <v>193</v>
      </c>
      <c r="V144" s="14">
        <v>6.2239999999999997E-2</v>
      </c>
      <c r="W144" s="14">
        <v>0.37964999999999999</v>
      </c>
      <c r="X144" s="14">
        <v>2.827E-2</v>
      </c>
      <c r="Y144" s="14">
        <v>1.32999</v>
      </c>
      <c r="Z144" s="14">
        <v>17.782689999999999</v>
      </c>
      <c r="AA144" s="14">
        <v>10.02229</v>
      </c>
      <c r="AB144" s="14">
        <v>-1.5324899999999999</v>
      </c>
    </row>
    <row r="145" spans="1:28" x14ac:dyDescent="0.25">
      <c r="A145" s="16"/>
      <c r="B145" s="14" t="s">
        <v>2</v>
      </c>
      <c r="C145" s="15">
        <v>50</v>
      </c>
      <c r="D145" s="14">
        <v>20</v>
      </c>
      <c r="E145" s="13">
        <v>27</v>
      </c>
      <c r="F145" s="13">
        <f>1.8*E145+32</f>
        <v>80.599999999999994</v>
      </c>
      <c r="G145" s="13">
        <v>16</v>
      </c>
      <c r="H145" s="13">
        <f>IF(F145&gt;68,G145+(F145-68)*0.2,Y371-(68-F145)*0.2)</f>
        <v>18.52</v>
      </c>
      <c r="I145" s="13">
        <v>25</v>
      </c>
      <c r="J145" s="13">
        <f>1.8*I145+32</f>
        <v>77</v>
      </c>
      <c r="K145" s="13">
        <v>6</v>
      </c>
      <c r="L145" s="13">
        <f>IF(J145&gt;68,K145+(J145-68)*0.2,K145-(68-J145)*0.2)</f>
        <v>7.8</v>
      </c>
      <c r="M145" s="13">
        <f>(C145-H145)/C145*100</f>
        <v>62.960000000000008</v>
      </c>
      <c r="N145" s="13">
        <f>100-(M145+O145)</f>
        <v>21.439999999999998</v>
      </c>
      <c r="O145" s="13">
        <f>L145/C145*100</f>
        <v>15.6</v>
      </c>
      <c r="P145" s="12" t="s">
        <v>0</v>
      </c>
      <c r="Q145" s="11">
        <v>409302.49040000001</v>
      </c>
      <c r="R145" s="11">
        <v>3659215.367877</v>
      </c>
      <c r="T145" s="14">
        <v>2011105</v>
      </c>
      <c r="U145" s="14" t="s">
        <v>192</v>
      </c>
      <c r="V145" s="14">
        <v>5.323E-2</v>
      </c>
      <c r="W145" s="14">
        <v>0.38140000000000002</v>
      </c>
      <c r="X145" s="14">
        <v>3.0710000000000001E-2</v>
      </c>
      <c r="Y145" s="14">
        <v>1.37849</v>
      </c>
      <c r="Z145" s="14">
        <v>29.348400000000002</v>
      </c>
      <c r="AA145" s="14">
        <v>13.590619999999999</v>
      </c>
      <c r="AB145" s="14">
        <v>-1.3020400000000001</v>
      </c>
    </row>
    <row r="146" spans="1:28" x14ac:dyDescent="0.25">
      <c r="A146" s="16"/>
      <c r="B146" s="14" t="s">
        <v>1</v>
      </c>
      <c r="C146" s="15">
        <v>50</v>
      </c>
      <c r="D146" s="14">
        <v>20</v>
      </c>
      <c r="E146" s="13">
        <v>26</v>
      </c>
      <c r="F146" s="13">
        <f>1.8*E146+32</f>
        <v>78.800000000000011</v>
      </c>
      <c r="G146" s="13">
        <v>20</v>
      </c>
      <c r="H146" s="13">
        <f>IF(F146&gt;68,G146+(F146-68)*0.2,Y372-(68-F146)*0.2)</f>
        <v>22.160000000000004</v>
      </c>
      <c r="I146" s="13">
        <v>24</v>
      </c>
      <c r="J146" s="13">
        <f>1.8*I146+32</f>
        <v>75.2</v>
      </c>
      <c r="K146" s="13">
        <v>10</v>
      </c>
      <c r="L146" s="13">
        <f>IF(J146&gt;68,K146+(J146-68)*0.2,K146-(68-J146)*0.2)</f>
        <v>11.440000000000001</v>
      </c>
      <c r="M146" s="13">
        <f>(C146-H146)/C146*100</f>
        <v>55.679999999999993</v>
      </c>
      <c r="N146" s="13">
        <f>100-(M146+O146)</f>
        <v>21.439999999999998</v>
      </c>
      <c r="O146" s="13">
        <f>L146/C146*100</f>
        <v>22.880000000000003</v>
      </c>
      <c r="P146" s="12" t="s">
        <v>3</v>
      </c>
      <c r="Q146" s="11">
        <v>409302.49040000001</v>
      </c>
      <c r="R146" s="11">
        <v>3659215.367877</v>
      </c>
      <c r="T146" s="14">
        <v>2011105</v>
      </c>
      <c r="U146" s="14" t="s">
        <v>191</v>
      </c>
      <c r="V146" s="14">
        <v>5.2990000000000002E-2</v>
      </c>
      <c r="W146" s="14">
        <v>0.38296000000000002</v>
      </c>
      <c r="X146" s="14">
        <v>2.9819999999999999E-2</v>
      </c>
      <c r="Y146" s="14">
        <v>1.37452</v>
      </c>
      <c r="Z146" s="14">
        <v>27.988</v>
      </c>
      <c r="AA146" s="14">
        <v>13.16987</v>
      </c>
      <c r="AB146" s="14">
        <v>-1.2848299999999999</v>
      </c>
    </row>
    <row r="147" spans="1:28" x14ac:dyDescent="0.25">
      <c r="Q147" s="31"/>
      <c r="R147" s="31"/>
      <c r="T147" s="14">
        <v>2011105</v>
      </c>
      <c r="U147" s="14" t="s">
        <v>190</v>
      </c>
      <c r="V147" s="14">
        <v>6.3890000000000002E-2</v>
      </c>
      <c r="W147" s="14">
        <v>0.39491999999999999</v>
      </c>
      <c r="X147" s="14">
        <v>2.1340000000000001E-2</v>
      </c>
      <c r="Y147" s="14">
        <v>1.3693200000000001</v>
      </c>
      <c r="Z147" s="14">
        <v>13.448740000000001</v>
      </c>
      <c r="AA147" s="14">
        <v>7.5675800000000004</v>
      </c>
      <c r="AB147" s="14">
        <v>-1.11572</v>
      </c>
    </row>
    <row r="148" spans="1:28" ht="51.75" x14ac:dyDescent="0.25">
      <c r="A148" s="19" t="s">
        <v>189</v>
      </c>
      <c r="B148" s="22" t="s">
        <v>26</v>
      </c>
      <c r="C148" s="26" t="s">
        <v>25</v>
      </c>
      <c r="D148" s="25" t="s">
        <v>24</v>
      </c>
      <c r="E148" s="24" t="s">
        <v>23</v>
      </c>
      <c r="F148" s="24" t="s">
        <v>22</v>
      </c>
      <c r="G148" s="24" t="s">
        <v>21</v>
      </c>
      <c r="H148" s="24" t="s">
        <v>20</v>
      </c>
      <c r="I148" s="24" t="s">
        <v>19</v>
      </c>
      <c r="J148" s="24" t="s">
        <v>18</v>
      </c>
      <c r="K148" s="24" t="s">
        <v>17</v>
      </c>
      <c r="L148" s="24" t="s">
        <v>16</v>
      </c>
      <c r="M148" s="23" t="s">
        <v>15</v>
      </c>
      <c r="N148" s="23" t="s">
        <v>14</v>
      </c>
      <c r="O148" s="23" t="s">
        <v>13</v>
      </c>
      <c r="P148" s="22" t="s">
        <v>12</v>
      </c>
      <c r="Q148" s="34" t="s">
        <v>11</v>
      </c>
      <c r="R148" s="33"/>
      <c r="T148" s="14">
        <v>2011105</v>
      </c>
      <c r="U148" s="14" t="s">
        <v>188</v>
      </c>
      <c r="V148" s="14">
        <v>6.8890000000000007E-2</v>
      </c>
      <c r="W148" s="14">
        <v>0.39484000000000002</v>
      </c>
      <c r="X148" s="14">
        <v>2.3619999999999999E-2</v>
      </c>
      <c r="Y148" s="14">
        <v>1.33005</v>
      </c>
      <c r="Z148" s="14">
        <v>11.15936</v>
      </c>
      <c r="AA148" s="14">
        <v>7.6643400000000002</v>
      </c>
      <c r="AB148" s="14">
        <v>-1.39639</v>
      </c>
    </row>
    <row r="149" spans="1:28" x14ac:dyDescent="0.25">
      <c r="A149" s="20"/>
      <c r="B149" s="22"/>
      <c r="C149" s="26"/>
      <c r="D149" s="25"/>
      <c r="E149" s="24"/>
      <c r="F149" s="24"/>
      <c r="G149" s="24"/>
      <c r="H149" s="24"/>
      <c r="I149" s="24"/>
      <c r="J149" s="24"/>
      <c r="K149" s="24"/>
      <c r="L149" s="24"/>
      <c r="M149" s="23"/>
      <c r="N149" s="23"/>
      <c r="O149" s="23"/>
      <c r="P149" s="22"/>
      <c r="Q149" s="21" t="s">
        <v>10</v>
      </c>
      <c r="R149" s="21" t="s">
        <v>9</v>
      </c>
      <c r="T149" s="14">
        <v>2011105</v>
      </c>
      <c r="U149" s="14" t="s">
        <v>187</v>
      </c>
      <c r="V149" s="14">
        <v>6.9970000000000004E-2</v>
      </c>
      <c r="W149" s="14">
        <v>0.40089000000000002</v>
      </c>
      <c r="X149" s="14">
        <v>2.0729999999999998E-2</v>
      </c>
      <c r="Y149" s="14">
        <v>1.3525199999999999</v>
      </c>
      <c r="Z149" s="14">
        <v>9.7369699999999995</v>
      </c>
      <c r="AA149" s="14">
        <v>6.6580399999999997</v>
      </c>
      <c r="AB149" s="14">
        <v>-1.1875599999999999</v>
      </c>
    </row>
    <row r="150" spans="1:28" x14ac:dyDescent="0.25">
      <c r="A150" s="20"/>
      <c r="B150" s="14" t="s">
        <v>8</v>
      </c>
      <c r="C150" s="15">
        <v>50</v>
      </c>
      <c r="D150" s="14">
        <v>20</v>
      </c>
      <c r="E150" s="13">
        <v>26</v>
      </c>
      <c r="F150" s="13">
        <f>1.8*E150+32</f>
        <v>78.800000000000011</v>
      </c>
      <c r="G150" s="13">
        <v>17</v>
      </c>
      <c r="H150" s="13">
        <f>IF(F150&gt;68,G150+(F150-68)*0.2,Y376-(68-F150)*0.2)</f>
        <v>19.160000000000004</v>
      </c>
      <c r="I150" s="13">
        <v>24</v>
      </c>
      <c r="J150" s="13">
        <f>1.8*I150+32</f>
        <v>75.2</v>
      </c>
      <c r="K150" s="13">
        <v>9</v>
      </c>
      <c r="L150" s="13">
        <f>IF(J150&gt;68,K150+(J150-68)*0.2,K150-(68-J150)*0.2)</f>
        <v>10.440000000000001</v>
      </c>
      <c r="M150" s="13">
        <f>(C150-H150)/C150*100</f>
        <v>61.679999999999993</v>
      </c>
      <c r="N150" s="13">
        <f>100-(M150+O150)</f>
        <v>17.439999999999998</v>
      </c>
      <c r="O150" s="13">
        <f>L150/C150*100</f>
        <v>20.880000000000003</v>
      </c>
      <c r="P150" s="12" t="s">
        <v>3</v>
      </c>
      <c r="Q150" s="11">
        <v>409326.87239999999</v>
      </c>
      <c r="R150" s="11">
        <v>3659224.5359789999</v>
      </c>
      <c r="T150" s="14">
        <v>2011105</v>
      </c>
      <c r="U150" s="14" t="s">
        <v>186</v>
      </c>
      <c r="V150" s="14">
        <v>5.6250000000000001E-2</v>
      </c>
      <c r="W150" s="14">
        <v>0.38377</v>
      </c>
      <c r="X150" s="14">
        <v>2.8400000000000002E-2</v>
      </c>
      <c r="Y150" s="14">
        <v>1.3609199999999999</v>
      </c>
      <c r="Z150" s="14">
        <v>23.256460000000001</v>
      </c>
      <c r="AA150" s="14">
        <v>11.64636</v>
      </c>
      <c r="AB150" s="14">
        <v>-1.32684</v>
      </c>
    </row>
    <row r="151" spans="1:28" x14ac:dyDescent="0.25">
      <c r="A151" s="19" t="s">
        <v>7</v>
      </c>
      <c r="B151" s="14" t="s">
        <v>6</v>
      </c>
      <c r="C151" s="15">
        <v>50</v>
      </c>
      <c r="D151" s="14">
        <v>20</v>
      </c>
      <c r="E151" s="13">
        <v>26</v>
      </c>
      <c r="F151" s="13">
        <f>1.8*E151+32</f>
        <v>78.800000000000011</v>
      </c>
      <c r="G151" s="13">
        <v>19</v>
      </c>
      <c r="H151" s="13">
        <f>IF(F151&gt;68,G151+(F151-68)*0.2,Y377-(68-F151)*0.2)</f>
        <v>21.160000000000004</v>
      </c>
      <c r="I151" s="13">
        <v>24</v>
      </c>
      <c r="J151" s="13">
        <f>1.8*I151+32</f>
        <v>75.2</v>
      </c>
      <c r="K151" s="13">
        <v>10</v>
      </c>
      <c r="L151" s="13">
        <f>IF(J151&gt;68,K151+(J151-68)*0.2,K151-(68-J151)*0.2)</f>
        <v>11.440000000000001</v>
      </c>
      <c r="M151" s="13">
        <f>(C151-H151)/C151*100</f>
        <v>57.68</v>
      </c>
      <c r="N151" s="13">
        <f>100-(M151+O151)</f>
        <v>19.439999999999998</v>
      </c>
      <c r="O151" s="13">
        <f>L151/C151*100</f>
        <v>22.880000000000003</v>
      </c>
      <c r="P151" s="12" t="s">
        <v>3</v>
      </c>
      <c r="Q151" s="11">
        <v>409326.87239999999</v>
      </c>
      <c r="R151" s="11">
        <v>3659224.5359789999</v>
      </c>
      <c r="T151" s="14">
        <v>2011105</v>
      </c>
      <c r="U151" s="14" t="s">
        <v>185</v>
      </c>
      <c r="V151" s="14">
        <v>5.289E-2</v>
      </c>
      <c r="W151" s="14">
        <v>0.38444</v>
      </c>
      <c r="X151" s="14">
        <v>2.8570000000000002E-2</v>
      </c>
      <c r="Y151" s="14">
        <v>1.3738300000000001</v>
      </c>
      <c r="Z151" s="14">
        <v>26.6294</v>
      </c>
      <c r="AA151" s="14">
        <v>12.557449999999999</v>
      </c>
      <c r="AB151" s="14">
        <v>-1.2484299999999999</v>
      </c>
    </row>
    <row r="152" spans="1:28" x14ac:dyDescent="0.25">
      <c r="A152" s="18">
        <v>41451</v>
      </c>
      <c r="B152" s="14" t="s">
        <v>5</v>
      </c>
      <c r="C152" s="15">
        <v>50</v>
      </c>
      <c r="D152" s="14">
        <v>20</v>
      </c>
      <c r="E152" s="13">
        <v>26</v>
      </c>
      <c r="F152" s="13">
        <f>1.8*E152+32</f>
        <v>78.800000000000011</v>
      </c>
      <c r="G152" s="13">
        <v>14</v>
      </c>
      <c r="H152" s="13">
        <f>IF(F152&gt;68,G152+(F152-68)*0.2,Y378-(68-F152)*0.2)</f>
        <v>16.160000000000004</v>
      </c>
      <c r="I152" s="13">
        <v>24</v>
      </c>
      <c r="J152" s="13">
        <f>1.8*I152+32</f>
        <v>75.2</v>
      </c>
      <c r="K152" s="13">
        <v>7</v>
      </c>
      <c r="L152" s="13">
        <f>IF(J152&gt;68,K152+(J152-68)*0.2,K152-(68-J152)*0.2)</f>
        <v>8.4400000000000013</v>
      </c>
      <c r="M152" s="13">
        <f>(C152-H152)/C152*100</f>
        <v>67.679999999999993</v>
      </c>
      <c r="N152" s="13">
        <f>100-(M152+O152)</f>
        <v>15.439999999999998</v>
      </c>
      <c r="O152" s="13">
        <f>L152/C152*100</f>
        <v>16.880000000000003</v>
      </c>
      <c r="P152" s="12" t="s">
        <v>0</v>
      </c>
      <c r="Q152" s="11">
        <v>409326.87239999999</v>
      </c>
      <c r="R152" s="11">
        <v>3659224.5359789999</v>
      </c>
      <c r="T152" s="14">
        <v>2011105</v>
      </c>
      <c r="U152" s="14" t="s">
        <v>184</v>
      </c>
      <c r="V152" s="14">
        <v>4.9739999999999999E-2</v>
      </c>
      <c r="W152" s="14">
        <v>0.38266</v>
      </c>
      <c r="X152" s="14">
        <v>3.1510000000000003E-2</v>
      </c>
      <c r="Y152" s="14">
        <v>1.39151</v>
      </c>
      <c r="Z152" s="14">
        <v>33.713830000000002</v>
      </c>
      <c r="AA152" s="14">
        <v>15.09356</v>
      </c>
      <c r="AB152" s="14">
        <v>-1.23882</v>
      </c>
    </row>
    <row r="153" spans="1:28" x14ac:dyDescent="0.25">
      <c r="A153" s="17"/>
      <c r="B153" s="14" t="s">
        <v>4</v>
      </c>
      <c r="C153" s="15">
        <v>50</v>
      </c>
      <c r="D153" s="14">
        <v>20</v>
      </c>
      <c r="E153" s="13">
        <v>26</v>
      </c>
      <c r="F153" s="13">
        <f>1.8*E153+32</f>
        <v>78.800000000000011</v>
      </c>
      <c r="G153" s="13">
        <v>13</v>
      </c>
      <c r="H153" s="13">
        <f>IF(F153&gt;68,G153+(F153-68)*0.2,Y379-(68-F153)*0.2)</f>
        <v>15.160000000000002</v>
      </c>
      <c r="I153" s="13">
        <v>24</v>
      </c>
      <c r="J153" s="13">
        <f>1.8*I153+32</f>
        <v>75.2</v>
      </c>
      <c r="K153" s="13">
        <v>7</v>
      </c>
      <c r="L153" s="13">
        <f>IF(J153&gt;68,K153+(J153-68)*0.2,K153-(68-J153)*0.2)</f>
        <v>8.4400000000000013</v>
      </c>
      <c r="M153" s="13">
        <f>(C153-H153)/C153*100</f>
        <v>69.679999999999993</v>
      </c>
      <c r="N153" s="13">
        <f>100-(M153+O153)</f>
        <v>13.439999999999998</v>
      </c>
      <c r="O153" s="13">
        <f>L153/C153*100</f>
        <v>16.880000000000003</v>
      </c>
      <c r="P153" s="12" t="s">
        <v>0</v>
      </c>
      <c r="Q153" s="11">
        <v>409326.87239999999</v>
      </c>
      <c r="R153" s="11">
        <v>3659224.5359789999</v>
      </c>
      <c r="T153" s="14">
        <v>2011105</v>
      </c>
      <c r="U153" s="14" t="s">
        <v>183</v>
      </c>
      <c r="V153" s="14">
        <v>5.289E-2</v>
      </c>
      <c r="W153" s="14">
        <v>0.38444</v>
      </c>
      <c r="X153" s="14">
        <v>2.8570000000000002E-2</v>
      </c>
      <c r="Y153" s="14">
        <v>1.3738300000000001</v>
      </c>
      <c r="Z153" s="14">
        <v>26.6294</v>
      </c>
      <c r="AA153" s="14">
        <v>12.557449999999999</v>
      </c>
      <c r="AB153" s="14">
        <v>-1.2484299999999999</v>
      </c>
    </row>
    <row r="154" spans="1:28" x14ac:dyDescent="0.25">
      <c r="A154" s="16"/>
      <c r="B154" s="14" t="s">
        <v>2</v>
      </c>
      <c r="C154" s="15">
        <v>50</v>
      </c>
      <c r="D154" s="14">
        <v>20</v>
      </c>
      <c r="E154" s="13">
        <v>26</v>
      </c>
      <c r="F154" s="13">
        <f>1.8*E154+32</f>
        <v>78.800000000000011</v>
      </c>
      <c r="G154" s="13">
        <v>16</v>
      </c>
      <c r="H154" s="13">
        <f>IF(F154&gt;68,G154+(F154-68)*0.2,Y380-(68-F154)*0.2)</f>
        <v>18.160000000000004</v>
      </c>
      <c r="I154" s="13">
        <v>24</v>
      </c>
      <c r="J154" s="13">
        <f>1.8*I154+32</f>
        <v>75.2</v>
      </c>
      <c r="K154" s="13">
        <v>10</v>
      </c>
      <c r="L154" s="13">
        <f>IF(J154&gt;68,K154+(J154-68)*0.2,K154-(68-J154)*0.2)</f>
        <v>11.440000000000001</v>
      </c>
      <c r="M154" s="13">
        <f>(C154-H154)/C154*100</f>
        <v>63.679999999999993</v>
      </c>
      <c r="N154" s="13">
        <f>100-(M154+O154)</f>
        <v>13.439999999999998</v>
      </c>
      <c r="O154" s="13">
        <f>L154/C154*100</f>
        <v>22.880000000000003</v>
      </c>
      <c r="P154" s="12" t="s">
        <v>3</v>
      </c>
      <c r="Q154" s="11">
        <v>409326.87239999999</v>
      </c>
      <c r="R154" s="11">
        <v>3659224.5359789999</v>
      </c>
      <c r="T154" s="14">
        <v>2011105</v>
      </c>
      <c r="U154" s="14" t="s">
        <v>182</v>
      </c>
      <c r="V154" s="14">
        <v>5.6730000000000003E-2</v>
      </c>
      <c r="W154" s="14">
        <v>0.38896999999999998</v>
      </c>
      <c r="X154" s="14">
        <v>2.3890000000000002E-2</v>
      </c>
      <c r="Y154" s="14">
        <v>1.3756900000000001</v>
      </c>
      <c r="Z154" s="14">
        <v>19.849229999999999</v>
      </c>
      <c r="AA154" s="14">
        <v>9.6222899999999996</v>
      </c>
      <c r="AB154" s="14">
        <v>-1.13086</v>
      </c>
    </row>
    <row r="155" spans="1:28" x14ac:dyDescent="0.25">
      <c r="A155" s="16"/>
      <c r="B155" s="14" t="s">
        <v>1</v>
      </c>
      <c r="C155" s="15">
        <v>50</v>
      </c>
      <c r="D155" s="14">
        <v>20</v>
      </c>
      <c r="E155" s="13">
        <v>25</v>
      </c>
      <c r="F155" s="13">
        <f>1.8*E155+32</f>
        <v>77</v>
      </c>
      <c r="G155" s="13">
        <v>21</v>
      </c>
      <c r="H155" s="13">
        <f>IF(F155&gt;68,G155+(F155-68)*0.2,Y381-(68-F155)*0.2)</f>
        <v>22.8</v>
      </c>
      <c r="I155" s="13">
        <v>24</v>
      </c>
      <c r="J155" s="13">
        <f>1.8*I155+32</f>
        <v>75.2</v>
      </c>
      <c r="K155" s="13">
        <v>11</v>
      </c>
      <c r="L155" s="13">
        <f>IF(J155&gt;68,K155+(J155-68)*0.2,K155-(68-J155)*0.2)</f>
        <v>12.440000000000001</v>
      </c>
      <c r="M155" s="13">
        <f>(C155-H155)/C155*100</f>
        <v>54.400000000000006</v>
      </c>
      <c r="N155" s="13">
        <f>100-(M155+O155)</f>
        <v>20.72</v>
      </c>
      <c r="O155" s="13">
        <f>L155/C155*100</f>
        <v>24.880000000000003</v>
      </c>
      <c r="P155" s="12" t="s">
        <v>3</v>
      </c>
      <c r="Q155" s="32">
        <v>409326.87239999999</v>
      </c>
      <c r="R155" s="32">
        <v>3659224.5359789999</v>
      </c>
      <c r="T155" s="14">
        <v>2011105</v>
      </c>
      <c r="U155" s="14" t="s">
        <v>181</v>
      </c>
      <c r="V155" s="14">
        <v>5.9459999999999999E-2</v>
      </c>
      <c r="W155" s="14">
        <v>0.38507999999999998</v>
      </c>
      <c r="X155" s="14">
        <v>2.7220000000000001E-2</v>
      </c>
      <c r="Y155" s="14">
        <v>1.3494600000000001</v>
      </c>
      <c r="Z155" s="14">
        <v>19.42146</v>
      </c>
      <c r="AA155" s="14">
        <v>10.43216</v>
      </c>
      <c r="AB155" s="14">
        <v>-1.3666199999999999</v>
      </c>
    </row>
    <row r="156" spans="1:28" x14ac:dyDescent="0.25">
      <c r="Q156" s="31"/>
      <c r="R156" s="31"/>
      <c r="T156" s="14">
        <v>2011105</v>
      </c>
      <c r="U156" s="14" t="s">
        <v>180</v>
      </c>
      <c r="V156" s="14">
        <v>6.25E-2</v>
      </c>
      <c r="W156" s="14">
        <v>0.38619999999999999</v>
      </c>
      <c r="X156" s="14">
        <v>2.6550000000000001E-2</v>
      </c>
      <c r="Y156" s="14">
        <v>1.3376600000000001</v>
      </c>
      <c r="Z156" s="14">
        <v>16.524799999999999</v>
      </c>
      <c r="AA156" s="14">
        <v>9.5672999999999995</v>
      </c>
      <c r="AB156" s="14">
        <v>-1.4242999999999999</v>
      </c>
    </row>
    <row r="157" spans="1:28" ht="51.75" x14ac:dyDescent="0.25">
      <c r="A157" s="19" t="s">
        <v>179</v>
      </c>
      <c r="B157" s="22" t="s">
        <v>26</v>
      </c>
      <c r="C157" s="26" t="s">
        <v>25</v>
      </c>
      <c r="D157" s="25" t="s">
        <v>24</v>
      </c>
      <c r="E157" s="24" t="s">
        <v>23</v>
      </c>
      <c r="F157" s="24" t="s">
        <v>22</v>
      </c>
      <c r="G157" s="24" t="s">
        <v>21</v>
      </c>
      <c r="H157" s="24" t="s">
        <v>20</v>
      </c>
      <c r="I157" s="24" t="s">
        <v>19</v>
      </c>
      <c r="J157" s="24" t="s">
        <v>18</v>
      </c>
      <c r="K157" s="24" t="s">
        <v>17</v>
      </c>
      <c r="L157" s="24" t="s">
        <v>16</v>
      </c>
      <c r="M157" s="23" t="s">
        <v>15</v>
      </c>
      <c r="N157" s="23" t="s">
        <v>14</v>
      </c>
      <c r="O157" s="23" t="s">
        <v>13</v>
      </c>
      <c r="P157" s="22" t="s">
        <v>12</v>
      </c>
      <c r="Q157" s="34" t="s">
        <v>11</v>
      </c>
      <c r="R157" s="33"/>
      <c r="T157" s="14">
        <v>2011105</v>
      </c>
      <c r="U157" s="14" t="s">
        <v>178</v>
      </c>
      <c r="V157" s="14">
        <v>6.5860000000000002E-2</v>
      </c>
      <c r="W157" s="14">
        <v>0.39107999999999998</v>
      </c>
      <c r="X157" s="14">
        <v>2.4590000000000001E-2</v>
      </c>
      <c r="Y157" s="14">
        <v>1.3357000000000001</v>
      </c>
      <c r="Z157" s="14">
        <v>13.32217</v>
      </c>
      <c r="AA157" s="14">
        <v>8.3879400000000004</v>
      </c>
      <c r="AB157" s="14">
        <v>-1.3870800000000001</v>
      </c>
    </row>
    <row r="158" spans="1:28" x14ac:dyDescent="0.25">
      <c r="A158" s="20"/>
      <c r="B158" s="22"/>
      <c r="C158" s="26"/>
      <c r="D158" s="25"/>
      <c r="E158" s="24"/>
      <c r="F158" s="24"/>
      <c r="G158" s="24"/>
      <c r="H158" s="24"/>
      <c r="I158" s="24"/>
      <c r="J158" s="24"/>
      <c r="K158" s="24"/>
      <c r="L158" s="24"/>
      <c r="M158" s="23"/>
      <c r="N158" s="23"/>
      <c r="O158" s="23"/>
      <c r="P158" s="22"/>
      <c r="Q158" s="21" t="s">
        <v>10</v>
      </c>
      <c r="R158" s="21" t="s">
        <v>9</v>
      </c>
      <c r="T158" s="14">
        <v>2011105</v>
      </c>
      <c r="U158" s="14" t="s">
        <v>177</v>
      </c>
      <c r="V158" s="14">
        <v>8.1530000000000005E-2</v>
      </c>
      <c r="W158" s="14">
        <v>0.42016999999999999</v>
      </c>
      <c r="X158" s="14">
        <v>2.1129999999999999E-2</v>
      </c>
      <c r="Y158" s="14">
        <v>1.29782</v>
      </c>
      <c r="Z158" s="14">
        <v>5.9516900000000001</v>
      </c>
      <c r="AA158" s="14">
        <v>5.7459600000000002</v>
      </c>
      <c r="AB158" s="14">
        <v>-1.51057</v>
      </c>
    </row>
    <row r="159" spans="1:28" x14ac:dyDescent="0.25">
      <c r="A159" s="20"/>
      <c r="B159" s="14" t="s">
        <v>8</v>
      </c>
      <c r="C159" s="15">
        <v>50</v>
      </c>
      <c r="D159" s="14">
        <v>20</v>
      </c>
      <c r="E159" s="13">
        <v>25</v>
      </c>
      <c r="F159" s="13">
        <f>1.8*E159+32</f>
        <v>77</v>
      </c>
      <c r="G159" s="13">
        <v>18</v>
      </c>
      <c r="H159" s="13">
        <f>IF(F159&gt;68,G159+(F159-68)*0.2,Y385-(68-F159)*0.2)</f>
        <v>19.8</v>
      </c>
      <c r="I159" s="13">
        <v>24</v>
      </c>
      <c r="J159" s="13">
        <f>1.8*I159+32</f>
        <v>75.2</v>
      </c>
      <c r="K159" s="13">
        <v>10</v>
      </c>
      <c r="L159" s="13">
        <f>IF(J159&gt;68,K159+(J159-68)*0.2,K159-(68-J159)*0.2)</f>
        <v>11.440000000000001</v>
      </c>
      <c r="M159" s="13">
        <f>(C159-H159)/C159*100</f>
        <v>60.4</v>
      </c>
      <c r="N159" s="13">
        <f>100-(M159+O159)</f>
        <v>16.72</v>
      </c>
      <c r="O159" s="13">
        <f>L159/C159*100</f>
        <v>22.880000000000003</v>
      </c>
      <c r="P159" s="12" t="s">
        <v>3</v>
      </c>
      <c r="Q159" s="11">
        <v>409322.80839999998</v>
      </c>
      <c r="R159" s="11">
        <v>3659183.4621819998</v>
      </c>
      <c r="T159" s="14">
        <v>2011105</v>
      </c>
      <c r="U159" s="14" t="s">
        <v>176</v>
      </c>
      <c r="V159" s="14">
        <v>8.5559999999999997E-2</v>
      </c>
      <c r="W159" s="14">
        <v>0.43295</v>
      </c>
      <c r="X159" s="14">
        <v>2.0639999999999999E-2</v>
      </c>
      <c r="Y159" s="14">
        <v>1.28383</v>
      </c>
      <c r="Z159" s="14">
        <v>5.9241299999999999</v>
      </c>
      <c r="AA159" s="14">
        <v>5.3771300000000002</v>
      </c>
      <c r="AB159" s="14">
        <v>-1.58229</v>
      </c>
    </row>
    <row r="160" spans="1:28" x14ac:dyDescent="0.25">
      <c r="A160" s="19" t="s">
        <v>7</v>
      </c>
      <c r="B160" s="14" t="s">
        <v>6</v>
      </c>
      <c r="C160" s="15">
        <v>50</v>
      </c>
      <c r="D160" s="14">
        <v>20</v>
      </c>
      <c r="E160" s="13">
        <v>24</v>
      </c>
      <c r="F160" s="13">
        <f>1.8*E160+32</f>
        <v>75.2</v>
      </c>
      <c r="G160" s="13">
        <v>17</v>
      </c>
      <c r="H160" s="13">
        <f>IF(F160&gt;68,G160+(F160-68)*0.2,Y386-(68-F160)*0.2)</f>
        <v>18.440000000000001</v>
      </c>
      <c r="I160" s="13">
        <v>24</v>
      </c>
      <c r="J160" s="13">
        <f>1.8*I160+32</f>
        <v>75.2</v>
      </c>
      <c r="K160" s="13">
        <v>8</v>
      </c>
      <c r="L160" s="13">
        <f>IF(J160&gt;68,K160+(J160-68)*0.2,K160-(68-J160)*0.2)</f>
        <v>9.4400000000000013</v>
      </c>
      <c r="M160" s="13">
        <f>(C160-H160)/C160*100</f>
        <v>63.12</v>
      </c>
      <c r="N160" s="13">
        <f>100-(M160+O160)</f>
        <v>18</v>
      </c>
      <c r="O160" s="13">
        <f>L160/C160*100</f>
        <v>18.880000000000003</v>
      </c>
      <c r="P160" s="12" t="s">
        <v>0</v>
      </c>
      <c r="Q160" s="11">
        <v>409322.80839999998</v>
      </c>
      <c r="R160" s="11">
        <v>3659183.4621819998</v>
      </c>
      <c r="T160" s="14">
        <v>2011105</v>
      </c>
      <c r="U160" s="14" t="s">
        <v>175</v>
      </c>
      <c r="V160" s="14">
        <v>6.2289999999999998E-2</v>
      </c>
      <c r="W160" s="14">
        <v>0.38379000000000002</v>
      </c>
      <c r="X160" s="14">
        <v>2.7470000000000001E-2</v>
      </c>
      <c r="Y160" s="14">
        <v>1.3330500000000001</v>
      </c>
      <c r="Z160" s="14">
        <v>17.135570000000001</v>
      </c>
      <c r="AA160" s="14">
        <v>9.86252</v>
      </c>
      <c r="AB160" s="14">
        <v>-1.47973</v>
      </c>
    </row>
    <row r="161" spans="1:28" x14ac:dyDescent="0.25">
      <c r="A161" s="18">
        <v>41415</v>
      </c>
      <c r="B161" s="14" t="s">
        <v>5</v>
      </c>
      <c r="C161" s="15">
        <v>50</v>
      </c>
      <c r="D161" s="14">
        <v>20</v>
      </c>
      <c r="E161" s="13">
        <v>24</v>
      </c>
      <c r="F161" s="13">
        <f>1.8*E161+32</f>
        <v>75.2</v>
      </c>
      <c r="G161" s="13">
        <v>18</v>
      </c>
      <c r="H161" s="13">
        <f>IF(F161&gt;68,G161+(F161-68)*0.2,Y387-(68-F161)*0.2)</f>
        <v>19.440000000000001</v>
      </c>
      <c r="I161" s="13">
        <v>24</v>
      </c>
      <c r="J161" s="13">
        <f>1.8*I161+32</f>
        <v>75.2</v>
      </c>
      <c r="K161" s="13">
        <v>11</v>
      </c>
      <c r="L161" s="13">
        <f>IF(J161&gt;68,K161+(J161-68)*0.2,K161-(68-J161)*0.2)</f>
        <v>12.440000000000001</v>
      </c>
      <c r="M161" s="13">
        <f>(C161-H161)/C161*100</f>
        <v>61.12</v>
      </c>
      <c r="N161" s="13">
        <f>100-(M161+O161)</f>
        <v>14</v>
      </c>
      <c r="O161" s="13">
        <f>L161/C161*100</f>
        <v>24.880000000000003</v>
      </c>
      <c r="P161" s="12" t="s">
        <v>3</v>
      </c>
      <c r="Q161" s="11">
        <v>409322.80839999998</v>
      </c>
      <c r="R161" s="11">
        <v>3659183.4621819998</v>
      </c>
      <c r="T161" s="14">
        <v>2011105</v>
      </c>
      <c r="U161" s="14" t="s">
        <v>174</v>
      </c>
      <c r="V161" s="14">
        <v>6.812E-2</v>
      </c>
      <c r="W161" s="14">
        <v>0.38999</v>
      </c>
      <c r="X161" s="14">
        <v>2.5559999999999999E-2</v>
      </c>
      <c r="Y161" s="14">
        <v>1.3154999999999999</v>
      </c>
      <c r="Z161" s="14">
        <v>12.26111</v>
      </c>
      <c r="AA161" s="14">
        <v>8.2696100000000001</v>
      </c>
      <c r="AB161" s="14">
        <v>-1.54626</v>
      </c>
    </row>
    <row r="162" spans="1:28" x14ac:dyDescent="0.25">
      <c r="A162" s="17"/>
      <c r="B162" s="14" t="s">
        <v>4</v>
      </c>
      <c r="C162" s="15">
        <v>50</v>
      </c>
      <c r="D162" s="14">
        <v>20</v>
      </c>
      <c r="E162" s="13">
        <v>24</v>
      </c>
      <c r="F162" s="13">
        <f>1.8*E162+32</f>
        <v>75.2</v>
      </c>
      <c r="G162" s="13">
        <v>25</v>
      </c>
      <c r="H162" s="13">
        <f>IF(F162&gt;68,G162+(F162-68)*0.2,Y388-(68-F162)*0.2)</f>
        <v>26.44</v>
      </c>
      <c r="I162" s="13">
        <v>24</v>
      </c>
      <c r="J162" s="13">
        <f>1.8*I162+32</f>
        <v>75.2</v>
      </c>
      <c r="K162" s="13">
        <v>16</v>
      </c>
      <c r="L162" s="13">
        <f>IF(J162&gt;68,K162+(J162-68)*0.2,K162-(68-J162)*0.2)</f>
        <v>17.440000000000001</v>
      </c>
      <c r="M162" s="13">
        <f>(C162-H162)/C162*100</f>
        <v>47.12</v>
      </c>
      <c r="N162" s="13">
        <f>100-(M162+O162)</f>
        <v>18</v>
      </c>
      <c r="O162" s="13">
        <f>L162/C162*100</f>
        <v>34.880000000000003</v>
      </c>
      <c r="P162" s="12" t="s">
        <v>3</v>
      </c>
      <c r="Q162" s="11">
        <v>409322.80839999998</v>
      </c>
      <c r="R162" s="11">
        <v>3659183.4621819998</v>
      </c>
      <c r="T162" s="14">
        <v>2011105</v>
      </c>
      <c r="U162" s="14" t="s">
        <v>173</v>
      </c>
      <c r="V162" s="14">
        <v>6.6350000000000006E-2</v>
      </c>
      <c r="W162" s="14">
        <v>0.38829000000000002</v>
      </c>
      <c r="X162" s="14">
        <v>2.5919999999999999E-2</v>
      </c>
      <c r="Y162" s="14">
        <v>1.32172</v>
      </c>
      <c r="Z162" s="14">
        <v>13.46936</v>
      </c>
      <c r="AA162" s="14">
        <v>8.65564</v>
      </c>
      <c r="AB162" s="14">
        <v>-1.51291</v>
      </c>
    </row>
    <row r="163" spans="1:28" x14ac:dyDescent="0.25">
      <c r="A163" s="16"/>
      <c r="B163" s="14" t="s">
        <v>2</v>
      </c>
      <c r="C163" s="15">
        <v>50</v>
      </c>
      <c r="D163" s="14">
        <v>20</v>
      </c>
      <c r="E163" s="13">
        <v>25</v>
      </c>
      <c r="F163" s="13">
        <f>1.8*E163+32</f>
        <v>77</v>
      </c>
      <c r="G163" s="13">
        <v>25</v>
      </c>
      <c r="H163" s="13">
        <f>IF(F163&gt;68,G163+(F163-68)*0.2,Y389-(68-F163)*0.2)</f>
        <v>26.8</v>
      </c>
      <c r="I163" s="13">
        <v>24</v>
      </c>
      <c r="J163" s="13">
        <f>1.8*I163+32</f>
        <v>75.2</v>
      </c>
      <c r="K163" s="13">
        <v>15</v>
      </c>
      <c r="L163" s="13">
        <f>IF(J163&gt;68,K163+(J163-68)*0.2,K163-(68-J163)*0.2)</f>
        <v>16.440000000000001</v>
      </c>
      <c r="M163" s="13">
        <f>(C163-H163)/C163*100</f>
        <v>46.4</v>
      </c>
      <c r="N163" s="13">
        <f>100-(M163+O163)</f>
        <v>20.72</v>
      </c>
      <c r="O163" s="13">
        <f>L163/C163*100</f>
        <v>32.880000000000003</v>
      </c>
      <c r="P163" s="12" t="s">
        <v>3</v>
      </c>
      <c r="Q163" s="11">
        <v>409322.80839999998</v>
      </c>
      <c r="R163" s="11">
        <v>3659183.4621819998</v>
      </c>
      <c r="T163" s="14">
        <v>2011105</v>
      </c>
      <c r="U163" s="14" t="s">
        <v>172</v>
      </c>
      <c r="V163" s="14">
        <v>5.7489999999999999E-2</v>
      </c>
      <c r="W163" s="14">
        <v>0.38099</v>
      </c>
      <c r="X163" s="14">
        <v>2.9319999999999999E-2</v>
      </c>
      <c r="Y163" s="14">
        <v>1.3561399999999999</v>
      </c>
      <c r="Z163" s="14">
        <v>23.166979999999999</v>
      </c>
      <c r="AA163" s="14">
        <v>11.696070000000001</v>
      </c>
      <c r="AB163" s="14">
        <v>-1.3926799999999999</v>
      </c>
    </row>
    <row r="164" spans="1:28" x14ac:dyDescent="0.25">
      <c r="A164" s="16"/>
      <c r="B164" s="14" t="s">
        <v>1</v>
      </c>
      <c r="C164" s="15">
        <v>50</v>
      </c>
      <c r="D164" s="14">
        <v>20</v>
      </c>
      <c r="E164" s="13">
        <v>24</v>
      </c>
      <c r="F164" s="13">
        <f>1.8*E164+32</f>
        <v>75.2</v>
      </c>
      <c r="G164" s="13">
        <v>14</v>
      </c>
      <c r="H164" s="13">
        <f>IF(F164&gt;68,G164+(F164-68)*0.2,Y390-(68-F164)*0.2)</f>
        <v>15.440000000000001</v>
      </c>
      <c r="I164" s="13">
        <v>24</v>
      </c>
      <c r="J164" s="13">
        <f>1.8*I164+32</f>
        <v>75.2</v>
      </c>
      <c r="K164" s="13">
        <v>7</v>
      </c>
      <c r="L164" s="13">
        <f>IF(J164&gt;68,K164+(J164-68)*0.2,K164-(68-J164)*0.2)</f>
        <v>8.4400000000000013</v>
      </c>
      <c r="M164" s="13">
        <f>(C164-H164)/C164*100</f>
        <v>69.12</v>
      </c>
      <c r="N164" s="13">
        <f>100-(M164+O164)</f>
        <v>14</v>
      </c>
      <c r="O164" s="13">
        <f>L164/C164*100</f>
        <v>16.880000000000003</v>
      </c>
      <c r="P164" s="12" t="s">
        <v>0</v>
      </c>
      <c r="Q164" s="32">
        <v>409322.80839999998</v>
      </c>
      <c r="R164" s="32">
        <v>3659183.4621819998</v>
      </c>
      <c r="T164" s="14">
        <v>2011105</v>
      </c>
      <c r="U164" s="14" t="s">
        <v>171</v>
      </c>
      <c r="V164" s="14">
        <v>7.5950000000000004E-2</v>
      </c>
      <c r="W164" s="14">
        <v>0.40282000000000001</v>
      </c>
      <c r="X164" s="14">
        <v>2.393E-2</v>
      </c>
      <c r="Y164" s="14">
        <v>1.29389</v>
      </c>
      <c r="Z164" s="14">
        <v>8.3777799999999996</v>
      </c>
      <c r="AA164" s="14">
        <v>6.8893500000000003</v>
      </c>
      <c r="AB164" s="14">
        <v>-1.6551400000000001</v>
      </c>
    </row>
    <row r="165" spans="1:28" x14ac:dyDescent="0.25">
      <c r="Q165" s="31"/>
      <c r="R165" s="31"/>
      <c r="T165" s="14">
        <v>2011105</v>
      </c>
      <c r="U165" s="14" t="s">
        <v>170</v>
      </c>
      <c r="V165" s="14">
        <v>6.0490000000000002E-2</v>
      </c>
      <c r="W165" s="14">
        <v>0.38424999999999998</v>
      </c>
      <c r="X165" s="14">
        <v>2.751E-2</v>
      </c>
      <c r="Y165" s="14">
        <v>1.343</v>
      </c>
      <c r="Z165" s="14">
        <v>18.708269999999999</v>
      </c>
      <c r="AA165" s="14">
        <v>10.29607</v>
      </c>
      <c r="AB165" s="14">
        <v>-1.4155599999999999</v>
      </c>
    </row>
    <row r="166" spans="1:28" ht="51.75" x14ac:dyDescent="0.25">
      <c r="A166" s="19" t="s">
        <v>169</v>
      </c>
      <c r="B166" s="22" t="s">
        <v>26</v>
      </c>
      <c r="C166" s="26" t="s">
        <v>25</v>
      </c>
      <c r="D166" s="25" t="s">
        <v>24</v>
      </c>
      <c r="E166" s="24" t="s">
        <v>23</v>
      </c>
      <c r="F166" s="24" t="s">
        <v>22</v>
      </c>
      <c r="G166" s="24" t="s">
        <v>21</v>
      </c>
      <c r="H166" s="24" t="s">
        <v>20</v>
      </c>
      <c r="I166" s="24" t="s">
        <v>19</v>
      </c>
      <c r="J166" s="24" t="s">
        <v>18</v>
      </c>
      <c r="K166" s="24" t="s">
        <v>17</v>
      </c>
      <c r="L166" s="24" t="s">
        <v>16</v>
      </c>
      <c r="M166" s="23" t="s">
        <v>15</v>
      </c>
      <c r="N166" s="23" t="s">
        <v>14</v>
      </c>
      <c r="O166" s="23" t="s">
        <v>13</v>
      </c>
      <c r="P166" s="22" t="s">
        <v>12</v>
      </c>
      <c r="Q166" s="27" t="s">
        <v>11</v>
      </c>
      <c r="R166" s="27"/>
      <c r="T166" s="14">
        <v>2011105</v>
      </c>
      <c r="U166" s="14" t="s">
        <v>168</v>
      </c>
      <c r="V166" s="14">
        <v>8.7300000000000003E-2</v>
      </c>
      <c r="W166" s="14">
        <v>0.43683</v>
      </c>
      <c r="X166" s="14">
        <v>2.2110000000000001E-2</v>
      </c>
      <c r="Y166" s="14">
        <v>1.2614300000000001</v>
      </c>
      <c r="Z166" s="14">
        <v>7.4021100000000004</v>
      </c>
      <c r="AA166" s="14">
        <v>5.6400600000000001</v>
      </c>
      <c r="AB166" s="14">
        <v>-1.8489100000000001</v>
      </c>
    </row>
    <row r="167" spans="1:28" x14ac:dyDescent="0.25">
      <c r="A167" s="20"/>
      <c r="B167" s="22"/>
      <c r="C167" s="26"/>
      <c r="D167" s="25"/>
      <c r="E167" s="24"/>
      <c r="F167" s="24"/>
      <c r="G167" s="24"/>
      <c r="H167" s="24"/>
      <c r="I167" s="24"/>
      <c r="J167" s="24"/>
      <c r="K167" s="24"/>
      <c r="L167" s="24"/>
      <c r="M167" s="23"/>
      <c r="N167" s="23"/>
      <c r="O167" s="23"/>
      <c r="P167" s="22"/>
      <c r="Q167" s="21" t="s">
        <v>10</v>
      </c>
      <c r="R167" s="21" t="s">
        <v>9</v>
      </c>
      <c r="T167" s="14">
        <v>2011105</v>
      </c>
      <c r="U167" s="14" t="s">
        <v>167</v>
      </c>
      <c r="V167" s="14">
        <v>6.9080000000000003E-2</v>
      </c>
      <c r="W167" s="14">
        <v>0.39102999999999999</v>
      </c>
      <c r="X167" s="14">
        <v>2.538E-2</v>
      </c>
      <c r="Y167" s="14">
        <v>1.31206</v>
      </c>
      <c r="Z167" s="14">
        <v>11.668150000000001</v>
      </c>
      <c r="AA167" s="14">
        <v>8.0766200000000001</v>
      </c>
      <c r="AB167" s="14">
        <v>-1.5658000000000001</v>
      </c>
    </row>
    <row r="168" spans="1:28" x14ac:dyDescent="0.25">
      <c r="A168" s="20"/>
      <c r="B168" s="14" t="s">
        <v>8</v>
      </c>
      <c r="C168" s="15">
        <v>50</v>
      </c>
      <c r="D168" s="14">
        <v>20</v>
      </c>
      <c r="E168" s="13">
        <v>24</v>
      </c>
      <c r="F168" s="13">
        <f>1.8*E168+32</f>
        <v>75.2</v>
      </c>
      <c r="G168" s="13">
        <v>19</v>
      </c>
      <c r="H168" s="13">
        <f>IF(F168&gt;68,G168+(F168-68)*0.2,Y394-(68-F168)*0.2)</f>
        <v>20.440000000000001</v>
      </c>
      <c r="I168" s="13">
        <v>24</v>
      </c>
      <c r="J168" s="13">
        <f>1.8*I168+32</f>
        <v>75.2</v>
      </c>
      <c r="K168" s="13">
        <v>10</v>
      </c>
      <c r="L168" s="13">
        <f>IF(J168&gt;68,K168+(J168-68)*0.2,K168-(68-J168)*0.2)</f>
        <v>11.440000000000001</v>
      </c>
      <c r="M168" s="13">
        <f>(C168-H168)/C168*100</f>
        <v>59.12</v>
      </c>
      <c r="N168" s="13">
        <f>100-(M168+O168)</f>
        <v>18</v>
      </c>
      <c r="O168" s="13">
        <f>L168/C168*100</f>
        <v>22.880000000000003</v>
      </c>
      <c r="P168" s="12" t="s">
        <v>3</v>
      </c>
      <c r="Q168" s="11">
        <v>409298.4264</v>
      </c>
      <c r="R168" s="11">
        <v>3659215.367877</v>
      </c>
      <c r="T168" s="14">
        <v>2011105</v>
      </c>
      <c r="U168" s="14" t="s">
        <v>166</v>
      </c>
      <c r="V168" s="14">
        <v>5.4129999999999998E-2</v>
      </c>
      <c r="W168" s="14">
        <v>0.38377</v>
      </c>
      <c r="X168" s="14">
        <v>2.887E-2</v>
      </c>
      <c r="Y168" s="14">
        <v>1.3692</v>
      </c>
      <c r="Z168" s="14">
        <v>25.731660000000002</v>
      </c>
      <c r="AA168" s="14">
        <v>12.388350000000001</v>
      </c>
      <c r="AB168" s="14">
        <v>-1.28748</v>
      </c>
    </row>
    <row r="169" spans="1:28" x14ac:dyDescent="0.25">
      <c r="A169" s="19" t="s">
        <v>7</v>
      </c>
      <c r="B169" s="14" t="s">
        <v>6</v>
      </c>
      <c r="C169" s="15">
        <v>50</v>
      </c>
      <c r="D169" s="14">
        <v>20</v>
      </c>
      <c r="E169" s="13">
        <v>24</v>
      </c>
      <c r="F169" s="13">
        <f>1.8*E169+32</f>
        <v>75.2</v>
      </c>
      <c r="G169" s="13">
        <v>16</v>
      </c>
      <c r="H169" s="13">
        <f>IF(F169&gt;68,G169+(F169-68)*0.2,Y395-(68-F169)*0.2)</f>
        <v>17.440000000000001</v>
      </c>
      <c r="I169" s="13">
        <v>24</v>
      </c>
      <c r="J169" s="13">
        <f>1.8*I169+32</f>
        <v>75.2</v>
      </c>
      <c r="K169" s="13">
        <v>9</v>
      </c>
      <c r="L169" s="13">
        <f>IF(J169&gt;68,K169+(J169-68)*0.2,K169-(68-J169)*0.2)</f>
        <v>10.440000000000001</v>
      </c>
      <c r="M169" s="13">
        <f>(C169-H169)/C169*100</f>
        <v>65.12</v>
      </c>
      <c r="N169" s="13">
        <f>100-(M169+O169)</f>
        <v>14</v>
      </c>
      <c r="O169" s="13">
        <f>L169/C169*100</f>
        <v>20.880000000000003</v>
      </c>
      <c r="P169" s="12" t="s">
        <v>3</v>
      </c>
      <c r="Q169" s="11">
        <v>409298.4264</v>
      </c>
      <c r="R169" s="11">
        <v>3659215.367877</v>
      </c>
      <c r="T169" s="14">
        <v>2011105</v>
      </c>
      <c r="U169" s="14" t="s">
        <v>165</v>
      </c>
      <c r="V169" s="14">
        <v>6.0199999999999997E-2</v>
      </c>
      <c r="W169" s="14">
        <v>0.39071</v>
      </c>
      <c r="X169" s="14">
        <v>2.3290000000000002E-2</v>
      </c>
      <c r="Y169" s="14">
        <v>1.3679300000000001</v>
      </c>
      <c r="Z169" s="14">
        <v>16.803609999999999</v>
      </c>
      <c r="AA169" s="14">
        <v>8.8185099999999998</v>
      </c>
      <c r="AB169" s="14">
        <v>-1.1654199999999999</v>
      </c>
    </row>
    <row r="170" spans="1:28" x14ac:dyDescent="0.25">
      <c r="A170" s="18">
        <v>41415</v>
      </c>
      <c r="B170" s="14" t="s">
        <v>5</v>
      </c>
      <c r="C170" s="15">
        <v>50</v>
      </c>
      <c r="D170" s="14">
        <v>20</v>
      </c>
      <c r="E170" s="13">
        <v>24</v>
      </c>
      <c r="F170" s="13">
        <f>1.8*E170+32</f>
        <v>75.2</v>
      </c>
      <c r="G170" s="13">
        <v>20</v>
      </c>
      <c r="H170" s="13">
        <f>IF(F170&gt;68,G170+(F170-68)*0.2,Y396-(68-F170)*0.2)</f>
        <v>21.44</v>
      </c>
      <c r="I170" s="13">
        <v>24</v>
      </c>
      <c r="J170" s="13">
        <f>1.8*I170+32</f>
        <v>75.2</v>
      </c>
      <c r="K170" s="13">
        <v>10</v>
      </c>
      <c r="L170" s="13">
        <f>IF(J170&gt;68,K170+(J170-68)*0.2,K170-(68-J170)*0.2)</f>
        <v>11.440000000000001</v>
      </c>
      <c r="M170" s="13">
        <f>(C170-H170)/C170*100</f>
        <v>57.11999999999999</v>
      </c>
      <c r="N170" s="13">
        <f>100-(M170+O170)</f>
        <v>20</v>
      </c>
      <c r="O170" s="13">
        <f>L170/C170*100</f>
        <v>22.880000000000003</v>
      </c>
      <c r="P170" s="12" t="s">
        <v>3</v>
      </c>
      <c r="Q170" s="11">
        <v>409298.4264</v>
      </c>
      <c r="R170" s="11">
        <v>3659215.367877</v>
      </c>
      <c r="T170" s="14">
        <v>2011105</v>
      </c>
      <c r="U170" s="14" t="s">
        <v>164</v>
      </c>
      <c r="V170" s="14">
        <v>8.1600000000000006E-2</v>
      </c>
      <c r="W170" s="14">
        <v>0.42624000000000001</v>
      </c>
      <c r="X170" s="14">
        <v>1.7809999999999999E-2</v>
      </c>
      <c r="Y170" s="14">
        <v>1.33318</v>
      </c>
      <c r="Z170" s="14">
        <v>5.0837300000000001</v>
      </c>
      <c r="AA170" s="14">
        <v>4.8421500000000002</v>
      </c>
      <c r="AB170" s="14">
        <v>-1.1594100000000001</v>
      </c>
    </row>
    <row r="171" spans="1:28" x14ac:dyDescent="0.25">
      <c r="A171" s="17"/>
      <c r="B171" s="14" t="s">
        <v>4</v>
      </c>
      <c r="C171" s="15">
        <v>50</v>
      </c>
      <c r="D171" s="14">
        <v>20</v>
      </c>
      <c r="E171" s="13">
        <v>25</v>
      </c>
      <c r="F171" s="13">
        <f>1.8*E171+32</f>
        <v>77</v>
      </c>
      <c r="G171" s="13">
        <v>21</v>
      </c>
      <c r="H171" s="13">
        <f>IF(F171&gt;68,G171+(F171-68)*0.2,Y397-(68-F171)*0.2)</f>
        <v>22.8</v>
      </c>
      <c r="I171" s="13">
        <v>24</v>
      </c>
      <c r="J171" s="13">
        <f>1.8*I171+32</f>
        <v>75.2</v>
      </c>
      <c r="K171" s="13">
        <v>12</v>
      </c>
      <c r="L171" s="13">
        <f>IF(J171&gt;68,K171+(J171-68)*0.2,K171-(68-J171)*0.2)</f>
        <v>13.440000000000001</v>
      </c>
      <c r="M171" s="13">
        <f>(C171-H171)/C171*100</f>
        <v>54.400000000000006</v>
      </c>
      <c r="N171" s="13">
        <f>100-(M171+O171)</f>
        <v>18.72</v>
      </c>
      <c r="O171" s="13">
        <f>L171/C171*100</f>
        <v>26.880000000000003</v>
      </c>
      <c r="P171" s="12" t="s">
        <v>3</v>
      </c>
      <c r="Q171" s="11">
        <v>409298.4264</v>
      </c>
      <c r="R171" s="11">
        <v>3659215.367877</v>
      </c>
      <c r="T171" s="14">
        <v>2011105</v>
      </c>
      <c r="U171" s="14" t="s">
        <v>163</v>
      </c>
      <c r="V171" s="14">
        <v>7.9250000000000001E-2</v>
      </c>
      <c r="W171" s="14">
        <v>0.41388999999999998</v>
      </c>
      <c r="X171" s="14">
        <v>2.1559999999999999E-2</v>
      </c>
      <c r="Y171" s="14">
        <v>1.30362</v>
      </c>
      <c r="Z171" s="14">
        <v>6.47058</v>
      </c>
      <c r="AA171" s="14">
        <v>6.0241300000000004</v>
      </c>
      <c r="AB171" s="14">
        <v>-1.4922899999999999</v>
      </c>
    </row>
    <row r="172" spans="1:28" x14ac:dyDescent="0.25">
      <c r="A172" s="16"/>
      <c r="B172" s="14" t="s">
        <v>2</v>
      </c>
      <c r="C172" s="15">
        <v>50</v>
      </c>
      <c r="D172" s="14">
        <v>20</v>
      </c>
      <c r="E172" s="13">
        <v>24</v>
      </c>
      <c r="F172" s="13">
        <f>1.8*E172+32</f>
        <v>75.2</v>
      </c>
      <c r="G172" s="13">
        <v>25</v>
      </c>
      <c r="H172" s="13">
        <f>IF(F172&gt;68,G172+(F172-68)*0.2,Y398-(68-F172)*0.2)</f>
        <v>26.44</v>
      </c>
      <c r="I172" s="13">
        <v>24</v>
      </c>
      <c r="J172" s="13">
        <f>1.8*I172+32</f>
        <v>75.2</v>
      </c>
      <c r="K172" s="13">
        <v>13</v>
      </c>
      <c r="L172" s="13">
        <f>IF(J172&gt;68,K172+(J172-68)*0.2,K172-(68-J172)*0.2)</f>
        <v>14.440000000000001</v>
      </c>
      <c r="M172" s="13">
        <f>(C172-H172)/C172*100</f>
        <v>47.12</v>
      </c>
      <c r="N172" s="13">
        <f>100-(M172+O172)</f>
        <v>24</v>
      </c>
      <c r="O172" s="13">
        <f>L172/C172*100</f>
        <v>28.88</v>
      </c>
      <c r="P172" s="12" t="s">
        <v>3</v>
      </c>
      <c r="Q172" s="11">
        <v>409298.4264</v>
      </c>
      <c r="R172" s="11">
        <v>3659215.367877</v>
      </c>
      <c r="T172" s="14">
        <v>2011105</v>
      </c>
      <c r="U172" s="14" t="s">
        <v>162</v>
      </c>
      <c r="V172" s="14">
        <v>6.8750000000000006E-2</v>
      </c>
      <c r="W172" s="14">
        <v>0.39400000000000002</v>
      </c>
      <c r="X172" s="14">
        <v>2.3990000000000001E-2</v>
      </c>
      <c r="Y172" s="14">
        <v>1.32731</v>
      </c>
      <c r="Z172" s="14">
        <v>11.35406</v>
      </c>
      <c r="AA172" s="14">
        <v>7.7843999999999998</v>
      </c>
      <c r="AB172" s="14">
        <v>-1.4236599999999999</v>
      </c>
    </row>
    <row r="173" spans="1:28" x14ac:dyDescent="0.25">
      <c r="A173" s="16"/>
      <c r="B173" s="14" t="s">
        <v>1</v>
      </c>
      <c r="C173" s="15">
        <v>50</v>
      </c>
      <c r="D173" s="14">
        <v>20</v>
      </c>
      <c r="E173" s="13">
        <v>24</v>
      </c>
      <c r="F173" s="13">
        <f>1.8*E173+32</f>
        <v>75.2</v>
      </c>
      <c r="G173" s="13">
        <v>23</v>
      </c>
      <c r="H173" s="13">
        <f>IF(F173&gt;68,G173+(F173-68)*0.2,Y399-(68-F173)*0.2)</f>
        <v>24.44</v>
      </c>
      <c r="I173" s="13">
        <v>23</v>
      </c>
      <c r="J173" s="13">
        <f>1.8*I173+32</f>
        <v>73.400000000000006</v>
      </c>
      <c r="K173" s="13">
        <v>12</v>
      </c>
      <c r="L173" s="13">
        <f>IF(J173&gt;68,K173+(J173-68)*0.2,K173-(68-J173)*0.2)</f>
        <v>13.080000000000002</v>
      </c>
      <c r="M173" s="13">
        <f>(C173-H173)/C173*100</f>
        <v>51.12</v>
      </c>
      <c r="N173" s="13">
        <f>100-(M173+O173)</f>
        <v>22.72</v>
      </c>
      <c r="O173" s="13">
        <f>L173/C173*100</f>
        <v>26.160000000000004</v>
      </c>
      <c r="P173" s="12" t="s">
        <v>3</v>
      </c>
      <c r="Q173" s="11">
        <v>409298.4264</v>
      </c>
      <c r="R173" s="11">
        <v>3659215.367877</v>
      </c>
      <c r="T173" s="14">
        <v>2011105</v>
      </c>
      <c r="U173" s="14" t="s">
        <v>161</v>
      </c>
      <c r="V173" s="14">
        <v>6.4920000000000005E-2</v>
      </c>
      <c r="W173" s="14">
        <v>0.38307000000000002</v>
      </c>
      <c r="X173" s="14">
        <v>2.7380000000000002E-2</v>
      </c>
      <c r="Y173" s="14">
        <v>1.31687</v>
      </c>
      <c r="Z173" s="14">
        <v>15.07053</v>
      </c>
      <c r="AA173" s="14">
        <v>9.2232400000000005</v>
      </c>
      <c r="AB173" s="14">
        <v>-1.59006</v>
      </c>
    </row>
    <row r="174" spans="1:28" x14ac:dyDescent="0.25">
      <c r="T174" s="14">
        <v>2011105</v>
      </c>
      <c r="U174" s="14" t="s">
        <v>160</v>
      </c>
      <c r="V174" s="14">
        <v>5.6270000000000001E-2</v>
      </c>
      <c r="W174" s="14">
        <v>0.3826</v>
      </c>
      <c r="X174" s="14">
        <v>2.904E-2</v>
      </c>
      <c r="Y174" s="14">
        <v>1.3606199999999999</v>
      </c>
      <c r="Z174" s="14">
        <v>23.897960000000001</v>
      </c>
      <c r="AA174" s="14">
        <v>11.912750000000001</v>
      </c>
      <c r="AB174" s="14">
        <v>-1.34962</v>
      </c>
    </row>
    <row r="175" spans="1:28" ht="51.75" x14ac:dyDescent="0.25">
      <c r="A175" s="19" t="s">
        <v>159</v>
      </c>
      <c r="B175" s="22" t="s">
        <v>26</v>
      </c>
      <c r="C175" s="26" t="s">
        <v>25</v>
      </c>
      <c r="D175" s="25" t="s">
        <v>24</v>
      </c>
      <c r="E175" s="24" t="s">
        <v>23</v>
      </c>
      <c r="F175" s="24" t="s">
        <v>22</v>
      </c>
      <c r="G175" s="24" t="s">
        <v>21</v>
      </c>
      <c r="H175" s="24" t="s">
        <v>20</v>
      </c>
      <c r="I175" s="24" t="s">
        <v>19</v>
      </c>
      <c r="J175" s="24" t="s">
        <v>18</v>
      </c>
      <c r="K175" s="24" t="s">
        <v>17</v>
      </c>
      <c r="L175" s="24" t="s">
        <v>16</v>
      </c>
      <c r="M175" s="23" t="s">
        <v>15</v>
      </c>
      <c r="N175" s="23" t="s">
        <v>14</v>
      </c>
      <c r="O175" s="23" t="s">
        <v>13</v>
      </c>
      <c r="P175" s="22" t="s">
        <v>12</v>
      </c>
      <c r="Q175" s="27" t="s">
        <v>11</v>
      </c>
      <c r="R175" s="27"/>
      <c r="T175" s="14">
        <v>2011105</v>
      </c>
      <c r="U175" s="14" t="s">
        <v>158</v>
      </c>
      <c r="V175" s="14">
        <v>5.6259999999999998E-2</v>
      </c>
      <c r="W175" s="14">
        <v>0.38441999999999998</v>
      </c>
      <c r="X175" s="14">
        <v>2.7980000000000001E-2</v>
      </c>
      <c r="Y175" s="14">
        <v>1.3615699999999999</v>
      </c>
      <c r="Z175" s="14">
        <v>22.879370000000002</v>
      </c>
      <c r="AA175" s="14">
        <v>11.46635</v>
      </c>
      <c r="AB175" s="14">
        <v>-1.3107599999999999</v>
      </c>
    </row>
    <row r="176" spans="1:28" x14ac:dyDescent="0.25">
      <c r="A176" s="20"/>
      <c r="B176" s="22"/>
      <c r="C176" s="26"/>
      <c r="D176" s="25"/>
      <c r="E176" s="24"/>
      <c r="F176" s="24"/>
      <c r="G176" s="24"/>
      <c r="H176" s="24"/>
      <c r="I176" s="24"/>
      <c r="J176" s="24"/>
      <c r="K176" s="24"/>
      <c r="L176" s="24"/>
      <c r="M176" s="23"/>
      <c r="N176" s="23"/>
      <c r="O176" s="23"/>
      <c r="P176" s="22"/>
      <c r="Q176" s="21" t="s">
        <v>10</v>
      </c>
      <c r="R176" s="21" t="s">
        <v>9</v>
      </c>
      <c r="T176" s="14">
        <v>2011105</v>
      </c>
      <c r="U176" s="14" t="s">
        <v>157</v>
      </c>
      <c r="V176" s="14">
        <v>7.4999999999999997E-2</v>
      </c>
      <c r="W176" s="14">
        <v>0.40690999999999999</v>
      </c>
      <c r="X176" s="14">
        <v>2.0969999999999999E-2</v>
      </c>
      <c r="Y176" s="14">
        <v>1.32887</v>
      </c>
      <c r="Z176" s="14">
        <v>7.5315899999999996</v>
      </c>
      <c r="AA176" s="14">
        <v>6.2308599999999998</v>
      </c>
      <c r="AB176" s="14">
        <v>-1.3196699999999999</v>
      </c>
    </row>
    <row r="177" spans="1:28" x14ac:dyDescent="0.25">
      <c r="A177" s="20"/>
      <c r="B177" s="14" t="s">
        <v>8</v>
      </c>
      <c r="C177" s="15">
        <v>50</v>
      </c>
      <c r="D177" s="14">
        <v>20</v>
      </c>
      <c r="E177" s="13">
        <v>25</v>
      </c>
      <c r="F177" s="13">
        <f>1.8*E177+32</f>
        <v>77</v>
      </c>
      <c r="G177" s="13">
        <v>19</v>
      </c>
      <c r="H177" s="13">
        <f>IF(F177&gt;68,G177+(F177-68)*0.2,Y403-(68-F177)*0.2)</f>
        <v>20.8</v>
      </c>
      <c r="I177" s="13">
        <v>24</v>
      </c>
      <c r="J177" s="13">
        <f>1.8*I177+32</f>
        <v>75.2</v>
      </c>
      <c r="K177" s="13">
        <v>9</v>
      </c>
      <c r="L177" s="13">
        <f>IF(J177&gt;68,K177+(J177-68)*0.2,K177-(68-J177)*0.2)</f>
        <v>10.440000000000001</v>
      </c>
      <c r="M177" s="13">
        <f>(C177-H177)/C177*100</f>
        <v>58.4</v>
      </c>
      <c r="N177" s="13">
        <f>100-(M177+O177)</f>
        <v>20.72</v>
      </c>
      <c r="O177" s="13">
        <f>L177/C177*100</f>
        <v>20.880000000000003</v>
      </c>
      <c r="P177" s="12" t="s">
        <v>3</v>
      </c>
      <c r="Q177" s="11">
        <v>409330.93839999998</v>
      </c>
      <c r="R177" s="11">
        <v>3659183.4621819998</v>
      </c>
      <c r="T177" s="14">
        <v>2011105</v>
      </c>
      <c r="U177" s="14" t="s">
        <v>156</v>
      </c>
      <c r="V177" s="14">
        <v>7.4389999999999998E-2</v>
      </c>
      <c r="W177" s="14">
        <v>0.40339000000000003</v>
      </c>
      <c r="X177" s="14">
        <v>2.2370000000000001E-2</v>
      </c>
      <c r="Y177" s="14">
        <v>1.3171299999999999</v>
      </c>
      <c r="Z177" s="14">
        <v>8.1809100000000008</v>
      </c>
      <c r="AA177" s="14">
        <v>6.67239</v>
      </c>
      <c r="AB177" s="14">
        <v>-1.43794</v>
      </c>
    </row>
    <row r="178" spans="1:28" x14ac:dyDescent="0.25">
      <c r="A178" s="19" t="s">
        <v>7</v>
      </c>
      <c r="B178" s="14" t="s">
        <v>6</v>
      </c>
      <c r="C178" s="15">
        <v>50</v>
      </c>
      <c r="D178" s="14">
        <v>20</v>
      </c>
      <c r="E178" s="13">
        <v>25</v>
      </c>
      <c r="F178" s="13">
        <f>1.8*E178+32</f>
        <v>77</v>
      </c>
      <c r="G178" s="13">
        <v>17</v>
      </c>
      <c r="H178" s="13">
        <f>IF(F178&gt;68,G178+(F178-68)*0.2,Y404-(68-F178)*0.2)</f>
        <v>18.8</v>
      </c>
      <c r="I178" s="13">
        <v>24</v>
      </c>
      <c r="J178" s="13">
        <f>1.8*I178+32</f>
        <v>75.2</v>
      </c>
      <c r="K178" s="13">
        <v>9</v>
      </c>
      <c r="L178" s="13">
        <f>IF(J178&gt;68,K178+(J178-68)*0.2,K178-(68-J178)*0.2)</f>
        <v>10.440000000000001</v>
      </c>
      <c r="M178" s="13">
        <f>(C178-H178)/C178*100</f>
        <v>62.4</v>
      </c>
      <c r="N178" s="13">
        <f>100-(M178+O178)</f>
        <v>16.72</v>
      </c>
      <c r="O178" s="13">
        <f>L178/C178*100</f>
        <v>20.880000000000003</v>
      </c>
      <c r="P178" s="12" t="s">
        <v>3</v>
      </c>
      <c r="Q178" s="11">
        <v>409330.93839999998</v>
      </c>
      <c r="R178" s="11">
        <v>3659183.4621819998</v>
      </c>
      <c r="T178" s="14">
        <v>2011105</v>
      </c>
      <c r="U178" s="14" t="s">
        <v>155</v>
      </c>
      <c r="V178" s="14">
        <v>7.9250000000000001E-2</v>
      </c>
      <c r="W178" s="14">
        <v>0.41388999999999998</v>
      </c>
      <c r="X178" s="14">
        <v>2.1559999999999999E-2</v>
      </c>
      <c r="Y178" s="14">
        <v>1.30362</v>
      </c>
      <c r="Z178" s="14">
        <v>6.47058</v>
      </c>
      <c r="AA178" s="14">
        <v>6.0241300000000004</v>
      </c>
      <c r="AB178" s="14">
        <v>-1.4922899999999999</v>
      </c>
    </row>
    <row r="179" spans="1:28" x14ac:dyDescent="0.25">
      <c r="A179" s="18">
        <v>41415</v>
      </c>
      <c r="B179" s="14" t="s">
        <v>5</v>
      </c>
      <c r="C179" s="15">
        <v>50</v>
      </c>
      <c r="D179" s="14">
        <v>20</v>
      </c>
      <c r="E179" s="13">
        <v>25</v>
      </c>
      <c r="F179" s="13">
        <f>1.8*E179+32</f>
        <v>77</v>
      </c>
      <c r="G179" s="13">
        <v>16</v>
      </c>
      <c r="H179" s="13">
        <f>IF(F179&gt;68,G179+(F179-68)*0.2,Y405-(68-F179)*0.2)</f>
        <v>17.8</v>
      </c>
      <c r="I179" s="13">
        <v>24</v>
      </c>
      <c r="J179" s="13">
        <f>1.8*I179+32</f>
        <v>75.2</v>
      </c>
      <c r="K179" s="13">
        <v>7</v>
      </c>
      <c r="L179" s="13">
        <f>IF(J179&gt;68,K179+(J179-68)*0.2,K179-(68-J179)*0.2)</f>
        <v>8.4400000000000013</v>
      </c>
      <c r="M179" s="13">
        <f>(C179-H179)/C179*100</f>
        <v>64.400000000000006</v>
      </c>
      <c r="N179" s="13">
        <f>100-(M179+O179)</f>
        <v>18.72</v>
      </c>
      <c r="O179" s="13">
        <f>L179/C179*100</f>
        <v>16.880000000000003</v>
      </c>
      <c r="P179" s="12" t="s">
        <v>0</v>
      </c>
      <c r="Q179" s="11">
        <v>409330.93839999998</v>
      </c>
      <c r="R179" s="11">
        <v>3659183.4621819998</v>
      </c>
      <c r="T179" s="14">
        <v>2011105</v>
      </c>
      <c r="U179" s="14" t="s">
        <v>154</v>
      </c>
      <c r="V179" s="14">
        <v>7.0279999999999995E-2</v>
      </c>
      <c r="W179" s="14">
        <v>0.39826</v>
      </c>
      <c r="X179" s="14">
        <v>2.2450000000000001E-2</v>
      </c>
      <c r="Y179" s="14">
        <v>1.3347500000000001</v>
      </c>
      <c r="Z179" s="14">
        <v>10.06152</v>
      </c>
      <c r="AA179" s="14">
        <v>7.1536600000000004</v>
      </c>
      <c r="AB179" s="14">
        <v>-1.33504</v>
      </c>
    </row>
    <row r="180" spans="1:28" x14ac:dyDescent="0.25">
      <c r="A180" s="17"/>
      <c r="B180" s="14" t="s">
        <v>4</v>
      </c>
      <c r="C180" s="15">
        <v>50</v>
      </c>
      <c r="D180" s="14">
        <v>20</v>
      </c>
      <c r="E180" s="13">
        <v>25</v>
      </c>
      <c r="F180" s="13">
        <f>1.8*E180+32</f>
        <v>77</v>
      </c>
      <c r="G180" s="13">
        <v>16</v>
      </c>
      <c r="H180" s="13">
        <f>IF(F180&gt;68,G180+(F180-68)*0.2,Y406-(68-F180)*0.2)</f>
        <v>17.8</v>
      </c>
      <c r="I180" s="13">
        <v>24</v>
      </c>
      <c r="J180" s="13">
        <f>1.8*I180+32</f>
        <v>75.2</v>
      </c>
      <c r="K180" s="13">
        <v>8</v>
      </c>
      <c r="L180" s="13">
        <f>IF(J180&gt;68,K180+(J180-68)*0.2,K180-(68-J180)*0.2)</f>
        <v>9.4400000000000013</v>
      </c>
      <c r="M180" s="13">
        <f>(C180-H180)/C180*100</f>
        <v>64.400000000000006</v>
      </c>
      <c r="N180" s="13">
        <f>100-(M180+O180)</f>
        <v>16.72</v>
      </c>
      <c r="O180" s="13">
        <f>L180/C180*100</f>
        <v>18.880000000000003</v>
      </c>
      <c r="P180" s="12" t="s">
        <v>0</v>
      </c>
      <c r="Q180" s="11">
        <v>409330.93839999998</v>
      </c>
      <c r="R180" s="11">
        <v>3659183.4621819998</v>
      </c>
      <c r="T180" s="14">
        <v>2011105</v>
      </c>
      <c r="U180" s="14" t="s">
        <v>153</v>
      </c>
      <c r="V180" s="14">
        <v>6.234E-2</v>
      </c>
      <c r="W180" s="14">
        <v>0.38446999999999998</v>
      </c>
      <c r="X180" s="14">
        <v>2.724E-2</v>
      </c>
      <c r="Y180" s="14">
        <v>1.3341400000000001</v>
      </c>
      <c r="Z180" s="14">
        <v>16.981680000000001</v>
      </c>
      <c r="AA180" s="14">
        <v>9.7938700000000001</v>
      </c>
      <c r="AB180" s="14">
        <v>-1.46587</v>
      </c>
    </row>
    <row r="181" spans="1:28" x14ac:dyDescent="0.25">
      <c r="A181" s="16"/>
      <c r="B181" s="14" t="s">
        <v>2</v>
      </c>
      <c r="C181" s="15">
        <v>50</v>
      </c>
      <c r="D181" s="14">
        <v>20</v>
      </c>
      <c r="E181" s="13">
        <v>25</v>
      </c>
      <c r="F181" s="13">
        <f>1.8*E181+32</f>
        <v>77</v>
      </c>
      <c r="G181" s="13">
        <v>25</v>
      </c>
      <c r="H181" s="13">
        <f>IF(F181&gt;68,G181+(F181-68)*0.2,Y407-(68-F181)*0.2)</f>
        <v>26.8</v>
      </c>
      <c r="I181" s="13">
        <v>24</v>
      </c>
      <c r="J181" s="13">
        <f>1.8*I181+32</f>
        <v>75.2</v>
      </c>
      <c r="K181" s="13">
        <v>12</v>
      </c>
      <c r="L181" s="13">
        <f>IF(J181&gt;68,K181+(J181-68)*0.2,K181-(68-J181)*0.2)</f>
        <v>13.440000000000001</v>
      </c>
      <c r="M181" s="13">
        <f>(C181-H181)/C181*100</f>
        <v>46.4</v>
      </c>
      <c r="N181" s="13">
        <f>100-(M181+O181)</f>
        <v>26.72</v>
      </c>
      <c r="O181" s="13">
        <f>L181/C181*100</f>
        <v>26.880000000000003</v>
      </c>
      <c r="P181" s="12" t="s">
        <v>3</v>
      </c>
      <c r="Q181" s="11">
        <v>409330.93839999998</v>
      </c>
      <c r="R181" s="11">
        <v>3659183.4621819998</v>
      </c>
      <c r="T181" s="14">
        <v>2011105</v>
      </c>
      <c r="U181" s="14" t="s">
        <v>152</v>
      </c>
      <c r="V181" s="14">
        <v>5.416E-2</v>
      </c>
      <c r="W181" s="14">
        <v>0.38318999999999998</v>
      </c>
      <c r="X181" s="14">
        <v>2.928E-2</v>
      </c>
      <c r="Y181" s="14">
        <v>1.36931</v>
      </c>
      <c r="Z181" s="14">
        <v>26.172940000000001</v>
      </c>
      <c r="AA181" s="14">
        <v>12.580679999999999</v>
      </c>
      <c r="AB181" s="14">
        <v>-1.30033</v>
      </c>
    </row>
    <row r="182" spans="1:28" x14ac:dyDescent="0.25">
      <c r="A182" s="16"/>
      <c r="B182" s="14" t="s">
        <v>1</v>
      </c>
      <c r="C182" s="15">
        <v>50</v>
      </c>
      <c r="D182" s="14">
        <v>20</v>
      </c>
      <c r="E182" s="13">
        <v>25</v>
      </c>
      <c r="F182" s="13">
        <f>1.8*E182+32</f>
        <v>77</v>
      </c>
      <c r="G182" s="13">
        <v>21</v>
      </c>
      <c r="H182" s="13">
        <f>IF(F182&gt;68,G182+(F182-68)*0.2,Y408-(68-F182)*0.2)</f>
        <v>22.8</v>
      </c>
      <c r="I182" s="13">
        <v>24</v>
      </c>
      <c r="J182" s="13">
        <f>1.8*I182+32</f>
        <v>75.2</v>
      </c>
      <c r="K182" s="13">
        <v>12</v>
      </c>
      <c r="L182" s="13">
        <f>IF(J182&gt;68,K182+(J182-68)*0.2,K182-(68-J182)*0.2)</f>
        <v>13.440000000000001</v>
      </c>
      <c r="M182" s="13">
        <f>(C182-H182)/C182*100</f>
        <v>54.400000000000006</v>
      </c>
      <c r="N182" s="13">
        <f>100-(M182+O182)</f>
        <v>18.72</v>
      </c>
      <c r="O182" s="13">
        <f>L182/C182*100</f>
        <v>26.880000000000003</v>
      </c>
      <c r="P182" s="12" t="s">
        <v>3</v>
      </c>
      <c r="Q182" s="11">
        <v>409330.93839999998</v>
      </c>
      <c r="R182" s="11">
        <v>3659183.4621819998</v>
      </c>
      <c r="T182" s="14">
        <v>2011105</v>
      </c>
      <c r="U182" s="14" t="s">
        <v>151</v>
      </c>
      <c r="V182" s="14">
        <v>5.0900000000000001E-2</v>
      </c>
      <c r="W182" s="14">
        <v>0.38269999999999998</v>
      </c>
      <c r="X182" s="14">
        <v>3.0870000000000002E-2</v>
      </c>
      <c r="Y182" s="14">
        <v>1.3849100000000001</v>
      </c>
      <c r="Z182" s="14">
        <v>31.53622</v>
      </c>
      <c r="AA182" s="14">
        <v>14.347910000000001</v>
      </c>
      <c r="AB182" s="14">
        <v>-1.2559400000000001</v>
      </c>
    </row>
    <row r="183" spans="1:28" x14ac:dyDescent="0.25">
      <c r="C183" s="30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8"/>
      <c r="T183" s="14">
        <v>2011105</v>
      </c>
      <c r="U183" s="14" t="s">
        <v>150</v>
      </c>
      <c r="V183" s="14">
        <v>5.4129999999999998E-2</v>
      </c>
      <c r="W183" s="14">
        <v>0.38478000000000001</v>
      </c>
      <c r="X183" s="14">
        <v>2.8029999999999999E-2</v>
      </c>
      <c r="Y183" s="14">
        <v>1.36991</v>
      </c>
      <c r="Z183" s="14">
        <v>24.93459</v>
      </c>
      <c r="AA183" s="14">
        <v>11.99273</v>
      </c>
      <c r="AB183" s="14">
        <v>-1.2588299999999999</v>
      </c>
    </row>
    <row r="184" spans="1:28" ht="51.75" x14ac:dyDescent="0.25">
      <c r="A184" s="19" t="s">
        <v>149</v>
      </c>
      <c r="B184" s="22" t="s">
        <v>26</v>
      </c>
      <c r="C184" s="26" t="s">
        <v>25</v>
      </c>
      <c r="D184" s="25" t="s">
        <v>24</v>
      </c>
      <c r="E184" s="24" t="s">
        <v>23</v>
      </c>
      <c r="F184" s="24" t="s">
        <v>22</v>
      </c>
      <c r="G184" s="24" t="s">
        <v>21</v>
      </c>
      <c r="H184" s="24" t="s">
        <v>20</v>
      </c>
      <c r="I184" s="24" t="s">
        <v>19</v>
      </c>
      <c r="J184" s="24" t="s">
        <v>18</v>
      </c>
      <c r="K184" s="24" t="s">
        <v>17</v>
      </c>
      <c r="L184" s="24" t="s">
        <v>16</v>
      </c>
      <c r="M184" s="23" t="s">
        <v>15</v>
      </c>
      <c r="N184" s="23" t="s">
        <v>14</v>
      </c>
      <c r="O184" s="23" t="s">
        <v>13</v>
      </c>
      <c r="P184" s="22" t="s">
        <v>12</v>
      </c>
      <c r="Q184" s="27" t="s">
        <v>11</v>
      </c>
      <c r="R184" s="27"/>
      <c r="T184" s="14">
        <v>2011105</v>
      </c>
      <c r="U184" s="14" t="s">
        <v>148</v>
      </c>
      <c r="V184" s="14">
        <v>5.7410000000000003E-2</v>
      </c>
      <c r="W184" s="14">
        <v>0.38418000000000002</v>
      </c>
      <c r="X184" s="14">
        <v>2.7949999999999999E-2</v>
      </c>
      <c r="Y184" s="14">
        <v>1.3566</v>
      </c>
      <c r="Z184" s="14">
        <v>21.780480000000001</v>
      </c>
      <c r="AA184" s="14">
        <v>11.177530000000001</v>
      </c>
      <c r="AB184" s="14">
        <v>-1.3413200000000001</v>
      </c>
    </row>
    <row r="185" spans="1:28" x14ac:dyDescent="0.25">
      <c r="A185" s="20"/>
      <c r="B185" s="22"/>
      <c r="C185" s="26"/>
      <c r="D185" s="25"/>
      <c r="E185" s="24"/>
      <c r="F185" s="24"/>
      <c r="G185" s="24"/>
      <c r="H185" s="24"/>
      <c r="I185" s="24"/>
      <c r="J185" s="24"/>
      <c r="K185" s="24"/>
      <c r="L185" s="24"/>
      <c r="M185" s="23"/>
      <c r="N185" s="23"/>
      <c r="O185" s="23"/>
      <c r="P185" s="22"/>
      <c r="Q185" s="21" t="s">
        <v>10</v>
      </c>
      <c r="R185" s="21" t="s">
        <v>9</v>
      </c>
      <c r="T185" s="14">
        <v>2011105</v>
      </c>
      <c r="U185" s="14" t="s">
        <v>147</v>
      </c>
      <c r="V185" s="14">
        <v>6.4449999999999993E-2</v>
      </c>
      <c r="W185" s="14">
        <v>0.39266000000000001</v>
      </c>
      <c r="X185" s="14">
        <v>2.3259999999999999E-2</v>
      </c>
      <c r="Y185" s="14">
        <v>1.35249</v>
      </c>
      <c r="Z185" s="14">
        <v>13.77746</v>
      </c>
      <c r="AA185" s="14">
        <v>8.1767099999999999</v>
      </c>
      <c r="AB185" s="14">
        <v>-1.2540500000000001</v>
      </c>
    </row>
    <row r="186" spans="1:28" x14ac:dyDescent="0.25">
      <c r="A186" s="20"/>
      <c r="B186" s="14" t="s">
        <v>8</v>
      </c>
      <c r="C186" s="15">
        <v>50</v>
      </c>
      <c r="D186" s="14">
        <v>20</v>
      </c>
      <c r="E186" s="13">
        <v>23</v>
      </c>
      <c r="F186" s="13">
        <f>1.8*E186+32</f>
        <v>73.400000000000006</v>
      </c>
      <c r="G186" s="13">
        <v>16</v>
      </c>
      <c r="H186" s="13">
        <f>IF(F186&gt;68,G186+(F186-68)*0.2,Y414-(68-F186)*0.2)</f>
        <v>17.080000000000002</v>
      </c>
      <c r="I186" s="13">
        <v>23</v>
      </c>
      <c r="J186" s="13">
        <f>1.8*I186+32</f>
        <v>73.400000000000006</v>
      </c>
      <c r="K186" s="13">
        <v>8</v>
      </c>
      <c r="L186" s="13">
        <f>IF(J186&gt;68,K186+(J186-68)*0.2,K186-(68-J186)*0.2)</f>
        <v>9.0800000000000018</v>
      </c>
      <c r="M186" s="13">
        <f>(C186-H186)/C186*100</f>
        <v>65.84</v>
      </c>
      <c r="N186" s="13">
        <f>100-(M186+O186)</f>
        <v>16</v>
      </c>
      <c r="O186" s="13">
        <f>L186/C186*100</f>
        <v>18.160000000000004</v>
      </c>
      <c r="P186" s="12" t="s">
        <v>0</v>
      </c>
      <c r="Q186" s="11">
        <v>409290.29639999999</v>
      </c>
      <c r="R186" s="11">
        <v>3659201.667467</v>
      </c>
      <c r="T186" s="14">
        <v>2011105</v>
      </c>
      <c r="U186" s="14" t="s">
        <v>146</v>
      </c>
      <c r="V186" s="14">
        <v>5.7410000000000003E-2</v>
      </c>
      <c r="W186" s="14">
        <v>0.38224999999999998</v>
      </c>
      <c r="X186" s="14">
        <v>2.8899999999999999E-2</v>
      </c>
      <c r="Y186" s="14">
        <v>1.3554600000000001</v>
      </c>
      <c r="Z186" s="14">
        <v>22.672080000000001</v>
      </c>
      <c r="AA186" s="14">
        <v>11.55034</v>
      </c>
      <c r="AB186" s="14">
        <v>-1.3787400000000001</v>
      </c>
    </row>
    <row r="187" spans="1:28" x14ac:dyDescent="0.25">
      <c r="A187" s="19" t="s">
        <v>7</v>
      </c>
      <c r="B187" s="14" t="s">
        <v>6</v>
      </c>
      <c r="C187" s="15">
        <v>50</v>
      </c>
      <c r="D187" s="14">
        <v>20</v>
      </c>
      <c r="E187" s="13">
        <v>25</v>
      </c>
      <c r="F187" s="13">
        <f>1.8*E187+32</f>
        <v>77</v>
      </c>
      <c r="G187" s="13">
        <v>16</v>
      </c>
      <c r="H187" s="13">
        <f>IF(F187&gt;68,G187+(F187-68)*0.2,Y415-(68-F187)*0.2)</f>
        <v>17.8</v>
      </c>
      <c r="I187" s="13">
        <v>24</v>
      </c>
      <c r="J187" s="13">
        <f>1.8*I187+32</f>
        <v>75.2</v>
      </c>
      <c r="K187" s="13">
        <v>9</v>
      </c>
      <c r="L187" s="13">
        <f>IF(J187&gt;68,K187+(J187-68)*0.2,K187-(68-J187)*0.2)</f>
        <v>10.440000000000001</v>
      </c>
      <c r="M187" s="13">
        <f>(C187-H187)/C187*100</f>
        <v>64.400000000000006</v>
      </c>
      <c r="N187" s="13">
        <f>100-(M187+O187)</f>
        <v>14.719999999999999</v>
      </c>
      <c r="O187" s="13">
        <f>L187/C187*100</f>
        <v>20.880000000000003</v>
      </c>
      <c r="P187" s="12" t="s">
        <v>3</v>
      </c>
      <c r="Q187" s="11">
        <v>409290.29639999999</v>
      </c>
      <c r="R187" s="11">
        <v>3659201.667467</v>
      </c>
      <c r="T187" s="14">
        <v>2011105</v>
      </c>
      <c r="U187" s="14" t="s">
        <v>145</v>
      </c>
      <c r="V187" s="14">
        <v>6.7049999999999998E-2</v>
      </c>
      <c r="W187" s="14">
        <v>0.39287</v>
      </c>
      <c r="X187" s="14">
        <v>2.3990000000000001E-2</v>
      </c>
      <c r="Y187" s="14">
        <v>1.33527</v>
      </c>
      <c r="Z187" s="14">
        <v>12.35962</v>
      </c>
      <c r="AA187" s="14">
        <v>8.0296099999999999</v>
      </c>
      <c r="AB187" s="14">
        <v>-1.3741399999999999</v>
      </c>
    </row>
    <row r="188" spans="1:28" x14ac:dyDescent="0.25">
      <c r="A188" s="18">
        <v>41303</v>
      </c>
      <c r="B188" s="14" t="s">
        <v>5</v>
      </c>
      <c r="C188" s="15">
        <v>50</v>
      </c>
      <c r="D188" s="14">
        <v>20</v>
      </c>
      <c r="E188" s="13">
        <v>23</v>
      </c>
      <c r="F188" s="13">
        <f>1.8*E188+32</f>
        <v>73.400000000000006</v>
      </c>
      <c r="G188" s="13">
        <v>13</v>
      </c>
      <c r="H188" s="13">
        <f>IF(F188&gt;68,G188+(F188-68)*0.2,Y416-(68-F188)*0.2)</f>
        <v>14.080000000000002</v>
      </c>
      <c r="I188" s="13">
        <v>23</v>
      </c>
      <c r="J188" s="13">
        <f>1.8*I188+32</f>
        <v>73.400000000000006</v>
      </c>
      <c r="K188" s="13">
        <v>5</v>
      </c>
      <c r="L188" s="13">
        <f>IF(J188&gt;68,K188+(J188-68)*0.2,K188-(68-J188)*0.2)</f>
        <v>6.080000000000001</v>
      </c>
      <c r="M188" s="13">
        <f>(C188-H188)/C188*100</f>
        <v>71.84</v>
      </c>
      <c r="N188" s="13">
        <f>100-(M188+O188)</f>
        <v>16</v>
      </c>
      <c r="O188" s="13">
        <f>L188/C188*100</f>
        <v>12.160000000000002</v>
      </c>
      <c r="P188" s="12" t="s">
        <v>0</v>
      </c>
      <c r="Q188" s="11">
        <v>409290.29639999999</v>
      </c>
      <c r="R188" s="11">
        <v>3659201.667467</v>
      </c>
      <c r="T188" s="14">
        <v>2011105</v>
      </c>
      <c r="U188" s="14" t="s">
        <v>144</v>
      </c>
      <c r="V188" s="14">
        <v>7.8009999999999996E-2</v>
      </c>
      <c r="W188" s="14">
        <v>0.41182000000000002</v>
      </c>
      <c r="X188" s="14">
        <v>2.1229999999999999E-2</v>
      </c>
      <c r="Y188" s="14">
        <v>1.31264</v>
      </c>
      <c r="Z188" s="14">
        <v>6.6311999999999998</v>
      </c>
      <c r="AA188" s="14">
        <v>6.0380200000000004</v>
      </c>
      <c r="AB188" s="14">
        <v>-1.4224300000000001</v>
      </c>
    </row>
    <row r="189" spans="1:28" x14ac:dyDescent="0.25">
      <c r="A189" s="17"/>
      <c r="B189" s="14" t="s">
        <v>4</v>
      </c>
      <c r="C189" s="15">
        <v>50</v>
      </c>
      <c r="D189" s="14">
        <v>20</v>
      </c>
      <c r="E189" s="13">
        <v>25</v>
      </c>
      <c r="F189" s="13">
        <f>1.8*E189+32</f>
        <v>77</v>
      </c>
      <c r="G189" s="13">
        <v>11</v>
      </c>
      <c r="H189" s="13">
        <f>IF(F189&gt;68,G189+(F189-68)*0.2,Y417-(68-F189)*0.2)</f>
        <v>12.8</v>
      </c>
      <c r="I189" s="13">
        <v>24</v>
      </c>
      <c r="J189" s="13">
        <f>1.8*I189+32</f>
        <v>75.2</v>
      </c>
      <c r="K189" s="13">
        <v>7</v>
      </c>
      <c r="L189" s="13">
        <f>IF(J189&gt;68,K189+(J189-68)*0.2,K189-(68-J189)*0.2)</f>
        <v>8.4400000000000013</v>
      </c>
      <c r="M189" s="13">
        <f>(C189-H189)/C189*100</f>
        <v>74.400000000000006</v>
      </c>
      <c r="N189" s="13">
        <f>100-(M189+O189)</f>
        <v>8.7199999999999989</v>
      </c>
      <c r="O189" s="13">
        <f>L189/C189*100</f>
        <v>16.880000000000003</v>
      </c>
      <c r="P189" s="12" t="s">
        <v>0</v>
      </c>
      <c r="Q189" s="11">
        <v>409290.29639999999</v>
      </c>
      <c r="R189" s="11">
        <v>3659201.667467</v>
      </c>
      <c r="T189" s="14">
        <v>2011105</v>
      </c>
      <c r="U189" s="14" t="s">
        <v>143</v>
      </c>
      <c r="V189" s="14">
        <v>7.8009999999999996E-2</v>
      </c>
      <c r="W189" s="14">
        <v>0.41182000000000002</v>
      </c>
      <c r="X189" s="14">
        <v>2.1229999999999999E-2</v>
      </c>
      <c r="Y189" s="14">
        <v>1.31264</v>
      </c>
      <c r="Z189" s="14">
        <v>6.6311999999999998</v>
      </c>
      <c r="AA189" s="14">
        <v>6.0380200000000004</v>
      </c>
      <c r="AB189" s="14">
        <v>-1.4224300000000001</v>
      </c>
    </row>
    <row r="190" spans="1:28" x14ac:dyDescent="0.25">
      <c r="A190" s="16"/>
      <c r="B190" s="14" t="s">
        <v>2</v>
      </c>
      <c r="C190" s="15">
        <v>50</v>
      </c>
      <c r="D190" s="14">
        <v>20</v>
      </c>
      <c r="E190" s="13">
        <v>23</v>
      </c>
      <c r="F190" s="13">
        <f>1.8*E190+32</f>
        <v>73.400000000000006</v>
      </c>
      <c r="G190" s="13">
        <v>15</v>
      </c>
      <c r="H190" s="13">
        <f>IF(F190&gt;68,G190+(F190-68)*0.2,Y418-(68-F190)*0.2)</f>
        <v>16.080000000000002</v>
      </c>
      <c r="I190" s="13">
        <v>23</v>
      </c>
      <c r="J190" s="13">
        <f>1.8*I190+32</f>
        <v>73.400000000000006</v>
      </c>
      <c r="K190" s="13">
        <v>6</v>
      </c>
      <c r="L190" s="13">
        <f>IF(J190&gt;68,K190+(J190-68)*0.2,K190-(68-J190)*0.2)</f>
        <v>7.080000000000001</v>
      </c>
      <c r="M190" s="13">
        <f>(C190-H190)/C190*100</f>
        <v>67.84</v>
      </c>
      <c r="N190" s="13">
        <f>100-(M190+O190)</f>
        <v>18</v>
      </c>
      <c r="O190" s="13">
        <f>L190/C190*100</f>
        <v>14.160000000000004</v>
      </c>
      <c r="P190" s="12" t="s">
        <v>0</v>
      </c>
      <c r="Q190" s="11">
        <v>409290.29639999999</v>
      </c>
      <c r="R190" s="11">
        <v>3659201.667467</v>
      </c>
      <c r="T190" s="14">
        <v>2011105</v>
      </c>
      <c r="U190" s="14" t="s">
        <v>142</v>
      </c>
      <c r="V190" s="14">
        <v>7.5050000000000006E-2</v>
      </c>
      <c r="W190" s="14">
        <v>0.40364</v>
      </c>
      <c r="X190" s="14">
        <v>2.2769999999999999E-2</v>
      </c>
      <c r="Y190" s="14">
        <v>1.31002</v>
      </c>
      <c r="Z190" s="14">
        <v>8.0824300000000004</v>
      </c>
      <c r="AA190" s="14">
        <v>6.7068599999999998</v>
      </c>
      <c r="AB190" s="14">
        <v>-1.4975799999999999</v>
      </c>
    </row>
    <row r="191" spans="1:28" x14ac:dyDescent="0.25">
      <c r="A191" s="16"/>
      <c r="B191" s="14" t="s">
        <v>1</v>
      </c>
      <c r="C191" s="15">
        <v>50</v>
      </c>
      <c r="D191" s="14">
        <v>20</v>
      </c>
      <c r="E191" s="13">
        <v>23</v>
      </c>
      <c r="F191" s="13">
        <f>1.8*E191+32</f>
        <v>73.400000000000006</v>
      </c>
      <c r="G191" s="13">
        <v>20</v>
      </c>
      <c r="H191" s="13">
        <f>IF(F191&gt;68,G191+(F191-68)*0.2,Y419-(68-F191)*0.2)</f>
        <v>21.080000000000002</v>
      </c>
      <c r="I191" s="13">
        <v>23</v>
      </c>
      <c r="J191" s="13">
        <f>1.8*I191+32</f>
        <v>73.400000000000006</v>
      </c>
      <c r="K191" s="13">
        <v>10</v>
      </c>
      <c r="L191" s="13">
        <f>IF(J191&gt;68,K191+(J191-68)*0.2,K191-(68-J191)*0.2)</f>
        <v>11.080000000000002</v>
      </c>
      <c r="M191" s="13">
        <f>(C191-H191)/C191*100</f>
        <v>57.839999999999989</v>
      </c>
      <c r="N191" s="13">
        <f>100-(M191+O191)</f>
        <v>20</v>
      </c>
      <c r="O191" s="13">
        <f>L191/C191*100</f>
        <v>22.160000000000004</v>
      </c>
      <c r="P191" s="12" t="s">
        <v>3</v>
      </c>
      <c r="Q191" s="11">
        <v>409290.29639999999</v>
      </c>
      <c r="R191" s="11">
        <v>3659201.667467</v>
      </c>
      <c r="T191" s="14">
        <v>2011105</v>
      </c>
      <c r="U191" s="14" t="s">
        <v>141</v>
      </c>
      <c r="V191" s="14">
        <v>6.6600000000000006E-2</v>
      </c>
      <c r="W191" s="14">
        <v>0.39006999999999997</v>
      </c>
      <c r="X191" s="14">
        <v>2.5229999999999999E-2</v>
      </c>
      <c r="Y191" s="14">
        <v>1.3265400000000001</v>
      </c>
      <c r="Z191" s="14">
        <v>13.060499999999999</v>
      </c>
      <c r="AA191" s="14">
        <v>8.4433500000000006</v>
      </c>
      <c r="AB191" s="14">
        <v>-1.4622200000000001</v>
      </c>
    </row>
    <row r="192" spans="1:28" x14ac:dyDescent="0.25">
      <c r="T192" s="14">
        <v>2011105</v>
      </c>
      <c r="U192" s="14" t="s">
        <v>140</v>
      </c>
      <c r="V192" s="14">
        <v>6.4329999999999998E-2</v>
      </c>
      <c r="W192" s="14">
        <v>0.39195999999999998</v>
      </c>
      <c r="X192" s="14">
        <v>2.367E-2</v>
      </c>
      <c r="Y192" s="14">
        <v>1.3497699999999999</v>
      </c>
      <c r="Z192" s="14">
        <v>14.01412</v>
      </c>
      <c r="AA192" s="14">
        <v>8.3364499999999992</v>
      </c>
      <c r="AB192" s="14">
        <v>-1.2798</v>
      </c>
    </row>
    <row r="193" spans="1:28" ht="51.75" x14ac:dyDescent="0.25">
      <c r="A193" s="19" t="s">
        <v>139</v>
      </c>
      <c r="B193" s="22" t="s">
        <v>26</v>
      </c>
      <c r="C193" s="26" t="s">
        <v>25</v>
      </c>
      <c r="D193" s="25" t="s">
        <v>24</v>
      </c>
      <c r="E193" s="24" t="s">
        <v>23</v>
      </c>
      <c r="F193" s="24" t="s">
        <v>22</v>
      </c>
      <c r="G193" s="24" t="s">
        <v>21</v>
      </c>
      <c r="H193" s="24" t="s">
        <v>20</v>
      </c>
      <c r="I193" s="24" t="s">
        <v>19</v>
      </c>
      <c r="J193" s="24" t="s">
        <v>18</v>
      </c>
      <c r="K193" s="24" t="s">
        <v>17</v>
      </c>
      <c r="L193" s="24" t="s">
        <v>16</v>
      </c>
      <c r="M193" s="23" t="s">
        <v>15</v>
      </c>
      <c r="N193" s="23" t="s">
        <v>14</v>
      </c>
      <c r="O193" s="23" t="s">
        <v>13</v>
      </c>
      <c r="P193" s="22" t="s">
        <v>12</v>
      </c>
      <c r="Q193" s="27" t="s">
        <v>11</v>
      </c>
      <c r="R193" s="27"/>
      <c r="T193" s="14">
        <v>2011105</v>
      </c>
      <c r="U193" s="14" t="s">
        <v>138</v>
      </c>
      <c r="V193" s="14">
        <v>6.9379999999999997E-2</v>
      </c>
      <c r="W193" s="14">
        <v>0.39296999999999999</v>
      </c>
      <c r="X193" s="14">
        <v>2.4680000000000001E-2</v>
      </c>
      <c r="Y193" s="14">
        <v>1.3174999999999999</v>
      </c>
      <c r="Z193" s="14">
        <v>11.23972</v>
      </c>
      <c r="AA193" s="14">
        <v>7.8723299999999998</v>
      </c>
      <c r="AB193" s="14">
        <v>-1.5077</v>
      </c>
    </row>
    <row r="194" spans="1:28" x14ac:dyDescent="0.25">
      <c r="A194" s="20"/>
      <c r="B194" s="22"/>
      <c r="C194" s="26"/>
      <c r="D194" s="25"/>
      <c r="E194" s="24"/>
      <c r="F194" s="24"/>
      <c r="G194" s="24"/>
      <c r="H194" s="24"/>
      <c r="I194" s="24"/>
      <c r="J194" s="24"/>
      <c r="K194" s="24"/>
      <c r="L194" s="24"/>
      <c r="M194" s="23"/>
      <c r="N194" s="23"/>
      <c r="O194" s="23"/>
      <c r="P194" s="22"/>
      <c r="Q194" s="21" t="s">
        <v>10</v>
      </c>
      <c r="R194" s="21" t="s">
        <v>9</v>
      </c>
      <c r="T194" s="14">
        <v>2011105</v>
      </c>
      <c r="U194" s="14" t="s">
        <v>137</v>
      </c>
      <c r="V194" s="14">
        <v>7.6109999999999997E-2</v>
      </c>
      <c r="W194" s="14">
        <v>0.40982000000000002</v>
      </c>
      <c r="X194" s="14">
        <v>2.0369999999999999E-2</v>
      </c>
      <c r="Y194" s="14">
        <v>1.3302499999999999</v>
      </c>
      <c r="Z194" s="14">
        <v>6.9656599999999997</v>
      </c>
      <c r="AA194" s="14">
        <v>5.9621899999999997</v>
      </c>
      <c r="AB194" s="14">
        <v>-1.28975</v>
      </c>
    </row>
    <row r="195" spans="1:28" x14ac:dyDescent="0.25">
      <c r="A195" s="20"/>
      <c r="B195" s="14" t="s">
        <v>8</v>
      </c>
      <c r="C195" s="15">
        <v>50</v>
      </c>
      <c r="D195" s="14">
        <v>20</v>
      </c>
      <c r="E195" s="13">
        <v>24</v>
      </c>
      <c r="F195" s="13">
        <f>1.8*E195+32</f>
        <v>75.2</v>
      </c>
      <c r="G195" s="13">
        <v>16</v>
      </c>
      <c r="H195" s="13">
        <f>IF(F195&gt;68,G195+(F195-68)*0.2,Y423-(68-F195)*0.2)</f>
        <v>17.440000000000001</v>
      </c>
      <c r="I195" s="13">
        <v>24</v>
      </c>
      <c r="J195" s="13">
        <f>1.8*I195+32</f>
        <v>75.2</v>
      </c>
      <c r="K195" s="13">
        <v>8</v>
      </c>
      <c r="L195" s="13">
        <f>IF(J195&gt;68,K195+(J195-68)*0.2,K195-(68-J195)*0.2)</f>
        <v>9.4400000000000013</v>
      </c>
      <c r="M195" s="13">
        <f>(C195-H195)/C195*100</f>
        <v>65.12</v>
      </c>
      <c r="N195" s="13">
        <f>100-(M195+O195)</f>
        <v>16</v>
      </c>
      <c r="O195" s="13">
        <f>L195/C195*100</f>
        <v>18.880000000000003</v>
      </c>
      <c r="P195" s="12" t="s">
        <v>0</v>
      </c>
      <c r="Q195" s="11">
        <v>409290.29639999999</v>
      </c>
      <c r="R195" s="11">
        <v>3659183.4621819998</v>
      </c>
      <c r="T195" s="14">
        <v>2011105</v>
      </c>
      <c r="U195" s="14" t="s">
        <v>136</v>
      </c>
      <c r="V195" s="14">
        <v>7.5609999999999997E-2</v>
      </c>
      <c r="W195" s="14">
        <v>0.41049000000000002</v>
      </c>
      <c r="X195" s="14">
        <v>1.9519999999999999E-2</v>
      </c>
      <c r="Y195" s="14">
        <v>1.3415600000000001</v>
      </c>
      <c r="Z195" s="14">
        <v>6.9282000000000004</v>
      </c>
      <c r="AA195" s="14">
        <v>5.7562300000000004</v>
      </c>
      <c r="AB195" s="14">
        <v>-1.20021</v>
      </c>
    </row>
    <row r="196" spans="1:28" x14ac:dyDescent="0.25">
      <c r="A196" s="19" t="s">
        <v>7</v>
      </c>
      <c r="B196" s="14" t="s">
        <v>6</v>
      </c>
      <c r="C196" s="15">
        <v>50</v>
      </c>
      <c r="D196" s="14">
        <v>20</v>
      </c>
      <c r="E196" s="13">
        <v>24</v>
      </c>
      <c r="F196" s="13">
        <f>1.8*E196+32</f>
        <v>75.2</v>
      </c>
      <c r="G196" s="13">
        <v>16</v>
      </c>
      <c r="H196" s="13">
        <f>IF(F196&gt;68,G196+(F196-68)*0.2,Y424-(68-F196)*0.2)</f>
        <v>17.440000000000001</v>
      </c>
      <c r="I196" s="13">
        <v>24</v>
      </c>
      <c r="J196" s="13">
        <f>1.8*I196+32</f>
        <v>75.2</v>
      </c>
      <c r="K196" s="13">
        <v>7</v>
      </c>
      <c r="L196" s="13">
        <f>IF(J196&gt;68,K196+(J196-68)*0.2,K196-(68-J196)*0.2)</f>
        <v>8.4400000000000013</v>
      </c>
      <c r="M196" s="13">
        <f>(C196-H196)/C196*100</f>
        <v>65.12</v>
      </c>
      <c r="N196" s="13">
        <f>100-(M196+O196)</f>
        <v>18</v>
      </c>
      <c r="O196" s="13">
        <f>L196/C196*100</f>
        <v>16.880000000000003</v>
      </c>
      <c r="P196" s="12" t="s">
        <v>0</v>
      </c>
      <c r="Q196" s="11">
        <v>409290.29639999999</v>
      </c>
      <c r="R196" s="11">
        <v>3659183.4621819998</v>
      </c>
      <c r="T196" s="14">
        <v>2011105</v>
      </c>
      <c r="U196" s="14" t="s">
        <v>135</v>
      </c>
      <c r="V196" s="14">
        <v>7.3590000000000003E-2</v>
      </c>
      <c r="W196" s="14">
        <v>0.39872000000000002</v>
      </c>
      <c r="X196" s="14">
        <v>2.4109999999999999E-2</v>
      </c>
      <c r="Y196" s="14">
        <v>1.3028299999999999</v>
      </c>
      <c r="Z196" s="14">
        <v>9.1633200000000006</v>
      </c>
      <c r="AA196" s="14">
        <v>7.1867700000000001</v>
      </c>
      <c r="AB196" s="14">
        <v>-1.59389</v>
      </c>
    </row>
    <row r="197" spans="1:28" x14ac:dyDescent="0.25">
      <c r="A197" s="18">
        <v>41302</v>
      </c>
      <c r="B197" s="14" t="s">
        <v>5</v>
      </c>
      <c r="C197" s="15">
        <v>50</v>
      </c>
      <c r="D197" s="14">
        <v>20</v>
      </c>
      <c r="E197" s="13">
        <v>24</v>
      </c>
      <c r="F197" s="13">
        <f>1.8*E197+32</f>
        <v>75.2</v>
      </c>
      <c r="G197" s="13">
        <v>23</v>
      </c>
      <c r="H197" s="13">
        <f>IF(F197&gt;68,G197+(F197-68)*0.2,Y425-(68-F197)*0.2)</f>
        <v>24.44</v>
      </c>
      <c r="I197" s="13">
        <v>24</v>
      </c>
      <c r="J197" s="13">
        <f>1.8*I197+32</f>
        <v>75.2</v>
      </c>
      <c r="K197" s="13">
        <v>13</v>
      </c>
      <c r="L197" s="13">
        <f>IF(J197&gt;68,K197+(J197-68)*0.2,K197-(68-J197)*0.2)</f>
        <v>14.440000000000001</v>
      </c>
      <c r="M197" s="13">
        <f>(C197-H197)/C197*100</f>
        <v>51.12</v>
      </c>
      <c r="N197" s="13">
        <f>100-(M197+O197)</f>
        <v>20</v>
      </c>
      <c r="O197" s="13">
        <f>L197/C197*100</f>
        <v>28.88</v>
      </c>
      <c r="P197" s="12" t="s">
        <v>3</v>
      </c>
      <c r="Q197" s="11">
        <v>409290.29639999999</v>
      </c>
      <c r="R197" s="11">
        <v>3659183.4621819998</v>
      </c>
      <c r="T197" s="14">
        <v>2011105</v>
      </c>
      <c r="U197" s="14" t="s">
        <v>134</v>
      </c>
      <c r="V197" s="14">
        <v>6.5869999999999998E-2</v>
      </c>
      <c r="W197" s="14">
        <v>0.38379999999999997</v>
      </c>
      <c r="X197" s="14">
        <v>2.7179999999999999E-2</v>
      </c>
      <c r="Y197" s="14">
        <v>1.3123800000000001</v>
      </c>
      <c r="Z197" s="14">
        <v>14.342140000000001</v>
      </c>
      <c r="AA197" s="14">
        <v>8.9808800000000009</v>
      </c>
      <c r="AB197" s="14">
        <v>-1.6165499999999999</v>
      </c>
    </row>
    <row r="198" spans="1:28" x14ac:dyDescent="0.25">
      <c r="A198" s="17"/>
      <c r="B198" s="14" t="s">
        <v>4</v>
      </c>
      <c r="C198" s="15">
        <v>50</v>
      </c>
      <c r="D198" s="14">
        <v>20</v>
      </c>
      <c r="E198" s="13">
        <v>24</v>
      </c>
      <c r="F198" s="13">
        <f>1.8*E198+32</f>
        <v>75.2</v>
      </c>
      <c r="G198" s="13">
        <v>24</v>
      </c>
      <c r="H198" s="13">
        <f>IF(F198&gt;68,G198+(F198-68)*0.2,Y426-(68-F198)*0.2)</f>
        <v>25.44</v>
      </c>
      <c r="I198" s="13">
        <v>24</v>
      </c>
      <c r="J198" s="13">
        <f>1.8*I198+32</f>
        <v>75.2</v>
      </c>
      <c r="K198" s="13">
        <v>14</v>
      </c>
      <c r="L198" s="13">
        <f>IF(J198&gt;68,K198+(J198-68)*0.2,K198-(68-J198)*0.2)</f>
        <v>15.440000000000001</v>
      </c>
      <c r="M198" s="13">
        <f>(C198-H198)/C198*100</f>
        <v>49.12</v>
      </c>
      <c r="N198" s="13">
        <f>100-(M198+O198)</f>
        <v>20</v>
      </c>
      <c r="O198" s="13">
        <f>L198/C198*100</f>
        <v>30.880000000000003</v>
      </c>
      <c r="P198" s="12" t="s">
        <v>3</v>
      </c>
      <c r="Q198" s="11">
        <v>409290.29639999999</v>
      </c>
      <c r="R198" s="11">
        <v>3659183.4621819998</v>
      </c>
      <c r="T198" s="14">
        <v>2011105</v>
      </c>
      <c r="U198" s="14" t="s">
        <v>133</v>
      </c>
      <c r="V198" s="14">
        <v>5.6309999999999999E-2</v>
      </c>
      <c r="W198" s="14">
        <v>0.38194</v>
      </c>
      <c r="X198" s="14">
        <v>2.9340000000000001E-2</v>
      </c>
      <c r="Y198" s="14">
        <v>1.36094</v>
      </c>
      <c r="Z198" s="14">
        <v>24.24015</v>
      </c>
      <c r="AA198" s="14">
        <v>12.030340000000001</v>
      </c>
      <c r="AB198" s="14">
        <v>-1.35903</v>
      </c>
    </row>
    <row r="199" spans="1:28" x14ac:dyDescent="0.25">
      <c r="A199" s="16"/>
      <c r="B199" s="14" t="s">
        <v>2</v>
      </c>
      <c r="C199" s="15">
        <v>50</v>
      </c>
      <c r="D199" s="14">
        <v>20</v>
      </c>
      <c r="E199" s="13">
        <v>24</v>
      </c>
      <c r="F199" s="13">
        <f>1.8*E199+32</f>
        <v>75.2</v>
      </c>
      <c r="G199" s="13">
        <v>24</v>
      </c>
      <c r="H199" s="13">
        <f>IF(F199&gt;68,G199+(F199-68)*0.2,Y427-(68-F199)*0.2)</f>
        <v>25.44</v>
      </c>
      <c r="I199" s="13">
        <v>23</v>
      </c>
      <c r="J199" s="13">
        <f>1.8*I199+32</f>
        <v>73.400000000000006</v>
      </c>
      <c r="K199" s="13">
        <v>11</v>
      </c>
      <c r="L199" s="13">
        <f>IF(J199&gt;68,K199+(J199-68)*0.2,K199-(68-J199)*0.2)</f>
        <v>12.080000000000002</v>
      </c>
      <c r="M199" s="13">
        <f>(C199-H199)/C199*100</f>
        <v>49.12</v>
      </c>
      <c r="N199" s="13">
        <f>100-(M199+O199)</f>
        <v>26.72</v>
      </c>
      <c r="O199" s="13">
        <f>L199/C199*100</f>
        <v>24.160000000000004</v>
      </c>
      <c r="P199" s="12" t="s">
        <v>3</v>
      </c>
      <c r="Q199" s="11">
        <v>409290.29639999999</v>
      </c>
      <c r="R199" s="11">
        <v>3659183.4621819998</v>
      </c>
      <c r="T199" s="14">
        <v>2011105</v>
      </c>
      <c r="U199" s="14" t="s">
        <v>132</v>
      </c>
      <c r="V199" s="14">
        <v>6.5559999999999993E-2</v>
      </c>
      <c r="W199" s="14">
        <v>0.38913999999999999</v>
      </c>
      <c r="X199" s="14">
        <v>2.547E-2</v>
      </c>
      <c r="Y199" s="14">
        <v>1.3298399999999999</v>
      </c>
      <c r="Z199" s="14">
        <v>13.83084</v>
      </c>
      <c r="AA199" s="14">
        <v>8.6831800000000001</v>
      </c>
      <c r="AB199" s="14">
        <v>-1.4468399999999999</v>
      </c>
    </row>
    <row r="200" spans="1:28" x14ac:dyDescent="0.25">
      <c r="A200" s="16"/>
      <c r="B200" s="14" t="s">
        <v>1</v>
      </c>
      <c r="C200" s="15">
        <v>50</v>
      </c>
      <c r="D200" s="14">
        <v>20</v>
      </c>
      <c r="E200" s="13">
        <v>24</v>
      </c>
      <c r="F200" s="13">
        <f>1.8*E200+32</f>
        <v>75.2</v>
      </c>
      <c r="G200" s="13">
        <v>15</v>
      </c>
      <c r="H200" s="13">
        <f>IF(F200&gt;68,G200+(F200-68)*0.2,Y428-(68-F200)*0.2)</f>
        <v>16.440000000000001</v>
      </c>
      <c r="I200" s="13">
        <v>23</v>
      </c>
      <c r="J200" s="13">
        <f>1.8*I200+32</f>
        <v>73.400000000000006</v>
      </c>
      <c r="K200" s="13">
        <v>7</v>
      </c>
      <c r="L200" s="13">
        <f>IF(J200&gt;68,K200+(J200-68)*0.2,K200-(68-J200)*0.2)</f>
        <v>8.0800000000000018</v>
      </c>
      <c r="M200" s="13">
        <f>(C200-H200)/C200*100</f>
        <v>67.12</v>
      </c>
      <c r="N200" s="13">
        <f>100-(M200+O200)</f>
        <v>16.72</v>
      </c>
      <c r="O200" s="13">
        <f>L200/C200*100</f>
        <v>16.160000000000004</v>
      </c>
      <c r="P200" s="12" t="s">
        <v>0</v>
      </c>
      <c r="Q200" s="11">
        <v>409290.29639999999</v>
      </c>
      <c r="R200" s="11">
        <v>3659183.4621819998</v>
      </c>
      <c r="T200" s="14">
        <v>2011105</v>
      </c>
      <c r="U200" s="14" t="s">
        <v>131</v>
      </c>
      <c r="V200" s="14">
        <v>8.1869999999999998E-2</v>
      </c>
      <c r="W200" s="14">
        <v>0.42881999999999998</v>
      </c>
      <c r="X200" s="14">
        <v>1.6920000000000001E-2</v>
      </c>
      <c r="Y200" s="14">
        <v>1.3417300000000001</v>
      </c>
      <c r="Z200" s="14">
        <v>5.0612199999999996</v>
      </c>
      <c r="AA200" s="14">
        <v>4.5725800000000003</v>
      </c>
      <c r="AB200" s="14">
        <v>-1.07599</v>
      </c>
    </row>
    <row r="201" spans="1:28" x14ac:dyDescent="0.25">
      <c r="T201" s="14">
        <v>2011105</v>
      </c>
      <c r="U201" s="14" t="s">
        <v>130</v>
      </c>
      <c r="V201" s="14">
        <v>7.9570000000000002E-2</v>
      </c>
      <c r="W201" s="14">
        <v>0.41289999999999999</v>
      </c>
      <c r="X201" s="14">
        <v>2.2530000000000001E-2</v>
      </c>
      <c r="Y201" s="14">
        <v>1.2922899999999999</v>
      </c>
      <c r="Z201" s="14">
        <v>6.8799700000000001</v>
      </c>
      <c r="AA201" s="14">
        <v>6.2412599999999996</v>
      </c>
      <c r="AB201" s="14">
        <v>-1.61175</v>
      </c>
    </row>
    <row r="202" spans="1:28" ht="51.75" x14ac:dyDescent="0.25">
      <c r="A202" s="19" t="s">
        <v>129</v>
      </c>
      <c r="B202" s="22" t="s">
        <v>26</v>
      </c>
      <c r="C202" s="26" t="s">
        <v>25</v>
      </c>
      <c r="D202" s="25" t="s">
        <v>24</v>
      </c>
      <c r="E202" s="24" t="s">
        <v>23</v>
      </c>
      <c r="F202" s="24" t="s">
        <v>22</v>
      </c>
      <c r="G202" s="24" t="s">
        <v>21</v>
      </c>
      <c r="H202" s="24" t="s">
        <v>20</v>
      </c>
      <c r="I202" s="24" t="s">
        <v>19</v>
      </c>
      <c r="J202" s="24" t="s">
        <v>18</v>
      </c>
      <c r="K202" s="24" t="s">
        <v>17</v>
      </c>
      <c r="L202" s="24" t="s">
        <v>16</v>
      </c>
      <c r="M202" s="23" t="s">
        <v>15</v>
      </c>
      <c r="N202" s="23" t="s">
        <v>14</v>
      </c>
      <c r="O202" s="23" t="s">
        <v>13</v>
      </c>
      <c r="P202" s="22" t="s">
        <v>12</v>
      </c>
      <c r="Q202" s="27" t="s">
        <v>11</v>
      </c>
      <c r="R202" s="27"/>
      <c r="T202" s="14">
        <v>2011105</v>
      </c>
      <c r="U202" s="14" t="s">
        <v>128</v>
      </c>
      <c r="V202" s="14">
        <v>6.8540000000000004E-2</v>
      </c>
      <c r="W202" s="14">
        <v>0.38700000000000001</v>
      </c>
      <c r="X202" s="14">
        <v>2.6550000000000001E-2</v>
      </c>
      <c r="Y202" s="14">
        <v>1.3023899999999999</v>
      </c>
      <c r="Z202" s="14">
        <v>12.54711</v>
      </c>
      <c r="AA202" s="14">
        <v>8.3715700000000002</v>
      </c>
      <c r="AB202" s="14">
        <v>-1.6733899999999999</v>
      </c>
    </row>
    <row r="203" spans="1:28" x14ac:dyDescent="0.25">
      <c r="A203" s="20"/>
      <c r="B203" s="22"/>
      <c r="C203" s="26"/>
      <c r="D203" s="25"/>
      <c r="E203" s="24"/>
      <c r="F203" s="24"/>
      <c r="G203" s="24"/>
      <c r="H203" s="24"/>
      <c r="I203" s="24"/>
      <c r="J203" s="24"/>
      <c r="K203" s="24"/>
      <c r="L203" s="24"/>
      <c r="M203" s="23"/>
      <c r="N203" s="23"/>
      <c r="O203" s="23"/>
      <c r="P203" s="22"/>
      <c r="Q203" s="21" t="s">
        <v>10</v>
      </c>
      <c r="R203" s="21" t="s">
        <v>9</v>
      </c>
      <c r="T203" s="14">
        <v>2011105</v>
      </c>
      <c r="U203" s="14" t="s">
        <v>127</v>
      </c>
      <c r="V203" s="14">
        <v>6.5729999999999997E-2</v>
      </c>
      <c r="W203" s="14">
        <v>0.37918000000000002</v>
      </c>
      <c r="X203" s="14">
        <v>2.7570000000000001E-2</v>
      </c>
      <c r="Y203" s="14">
        <v>1.3077399999999999</v>
      </c>
      <c r="Z203" s="14">
        <v>14.987030000000001</v>
      </c>
      <c r="AA203" s="14">
        <v>8.9386200000000002</v>
      </c>
      <c r="AB203" s="14">
        <v>-1.6721999999999999</v>
      </c>
    </row>
    <row r="204" spans="1:28" x14ac:dyDescent="0.25">
      <c r="A204" s="20"/>
      <c r="B204" s="14" t="s">
        <v>8</v>
      </c>
      <c r="C204" s="15">
        <v>50</v>
      </c>
      <c r="D204" s="14">
        <v>20</v>
      </c>
      <c r="E204" s="13">
        <v>23</v>
      </c>
      <c r="F204" s="13">
        <f>1.8*E204+32</f>
        <v>73.400000000000006</v>
      </c>
      <c r="G204" s="13">
        <v>17</v>
      </c>
      <c r="H204" s="13">
        <f>IF(F204&gt;68,G204+(F204-68)*0.2,Y432-(68-F204)*0.2)</f>
        <v>18.080000000000002</v>
      </c>
      <c r="I204" s="13">
        <v>23</v>
      </c>
      <c r="J204" s="13">
        <f>1.8*I204+32</f>
        <v>73.400000000000006</v>
      </c>
      <c r="K204" s="13">
        <v>8</v>
      </c>
      <c r="L204" s="13">
        <f>IF(J204&gt;68,K204+(J204-68)*0.2,K204-(68-J204)*0.2)</f>
        <v>9.0800000000000018</v>
      </c>
      <c r="M204" s="13">
        <f>(C204-H204)/C204*100</f>
        <v>63.839999999999996</v>
      </c>
      <c r="N204" s="13">
        <f>100-(M204+O204)</f>
        <v>18</v>
      </c>
      <c r="O204" s="13">
        <f>L204/C204*100</f>
        <v>18.160000000000004</v>
      </c>
      <c r="P204" s="12" t="s">
        <v>0</v>
      </c>
      <c r="Q204" s="11">
        <v>409294.36040000001</v>
      </c>
      <c r="R204" s="11">
        <v>3659224.5359789999</v>
      </c>
      <c r="T204" s="14">
        <v>2011105</v>
      </c>
      <c r="U204" s="14" t="s">
        <v>126</v>
      </c>
      <c r="V204" s="14">
        <v>6.4030000000000004E-2</v>
      </c>
      <c r="W204" s="14">
        <v>0.39015</v>
      </c>
      <c r="X204" s="14">
        <v>2.47E-2</v>
      </c>
      <c r="Y204" s="14">
        <v>1.34335</v>
      </c>
      <c r="Z204" s="14">
        <v>14.60679</v>
      </c>
      <c r="AA204" s="14">
        <v>8.7170299999999994</v>
      </c>
      <c r="AB204" s="14">
        <v>-1.34263</v>
      </c>
    </row>
    <row r="205" spans="1:28" x14ac:dyDescent="0.25">
      <c r="A205" s="19" t="s">
        <v>7</v>
      </c>
      <c r="B205" s="14" t="s">
        <v>6</v>
      </c>
      <c r="C205" s="15">
        <v>50</v>
      </c>
      <c r="D205" s="14">
        <v>20</v>
      </c>
      <c r="E205" s="13">
        <v>23</v>
      </c>
      <c r="F205" s="13">
        <f>1.8*E205+32</f>
        <v>73.400000000000006</v>
      </c>
      <c r="G205" s="13">
        <v>20</v>
      </c>
      <c r="H205" s="13">
        <f>IF(F205&gt;68,G205+(F205-68)*0.2,Y433-(68-F205)*0.2)</f>
        <v>21.080000000000002</v>
      </c>
      <c r="I205" s="13">
        <v>23</v>
      </c>
      <c r="J205" s="13">
        <f>1.8*I205+32</f>
        <v>73.400000000000006</v>
      </c>
      <c r="K205" s="13">
        <v>10</v>
      </c>
      <c r="L205" s="13">
        <f>IF(J205&gt;68,K205+(J205-68)*0.2,K205-(68-J205)*0.2)</f>
        <v>11.080000000000002</v>
      </c>
      <c r="M205" s="13">
        <f>(C205-H205)/C205*100</f>
        <v>57.839999999999989</v>
      </c>
      <c r="N205" s="13">
        <f>100-(M205+O205)</f>
        <v>20</v>
      </c>
      <c r="O205" s="13">
        <f>L205/C205*100</f>
        <v>22.160000000000004</v>
      </c>
      <c r="P205" s="12" t="s">
        <v>3</v>
      </c>
      <c r="Q205" s="11">
        <v>409294.36040000001</v>
      </c>
      <c r="R205" s="11">
        <v>3659224.5359789999</v>
      </c>
      <c r="T205" s="14">
        <v>2011105</v>
      </c>
      <c r="U205" s="14" t="s">
        <v>125</v>
      </c>
      <c r="V205" s="14">
        <v>7.9250000000000001E-2</v>
      </c>
      <c r="W205" s="14">
        <v>0.41952</v>
      </c>
      <c r="X205" s="14">
        <v>1.8380000000000001E-2</v>
      </c>
      <c r="Y205" s="14">
        <v>1.33796</v>
      </c>
      <c r="Z205" s="14">
        <v>5.5631300000000001</v>
      </c>
      <c r="AA205" s="14">
        <v>5.1530100000000001</v>
      </c>
      <c r="AB205" s="14">
        <v>-1.1678200000000001</v>
      </c>
    </row>
    <row r="206" spans="1:28" x14ac:dyDescent="0.25">
      <c r="A206" s="18">
        <v>41302</v>
      </c>
      <c r="B206" s="14" t="s">
        <v>5</v>
      </c>
      <c r="C206" s="15">
        <v>50</v>
      </c>
      <c r="D206" s="14">
        <v>20</v>
      </c>
      <c r="E206" s="13">
        <v>24</v>
      </c>
      <c r="F206" s="13">
        <f>1.8*E206+32</f>
        <v>75.2</v>
      </c>
      <c r="G206" s="13">
        <v>30</v>
      </c>
      <c r="H206" s="13">
        <f>IF(F206&gt;68,G206+(F206-68)*0.2,Y434-(68-F206)*0.2)</f>
        <v>31.44</v>
      </c>
      <c r="I206" s="13">
        <v>23</v>
      </c>
      <c r="J206" s="13">
        <f>1.8*I206+32</f>
        <v>73.400000000000006</v>
      </c>
      <c r="K206" s="13">
        <v>15</v>
      </c>
      <c r="L206" s="13">
        <f>IF(J206&gt;68,K206+(J206-68)*0.2,K206-(68-J206)*0.2)</f>
        <v>16.080000000000002</v>
      </c>
      <c r="M206" s="13">
        <f>(C206-H206)/C206*100</f>
        <v>37.119999999999997</v>
      </c>
      <c r="N206" s="13">
        <f>100-(M206+O206)</f>
        <v>30.72</v>
      </c>
      <c r="O206" s="13">
        <f>L206/C206*100</f>
        <v>32.160000000000004</v>
      </c>
      <c r="P206" s="12" t="s">
        <v>30</v>
      </c>
      <c r="Q206" s="11">
        <v>409294.36040000001</v>
      </c>
      <c r="R206" s="11">
        <v>3659224.5359789999</v>
      </c>
      <c r="T206" s="14">
        <v>2011105</v>
      </c>
      <c r="U206" s="14" t="s">
        <v>124</v>
      </c>
      <c r="V206" s="14">
        <v>8.3409999999999998E-2</v>
      </c>
      <c r="W206" s="14">
        <v>0.43031999999999998</v>
      </c>
      <c r="X206" s="14">
        <v>1.83E-2</v>
      </c>
      <c r="Y206" s="14">
        <v>1.31871</v>
      </c>
      <c r="Z206" s="14">
        <v>5.0859800000000002</v>
      </c>
      <c r="AA206" s="14">
        <v>4.8751800000000003</v>
      </c>
      <c r="AB206" s="14">
        <v>-1.25034</v>
      </c>
    </row>
    <row r="207" spans="1:28" x14ac:dyDescent="0.25">
      <c r="A207" s="17"/>
      <c r="B207" s="14" t="s">
        <v>4</v>
      </c>
      <c r="C207" s="15">
        <v>50</v>
      </c>
      <c r="D207" s="14">
        <v>20</v>
      </c>
      <c r="E207" s="13">
        <v>24</v>
      </c>
      <c r="F207" s="13">
        <f>1.8*E207+32</f>
        <v>75.2</v>
      </c>
      <c r="G207" s="13">
        <v>30</v>
      </c>
      <c r="H207" s="13">
        <f>IF(F207&gt;68,G207+(F207-68)*0.2,Y435-(68-F207)*0.2)</f>
        <v>31.44</v>
      </c>
      <c r="I207" s="13">
        <v>23</v>
      </c>
      <c r="J207" s="13">
        <f>1.8*I207+32</f>
        <v>73.400000000000006</v>
      </c>
      <c r="K207" s="13">
        <v>17</v>
      </c>
      <c r="L207" s="13">
        <f>IF(J207&gt;68,K207+(J207-68)*0.2,K207-(68-J207)*0.2)</f>
        <v>18.080000000000002</v>
      </c>
      <c r="M207" s="13">
        <f>(C207-H207)/C207*100</f>
        <v>37.119999999999997</v>
      </c>
      <c r="N207" s="13">
        <f>100-(M207+O207)</f>
        <v>26.72</v>
      </c>
      <c r="O207" s="13">
        <f>L207/C207*100</f>
        <v>36.160000000000004</v>
      </c>
      <c r="P207" s="12" t="s">
        <v>30</v>
      </c>
      <c r="Q207" s="11">
        <v>409294.36040000001</v>
      </c>
      <c r="R207" s="11">
        <v>3659224.5359789999</v>
      </c>
      <c r="T207" s="14">
        <v>2011105</v>
      </c>
      <c r="U207" s="14" t="s">
        <v>123</v>
      </c>
      <c r="V207" s="14">
        <v>7.9570000000000002E-2</v>
      </c>
      <c r="W207" s="14">
        <v>0.41289999999999999</v>
      </c>
      <c r="X207" s="14">
        <v>2.2530000000000001E-2</v>
      </c>
      <c r="Y207" s="14">
        <v>1.2922899999999999</v>
      </c>
      <c r="Z207" s="14">
        <v>6.8799700000000001</v>
      </c>
      <c r="AA207" s="14">
        <v>6.2412599999999996</v>
      </c>
      <c r="AB207" s="14">
        <v>-1.61175</v>
      </c>
    </row>
    <row r="208" spans="1:28" x14ac:dyDescent="0.25">
      <c r="A208" s="16"/>
      <c r="B208" s="14" t="s">
        <v>2</v>
      </c>
      <c r="C208" s="15">
        <v>50</v>
      </c>
      <c r="D208" s="14">
        <v>20</v>
      </c>
      <c r="E208" s="13">
        <v>23</v>
      </c>
      <c r="F208" s="13">
        <f>1.8*E208+32</f>
        <v>73.400000000000006</v>
      </c>
      <c r="G208" s="13">
        <v>24</v>
      </c>
      <c r="H208" s="13">
        <f>IF(F208&gt;68,G208+(F208-68)*0.2,Y436-(68-F208)*0.2)</f>
        <v>25.080000000000002</v>
      </c>
      <c r="I208" s="13">
        <v>23</v>
      </c>
      <c r="J208" s="13">
        <f>1.8*I208+32</f>
        <v>73.400000000000006</v>
      </c>
      <c r="K208" s="13">
        <v>13</v>
      </c>
      <c r="L208" s="13">
        <f>IF(J208&gt;68,K208+(J208-68)*0.2,K208-(68-J208)*0.2)</f>
        <v>14.080000000000002</v>
      </c>
      <c r="M208" s="13">
        <f>(C208-H208)/C208*100</f>
        <v>49.839999999999996</v>
      </c>
      <c r="N208" s="13">
        <f>100-(M208+O208)</f>
        <v>22</v>
      </c>
      <c r="O208" s="13">
        <f>L208/C208*100</f>
        <v>28.16</v>
      </c>
      <c r="P208" s="12" t="s">
        <v>3</v>
      </c>
      <c r="Q208" s="11">
        <v>409294.36040000001</v>
      </c>
      <c r="R208" s="11">
        <v>3659224.5359789999</v>
      </c>
      <c r="T208" s="14">
        <v>2011105</v>
      </c>
      <c r="U208" s="14" t="s">
        <v>122</v>
      </c>
      <c r="V208" s="14">
        <v>7.5050000000000006E-2</v>
      </c>
      <c r="W208" s="14">
        <v>0.40364</v>
      </c>
      <c r="X208" s="14">
        <v>2.2769999999999999E-2</v>
      </c>
      <c r="Y208" s="14">
        <v>1.31002</v>
      </c>
      <c r="Z208" s="14">
        <v>8.0824300000000004</v>
      </c>
      <c r="AA208" s="14">
        <v>6.7068599999999998</v>
      </c>
      <c r="AB208" s="14">
        <v>-1.4975799999999999</v>
      </c>
    </row>
    <row r="209" spans="1:28" x14ac:dyDescent="0.25">
      <c r="A209" s="16"/>
      <c r="B209" s="14" t="s">
        <v>1</v>
      </c>
      <c r="C209" s="15">
        <v>50</v>
      </c>
      <c r="D209" s="14">
        <v>20</v>
      </c>
      <c r="E209" s="13">
        <v>23</v>
      </c>
      <c r="F209" s="13">
        <f>1.8*E209+32</f>
        <v>73.400000000000006</v>
      </c>
      <c r="G209" s="13">
        <v>12</v>
      </c>
      <c r="H209" s="13">
        <f>IF(F209&gt;68,G209+(F209-68)*0.2,Y437-(68-F209)*0.2)</f>
        <v>13.080000000000002</v>
      </c>
      <c r="I209" s="13">
        <v>23</v>
      </c>
      <c r="J209" s="13">
        <f>1.8*I209+32</f>
        <v>73.400000000000006</v>
      </c>
      <c r="K209" s="13">
        <v>6</v>
      </c>
      <c r="L209" s="13">
        <f>IF(J209&gt;68,K209+(J209-68)*0.2,K209-(68-J209)*0.2)</f>
        <v>7.080000000000001</v>
      </c>
      <c r="M209" s="13">
        <f>(C209-H209)/C209*100</f>
        <v>73.84</v>
      </c>
      <c r="N209" s="13">
        <f>100-(M209+O209)</f>
        <v>12</v>
      </c>
      <c r="O209" s="13">
        <f>L209/C209*100</f>
        <v>14.160000000000004</v>
      </c>
      <c r="P209" s="12" t="s">
        <v>0</v>
      </c>
      <c r="Q209" s="11">
        <v>409294.36040000001</v>
      </c>
      <c r="R209" s="11">
        <v>3659224.5359789999</v>
      </c>
      <c r="T209" s="14">
        <v>2011105</v>
      </c>
      <c r="U209" s="14" t="s">
        <v>121</v>
      </c>
      <c r="V209" s="14">
        <v>5.8430000000000003E-2</v>
      </c>
      <c r="W209" s="14">
        <v>0.37613999999999997</v>
      </c>
      <c r="X209" s="14">
        <v>2.9389999999999999E-2</v>
      </c>
      <c r="Y209" s="14">
        <v>1.37005</v>
      </c>
      <c r="Z209" s="14">
        <v>24.41836</v>
      </c>
      <c r="AA209" s="14">
        <v>11.52899</v>
      </c>
      <c r="AB209" s="14">
        <v>-1.37252</v>
      </c>
    </row>
    <row r="210" spans="1:28" x14ac:dyDescent="0.25">
      <c r="T210" s="14">
        <v>2011105</v>
      </c>
      <c r="U210" s="14" t="s">
        <v>120</v>
      </c>
      <c r="V210" s="14">
        <v>6.3670000000000004E-2</v>
      </c>
      <c r="W210" s="14">
        <v>0.38763999999999998</v>
      </c>
      <c r="X210" s="14">
        <v>2.5950000000000001E-2</v>
      </c>
      <c r="Y210" s="14">
        <v>1.3358300000000001</v>
      </c>
      <c r="Z210" s="14">
        <v>15.364179999999999</v>
      </c>
      <c r="AA210" s="14">
        <v>9.1606500000000004</v>
      </c>
      <c r="AB210" s="14">
        <v>-1.42045</v>
      </c>
    </row>
    <row r="211" spans="1:28" ht="51.75" x14ac:dyDescent="0.25">
      <c r="A211" s="19" t="s">
        <v>119</v>
      </c>
      <c r="B211" s="22" t="s">
        <v>26</v>
      </c>
      <c r="C211" s="26" t="s">
        <v>25</v>
      </c>
      <c r="D211" s="25" t="s">
        <v>24</v>
      </c>
      <c r="E211" s="24" t="s">
        <v>23</v>
      </c>
      <c r="F211" s="24" t="s">
        <v>22</v>
      </c>
      <c r="G211" s="24" t="s">
        <v>21</v>
      </c>
      <c r="H211" s="24" t="s">
        <v>20</v>
      </c>
      <c r="I211" s="24" t="s">
        <v>19</v>
      </c>
      <c r="J211" s="24" t="s">
        <v>18</v>
      </c>
      <c r="K211" s="24" t="s">
        <v>17</v>
      </c>
      <c r="L211" s="24" t="s">
        <v>16</v>
      </c>
      <c r="M211" s="23" t="s">
        <v>15</v>
      </c>
      <c r="N211" s="23" t="s">
        <v>14</v>
      </c>
      <c r="O211" s="23" t="s">
        <v>13</v>
      </c>
      <c r="P211" s="22" t="s">
        <v>12</v>
      </c>
      <c r="Q211" s="27" t="s">
        <v>11</v>
      </c>
      <c r="R211" s="27"/>
      <c r="T211" s="14">
        <v>2011105</v>
      </c>
      <c r="U211" s="14" t="s">
        <v>118</v>
      </c>
      <c r="V211" s="14">
        <v>7.2559999999999999E-2</v>
      </c>
      <c r="W211" s="14">
        <v>0.39961999999999998</v>
      </c>
      <c r="X211" s="14">
        <v>2.3040000000000001E-2</v>
      </c>
      <c r="Y211" s="14">
        <v>1.3186599999999999</v>
      </c>
      <c r="Z211" s="14">
        <v>9.1470400000000005</v>
      </c>
      <c r="AA211" s="14">
        <v>7.0470499999999996</v>
      </c>
      <c r="AB211" s="14">
        <v>-1.45062</v>
      </c>
    </row>
    <row r="212" spans="1:28" x14ac:dyDescent="0.25">
      <c r="A212" s="20"/>
      <c r="B212" s="22"/>
      <c r="C212" s="26"/>
      <c r="D212" s="25"/>
      <c r="E212" s="24"/>
      <c r="F212" s="24"/>
      <c r="G212" s="24"/>
      <c r="H212" s="24"/>
      <c r="I212" s="24"/>
      <c r="J212" s="24"/>
      <c r="K212" s="24"/>
      <c r="L212" s="24"/>
      <c r="M212" s="23"/>
      <c r="N212" s="23"/>
      <c r="O212" s="23"/>
      <c r="P212" s="22"/>
      <c r="Q212" s="21" t="s">
        <v>10</v>
      </c>
      <c r="R212" s="21" t="s">
        <v>9</v>
      </c>
      <c r="T212" s="14">
        <v>2011105</v>
      </c>
      <c r="U212" s="14" t="s">
        <v>117</v>
      </c>
      <c r="V212" s="14">
        <v>8.4510000000000002E-2</v>
      </c>
      <c r="W212" s="14">
        <v>0.44009999999999999</v>
      </c>
      <c r="X212" s="14">
        <v>1.524E-2</v>
      </c>
      <c r="Y212" s="14">
        <v>1.34931</v>
      </c>
      <c r="Z212" s="14">
        <v>6.1663300000000003</v>
      </c>
      <c r="AA212" s="14">
        <v>3.9731100000000001</v>
      </c>
      <c r="AB212" s="14">
        <v>-0.94725000000000004</v>
      </c>
    </row>
    <row r="213" spans="1:28" x14ac:dyDescent="0.25">
      <c r="A213" s="20"/>
      <c r="B213" s="14" t="s">
        <v>8</v>
      </c>
      <c r="C213" s="15">
        <v>50</v>
      </c>
      <c r="D213" s="14">
        <v>20</v>
      </c>
      <c r="E213" s="13">
        <v>23</v>
      </c>
      <c r="F213" s="13">
        <f>1.8*E213+32</f>
        <v>73.400000000000006</v>
      </c>
      <c r="G213" s="13">
        <v>16</v>
      </c>
      <c r="H213" s="13">
        <f>IF(F213&gt;68,G213+(F213-68)*0.2,Y441-(68-F213)*0.2)</f>
        <v>17.080000000000002</v>
      </c>
      <c r="I213" s="13">
        <v>23</v>
      </c>
      <c r="J213" s="13">
        <f>1.8*I213+32</f>
        <v>73.400000000000006</v>
      </c>
      <c r="K213" s="13">
        <v>10</v>
      </c>
      <c r="L213" s="13">
        <f>IF(J213&gt;68,K213+(J213-68)*0.2,K213-(68-J213)*0.2)</f>
        <v>11.080000000000002</v>
      </c>
      <c r="M213" s="13">
        <f>(C213-H213)/C213*100</f>
        <v>65.84</v>
      </c>
      <c r="N213" s="13">
        <f>100-(M213+O213)</f>
        <v>12</v>
      </c>
      <c r="O213" s="13">
        <f>L213/C213*100</f>
        <v>22.160000000000004</v>
      </c>
      <c r="P213" s="12" t="s">
        <v>3</v>
      </c>
      <c r="Q213" s="11">
        <v>409286.23440000002</v>
      </c>
      <c r="R213" s="11">
        <v>3659192.558892</v>
      </c>
      <c r="T213" s="14">
        <v>2011105</v>
      </c>
      <c r="U213" s="14" t="s">
        <v>116</v>
      </c>
      <c r="V213" s="14">
        <v>7.7600000000000002E-2</v>
      </c>
      <c r="W213" s="14">
        <v>0.40941</v>
      </c>
      <c r="X213" s="14">
        <v>2.2120000000000001E-2</v>
      </c>
      <c r="Y213" s="14">
        <v>1.30522</v>
      </c>
      <c r="Z213" s="14">
        <v>7.0646800000000001</v>
      </c>
      <c r="AA213" s="14">
        <v>6.3021700000000003</v>
      </c>
      <c r="AB213" s="14">
        <v>-1.5048699999999999</v>
      </c>
    </row>
    <row r="214" spans="1:28" x14ac:dyDescent="0.25">
      <c r="A214" s="19" t="s">
        <v>7</v>
      </c>
      <c r="B214" s="14" t="s">
        <v>6</v>
      </c>
      <c r="C214" s="15">
        <v>50</v>
      </c>
      <c r="D214" s="14">
        <v>20</v>
      </c>
      <c r="E214" s="13">
        <v>23</v>
      </c>
      <c r="F214" s="13">
        <f>1.8*E214+32</f>
        <v>73.400000000000006</v>
      </c>
      <c r="G214" s="13">
        <v>15</v>
      </c>
      <c r="H214" s="13">
        <f>IF(F214&gt;68,G214+(F214-68)*0.2,Y442-(68-F214)*0.2)</f>
        <v>16.080000000000002</v>
      </c>
      <c r="I214" s="13">
        <v>23</v>
      </c>
      <c r="J214" s="13">
        <f>1.8*I214+32</f>
        <v>73.400000000000006</v>
      </c>
      <c r="K214" s="13">
        <v>7</v>
      </c>
      <c r="L214" s="13">
        <f>IF(J214&gt;68,K214+(J214-68)*0.2,K214-(68-J214)*0.2)</f>
        <v>8.0800000000000018</v>
      </c>
      <c r="M214" s="13">
        <f>(C214-H214)/C214*100</f>
        <v>67.84</v>
      </c>
      <c r="N214" s="13">
        <f>100-(M214+O214)</f>
        <v>16</v>
      </c>
      <c r="O214" s="13">
        <f>L214/C214*100</f>
        <v>16.160000000000004</v>
      </c>
      <c r="P214" s="12" t="s">
        <v>0</v>
      </c>
      <c r="Q214" s="11">
        <v>409286.23440000002</v>
      </c>
      <c r="R214" s="11">
        <v>3659192.558892</v>
      </c>
      <c r="T214" s="14">
        <v>2011105</v>
      </c>
      <c r="U214" s="14" t="s">
        <v>115</v>
      </c>
      <c r="V214" s="14">
        <v>7.0639999999999994E-2</v>
      </c>
      <c r="W214" s="14">
        <v>0.40026</v>
      </c>
      <c r="X214" s="14">
        <v>2.1530000000000001E-2</v>
      </c>
      <c r="Y214" s="14">
        <v>1.34209</v>
      </c>
      <c r="Z214" s="14">
        <v>9.6182099999999995</v>
      </c>
      <c r="AA214" s="14">
        <v>6.8365499999999999</v>
      </c>
      <c r="AB214" s="14">
        <v>-1.2663500000000001</v>
      </c>
    </row>
    <row r="215" spans="1:28" x14ac:dyDescent="0.25">
      <c r="A215" s="18">
        <v>41303</v>
      </c>
      <c r="B215" s="14" t="s">
        <v>5</v>
      </c>
      <c r="C215" s="15">
        <v>50</v>
      </c>
      <c r="D215" s="14">
        <v>20</v>
      </c>
      <c r="E215" s="13">
        <v>23</v>
      </c>
      <c r="F215" s="13">
        <f>1.8*E215+32</f>
        <v>73.400000000000006</v>
      </c>
      <c r="G215" s="13">
        <v>16</v>
      </c>
      <c r="H215" s="13">
        <f>IF(F215&gt;68,G215+(F215-68)*0.2,Y443-(68-F215)*0.2)</f>
        <v>17.080000000000002</v>
      </c>
      <c r="I215" s="13">
        <v>23</v>
      </c>
      <c r="J215" s="13">
        <f>1.8*I215+32</f>
        <v>73.400000000000006</v>
      </c>
      <c r="K215" s="13">
        <v>7</v>
      </c>
      <c r="L215" s="13">
        <f>IF(J215&gt;68,K215+(J215-68)*0.2,K215-(68-J215)*0.2)</f>
        <v>8.0800000000000018</v>
      </c>
      <c r="M215" s="13">
        <f>(C215-H215)/C215*100</f>
        <v>65.84</v>
      </c>
      <c r="N215" s="13">
        <f>100-(M215+O215)</f>
        <v>18</v>
      </c>
      <c r="O215" s="13">
        <f>L215/C215*100</f>
        <v>16.160000000000004</v>
      </c>
      <c r="P215" s="12" t="s">
        <v>0</v>
      </c>
      <c r="Q215" s="11">
        <v>409286.23440000002</v>
      </c>
      <c r="R215" s="11">
        <v>3659192.558892</v>
      </c>
      <c r="T215" s="14">
        <v>2011105</v>
      </c>
      <c r="U215" s="14" t="s">
        <v>114</v>
      </c>
      <c r="V215" s="14">
        <v>6.7220000000000002E-2</v>
      </c>
      <c r="W215" s="14">
        <v>0.39388000000000001</v>
      </c>
      <c r="X215" s="14">
        <v>2.35E-2</v>
      </c>
      <c r="Y215" s="14">
        <v>1.33877</v>
      </c>
      <c r="Z215" s="14">
        <v>12.09402</v>
      </c>
      <c r="AA215" s="14">
        <v>7.8591300000000004</v>
      </c>
      <c r="AB215" s="14">
        <v>-1.3402000000000001</v>
      </c>
    </row>
    <row r="216" spans="1:28" x14ac:dyDescent="0.25">
      <c r="A216" s="17"/>
      <c r="B216" s="14" t="s">
        <v>4</v>
      </c>
      <c r="C216" s="15">
        <v>50</v>
      </c>
      <c r="D216" s="14">
        <v>20</v>
      </c>
      <c r="E216" s="13">
        <v>24</v>
      </c>
      <c r="F216" s="13">
        <f>1.8*E216+32</f>
        <v>75.2</v>
      </c>
      <c r="G216" s="13">
        <v>22</v>
      </c>
      <c r="H216" s="13">
        <f>IF(F216&gt;68,G216+(F216-68)*0.2,Y444-(68-F216)*0.2)</f>
        <v>23.44</v>
      </c>
      <c r="I216" s="13">
        <v>23</v>
      </c>
      <c r="J216" s="13">
        <f>1.8*I216+32</f>
        <v>73.400000000000006</v>
      </c>
      <c r="K216" s="13">
        <v>10</v>
      </c>
      <c r="L216" s="13">
        <f>IF(J216&gt;68,K216+(J216-68)*0.2,K216-(68-J216)*0.2)</f>
        <v>11.080000000000002</v>
      </c>
      <c r="M216" s="13">
        <f>(C216-H216)/C216*100</f>
        <v>53.12</v>
      </c>
      <c r="N216" s="13">
        <f>100-(M216+O216)</f>
        <v>24.72</v>
      </c>
      <c r="O216" s="13">
        <f>L216/C216*100</f>
        <v>22.160000000000004</v>
      </c>
      <c r="P216" s="12" t="s">
        <v>3</v>
      </c>
      <c r="Q216" s="11">
        <v>409286.23440000002</v>
      </c>
      <c r="R216" s="11">
        <v>3659192.558892</v>
      </c>
      <c r="T216" s="14">
        <v>2011105</v>
      </c>
      <c r="U216" s="14" t="s">
        <v>113</v>
      </c>
      <c r="V216" s="14">
        <v>6.2899999999999998E-2</v>
      </c>
      <c r="W216" s="14">
        <v>0.38928000000000001</v>
      </c>
      <c r="X216" s="14">
        <v>2.4989999999999998E-2</v>
      </c>
      <c r="Y216" s="14">
        <v>1.3462700000000001</v>
      </c>
      <c r="Z216" s="14">
        <v>15.53904</v>
      </c>
      <c r="AA216" s="14">
        <v>9.0044500000000003</v>
      </c>
      <c r="AB216" s="14">
        <v>-1.3320399999999999</v>
      </c>
    </row>
    <row r="217" spans="1:28" x14ac:dyDescent="0.25">
      <c r="A217" s="16"/>
      <c r="B217" s="14" t="s">
        <v>2</v>
      </c>
      <c r="C217" s="15">
        <v>50</v>
      </c>
      <c r="D217" s="14">
        <v>20</v>
      </c>
      <c r="E217" s="13">
        <v>23</v>
      </c>
      <c r="F217" s="13">
        <f>1.8*E217+32</f>
        <v>73.400000000000006</v>
      </c>
      <c r="G217" s="13">
        <v>22</v>
      </c>
      <c r="H217" s="13">
        <f>IF(F217&gt;68,G217+(F217-68)*0.2,Y445-(68-F217)*0.2)</f>
        <v>23.080000000000002</v>
      </c>
      <c r="I217" s="13">
        <v>23</v>
      </c>
      <c r="J217" s="13">
        <f>1.8*I217+32</f>
        <v>73.400000000000006</v>
      </c>
      <c r="K217" s="13">
        <v>12</v>
      </c>
      <c r="L217" s="13">
        <f>IF(J217&gt;68,K217+(J217-68)*0.2,K217-(68-J217)*0.2)</f>
        <v>13.080000000000002</v>
      </c>
      <c r="M217" s="13">
        <f>(C217-H217)/C217*100</f>
        <v>53.839999999999996</v>
      </c>
      <c r="N217" s="13">
        <f>100-(M217+O217)</f>
        <v>20</v>
      </c>
      <c r="O217" s="13">
        <f>L217/C217*100</f>
        <v>26.160000000000004</v>
      </c>
      <c r="P217" s="12" t="s">
        <v>3</v>
      </c>
      <c r="Q217" s="11">
        <v>409286.23440000002</v>
      </c>
      <c r="R217" s="11">
        <v>3659192.558892</v>
      </c>
      <c r="T217" s="14">
        <v>2011105</v>
      </c>
      <c r="U217" s="14" t="s">
        <v>112</v>
      </c>
      <c r="V217" s="14">
        <v>6.1550000000000001E-2</v>
      </c>
      <c r="W217" s="14">
        <v>0.37866</v>
      </c>
      <c r="X217" s="14">
        <v>2.8490000000000001E-2</v>
      </c>
      <c r="Y217" s="14">
        <v>1.3351299999999999</v>
      </c>
      <c r="Z217" s="14">
        <v>18.6905</v>
      </c>
      <c r="AA217" s="14">
        <v>10.250220000000001</v>
      </c>
      <c r="AB217" s="14">
        <v>-1.5105900000000001</v>
      </c>
    </row>
    <row r="218" spans="1:28" x14ac:dyDescent="0.25">
      <c r="A218" s="16"/>
      <c r="B218" s="14" t="s">
        <v>1</v>
      </c>
      <c r="C218" s="15">
        <v>50</v>
      </c>
      <c r="D218" s="14">
        <v>20</v>
      </c>
      <c r="E218" s="13">
        <v>23</v>
      </c>
      <c r="F218" s="13">
        <f>1.8*E218+32</f>
        <v>73.400000000000006</v>
      </c>
      <c r="G218" s="13">
        <v>24</v>
      </c>
      <c r="H218" s="13">
        <f>IF(F218&gt;68,G218+(F218-68)*0.2,Y446-(68-F218)*0.2)</f>
        <v>25.080000000000002</v>
      </c>
      <c r="I218" s="13">
        <v>23</v>
      </c>
      <c r="J218" s="13">
        <f>1.8*I218+32</f>
        <v>73.400000000000006</v>
      </c>
      <c r="K218" s="13">
        <v>12</v>
      </c>
      <c r="L218" s="13">
        <f>IF(J218&gt;68,K218+(J218-68)*0.2,K218-(68-J218)*0.2)</f>
        <v>13.080000000000002</v>
      </c>
      <c r="M218" s="13">
        <f>(C218-H218)/C218*100</f>
        <v>49.839999999999996</v>
      </c>
      <c r="N218" s="13">
        <f>100-(M218+O218)</f>
        <v>24</v>
      </c>
      <c r="O218" s="13">
        <f>L218/C218*100</f>
        <v>26.160000000000004</v>
      </c>
      <c r="P218" s="12" t="s">
        <v>3</v>
      </c>
      <c r="Q218" s="11">
        <v>409286.23440000002</v>
      </c>
      <c r="R218" s="11">
        <v>3659192.558892</v>
      </c>
      <c r="T218" s="14">
        <v>2011105</v>
      </c>
      <c r="U218" s="14" t="s">
        <v>111</v>
      </c>
      <c r="V218" s="14">
        <v>5.6309999999999999E-2</v>
      </c>
      <c r="W218" s="14">
        <v>0.38194</v>
      </c>
      <c r="X218" s="14">
        <v>2.9340000000000001E-2</v>
      </c>
      <c r="Y218" s="14">
        <v>1.36094</v>
      </c>
      <c r="Z218" s="14">
        <v>24.24015</v>
      </c>
      <c r="AA218" s="14">
        <v>12.030340000000001</v>
      </c>
      <c r="AB218" s="14">
        <v>-1.35903</v>
      </c>
    </row>
    <row r="219" spans="1:28" x14ac:dyDescent="0.25">
      <c r="I219" t="s">
        <v>34</v>
      </c>
      <c r="T219" s="14">
        <v>2011105</v>
      </c>
      <c r="U219" s="14" t="s">
        <v>110</v>
      </c>
      <c r="V219" s="14">
        <v>6.7129999999999995E-2</v>
      </c>
      <c r="W219" s="14">
        <v>0.39826</v>
      </c>
      <c r="X219" s="14">
        <v>2.068E-2</v>
      </c>
      <c r="Y219" s="14">
        <v>1.36361</v>
      </c>
      <c r="Z219" s="14">
        <v>11.25939</v>
      </c>
      <c r="AA219" s="14">
        <v>6.9495899999999997</v>
      </c>
      <c r="AB219" s="14">
        <v>-1.12961</v>
      </c>
    </row>
    <row r="220" spans="1:28" ht="51.75" x14ac:dyDescent="0.25">
      <c r="A220" s="19" t="s">
        <v>109</v>
      </c>
      <c r="B220" s="22" t="s">
        <v>26</v>
      </c>
      <c r="C220" s="26" t="s">
        <v>25</v>
      </c>
      <c r="D220" s="25" t="s">
        <v>24</v>
      </c>
      <c r="E220" s="24" t="s">
        <v>23</v>
      </c>
      <c r="F220" s="24" t="s">
        <v>22</v>
      </c>
      <c r="G220" s="24" t="s">
        <v>21</v>
      </c>
      <c r="H220" s="24" t="s">
        <v>20</v>
      </c>
      <c r="I220" s="24" t="s">
        <v>19</v>
      </c>
      <c r="J220" s="24" t="s">
        <v>18</v>
      </c>
      <c r="K220" s="24" t="s">
        <v>17</v>
      </c>
      <c r="L220" s="24" t="s">
        <v>16</v>
      </c>
      <c r="M220" s="23" t="s">
        <v>15</v>
      </c>
      <c r="N220" s="23" t="s">
        <v>14</v>
      </c>
      <c r="O220" s="23" t="s">
        <v>13</v>
      </c>
      <c r="P220" s="22" t="s">
        <v>12</v>
      </c>
      <c r="Q220" s="27" t="s">
        <v>11</v>
      </c>
      <c r="R220" s="27"/>
      <c r="T220" s="14">
        <v>2011105</v>
      </c>
      <c r="U220" s="14" t="s">
        <v>108</v>
      </c>
      <c r="V220" s="14">
        <v>6.3030000000000003E-2</v>
      </c>
      <c r="W220" s="14">
        <v>0.39013999999999999</v>
      </c>
      <c r="X220" s="14">
        <v>2.4490000000000001E-2</v>
      </c>
      <c r="Y220" s="14">
        <v>1.3492</v>
      </c>
      <c r="Z220" s="14">
        <v>15.23415</v>
      </c>
      <c r="AA220" s="14">
        <v>8.8140300000000007</v>
      </c>
      <c r="AB220" s="14">
        <v>-1.30247</v>
      </c>
    </row>
    <row r="221" spans="1:28" x14ac:dyDescent="0.25">
      <c r="A221" s="20"/>
      <c r="B221" s="22"/>
      <c r="C221" s="26"/>
      <c r="D221" s="25"/>
      <c r="E221" s="24"/>
      <c r="F221" s="24"/>
      <c r="G221" s="24"/>
      <c r="H221" s="24"/>
      <c r="I221" s="24"/>
      <c r="J221" s="24"/>
      <c r="K221" s="24"/>
      <c r="L221" s="24"/>
      <c r="M221" s="23"/>
      <c r="N221" s="23"/>
      <c r="O221" s="23"/>
      <c r="P221" s="22"/>
      <c r="Q221" s="21" t="s">
        <v>10</v>
      </c>
      <c r="R221" s="21" t="s">
        <v>9</v>
      </c>
      <c r="T221" s="14">
        <v>2011105</v>
      </c>
      <c r="U221" s="14" t="s">
        <v>107</v>
      </c>
      <c r="V221" s="14">
        <v>6.676E-2</v>
      </c>
      <c r="W221" s="14">
        <v>0.39106999999999997</v>
      </c>
      <c r="X221" s="14">
        <v>2.4809999999999999E-2</v>
      </c>
      <c r="Y221" s="14">
        <v>1.32952</v>
      </c>
      <c r="Z221" s="14">
        <v>12.815799999999999</v>
      </c>
      <c r="AA221" s="14">
        <v>8.3052600000000005</v>
      </c>
      <c r="AB221" s="14">
        <v>-1.4316500000000001</v>
      </c>
    </row>
    <row r="222" spans="1:28" x14ac:dyDescent="0.25">
      <c r="A222" s="20"/>
      <c r="B222" s="14" t="s">
        <v>8</v>
      </c>
      <c r="C222" s="15">
        <v>50</v>
      </c>
      <c r="D222" s="14">
        <v>20</v>
      </c>
      <c r="E222" s="13">
        <v>23</v>
      </c>
      <c r="F222" s="13">
        <f>1.8*E222+32</f>
        <v>73.400000000000006</v>
      </c>
      <c r="G222" s="13">
        <v>17</v>
      </c>
      <c r="H222" s="13">
        <f>IF(F222&gt;68,G222+(F222-68)*0.2,Y450-(68-F222)*0.2)</f>
        <v>18.080000000000002</v>
      </c>
      <c r="I222" s="13">
        <v>23</v>
      </c>
      <c r="J222" s="13">
        <f>1.8*I222+32</f>
        <v>73.400000000000006</v>
      </c>
      <c r="K222" s="13">
        <v>8</v>
      </c>
      <c r="L222" s="13">
        <f>IF(J222&gt;68,K222+(J222-68)*0.2,K222-(68-J222)*0.2)</f>
        <v>9.0800000000000018</v>
      </c>
      <c r="M222" s="13">
        <f>(C222-H222)/C222*100</f>
        <v>63.839999999999996</v>
      </c>
      <c r="N222" s="13">
        <f>100-(M222+O222)</f>
        <v>18</v>
      </c>
      <c r="O222" s="13">
        <f>L222/C222*100</f>
        <v>18.160000000000004</v>
      </c>
      <c r="P222" s="12" t="s">
        <v>0</v>
      </c>
      <c r="Q222" s="11">
        <v>409298.4264</v>
      </c>
      <c r="R222" s="11">
        <v>3659224.5359789999</v>
      </c>
      <c r="T222" s="14">
        <v>2011105</v>
      </c>
      <c r="U222" s="14" t="s">
        <v>106</v>
      </c>
      <c r="V222" s="14">
        <v>6.3030000000000003E-2</v>
      </c>
      <c r="W222" s="14">
        <v>0.39013999999999999</v>
      </c>
      <c r="X222" s="14">
        <v>2.4490000000000001E-2</v>
      </c>
      <c r="Y222" s="14">
        <v>1.3492</v>
      </c>
      <c r="Z222" s="14">
        <v>15.23415</v>
      </c>
      <c r="AA222" s="14">
        <v>8.8140300000000007</v>
      </c>
      <c r="AB222" s="14">
        <v>-1.30247</v>
      </c>
    </row>
    <row r="223" spans="1:28" x14ac:dyDescent="0.25">
      <c r="A223" s="19" t="s">
        <v>7</v>
      </c>
      <c r="B223" s="14" t="s">
        <v>6</v>
      </c>
      <c r="C223" s="15">
        <v>50</v>
      </c>
      <c r="D223" s="14">
        <v>20</v>
      </c>
      <c r="E223" s="13">
        <v>23</v>
      </c>
      <c r="F223" s="13">
        <f>1.8*E223+32</f>
        <v>73.400000000000006</v>
      </c>
      <c r="G223" s="13">
        <v>17</v>
      </c>
      <c r="H223" s="13">
        <f>IF(F223&gt;68,G223+(F223-68)*0.2,Y451-(68-F223)*0.2)</f>
        <v>18.080000000000002</v>
      </c>
      <c r="I223" s="13">
        <v>23</v>
      </c>
      <c r="J223" s="13">
        <f>1.8*I223+32</f>
        <v>73.400000000000006</v>
      </c>
      <c r="K223" s="13">
        <v>7</v>
      </c>
      <c r="L223" s="13">
        <f>IF(J223&gt;68,K223+(J223-68)*0.2,K223-(68-J223)*0.2)</f>
        <v>8.0800000000000018</v>
      </c>
      <c r="M223" s="13">
        <f>(C223-H223)/C223*100</f>
        <v>63.839999999999996</v>
      </c>
      <c r="N223" s="13">
        <f>100-(M223+O223)</f>
        <v>20</v>
      </c>
      <c r="O223" s="13">
        <f>L223/C223*100</f>
        <v>16.160000000000004</v>
      </c>
      <c r="P223" s="12" t="s">
        <v>0</v>
      </c>
      <c r="Q223" s="11">
        <v>409298.4264</v>
      </c>
      <c r="R223" s="11">
        <v>3659224.5359789999</v>
      </c>
      <c r="T223" s="14">
        <v>2011105</v>
      </c>
      <c r="U223" s="14" t="s">
        <v>105</v>
      </c>
      <c r="V223" s="14">
        <v>6.9750000000000006E-2</v>
      </c>
      <c r="W223" s="14">
        <v>0.39517000000000002</v>
      </c>
      <c r="X223" s="14">
        <v>2.3810000000000001E-2</v>
      </c>
      <c r="Y223" s="14">
        <v>1.3242700000000001</v>
      </c>
      <c r="Z223" s="14">
        <v>10.75046</v>
      </c>
      <c r="AA223" s="14">
        <v>7.5988499999999997</v>
      </c>
      <c r="AB223" s="14">
        <v>-1.4379500000000001</v>
      </c>
    </row>
    <row r="224" spans="1:28" x14ac:dyDescent="0.25">
      <c r="A224" s="18">
        <v>41303</v>
      </c>
      <c r="B224" s="14" t="s">
        <v>5</v>
      </c>
      <c r="C224" s="15">
        <v>50</v>
      </c>
      <c r="D224" s="14">
        <v>20</v>
      </c>
      <c r="E224" s="13">
        <v>23</v>
      </c>
      <c r="F224" s="13">
        <f>1.8*E224+32</f>
        <v>73.400000000000006</v>
      </c>
      <c r="G224" s="13">
        <v>15</v>
      </c>
      <c r="H224" s="13">
        <f>IF(F224&gt;68,G224+(F224-68)*0.2,Y452-(68-F224)*0.2)</f>
        <v>16.080000000000002</v>
      </c>
      <c r="I224" s="13">
        <v>23</v>
      </c>
      <c r="J224" s="13">
        <f>1.8*I224+32</f>
        <v>73.400000000000006</v>
      </c>
      <c r="K224" s="13">
        <v>6</v>
      </c>
      <c r="L224" s="13">
        <f>IF(J224&gt;68,K224+(J224-68)*0.2,K224-(68-J224)*0.2)</f>
        <v>7.080000000000001</v>
      </c>
      <c r="M224" s="13">
        <f>(C224-H224)/C224*100</f>
        <v>67.84</v>
      </c>
      <c r="N224" s="13">
        <f>100-(M224+O224)</f>
        <v>18</v>
      </c>
      <c r="O224" s="13">
        <f>L224/C224*100</f>
        <v>14.160000000000004</v>
      </c>
      <c r="P224" s="12" t="s">
        <v>0</v>
      </c>
      <c r="Q224" s="11">
        <v>409298.4264</v>
      </c>
      <c r="R224" s="11">
        <v>3659224.5359789999</v>
      </c>
      <c r="T224" s="14">
        <v>2011105</v>
      </c>
      <c r="U224" s="14" t="s">
        <v>104</v>
      </c>
      <c r="V224" s="14">
        <v>8.4739999999999996E-2</v>
      </c>
      <c r="W224" s="14">
        <v>0.43546000000000001</v>
      </c>
      <c r="X224" s="14">
        <v>1.78E-2</v>
      </c>
      <c r="Y224" s="14">
        <v>1.3169</v>
      </c>
      <c r="Z224" s="14">
        <v>5.3255600000000003</v>
      </c>
      <c r="AA224" s="14">
        <v>4.6695900000000004</v>
      </c>
      <c r="AB224" s="14">
        <v>-1.2299800000000001</v>
      </c>
    </row>
    <row r="225" spans="1:28" x14ac:dyDescent="0.25">
      <c r="A225" s="17"/>
      <c r="B225" s="14" t="s">
        <v>4</v>
      </c>
      <c r="C225" s="15">
        <v>50</v>
      </c>
      <c r="D225" s="14">
        <v>20</v>
      </c>
      <c r="E225" s="13">
        <v>23</v>
      </c>
      <c r="F225" s="13">
        <f>1.8*E225+32</f>
        <v>73.400000000000006</v>
      </c>
      <c r="G225" s="13">
        <v>17</v>
      </c>
      <c r="H225" s="13">
        <f>IF(F225&gt;68,G225+(F225-68)*0.2,Y453-(68-F225)*0.2)</f>
        <v>18.080000000000002</v>
      </c>
      <c r="I225" s="13">
        <v>23</v>
      </c>
      <c r="J225" s="13">
        <f>1.8*I225+32</f>
        <v>73.400000000000006</v>
      </c>
      <c r="K225" s="13">
        <v>7</v>
      </c>
      <c r="L225" s="13">
        <f>IF(J225&gt;68,K225+(J225-68)*0.2,K225-(68-J225)*0.2)</f>
        <v>8.0800000000000018</v>
      </c>
      <c r="M225" s="13">
        <f>(C225-H225)/C225*100</f>
        <v>63.839999999999996</v>
      </c>
      <c r="N225" s="13">
        <f>100-(M225+O225)</f>
        <v>20</v>
      </c>
      <c r="O225" s="13">
        <f>L225/C225*100</f>
        <v>16.160000000000004</v>
      </c>
      <c r="P225" s="12" t="s">
        <v>0</v>
      </c>
      <c r="Q225" s="11">
        <v>409298.4264</v>
      </c>
      <c r="R225" s="11">
        <v>3659224.5359789999</v>
      </c>
      <c r="T225" s="14">
        <v>2011105</v>
      </c>
      <c r="U225" s="14" t="s">
        <v>103</v>
      </c>
      <c r="V225" s="14">
        <v>8.029E-2</v>
      </c>
      <c r="W225" s="14">
        <v>0.42032000000000003</v>
      </c>
      <c r="X225" s="14">
        <v>1.924E-2</v>
      </c>
      <c r="Y225" s="14">
        <v>1.32361</v>
      </c>
      <c r="Z225" s="14">
        <v>5.5248100000000004</v>
      </c>
      <c r="AA225" s="14">
        <v>5.3265500000000001</v>
      </c>
      <c r="AB225" s="14">
        <v>-1.2750999999999999</v>
      </c>
    </row>
    <row r="226" spans="1:28" x14ac:dyDescent="0.25">
      <c r="A226" s="16"/>
      <c r="B226" s="14" t="s">
        <v>2</v>
      </c>
      <c r="C226" s="15">
        <v>50</v>
      </c>
      <c r="D226" s="14">
        <v>20</v>
      </c>
      <c r="E226" s="13">
        <v>23</v>
      </c>
      <c r="F226" s="13">
        <f>1.8*E226+32</f>
        <v>73.400000000000006</v>
      </c>
      <c r="G226" s="13">
        <v>20</v>
      </c>
      <c r="H226" s="13">
        <f>IF(F226&gt;68,G226+(F226-68)*0.2,Y454-(68-F226)*0.2)</f>
        <v>21.080000000000002</v>
      </c>
      <c r="I226" s="13">
        <v>23</v>
      </c>
      <c r="J226" s="13">
        <f>1.8*I226+32</f>
        <v>73.400000000000006</v>
      </c>
      <c r="K226" s="13">
        <v>8</v>
      </c>
      <c r="L226" s="13">
        <f>IF(J226&gt;68,K226+(J226-68)*0.2,K226-(68-J226)*0.2)</f>
        <v>9.0800000000000018</v>
      </c>
      <c r="M226" s="13">
        <f>(C226-H226)/C226*100</f>
        <v>57.839999999999989</v>
      </c>
      <c r="N226" s="13">
        <f>100-(M226+O226)</f>
        <v>24</v>
      </c>
      <c r="O226" s="13">
        <f>L226/C226*100</f>
        <v>18.160000000000004</v>
      </c>
      <c r="P226" s="12" t="s">
        <v>0</v>
      </c>
      <c r="Q226" s="11">
        <v>409298.4264</v>
      </c>
      <c r="R226" s="11">
        <v>3659224.5359789999</v>
      </c>
      <c r="T226" s="14">
        <v>2011105</v>
      </c>
      <c r="U226" s="14" t="s">
        <v>102</v>
      </c>
      <c r="V226" s="14">
        <v>7.6109999999999997E-2</v>
      </c>
      <c r="W226" s="14">
        <v>0.40982000000000002</v>
      </c>
      <c r="X226" s="14">
        <v>2.0369999999999999E-2</v>
      </c>
      <c r="Y226" s="14">
        <v>1.3302499999999999</v>
      </c>
      <c r="Z226" s="14">
        <v>6.9656599999999997</v>
      </c>
      <c r="AA226" s="14">
        <v>5.9621899999999997</v>
      </c>
      <c r="AB226" s="14">
        <v>-1.28975</v>
      </c>
    </row>
    <row r="227" spans="1:28" x14ac:dyDescent="0.25">
      <c r="A227" s="16"/>
      <c r="B227" s="14" t="s">
        <v>1</v>
      </c>
      <c r="C227" s="15">
        <v>50</v>
      </c>
      <c r="D227" s="14">
        <v>20</v>
      </c>
      <c r="E227" s="13">
        <v>23</v>
      </c>
      <c r="F227" s="13">
        <f>1.8*E227+32</f>
        <v>73.400000000000006</v>
      </c>
      <c r="G227" s="13">
        <v>18</v>
      </c>
      <c r="H227" s="13">
        <f>IF(F227&gt;68,G227+(F227-68)*0.2,Y455-(68-F227)*0.2)</f>
        <v>19.080000000000002</v>
      </c>
      <c r="I227" s="13">
        <v>23</v>
      </c>
      <c r="J227" s="13">
        <f>1.8*I227+32</f>
        <v>73.400000000000006</v>
      </c>
      <c r="K227" s="13">
        <v>9</v>
      </c>
      <c r="L227" s="13">
        <f>IF(J227&gt;68,K227+(J227-68)*0.2,K227-(68-J227)*0.2)</f>
        <v>10.080000000000002</v>
      </c>
      <c r="M227" s="13">
        <f>(C227-H227)/C227*100</f>
        <v>61.839999999999996</v>
      </c>
      <c r="N227" s="13">
        <f>100-(M227+O227)</f>
        <v>18</v>
      </c>
      <c r="O227" s="13">
        <f>L227/C227*100</f>
        <v>20.160000000000004</v>
      </c>
      <c r="P227" s="12" t="s">
        <v>3</v>
      </c>
      <c r="Q227" s="11">
        <v>409298.4264</v>
      </c>
      <c r="R227" s="11">
        <v>3659224.5359789999</v>
      </c>
      <c r="T227" s="14">
        <v>2011105</v>
      </c>
      <c r="U227" s="14" t="s">
        <v>101</v>
      </c>
      <c r="V227" s="14">
        <v>6.615E-2</v>
      </c>
      <c r="W227" s="14">
        <v>0.39280999999999999</v>
      </c>
      <c r="X227" s="14">
        <v>2.3730000000000001E-2</v>
      </c>
      <c r="Y227" s="14">
        <v>1.3415600000000001</v>
      </c>
      <c r="Z227" s="14">
        <v>12.83935</v>
      </c>
      <c r="AA227" s="14">
        <v>8.0844100000000001</v>
      </c>
      <c r="AB227" s="14">
        <v>-1.3295699999999999</v>
      </c>
    </row>
    <row r="228" spans="1:28" x14ac:dyDescent="0.25">
      <c r="T228" s="14">
        <v>2011105</v>
      </c>
      <c r="U228" s="14" t="s">
        <v>100</v>
      </c>
      <c r="V228" s="14">
        <v>6.676E-2</v>
      </c>
      <c r="W228" s="14">
        <v>0.39106999999999997</v>
      </c>
      <c r="X228" s="14">
        <v>2.4809999999999999E-2</v>
      </c>
      <c r="Y228" s="14">
        <v>1.32952</v>
      </c>
      <c r="Z228" s="14">
        <v>12.815799999999999</v>
      </c>
      <c r="AA228" s="14">
        <v>8.3052600000000005</v>
      </c>
      <c r="AB228" s="14">
        <v>-1.4316500000000001</v>
      </c>
    </row>
    <row r="229" spans="1:28" ht="51.75" x14ac:dyDescent="0.25">
      <c r="A229" s="19" t="s">
        <v>99</v>
      </c>
      <c r="B229" s="22" t="s">
        <v>26</v>
      </c>
      <c r="C229" s="26" t="s">
        <v>25</v>
      </c>
      <c r="D229" s="25" t="s">
        <v>24</v>
      </c>
      <c r="E229" s="24" t="s">
        <v>23</v>
      </c>
      <c r="F229" s="24" t="s">
        <v>22</v>
      </c>
      <c r="G229" s="24" t="s">
        <v>21</v>
      </c>
      <c r="H229" s="24" t="s">
        <v>20</v>
      </c>
      <c r="I229" s="24" t="s">
        <v>19</v>
      </c>
      <c r="J229" s="24" t="s">
        <v>18</v>
      </c>
      <c r="K229" s="24" t="s">
        <v>17</v>
      </c>
      <c r="L229" s="24" t="s">
        <v>16</v>
      </c>
      <c r="M229" s="23" t="s">
        <v>15</v>
      </c>
      <c r="N229" s="23" t="s">
        <v>14</v>
      </c>
      <c r="O229" s="23" t="s">
        <v>13</v>
      </c>
      <c r="P229" s="22" t="s">
        <v>12</v>
      </c>
      <c r="Q229" s="27" t="s">
        <v>11</v>
      </c>
      <c r="R229" s="27"/>
      <c r="T229" s="14">
        <v>2011105</v>
      </c>
      <c r="U229" s="14" t="s">
        <v>98</v>
      </c>
      <c r="V229" s="14">
        <v>7.2770000000000001E-2</v>
      </c>
      <c r="W229" s="14">
        <v>0.40082000000000001</v>
      </c>
      <c r="X229" s="14">
        <v>2.256E-2</v>
      </c>
      <c r="Y229" s="14">
        <v>1.3225800000000001</v>
      </c>
      <c r="Z229" s="14">
        <v>8.9040499999999998</v>
      </c>
      <c r="AA229" s="14">
        <v>6.8957800000000002</v>
      </c>
      <c r="AB229" s="14">
        <v>-1.4106000000000001</v>
      </c>
    </row>
    <row r="230" spans="1:28" x14ac:dyDescent="0.25">
      <c r="A230" s="20"/>
      <c r="B230" s="22"/>
      <c r="C230" s="26"/>
      <c r="D230" s="25"/>
      <c r="E230" s="24"/>
      <c r="F230" s="24"/>
      <c r="G230" s="24"/>
      <c r="H230" s="24"/>
      <c r="I230" s="24"/>
      <c r="J230" s="24"/>
      <c r="K230" s="24"/>
      <c r="L230" s="24"/>
      <c r="M230" s="23"/>
      <c r="N230" s="23"/>
      <c r="O230" s="23"/>
      <c r="P230" s="22"/>
      <c r="Q230" s="21" t="s">
        <v>10</v>
      </c>
      <c r="R230" s="21" t="s">
        <v>9</v>
      </c>
      <c r="T230" s="14">
        <v>2011105</v>
      </c>
      <c r="U230" s="14" t="s">
        <v>97</v>
      </c>
      <c r="V230" s="14">
        <v>8.6669999999999997E-2</v>
      </c>
      <c r="W230" s="14">
        <v>0.43930000000000002</v>
      </c>
      <c r="X230" s="14">
        <v>1.9230000000000001E-2</v>
      </c>
      <c r="Y230" s="14">
        <v>1.2918799999999999</v>
      </c>
      <c r="Z230" s="14">
        <v>6.0343900000000001</v>
      </c>
      <c r="AA230" s="14">
        <v>4.9560899999999997</v>
      </c>
      <c r="AB230" s="14">
        <v>-1.4486300000000001</v>
      </c>
    </row>
    <row r="231" spans="1:28" x14ac:dyDescent="0.25">
      <c r="A231" s="20"/>
      <c r="B231" s="14" t="s">
        <v>8</v>
      </c>
      <c r="C231" s="15">
        <v>50</v>
      </c>
      <c r="D231" s="14">
        <v>20</v>
      </c>
      <c r="E231" s="13">
        <v>25</v>
      </c>
      <c r="F231" s="13">
        <f>1.8*E231+32</f>
        <v>77</v>
      </c>
      <c r="G231" s="13">
        <v>18</v>
      </c>
      <c r="H231" s="13">
        <f>IF(F231&gt;68,G231+(F231-68)*0.2,Y459-(68-F231)*0.2)</f>
        <v>19.8</v>
      </c>
      <c r="I231" s="13">
        <v>23</v>
      </c>
      <c r="J231" s="13">
        <f>1.8*I231+32</f>
        <v>73.400000000000006</v>
      </c>
      <c r="K231" s="13">
        <v>10</v>
      </c>
      <c r="L231" s="13">
        <f>IF(J231&gt;68,K231+(J231-68)*0.2,K231-(68-J231)*0.2)</f>
        <v>11.080000000000002</v>
      </c>
      <c r="M231" s="13">
        <f>(C231-H231)/C231*100</f>
        <v>60.4</v>
      </c>
      <c r="N231" s="13">
        <f>100-(M231+O231)</f>
        <v>17.439999999999998</v>
      </c>
      <c r="O231" s="13">
        <f>L231/C231*100</f>
        <v>22.160000000000004</v>
      </c>
      <c r="P231" s="12" t="s">
        <v>3</v>
      </c>
      <c r="Q231" s="11">
        <v>409290.29639999999</v>
      </c>
      <c r="R231" s="11">
        <v>3659215.367877</v>
      </c>
      <c r="T231" s="14">
        <v>2011105</v>
      </c>
      <c r="U231" s="14" t="s">
        <v>96</v>
      </c>
      <c r="V231" s="14">
        <v>7.9170000000000004E-2</v>
      </c>
      <c r="W231" s="14">
        <v>0.41044999999999998</v>
      </c>
      <c r="X231" s="14">
        <v>2.3390000000000001E-2</v>
      </c>
      <c r="Y231" s="14">
        <v>1.28546</v>
      </c>
      <c r="Z231" s="14">
        <v>7.4491800000000001</v>
      </c>
      <c r="AA231" s="14">
        <v>6.4732500000000002</v>
      </c>
      <c r="AB231" s="14">
        <v>-1.7003600000000001</v>
      </c>
    </row>
    <row r="232" spans="1:28" x14ac:dyDescent="0.25">
      <c r="A232" s="19" t="s">
        <v>7</v>
      </c>
      <c r="B232" s="14" t="s">
        <v>6</v>
      </c>
      <c r="C232" s="15">
        <v>50</v>
      </c>
      <c r="D232" s="14">
        <v>20</v>
      </c>
      <c r="E232" s="13">
        <v>25</v>
      </c>
      <c r="F232" s="13">
        <f>1.8*E232+32</f>
        <v>77</v>
      </c>
      <c r="G232" s="13">
        <v>20</v>
      </c>
      <c r="H232" s="13">
        <f>IF(F232&gt;68,G232+(F232-68)*0.2,Y460-(68-F232)*0.2)</f>
        <v>21.8</v>
      </c>
      <c r="I232" s="13">
        <v>23</v>
      </c>
      <c r="J232" s="13">
        <f>1.8*I232+32</f>
        <v>73.400000000000006</v>
      </c>
      <c r="K232" s="13">
        <v>11</v>
      </c>
      <c r="L232" s="13">
        <f>IF(J232&gt;68,K232+(J232-68)*0.2,K232-(68-J232)*0.2)</f>
        <v>12.080000000000002</v>
      </c>
      <c r="M232" s="13">
        <f>(C232-H232)/C232*100</f>
        <v>56.399999999999991</v>
      </c>
      <c r="N232" s="13">
        <f>100-(M232+O232)</f>
        <v>19.439999999999998</v>
      </c>
      <c r="O232" s="13">
        <f>L232/C232*100</f>
        <v>24.160000000000004</v>
      </c>
      <c r="P232" s="12" t="s">
        <v>3</v>
      </c>
      <c r="Q232" s="11">
        <v>409290.29639999999</v>
      </c>
      <c r="R232" s="11">
        <v>3659215.367877</v>
      </c>
      <c r="T232" s="14">
        <v>2011105</v>
      </c>
      <c r="U232" s="14" t="s">
        <v>95</v>
      </c>
      <c r="V232" s="14">
        <v>7.1029999999999996E-2</v>
      </c>
      <c r="W232" s="14">
        <v>0.38994000000000001</v>
      </c>
      <c r="X232" s="14">
        <v>2.623E-2</v>
      </c>
      <c r="Y232" s="14">
        <v>1.29193</v>
      </c>
      <c r="Z232" s="14">
        <v>11.37696</v>
      </c>
      <c r="AA232" s="14">
        <v>7.9192400000000003</v>
      </c>
      <c r="AB232" s="14">
        <v>-1.74946</v>
      </c>
    </row>
    <row r="233" spans="1:28" x14ac:dyDescent="0.25">
      <c r="A233" s="18">
        <v>41171</v>
      </c>
      <c r="B233" s="14" t="s">
        <v>5</v>
      </c>
      <c r="C233" s="15">
        <v>50</v>
      </c>
      <c r="D233" s="14">
        <v>20</v>
      </c>
      <c r="E233" s="13">
        <v>23</v>
      </c>
      <c r="F233" s="13">
        <f>1.8*E233+32</f>
        <v>73.400000000000006</v>
      </c>
      <c r="G233" s="13">
        <v>28</v>
      </c>
      <c r="H233" s="13">
        <f>IF(F233&gt;68,G233+(F233-68)*0.2,Y461-(68-F233)*0.2)</f>
        <v>29.080000000000002</v>
      </c>
      <c r="I233" s="13">
        <v>23</v>
      </c>
      <c r="J233" s="13">
        <f>1.8*I233+32</f>
        <v>73.400000000000006</v>
      </c>
      <c r="K233" s="13">
        <v>17</v>
      </c>
      <c r="L233" s="13">
        <f>IF(J233&gt;68,K233+(J233-68)*0.2,K233-(68-J233)*0.2)</f>
        <v>18.080000000000002</v>
      </c>
      <c r="M233" s="13">
        <f>(C233-H233)/C233*100</f>
        <v>41.839999999999996</v>
      </c>
      <c r="N233" s="13">
        <f>100-(M233+O233)</f>
        <v>22</v>
      </c>
      <c r="O233" s="13">
        <f>L233/C233*100</f>
        <v>36.160000000000004</v>
      </c>
      <c r="P233" s="12" t="s">
        <v>30</v>
      </c>
      <c r="Q233" s="11">
        <v>409290.29639999999</v>
      </c>
      <c r="R233" s="11">
        <v>3659215.367877</v>
      </c>
      <c r="T233" s="14">
        <v>2011105</v>
      </c>
      <c r="U233" s="14" t="s">
        <v>94</v>
      </c>
      <c r="V233" s="14">
        <v>6.5879999999999994E-2</v>
      </c>
      <c r="W233" s="14">
        <v>0.37653999999999999</v>
      </c>
      <c r="X233" s="14">
        <v>2.7289999999999998E-2</v>
      </c>
      <c r="Y233" s="14">
        <v>1.3078399999999999</v>
      </c>
      <c r="Z233" s="14">
        <v>15.240410000000001</v>
      </c>
      <c r="AA233" s="14">
        <v>8.7197899999999997</v>
      </c>
      <c r="AB233" s="14">
        <v>-1.6736599999999999</v>
      </c>
    </row>
    <row r="234" spans="1:28" x14ac:dyDescent="0.25">
      <c r="A234" s="17"/>
      <c r="B234" s="14" t="s">
        <v>4</v>
      </c>
      <c r="C234" s="15">
        <v>50</v>
      </c>
      <c r="D234" s="14">
        <v>20</v>
      </c>
      <c r="E234" s="13">
        <v>24</v>
      </c>
      <c r="F234" s="13">
        <f>1.8*E234+32</f>
        <v>75.2</v>
      </c>
      <c r="G234" s="13">
        <v>30</v>
      </c>
      <c r="H234" s="13">
        <f>IF(F234&gt;68,G234+(F234-68)*0.2,Y462-(68-F234)*0.2)</f>
        <v>31.44</v>
      </c>
      <c r="I234" s="13">
        <v>23</v>
      </c>
      <c r="J234" s="13">
        <f>1.8*I234+32</f>
        <v>73.400000000000006</v>
      </c>
      <c r="K234" s="13">
        <v>19</v>
      </c>
      <c r="L234" s="13">
        <f>IF(J234&gt;68,K234+(J234-68)*0.2,K234-(68-J234)*0.2)</f>
        <v>20.080000000000002</v>
      </c>
      <c r="M234" s="13">
        <f>(C234-H234)/C234*100</f>
        <v>37.119999999999997</v>
      </c>
      <c r="N234" s="13">
        <f>100-(M234+O234)</f>
        <v>22.72</v>
      </c>
      <c r="O234" s="13">
        <f>L234/C234*100</f>
        <v>40.160000000000004</v>
      </c>
      <c r="P234" s="12" t="s">
        <v>93</v>
      </c>
      <c r="Q234" s="11">
        <v>409290.29639999999</v>
      </c>
      <c r="R234" s="11">
        <v>3659215.367877</v>
      </c>
      <c r="T234" s="14">
        <v>2011105</v>
      </c>
      <c r="U234" s="14" t="s">
        <v>92</v>
      </c>
      <c r="V234" s="14">
        <v>6.6600000000000006E-2</v>
      </c>
      <c r="W234" s="14">
        <v>0.39006999999999997</v>
      </c>
      <c r="X234" s="14">
        <v>2.5229999999999999E-2</v>
      </c>
      <c r="Y234" s="14">
        <v>1.3265400000000001</v>
      </c>
      <c r="Z234" s="14">
        <v>13.060499999999999</v>
      </c>
      <c r="AA234" s="14">
        <v>8.4433500000000006</v>
      </c>
      <c r="AB234" s="14">
        <v>-1.4622200000000001</v>
      </c>
    </row>
    <row r="235" spans="1:28" x14ac:dyDescent="0.25">
      <c r="A235" s="28">
        <v>41303</v>
      </c>
      <c r="B235" s="14" t="s">
        <v>2</v>
      </c>
      <c r="C235" s="15">
        <v>50</v>
      </c>
      <c r="D235" s="14">
        <v>20</v>
      </c>
      <c r="E235" s="13">
        <v>25</v>
      </c>
      <c r="F235" s="13">
        <f>1.8*E235+32</f>
        <v>77</v>
      </c>
      <c r="G235" s="13">
        <v>17</v>
      </c>
      <c r="H235" s="13">
        <f>IF(F235&gt;68,G235+(F235-68)*0.2,Y463-(68-F235)*0.2)</f>
        <v>18.8</v>
      </c>
      <c r="I235" s="13">
        <v>23</v>
      </c>
      <c r="J235" s="13">
        <f>1.8*I235+32</f>
        <v>73.400000000000006</v>
      </c>
      <c r="K235" s="13">
        <v>10</v>
      </c>
      <c r="L235" s="13">
        <f>IF(J235&gt;68,K235+(J235-68)*0.2,K235-(68-J235)*0.2)</f>
        <v>11.080000000000002</v>
      </c>
      <c r="M235" s="13">
        <f>(C235-H235)/C235*100</f>
        <v>62.4</v>
      </c>
      <c r="N235" s="13">
        <f>100-(M235+O235)</f>
        <v>15.439999999999998</v>
      </c>
      <c r="O235" s="13">
        <f>L235/C235*100</f>
        <v>22.160000000000004</v>
      </c>
      <c r="P235" s="12" t="s">
        <v>3</v>
      </c>
      <c r="Q235" s="11">
        <v>409290.29639999999</v>
      </c>
      <c r="R235" s="11">
        <v>3659215.367877</v>
      </c>
      <c r="T235" s="14">
        <v>2011105</v>
      </c>
      <c r="U235" s="14" t="s">
        <v>91</v>
      </c>
      <c r="V235" s="14">
        <v>6.9889999999999994E-2</v>
      </c>
      <c r="W235" s="14">
        <v>0.39602999999999999</v>
      </c>
      <c r="X235" s="14">
        <v>2.3439999999999999E-2</v>
      </c>
      <c r="Y235" s="14">
        <v>1.32708</v>
      </c>
      <c r="Z235" s="14">
        <v>10.55842</v>
      </c>
      <c r="AA235" s="14">
        <v>7.4812599999999998</v>
      </c>
      <c r="AB235" s="14">
        <v>-1.40977</v>
      </c>
    </row>
    <row r="236" spans="1:28" x14ac:dyDescent="0.25">
      <c r="A236" s="16"/>
      <c r="B236" s="14" t="s">
        <v>1</v>
      </c>
      <c r="C236" s="15">
        <v>50</v>
      </c>
      <c r="D236" s="14">
        <v>20</v>
      </c>
      <c r="E236" s="13">
        <v>24</v>
      </c>
      <c r="F236" s="13">
        <f>1.8*E236+32</f>
        <v>75.2</v>
      </c>
      <c r="G236" s="13">
        <v>20</v>
      </c>
      <c r="H236" s="13">
        <f>IF(F236&gt;68,G236+(F236-68)*0.2,Y464-(68-F236)*0.2)</f>
        <v>21.44</v>
      </c>
      <c r="I236" s="13">
        <v>23</v>
      </c>
      <c r="J236" s="13">
        <f>1.8*I236+32</f>
        <v>73.400000000000006</v>
      </c>
      <c r="K236" s="13">
        <v>12</v>
      </c>
      <c r="L236" s="13">
        <f>IF(J236&gt;68,K236+(J236-68)*0.2,K236-(68-J236)*0.2)</f>
        <v>13.080000000000002</v>
      </c>
      <c r="M236" s="13">
        <f>(C236-H236)/C236*100</f>
        <v>57.11999999999999</v>
      </c>
      <c r="N236" s="13">
        <f>100-(M236+O236)</f>
        <v>16.72</v>
      </c>
      <c r="O236" s="13">
        <f>L236/C236*100</f>
        <v>26.160000000000004</v>
      </c>
      <c r="P236" s="12" t="s">
        <v>3</v>
      </c>
      <c r="Q236" s="11">
        <v>409290.29639999999</v>
      </c>
      <c r="R236" s="11">
        <v>3659215.367877</v>
      </c>
      <c r="T236" s="14">
        <v>2011105</v>
      </c>
      <c r="U236" s="14" t="s">
        <v>90</v>
      </c>
      <c r="V236" s="14">
        <v>8.6379999999999998E-2</v>
      </c>
      <c r="W236" s="14">
        <v>0.43659999999999999</v>
      </c>
      <c r="X236" s="14">
        <v>2.0140000000000002E-2</v>
      </c>
      <c r="Y236" s="14">
        <v>1.2846299999999999</v>
      </c>
      <c r="Z236" s="14">
        <v>6.0293700000000001</v>
      </c>
      <c r="AA236" s="14">
        <v>5.2055199999999999</v>
      </c>
      <c r="AB236" s="14">
        <v>-1.54888</v>
      </c>
    </row>
    <row r="237" spans="1:28" x14ac:dyDescent="0.25">
      <c r="T237" s="14">
        <v>2011105</v>
      </c>
      <c r="U237" s="14" t="s">
        <v>89</v>
      </c>
      <c r="V237" s="14">
        <v>8.0610000000000001E-2</v>
      </c>
      <c r="W237" s="14">
        <v>0.41161999999999999</v>
      </c>
      <c r="X237" s="14">
        <v>2.4680000000000001E-2</v>
      </c>
      <c r="Y237" s="14">
        <v>1.26671</v>
      </c>
      <c r="Z237" s="14">
        <v>8.4548500000000004</v>
      </c>
      <c r="AA237" s="14">
        <v>6.6332100000000001</v>
      </c>
      <c r="AB237" s="14">
        <v>-1.92452</v>
      </c>
    </row>
    <row r="238" spans="1:28" ht="51.75" x14ac:dyDescent="0.25">
      <c r="A238" s="19" t="s">
        <v>88</v>
      </c>
      <c r="B238" s="22" t="s">
        <v>26</v>
      </c>
      <c r="C238" s="26" t="s">
        <v>25</v>
      </c>
      <c r="D238" s="25" t="s">
        <v>24</v>
      </c>
      <c r="E238" s="24" t="s">
        <v>23</v>
      </c>
      <c r="F238" s="24" t="s">
        <v>22</v>
      </c>
      <c r="G238" s="24" t="s">
        <v>21</v>
      </c>
      <c r="H238" s="24" t="s">
        <v>20</v>
      </c>
      <c r="I238" s="24" t="s">
        <v>19</v>
      </c>
      <c r="J238" s="24" t="s">
        <v>18</v>
      </c>
      <c r="K238" s="24" t="s">
        <v>17</v>
      </c>
      <c r="L238" s="24" t="s">
        <v>16</v>
      </c>
      <c r="M238" s="23" t="s">
        <v>15</v>
      </c>
      <c r="N238" s="23" t="s">
        <v>14</v>
      </c>
      <c r="O238" s="23" t="s">
        <v>13</v>
      </c>
      <c r="P238" s="22" t="s">
        <v>12</v>
      </c>
      <c r="Q238" s="27" t="s">
        <v>11</v>
      </c>
      <c r="R238" s="27"/>
      <c r="T238" s="14">
        <v>2011105</v>
      </c>
      <c r="U238" s="14" t="s">
        <v>87</v>
      </c>
      <c r="V238" s="14">
        <v>7.9170000000000004E-2</v>
      </c>
      <c r="W238" s="14">
        <v>0.41044999999999998</v>
      </c>
      <c r="X238" s="14">
        <v>2.3390000000000001E-2</v>
      </c>
      <c r="Y238" s="14">
        <v>1.28546</v>
      </c>
      <c r="Z238" s="14">
        <v>7.4491800000000001</v>
      </c>
      <c r="AA238" s="14">
        <v>6.4732500000000002</v>
      </c>
      <c r="AB238" s="14">
        <v>-1.7003600000000001</v>
      </c>
    </row>
    <row r="239" spans="1:28" x14ac:dyDescent="0.25">
      <c r="A239" s="20"/>
      <c r="B239" s="22"/>
      <c r="C239" s="26"/>
      <c r="D239" s="25"/>
      <c r="E239" s="24"/>
      <c r="F239" s="24"/>
      <c r="G239" s="24"/>
      <c r="H239" s="24"/>
      <c r="I239" s="24"/>
      <c r="J239" s="24"/>
      <c r="K239" s="24"/>
      <c r="L239" s="24"/>
      <c r="M239" s="23"/>
      <c r="N239" s="23"/>
      <c r="O239" s="23"/>
      <c r="P239" s="22"/>
      <c r="Q239" s="21" t="s">
        <v>10</v>
      </c>
      <c r="R239" s="21" t="s">
        <v>9</v>
      </c>
      <c r="T239" s="14">
        <v>2011105</v>
      </c>
      <c r="U239" s="14" t="s">
        <v>86</v>
      </c>
      <c r="V239" s="14">
        <v>7.2980000000000003E-2</v>
      </c>
      <c r="W239" s="14">
        <v>0.40203</v>
      </c>
      <c r="X239" s="14">
        <v>2.206E-2</v>
      </c>
      <c r="Y239" s="14">
        <v>1.32664</v>
      </c>
      <c r="Z239" s="14">
        <v>8.6648099999999992</v>
      </c>
      <c r="AA239" s="14">
        <v>6.7371299999999996</v>
      </c>
      <c r="AB239" s="14">
        <v>-1.37008</v>
      </c>
    </row>
    <row r="240" spans="1:28" x14ac:dyDescent="0.25">
      <c r="A240" s="20"/>
      <c r="B240" s="14" t="s">
        <v>8</v>
      </c>
      <c r="C240" s="15">
        <v>50</v>
      </c>
      <c r="D240" s="14">
        <v>20</v>
      </c>
      <c r="E240" s="13">
        <v>25</v>
      </c>
      <c r="F240" s="13">
        <f>1.8*E240+32</f>
        <v>77</v>
      </c>
      <c r="G240" s="13">
        <v>19</v>
      </c>
      <c r="H240" s="13">
        <f>IF(F240&gt;68,G240+(F240-68)*0.2,Y468-(68-F240)*0.2)</f>
        <v>20.8</v>
      </c>
      <c r="I240" s="13">
        <v>24</v>
      </c>
      <c r="J240" s="13">
        <f>1.8*I240+32</f>
        <v>75.2</v>
      </c>
      <c r="K240" s="13">
        <v>11</v>
      </c>
      <c r="L240" s="13">
        <f>IF(J240&gt;68,K240+(J240-68)*0.2,K240-(68-J240)*0.2)</f>
        <v>12.440000000000001</v>
      </c>
      <c r="M240" s="13">
        <f>(C240-H240)/C240*100</f>
        <v>58.4</v>
      </c>
      <c r="N240" s="13">
        <f>100-(M240+O240)</f>
        <v>16.72</v>
      </c>
      <c r="O240" s="13">
        <f>L240/C240*100</f>
        <v>24.880000000000003</v>
      </c>
      <c r="P240" s="12" t="s">
        <v>3</v>
      </c>
      <c r="Q240" s="11">
        <v>409286.23440000002</v>
      </c>
      <c r="R240" s="11">
        <v>3659215.367877</v>
      </c>
      <c r="T240" s="14">
        <v>2011105</v>
      </c>
      <c r="U240" s="14" t="s">
        <v>85</v>
      </c>
      <c r="V240" s="14">
        <v>6.3579999999999998E-2</v>
      </c>
      <c r="W240" s="14">
        <v>0.38693</v>
      </c>
      <c r="X240" s="14">
        <v>2.6249999999999999E-2</v>
      </c>
      <c r="Y240" s="14">
        <v>1.33403</v>
      </c>
      <c r="Z240" s="14">
        <v>15.556319999999999</v>
      </c>
      <c r="AA240" s="14">
        <v>9.2646800000000002</v>
      </c>
      <c r="AB240" s="14">
        <v>-1.43997</v>
      </c>
    </row>
    <row r="241" spans="1:28" x14ac:dyDescent="0.25">
      <c r="A241" s="19" t="s">
        <v>7</v>
      </c>
      <c r="B241" s="14" t="s">
        <v>6</v>
      </c>
      <c r="C241" s="15">
        <v>50</v>
      </c>
      <c r="D241" s="14">
        <v>20</v>
      </c>
      <c r="E241" s="13">
        <v>25</v>
      </c>
      <c r="F241" s="13">
        <f>1.8*E241+32</f>
        <v>77</v>
      </c>
      <c r="G241" s="13">
        <v>15</v>
      </c>
      <c r="H241" s="13">
        <f>IF(F241&gt;68,G241+(F241-68)*0.2,Y469-(68-F241)*0.2)</f>
        <v>16.8</v>
      </c>
      <c r="I241" s="13">
        <v>24</v>
      </c>
      <c r="J241" s="13">
        <f>1.8*I241+32</f>
        <v>75.2</v>
      </c>
      <c r="K241" s="13">
        <v>8</v>
      </c>
      <c r="L241" s="13">
        <f>IF(J241&gt;68,K241+(J241-68)*0.2,K241-(68-J241)*0.2)</f>
        <v>9.4400000000000013</v>
      </c>
      <c r="M241" s="13">
        <f>(C241-H241)/C241*100</f>
        <v>66.400000000000006</v>
      </c>
      <c r="N241" s="13">
        <f>100-(M241+O241)</f>
        <v>14.719999999999999</v>
      </c>
      <c r="O241" s="13">
        <f>L241/C241*100</f>
        <v>18.880000000000003</v>
      </c>
      <c r="P241" s="12" t="s">
        <v>0</v>
      </c>
      <c r="Q241" s="11">
        <v>409286.23440000002</v>
      </c>
      <c r="R241" s="11">
        <v>3659215.367877</v>
      </c>
      <c r="T241" s="14">
        <v>2011105</v>
      </c>
      <c r="U241" s="14" t="s">
        <v>84</v>
      </c>
      <c r="V241" s="14">
        <v>6.5710000000000005E-2</v>
      </c>
      <c r="W241" s="14">
        <v>0.39011000000000001</v>
      </c>
      <c r="X241" s="14">
        <v>2.504E-2</v>
      </c>
      <c r="Y241" s="14">
        <v>1.33267</v>
      </c>
      <c r="Z241" s="14">
        <v>13.58201</v>
      </c>
      <c r="AA241" s="14">
        <v>8.54209</v>
      </c>
      <c r="AB241" s="14">
        <v>-1.41767</v>
      </c>
    </row>
    <row r="242" spans="1:28" x14ac:dyDescent="0.25">
      <c r="A242" s="18">
        <v>41163</v>
      </c>
      <c r="B242" s="14" t="s">
        <v>5</v>
      </c>
      <c r="C242" s="15">
        <v>50</v>
      </c>
      <c r="D242" s="14">
        <v>20</v>
      </c>
      <c r="E242" s="13">
        <v>23</v>
      </c>
      <c r="F242" s="13">
        <f>1.8*E242+32</f>
        <v>73.400000000000006</v>
      </c>
      <c r="G242" s="13">
        <v>24</v>
      </c>
      <c r="H242" s="13">
        <f>IF(F242&gt;68,G242+(F242-68)*0.2,Y470-(68-F242)*0.2)</f>
        <v>25.080000000000002</v>
      </c>
      <c r="I242" s="13">
        <v>23</v>
      </c>
      <c r="J242" s="13">
        <f>1.8*I242+32</f>
        <v>73.400000000000006</v>
      </c>
      <c r="K242" s="13">
        <v>15</v>
      </c>
      <c r="L242" s="13">
        <f>IF(J242&gt;68,K242+(J242-68)*0.2,K242-(68-J242)*0.2)</f>
        <v>16.080000000000002</v>
      </c>
      <c r="M242" s="13">
        <f>(C242-H242)/C242*100</f>
        <v>49.839999999999996</v>
      </c>
      <c r="N242" s="13">
        <f>100-(M242+O242)</f>
        <v>18</v>
      </c>
      <c r="O242" s="13">
        <f>L242/C242*100</f>
        <v>32.160000000000004</v>
      </c>
      <c r="P242" s="12" t="s">
        <v>3</v>
      </c>
      <c r="Q242" s="11">
        <v>409286.23440000002</v>
      </c>
      <c r="R242" s="11">
        <v>3659215.367877</v>
      </c>
      <c r="T242" s="14">
        <v>2011105</v>
      </c>
      <c r="U242" s="14" t="s">
        <v>83</v>
      </c>
      <c r="V242" s="14">
        <v>7.1279999999999996E-2</v>
      </c>
      <c r="W242" s="14">
        <v>0.39956999999999998</v>
      </c>
      <c r="X242" s="14">
        <v>2.23E-2</v>
      </c>
      <c r="Y242" s="14">
        <v>1.33188</v>
      </c>
      <c r="Z242" s="14">
        <v>9.5193200000000004</v>
      </c>
      <c r="AA242" s="14">
        <v>6.9923000000000002</v>
      </c>
      <c r="AB242" s="14">
        <v>-1.34701</v>
      </c>
    </row>
    <row r="243" spans="1:28" x14ac:dyDescent="0.25">
      <c r="A243" s="17"/>
      <c r="B243" s="14" t="s">
        <v>4</v>
      </c>
      <c r="C243" s="15">
        <v>50</v>
      </c>
      <c r="D243" s="14">
        <v>20</v>
      </c>
      <c r="E243" s="13">
        <v>25</v>
      </c>
      <c r="F243" s="13">
        <f>1.8*E243+32</f>
        <v>77</v>
      </c>
      <c r="G243" s="13">
        <v>17</v>
      </c>
      <c r="H243" s="13">
        <f>IF(F243&gt;68,G243+(F243-68)*0.2,Y471-(68-F243)*0.2)</f>
        <v>18.8</v>
      </c>
      <c r="I243" s="13">
        <v>24</v>
      </c>
      <c r="J243" s="13">
        <f>1.8*I243+32</f>
        <v>75.2</v>
      </c>
      <c r="K243" s="13">
        <v>9</v>
      </c>
      <c r="L243" s="13">
        <f>IF(J243&gt;68,K243+(J243-68)*0.2,K243-(68-J243)*0.2)</f>
        <v>10.440000000000001</v>
      </c>
      <c r="M243" s="13">
        <f>(C243-H243)/C243*100</f>
        <v>62.4</v>
      </c>
      <c r="N243" s="13">
        <f>100-(M243+O243)</f>
        <v>16.72</v>
      </c>
      <c r="O243" s="13">
        <f>L243/C243*100</f>
        <v>20.880000000000003</v>
      </c>
      <c r="P243" s="12" t="s">
        <v>3</v>
      </c>
      <c r="Q243" s="11">
        <v>409286.23440000002</v>
      </c>
      <c r="R243" s="11">
        <v>3659215.367877</v>
      </c>
      <c r="T243" s="14">
        <v>2011105</v>
      </c>
      <c r="U243" s="14" t="s">
        <v>82</v>
      </c>
      <c r="V243" s="14">
        <v>7.6109999999999997E-2</v>
      </c>
      <c r="W243" s="14">
        <v>0.40982000000000002</v>
      </c>
      <c r="X243" s="14">
        <v>2.0369999999999999E-2</v>
      </c>
      <c r="Y243" s="14">
        <v>1.3302499999999999</v>
      </c>
      <c r="Z243" s="14">
        <v>6.9656599999999997</v>
      </c>
      <c r="AA243" s="14">
        <v>5.9621899999999997</v>
      </c>
      <c r="AB243" s="14">
        <v>-1.28975</v>
      </c>
    </row>
    <row r="244" spans="1:28" x14ac:dyDescent="0.25">
      <c r="A244" s="28">
        <v>41171</v>
      </c>
      <c r="B244" s="14" t="s">
        <v>2</v>
      </c>
      <c r="C244" s="15">
        <v>50</v>
      </c>
      <c r="D244" s="14">
        <v>20</v>
      </c>
      <c r="E244" s="13">
        <v>25</v>
      </c>
      <c r="F244" s="13">
        <f>1.8*E244+32</f>
        <v>77</v>
      </c>
      <c r="G244" s="13">
        <v>30</v>
      </c>
      <c r="H244" s="13">
        <f>IF(F244&gt;68,G244+(F244-68)*0.2,Y472-(68-F244)*0.2)</f>
        <v>31.8</v>
      </c>
      <c r="I244" s="13">
        <v>24</v>
      </c>
      <c r="J244" s="13">
        <f>1.8*I244+32</f>
        <v>75.2</v>
      </c>
      <c r="K244" s="13">
        <v>20</v>
      </c>
      <c r="L244" s="13">
        <f>IF(J244&gt;68,K244+(J244-68)*0.2,K244-(68-J244)*0.2)</f>
        <v>21.44</v>
      </c>
      <c r="M244" s="13">
        <f>(C244-H244)/C244*100</f>
        <v>36.4</v>
      </c>
      <c r="N244" s="13">
        <f>100-(M244+O244)</f>
        <v>20.72</v>
      </c>
      <c r="O244" s="13">
        <f>L244/C244*100</f>
        <v>42.88</v>
      </c>
      <c r="P244" s="12" t="s">
        <v>37</v>
      </c>
      <c r="Q244" s="11">
        <v>409286.23440000002</v>
      </c>
      <c r="R244" s="11">
        <v>3659215.367877</v>
      </c>
      <c r="T244" s="14">
        <v>2011105</v>
      </c>
      <c r="U244" s="14" t="s">
        <v>81</v>
      </c>
      <c r="V244" s="14">
        <v>7.4880000000000002E-2</v>
      </c>
      <c r="W244" s="14">
        <v>0.40265000000000001</v>
      </c>
      <c r="X244" s="14">
        <v>2.3130000000000001E-2</v>
      </c>
      <c r="Y244" s="14">
        <v>1.3069999999999999</v>
      </c>
      <c r="Z244" s="14">
        <v>8.2857299999999992</v>
      </c>
      <c r="AA244" s="14">
        <v>6.8149899999999999</v>
      </c>
      <c r="AB244" s="14">
        <v>-1.53087</v>
      </c>
    </row>
    <row r="245" spans="1:28" x14ac:dyDescent="0.25">
      <c r="A245" s="16"/>
      <c r="B245" s="14" t="s">
        <v>1</v>
      </c>
      <c r="C245" s="15">
        <v>50</v>
      </c>
      <c r="D245" s="14">
        <v>20</v>
      </c>
      <c r="E245" s="13">
        <v>25</v>
      </c>
      <c r="F245" s="13">
        <f>1.8*E245+32</f>
        <v>77</v>
      </c>
      <c r="G245" s="13">
        <v>20</v>
      </c>
      <c r="H245" s="13">
        <f>IF(F245&gt;68,G245+(F245-68)*0.2,Y473-(68-F245)*0.2)</f>
        <v>21.8</v>
      </c>
      <c r="I245" s="13">
        <v>24</v>
      </c>
      <c r="J245" s="13">
        <f>1.8*I245+32</f>
        <v>75.2</v>
      </c>
      <c r="K245" s="13">
        <v>12</v>
      </c>
      <c r="L245" s="13">
        <f>IF(J245&gt;68,K245+(J245-68)*0.2,K245-(68-J245)*0.2)</f>
        <v>13.440000000000001</v>
      </c>
      <c r="M245" s="13">
        <f>(C245-H245)/C245*100</f>
        <v>56.399999999999991</v>
      </c>
      <c r="N245" s="13">
        <f>100-(M245+O245)</f>
        <v>16.72</v>
      </c>
      <c r="O245" s="13">
        <f>L245/C245*100</f>
        <v>26.880000000000003</v>
      </c>
      <c r="P245" s="12" t="s">
        <v>3</v>
      </c>
      <c r="Q245" s="11">
        <v>409286.23440000002</v>
      </c>
      <c r="R245" s="11">
        <v>3659215.367877</v>
      </c>
      <c r="T245" s="14">
        <v>2011105</v>
      </c>
      <c r="U245" s="14" t="s">
        <v>80</v>
      </c>
      <c r="V245" s="14">
        <v>7.7399999999999997E-2</v>
      </c>
      <c r="W245" s="14">
        <v>0.40500999999999998</v>
      </c>
      <c r="X245" s="14">
        <v>2.4209999999999999E-2</v>
      </c>
      <c r="Y245" s="14">
        <v>1.28467</v>
      </c>
      <c r="Z245" s="14">
        <v>8.2770700000000001</v>
      </c>
      <c r="AA245" s="14">
        <v>6.80837</v>
      </c>
      <c r="AB245" s="14">
        <v>-1.7401800000000001</v>
      </c>
    </row>
    <row r="246" spans="1:28" x14ac:dyDescent="0.25">
      <c r="T246" s="14">
        <v>2011105</v>
      </c>
      <c r="U246" s="14" t="s">
        <v>79</v>
      </c>
      <c r="V246" s="14">
        <v>5.6270000000000001E-2</v>
      </c>
      <c r="W246" s="14">
        <v>0.3826</v>
      </c>
      <c r="X246" s="14">
        <v>2.904E-2</v>
      </c>
      <c r="Y246" s="14">
        <v>1.3606199999999999</v>
      </c>
      <c r="Z246" s="14">
        <v>23.897960000000001</v>
      </c>
      <c r="AA246" s="14">
        <v>11.912750000000001</v>
      </c>
      <c r="AB246" s="14">
        <v>-1.34962</v>
      </c>
    </row>
    <row r="247" spans="1:28" ht="51.75" x14ac:dyDescent="0.25">
      <c r="A247" s="19" t="s">
        <v>78</v>
      </c>
      <c r="B247" s="22" t="s">
        <v>26</v>
      </c>
      <c r="C247" s="26" t="s">
        <v>25</v>
      </c>
      <c r="D247" s="25" t="s">
        <v>24</v>
      </c>
      <c r="E247" s="24" t="s">
        <v>23</v>
      </c>
      <c r="F247" s="24" t="s">
        <v>22</v>
      </c>
      <c r="G247" s="24" t="s">
        <v>21</v>
      </c>
      <c r="H247" s="24" t="s">
        <v>20</v>
      </c>
      <c r="I247" s="24" t="s">
        <v>19</v>
      </c>
      <c r="J247" s="24" t="s">
        <v>18</v>
      </c>
      <c r="K247" s="24" t="s">
        <v>17</v>
      </c>
      <c r="L247" s="24" t="s">
        <v>16</v>
      </c>
      <c r="M247" s="23" t="s">
        <v>15</v>
      </c>
      <c r="N247" s="23" t="s">
        <v>14</v>
      </c>
      <c r="O247" s="23" t="s">
        <v>13</v>
      </c>
      <c r="P247" s="22" t="s">
        <v>12</v>
      </c>
      <c r="Q247" s="27" t="s">
        <v>11</v>
      </c>
      <c r="R247" s="27"/>
      <c r="T247" s="14">
        <v>2011105</v>
      </c>
      <c r="U247" s="14" t="s">
        <v>77</v>
      </c>
      <c r="V247" s="14">
        <v>5.9380000000000002E-2</v>
      </c>
      <c r="W247" s="14">
        <v>0.38373000000000002</v>
      </c>
      <c r="X247" s="14">
        <v>2.7879999999999999E-2</v>
      </c>
      <c r="Y247" s="14">
        <v>1.3473200000000001</v>
      </c>
      <c r="Z247" s="14">
        <v>19.931360000000002</v>
      </c>
      <c r="AA247" s="14">
        <v>10.67733</v>
      </c>
      <c r="AB247" s="14">
        <v>-1.39836</v>
      </c>
    </row>
    <row r="248" spans="1:28" x14ac:dyDescent="0.25">
      <c r="A248" s="20"/>
      <c r="B248" s="22"/>
      <c r="C248" s="26"/>
      <c r="D248" s="25"/>
      <c r="E248" s="24"/>
      <c r="F248" s="24"/>
      <c r="G248" s="24"/>
      <c r="H248" s="24"/>
      <c r="I248" s="24"/>
      <c r="J248" s="24"/>
      <c r="K248" s="24"/>
      <c r="L248" s="24"/>
      <c r="M248" s="23"/>
      <c r="N248" s="23"/>
      <c r="O248" s="23"/>
      <c r="P248" s="22"/>
      <c r="Q248" s="21" t="s">
        <v>10</v>
      </c>
      <c r="R248" s="21" t="s">
        <v>9</v>
      </c>
      <c r="T248" s="14">
        <v>2011105</v>
      </c>
      <c r="U248" s="14" t="s">
        <v>76</v>
      </c>
      <c r="V248" s="14">
        <v>8.1759999999999999E-2</v>
      </c>
      <c r="W248" s="14">
        <v>0.42161999999999999</v>
      </c>
      <c r="X248" s="14">
        <v>2.0619999999999999E-2</v>
      </c>
      <c r="Y248" s="14">
        <v>1.30203</v>
      </c>
      <c r="Z248" s="14">
        <v>5.7174899999999997</v>
      </c>
      <c r="AA248" s="14">
        <v>5.5988600000000002</v>
      </c>
      <c r="AB248" s="14">
        <v>-1.45974</v>
      </c>
    </row>
    <row r="249" spans="1:28" x14ac:dyDescent="0.25">
      <c r="A249" s="20"/>
      <c r="B249" s="14" t="s">
        <v>8</v>
      </c>
      <c r="C249" s="15">
        <v>50</v>
      </c>
      <c r="D249" s="14">
        <v>20</v>
      </c>
      <c r="E249" s="13">
        <v>25</v>
      </c>
      <c r="F249" s="13">
        <f>1.8*E249+32</f>
        <v>77</v>
      </c>
      <c r="G249" s="13">
        <v>16</v>
      </c>
      <c r="H249" s="13">
        <f>IF(F249&gt;68,G249+(F249-68)*0.2,Y477-(68-F249)*0.2)</f>
        <v>17.8</v>
      </c>
      <c r="I249" s="13">
        <v>24</v>
      </c>
      <c r="J249" s="13">
        <f>1.8*I249+32</f>
        <v>75.2</v>
      </c>
      <c r="K249" s="13">
        <v>7</v>
      </c>
      <c r="L249" s="13">
        <f>IF(J249&gt;68,K249+(J249-68)*0.2,K249-(68-J249)*0.2)</f>
        <v>8.4400000000000013</v>
      </c>
      <c r="M249" s="13">
        <f>(C249-H249)/C249*100</f>
        <v>64.400000000000006</v>
      </c>
      <c r="N249" s="13">
        <f>100-(M249+O249)</f>
        <v>18.72</v>
      </c>
      <c r="O249" s="13">
        <f>L249/C249*100</f>
        <v>16.880000000000003</v>
      </c>
      <c r="P249" s="12" t="s">
        <v>0</v>
      </c>
      <c r="Q249" s="11">
        <v>409330.93839999998</v>
      </c>
      <c r="R249" s="11">
        <v>3659201.667467</v>
      </c>
      <c r="T249" s="14">
        <v>2011105</v>
      </c>
      <c r="U249" s="14" t="s">
        <v>75</v>
      </c>
      <c r="V249" s="14">
        <v>7.4389999999999998E-2</v>
      </c>
      <c r="W249" s="14">
        <v>0.40339000000000003</v>
      </c>
      <c r="X249" s="14">
        <v>2.2370000000000001E-2</v>
      </c>
      <c r="Y249" s="14">
        <v>1.3171299999999999</v>
      </c>
      <c r="Z249" s="14">
        <v>8.1809100000000008</v>
      </c>
      <c r="AA249" s="14">
        <v>6.67239</v>
      </c>
      <c r="AB249" s="14">
        <v>-1.43794</v>
      </c>
    </row>
    <row r="250" spans="1:28" x14ac:dyDescent="0.25">
      <c r="A250" s="19" t="s">
        <v>7</v>
      </c>
      <c r="B250" s="14" t="s">
        <v>6</v>
      </c>
      <c r="C250" s="15">
        <v>50</v>
      </c>
      <c r="D250" s="14">
        <v>20</v>
      </c>
      <c r="E250" s="13">
        <v>25</v>
      </c>
      <c r="F250" s="13">
        <f>1.8*E250+32</f>
        <v>77</v>
      </c>
      <c r="G250" s="13">
        <v>20</v>
      </c>
      <c r="H250" s="13">
        <f>IF(F250&gt;68,G250+(F250-68)*0.2,Y478-(68-F250)*0.2)</f>
        <v>21.8</v>
      </c>
      <c r="I250" s="13">
        <v>23</v>
      </c>
      <c r="J250" s="13">
        <f>1.8*I250+32</f>
        <v>73.400000000000006</v>
      </c>
      <c r="K250" s="13">
        <v>9</v>
      </c>
      <c r="L250" s="13">
        <f>IF(J250&gt;68,K250+(J250-68)*0.2,K250-(68-J250)*0.2)</f>
        <v>10.080000000000002</v>
      </c>
      <c r="M250" s="13">
        <f>(C250-H250)/C250*100</f>
        <v>56.399999999999991</v>
      </c>
      <c r="N250" s="13">
        <f>100-(M250+O250)</f>
        <v>23.439999999999998</v>
      </c>
      <c r="O250" s="13">
        <f>L250/C250*100</f>
        <v>20.160000000000004</v>
      </c>
      <c r="P250" s="12" t="s">
        <v>3</v>
      </c>
      <c r="Q250" s="11">
        <v>409330.93839999998</v>
      </c>
      <c r="R250" s="11">
        <v>3659201.667467</v>
      </c>
      <c r="T250" s="14">
        <v>2011105</v>
      </c>
      <c r="U250" s="14" t="s">
        <v>74</v>
      </c>
      <c r="V250" s="14">
        <v>6.6629999999999995E-2</v>
      </c>
      <c r="W250" s="14">
        <v>0.39552999999999999</v>
      </c>
      <c r="X250" s="14">
        <v>2.2259999999999999E-2</v>
      </c>
      <c r="Y250" s="14">
        <v>1.3519000000000001</v>
      </c>
      <c r="Z250" s="14">
        <v>12.054650000000001</v>
      </c>
      <c r="AA250" s="14">
        <v>7.5460500000000001</v>
      </c>
      <c r="AB250" s="14">
        <v>-1.23289</v>
      </c>
    </row>
    <row r="251" spans="1:28" x14ac:dyDescent="0.25">
      <c r="A251" s="18">
        <v>41171</v>
      </c>
      <c r="B251" s="14" t="s">
        <v>5</v>
      </c>
      <c r="C251" s="15">
        <v>50</v>
      </c>
      <c r="D251" s="14">
        <v>20</v>
      </c>
      <c r="E251" s="13">
        <v>25</v>
      </c>
      <c r="F251" s="13">
        <f>1.8*E251+32</f>
        <v>77</v>
      </c>
      <c r="G251" s="13">
        <v>29</v>
      </c>
      <c r="H251" s="13">
        <f>IF(F251&gt;68,G251+(F251-68)*0.2,Y479-(68-F251)*0.2)</f>
        <v>30.8</v>
      </c>
      <c r="I251" s="13">
        <v>24</v>
      </c>
      <c r="J251" s="13">
        <f>1.8*I251+32</f>
        <v>75.2</v>
      </c>
      <c r="K251" s="13">
        <v>16</v>
      </c>
      <c r="L251" s="13">
        <f>IF(J251&gt;68,K251+(J251-68)*0.2,K251-(68-J251)*0.2)</f>
        <v>17.440000000000001</v>
      </c>
      <c r="M251" s="13">
        <f>(C251-H251)/C251*100</f>
        <v>38.4</v>
      </c>
      <c r="N251" s="13">
        <f>100-(M251+O251)</f>
        <v>26.72</v>
      </c>
      <c r="O251" s="13">
        <f>L251/C251*100</f>
        <v>34.880000000000003</v>
      </c>
      <c r="P251" s="12" t="s">
        <v>30</v>
      </c>
      <c r="Q251" s="11">
        <v>409330.93839999998</v>
      </c>
      <c r="R251" s="11">
        <v>3659201.667467</v>
      </c>
      <c r="T251" s="14">
        <v>2011105</v>
      </c>
      <c r="U251" s="14" t="s">
        <v>73</v>
      </c>
      <c r="V251" s="14">
        <v>5.6430000000000001E-2</v>
      </c>
      <c r="W251" s="14">
        <v>0.38074000000000002</v>
      </c>
      <c r="X251" s="14">
        <v>2.9739999999999999E-2</v>
      </c>
      <c r="Y251" s="14">
        <v>1.36249</v>
      </c>
      <c r="Z251" s="14">
        <v>24.808900000000001</v>
      </c>
      <c r="AA251" s="14">
        <v>12.17802</v>
      </c>
      <c r="AB251" s="14">
        <v>-1.3694599999999999</v>
      </c>
    </row>
    <row r="252" spans="1:28" x14ac:dyDescent="0.25">
      <c r="A252" s="17"/>
      <c r="B252" s="14" t="s">
        <v>4</v>
      </c>
      <c r="C252" s="15">
        <v>50</v>
      </c>
      <c r="D252" s="14">
        <v>20</v>
      </c>
      <c r="E252" s="13">
        <v>25</v>
      </c>
      <c r="F252" s="13">
        <f>1.8*E252+32</f>
        <v>77</v>
      </c>
      <c r="G252" s="13">
        <v>26</v>
      </c>
      <c r="H252" s="13">
        <f>IF(F252&gt;68,G252+(F252-68)*0.2,Y480-(68-F252)*0.2)</f>
        <v>27.8</v>
      </c>
      <c r="I252" s="13">
        <v>23</v>
      </c>
      <c r="J252" s="13">
        <f>1.8*I252+32</f>
        <v>73.400000000000006</v>
      </c>
      <c r="K252" s="13">
        <v>16</v>
      </c>
      <c r="L252" s="13">
        <f>IF(J252&gt;68,K252+(J252-68)*0.2,K252-(68-J252)*0.2)</f>
        <v>17.080000000000002</v>
      </c>
      <c r="M252" s="13">
        <f>(C252-H252)/C252*100</f>
        <v>44.4</v>
      </c>
      <c r="N252" s="13">
        <f>100-(M252+O252)</f>
        <v>21.439999999999998</v>
      </c>
      <c r="O252" s="13">
        <f>L252/C252*100</f>
        <v>34.160000000000004</v>
      </c>
      <c r="P252" s="12" t="s">
        <v>30</v>
      </c>
      <c r="Q252" s="11">
        <v>409330.93839999998</v>
      </c>
      <c r="R252" s="11">
        <v>3659201.667467</v>
      </c>
      <c r="T252" s="14">
        <v>2011105</v>
      </c>
      <c r="U252" s="14" t="s">
        <v>72</v>
      </c>
      <c r="V252" s="14">
        <v>5.9520000000000003E-2</v>
      </c>
      <c r="W252" s="14">
        <v>0.38584000000000002</v>
      </c>
      <c r="X252" s="14">
        <v>2.6800000000000001E-2</v>
      </c>
      <c r="Y252" s="14">
        <v>1.3510599999999999</v>
      </c>
      <c r="Z252" s="14">
        <v>19.110520000000001</v>
      </c>
      <c r="AA252" s="14">
        <v>10.26821</v>
      </c>
      <c r="AB252" s="14">
        <v>-1.34581</v>
      </c>
    </row>
    <row r="253" spans="1:28" x14ac:dyDescent="0.25">
      <c r="A253" s="16"/>
      <c r="B253" s="14" t="s">
        <v>2</v>
      </c>
      <c r="C253" s="15">
        <v>50</v>
      </c>
      <c r="D253" s="14">
        <v>20</v>
      </c>
      <c r="E253" s="13">
        <v>25</v>
      </c>
      <c r="F253" s="13">
        <f>1.8*E253+32</f>
        <v>77</v>
      </c>
      <c r="G253" s="13">
        <v>21</v>
      </c>
      <c r="H253" s="13">
        <f>IF(F253&gt;68,G253+(F253-68)*0.2,Y481-(68-F253)*0.2)</f>
        <v>22.8</v>
      </c>
      <c r="I253" s="13">
        <v>23</v>
      </c>
      <c r="J253" s="13">
        <f>1.8*I253+32</f>
        <v>73.400000000000006</v>
      </c>
      <c r="K253" s="13">
        <v>12</v>
      </c>
      <c r="L253" s="13">
        <f>IF(J253&gt;68,K253+(J253-68)*0.2,K253-(68-J253)*0.2)</f>
        <v>13.080000000000002</v>
      </c>
      <c r="M253" s="13">
        <f>(C253-H253)/C253*100</f>
        <v>54.400000000000006</v>
      </c>
      <c r="N253" s="13">
        <f>100-(M253+O253)</f>
        <v>19.439999999999998</v>
      </c>
      <c r="O253" s="13">
        <f>L253/C253*100</f>
        <v>26.160000000000004</v>
      </c>
      <c r="P253" s="12" t="s">
        <v>3</v>
      </c>
      <c r="Q253" s="11">
        <v>409330.93839999998</v>
      </c>
      <c r="R253" s="11">
        <v>3659201.667467</v>
      </c>
      <c r="T253" s="14">
        <v>2011105</v>
      </c>
      <c r="U253" s="14" t="s">
        <v>71</v>
      </c>
      <c r="V253" s="14">
        <v>6.615E-2</v>
      </c>
      <c r="W253" s="14">
        <v>0.39280999999999999</v>
      </c>
      <c r="X253" s="14">
        <v>2.3730000000000001E-2</v>
      </c>
      <c r="Y253" s="14">
        <v>1.3415600000000001</v>
      </c>
      <c r="Z253" s="14">
        <v>12.83935</v>
      </c>
      <c r="AA253" s="14">
        <v>8.0844100000000001</v>
      </c>
      <c r="AB253" s="14">
        <v>-1.3295699999999999</v>
      </c>
    </row>
    <row r="254" spans="1:28" x14ac:dyDescent="0.25">
      <c r="A254" s="16"/>
      <c r="B254" s="14" t="s">
        <v>1</v>
      </c>
      <c r="C254" s="15">
        <v>50</v>
      </c>
      <c r="D254" s="14">
        <v>20</v>
      </c>
      <c r="E254" s="13">
        <v>25</v>
      </c>
      <c r="F254" s="13">
        <f>1.8*E254+32</f>
        <v>77</v>
      </c>
      <c r="G254" s="13">
        <v>17</v>
      </c>
      <c r="H254" s="13">
        <f>IF(F254&gt;68,G254+(F254-68)*0.2,Y482-(68-F254)*0.2)</f>
        <v>18.8</v>
      </c>
      <c r="I254" s="13">
        <v>23</v>
      </c>
      <c r="J254" s="13">
        <f>1.8*I254+32</f>
        <v>73.400000000000006</v>
      </c>
      <c r="K254" s="13">
        <v>11</v>
      </c>
      <c r="L254" s="13">
        <f>IF(J254&gt;68,K254+(J254-68)*0.2,K254-(68-J254)*0.2)</f>
        <v>12.080000000000002</v>
      </c>
      <c r="M254" s="13">
        <f>(C254-H254)/C254*100</f>
        <v>62.4</v>
      </c>
      <c r="N254" s="13">
        <f>100-(M254+O254)</f>
        <v>13.439999999999998</v>
      </c>
      <c r="O254" s="13">
        <f>L254/C254*100</f>
        <v>24.160000000000004</v>
      </c>
      <c r="P254" s="12" t="s">
        <v>3</v>
      </c>
      <c r="Q254" s="11">
        <v>409330.93839999998</v>
      </c>
      <c r="R254" s="11">
        <v>3659201.667467</v>
      </c>
      <c r="T254" s="14">
        <v>2011105</v>
      </c>
      <c r="U254" s="14" t="s">
        <v>70</v>
      </c>
      <c r="V254" s="14">
        <v>8.2879999999999995E-2</v>
      </c>
      <c r="W254" s="14">
        <v>0.42976999999999999</v>
      </c>
      <c r="X254" s="14">
        <v>1.78E-2</v>
      </c>
      <c r="Y254" s="14">
        <v>1.3268599999999999</v>
      </c>
      <c r="Z254" s="14">
        <v>5.0473499999999998</v>
      </c>
      <c r="AA254" s="14">
        <v>4.7656099999999997</v>
      </c>
      <c r="AB254" s="14">
        <v>-1.18547</v>
      </c>
    </row>
    <row r="255" spans="1:28" x14ac:dyDescent="0.25">
      <c r="T255" s="14">
        <v>2011105</v>
      </c>
      <c r="U255" s="14" t="s">
        <v>69</v>
      </c>
      <c r="V255" s="14">
        <v>7.0440000000000003E-2</v>
      </c>
      <c r="W255" s="14">
        <v>0.39912999999999998</v>
      </c>
      <c r="X255" s="14">
        <v>2.205E-2</v>
      </c>
      <c r="Y255" s="14">
        <v>1.3379000000000001</v>
      </c>
      <c r="Z255" s="14">
        <v>9.8676200000000005</v>
      </c>
      <c r="AA255" s="14">
        <v>7.0175999999999998</v>
      </c>
      <c r="AB255" s="14">
        <v>-1.30522</v>
      </c>
    </row>
    <row r="256" spans="1:28" ht="51.75" x14ac:dyDescent="0.25">
      <c r="A256" s="19" t="s">
        <v>68</v>
      </c>
      <c r="B256" s="22" t="s">
        <v>26</v>
      </c>
      <c r="C256" s="26" t="s">
        <v>25</v>
      </c>
      <c r="D256" s="25" t="s">
        <v>24</v>
      </c>
      <c r="E256" s="24" t="s">
        <v>23</v>
      </c>
      <c r="F256" s="24" t="s">
        <v>22</v>
      </c>
      <c r="G256" s="24" t="s">
        <v>21</v>
      </c>
      <c r="H256" s="24" t="s">
        <v>20</v>
      </c>
      <c r="I256" s="24" t="s">
        <v>19</v>
      </c>
      <c r="J256" s="24" t="s">
        <v>18</v>
      </c>
      <c r="K256" s="24" t="s">
        <v>17</v>
      </c>
      <c r="L256" s="24" t="s">
        <v>16</v>
      </c>
      <c r="M256" s="23" t="s">
        <v>15</v>
      </c>
      <c r="N256" s="23" t="s">
        <v>14</v>
      </c>
      <c r="O256" s="23" t="s">
        <v>13</v>
      </c>
      <c r="P256" s="22" t="s">
        <v>12</v>
      </c>
      <c r="Q256" s="27" t="s">
        <v>11</v>
      </c>
      <c r="R256" s="27"/>
      <c r="T256" s="14">
        <v>2011105</v>
      </c>
      <c r="U256" s="14" t="s">
        <v>67</v>
      </c>
      <c r="V256" s="14">
        <v>6.7049999999999998E-2</v>
      </c>
      <c r="W256" s="14">
        <v>0.39287</v>
      </c>
      <c r="X256" s="14">
        <v>2.3990000000000001E-2</v>
      </c>
      <c r="Y256" s="14">
        <v>1.33527</v>
      </c>
      <c r="Z256" s="14">
        <v>12.35962</v>
      </c>
      <c r="AA256" s="14">
        <v>8.0296099999999999</v>
      </c>
      <c r="AB256" s="14">
        <v>-1.3741399999999999</v>
      </c>
    </row>
    <row r="257" spans="1:28" x14ac:dyDescent="0.25">
      <c r="A257" s="20"/>
      <c r="B257" s="22"/>
      <c r="C257" s="26"/>
      <c r="D257" s="25"/>
      <c r="E257" s="24"/>
      <c r="F257" s="24"/>
      <c r="G257" s="24"/>
      <c r="H257" s="24"/>
      <c r="I257" s="24"/>
      <c r="J257" s="24"/>
      <c r="K257" s="24"/>
      <c r="L257" s="24"/>
      <c r="M257" s="23"/>
      <c r="N257" s="23"/>
      <c r="O257" s="23"/>
      <c r="P257" s="22"/>
      <c r="Q257" s="21" t="s">
        <v>10</v>
      </c>
      <c r="R257" s="21" t="s">
        <v>9</v>
      </c>
      <c r="T257" s="14">
        <v>2011105</v>
      </c>
      <c r="U257" s="14" t="s">
        <v>66</v>
      </c>
      <c r="V257" s="14">
        <v>6.0600000000000001E-2</v>
      </c>
      <c r="W257" s="14">
        <v>0.38567000000000001</v>
      </c>
      <c r="X257" s="14">
        <v>2.6849999999999999E-2</v>
      </c>
      <c r="Y257" s="14">
        <v>1.3456900000000001</v>
      </c>
      <c r="Z257" s="14">
        <v>18.229990000000001</v>
      </c>
      <c r="AA257" s="14">
        <v>10.057359999999999</v>
      </c>
      <c r="AB257" s="14">
        <v>-1.3807400000000001</v>
      </c>
    </row>
    <row r="258" spans="1:28" x14ac:dyDescent="0.25">
      <c r="A258" s="20"/>
      <c r="B258" s="14" t="s">
        <v>8</v>
      </c>
      <c r="C258" s="15">
        <v>50</v>
      </c>
      <c r="D258" s="14">
        <v>20</v>
      </c>
      <c r="E258" s="13">
        <v>24</v>
      </c>
      <c r="F258" s="13">
        <f>1.8*E258+32</f>
        <v>75.2</v>
      </c>
      <c r="G258" s="13">
        <v>16</v>
      </c>
      <c r="H258" s="13">
        <f>IF(F258&gt;68,G258+(F258-68)*0.2,Y486-(68-F258)*0.2)</f>
        <v>17.440000000000001</v>
      </c>
      <c r="I258" s="13">
        <v>23</v>
      </c>
      <c r="J258" s="13">
        <f>1.8*I258+32</f>
        <v>73.400000000000006</v>
      </c>
      <c r="K258" s="13">
        <v>8</v>
      </c>
      <c r="L258" s="13">
        <f>IF(J258&gt;68,K258+(J258-68)*0.2,K258-(68-J258)*0.2)</f>
        <v>9.0800000000000018</v>
      </c>
      <c r="M258" s="13">
        <f>(C258-H258)/C258*100</f>
        <v>65.12</v>
      </c>
      <c r="N258" s="13">
        <f>100-(M258+O258)</f>
        <v>16.72</v>
      </c>
      <c r="O258" s="13">
        <f>L258/C258*100</f>
        <v>18.160000000000004</v>
      </c>
      <c r="P258" s="12" t="s">
        <v>0</v>
      </c>
      <c r="Q258" s="11">
        <v>409286.23440000002</v>
      </c>
      <c r="R258" s="11">
        <v>3659201.667467</v>
      </c>
      <c r="T258" s="14">
        <v>2011105</v>
      </c>
      <c r="U258" s="14" t="s">
        <v>65</v>
      </c>
      <c r="V258" s="14">
        <v>6.4030000000000004E-2</v>
      </c>
      <c r="W258" s="14">
        <v>0.39015</v>
      </c>
      <c r="X258" s="14">
        <v>2.47E-2</v>
      </c>
      <c r="Y258" s="14">
        <v>1.34335</v>
      </c>
      <c r="Z258" s="14">
        <v>14.60679</v>
      </c>
      <c r="AA258" s="14">
        <v>8.7170299999999994</v>
      </c>
      <c r="AB258" s="14">
        <v>-1.34263</v>
      </c>
    </row>
    <row r="259" spans="1:28" x14ac:dyDescent="0.25">
      <c r="A259" s="19" t="s">
        <v>7</v>
      </c>
      <c r="B259" s="14" t="s">
        <v>6</v>
      </c>
      <c r="C259" s="15">
        <v>50</v>
      </c>
      <c r="D259" s="14">
        <v>20</v>
      </c>
      <c r="E259" s="13">
        <v>24</v>
      </c>
      <c r="F259" s="13">
        <f>1.8*E259+32</f>
        <v>75.2</v>
      </c>
      <c r="G259" s="13">
        <v>17</v>
      </c>
      <c r="H259" s="13">
        <f>IF(F259&gt;68,G259+(F259-68)*0.2,Y487-(68-F259)*0.2)</f>
        <v>18.440000000000001</v>
      </c>
      <c r="I259" s="13">
        <v>23</v>
      </c>
      <c r="J259" s="13">
        <f>1.8*I259+32</f>
        <v>73.400000000000006</v>
      </c>
      <c r="K259" s="13">
        <v>8</v>
      </c>
      <c r="L259" s="13">
        <f>IF(J259&gt;68,K259+(J259-68)*0.2,K259-(68-J259)*0.2)</f>
        <v>9.0800000000000018</v>
      </c>
      <c r="M259" s="13">
        <f>(C259-H259)/C259*100</f>
        <v>63.12</v>
      </c>
      <c r="N259" s="13">
        <f>100-(M259+O259)</f>
        <v>18.72</v>
      </c>
      <c r="O259" s="13">
        <f>L259/C259*100</f>
        <v>18.160000000000004</v>
      </c>
      <c r="P259" s="12" t="s">
        <v>0</v>
      </c>
      <c r="Q259" s="11">
        <v>409286.23440000002</v>
      </c>
      <c r="R259" s="11">
        <v>3659201.667467</v>
      </c>
      <c r="T259" s="14">
        <v>2011105</v>
      </c>
      <c r="U259" s="14" t="s">
        <v>64</v>
      </c>
      <c r="V259" s="14">
        <v>7.1480000000000002E-2</v>
      </c>
      <c r="W259" s="14">
        <v>0.3931</v>
      </c>
      <c r="X259" s="14">
        <v>2.537E-2</v>
      </c>
      <c r="Y259" s="14">
        <v>1.29962</v>
      </c>
      <c r="Z259" s="14">
        <v>10.597849999999999</v>
      </c>
      <c r="AA259" s="14">
        <v>7.7172000000000001</v>
      </c>
      <c r="AB259" s="14">
        <v>-1.65889</v>
      </c>
    </row>
    <row r="260" spans="1:28" x14ac:dyDescent="0.25">
      <c r="A260" s="18">
        <v>41171</v>
      </c>
      <c r="B260" s="14" t="s">
        <v>5</v>
      </c>
      <c r="C260" s="15">
        <v>50</v>
      </c>
      <c r="D260" s="14">
        <v>20</v>
      </c>
      <c r="E260" s="13">
        <v>24</v>
      </c>
      <c r="F260" s="13">
        <f>1.8*E260+32</f>
        <v>75.2</v>
      </c>
      <c r="G260" s="13">
        <v>25</v>
      </c>
      <c r="H260" s="13">
        <f>IF(F260&gt;68,G260+(F260-68)*0.2,Y488-(68-F260)*0.2)</f>
        <v>26.44</v>
      </c>
      <c r="I260" s="13">
        <v>23</v>
      </c>
      <c r="J260" s="13">
        <f>1.8*I260+32</f>
        <v>73.400000000000006</v>
      </c>
      <c r="K260" s="13">
        <v>14</v>
      </c>
      <c r="L260" s="13">
        <f>IF(J260&gt;68,K260+(J260-68)*0.2,K260-(68-J260)*0.2)</f>
        <v>15.080000000000002</v>
      </c>
      <c r="M260" s="13">
        <f>(C260-H260)/C260*100</f>
        <v>47.12</v>
      </c>
      <c r="N260" s="13">
        <f>100-(M260+O260)</f>
        <v>22.72</v>
      </c>
      <c r="O260" s="13">
        <f>L260/C260*100</f>
        <v>30.160000000000004</v>
      </c>
      <c r="P260" s="12" t="s">
        <v>3</v>
      </c>
      <c r="Q260" s="11">
        <v>409286.23440000002</v>
      </c>
      <c r="R260" s="11">
        <v>3659201.667467</v>
      </c>
      <c r="T260" s="14">
        <v>2011105</v>
      </c>
      <c r="U260" s="14" t="s">
        <v>63</v>
      </c>
      <c r="V260" s="14">
        <v>8.1619999999999998E-2</v>
      </c>
      <c r="W260" s="14">
        <v>0.41809000000000002</v>
      </c>
      <c r="X260" s="14">
        <v>2.2519999999999998E-2</v>
      </c>
      <c r="Y260" s="14">
        <v>1.28339</v>
      </c>
      <c r="Z260" s="14">
        <v>6.7024299999999997</v>
      </c>
      <c r="AA260" s="14">
        <v>6.0858999999999996</v>
      </c>
      <c r="AB260" s="14">
        <v>-1.679</v>
      </c>
    </row>
    <row r="261" spans="1:28" x14ac:dyDescent="0.25">
      <c r="A261" s="17"/>
      <c r="B261" s="14" t="s">
        <v>4</v>
      </c>
      <c r="C261" s="15">
        <v>50</v>
      </c>
      <c r="D261" s="14">
        <v>20</v>
      </c>
      <c r="E261" s="13">
        <v>24</v>
      </c>
      <c r="F261" s="13">
        <f>1.8*E261+32</f>
        <v>75.2</v>
      </c>
      <c r="G261" s="13">
        <v>24</v>
      </c>
      <c r="H261" s="13">
        <f>IF(F261&gt;68,G261+(F261-68)*0.2,Y489-(68-F261)*0.2)</f>
        <v>25.44</v>
      </c>
      <c r="I261" s="13">
        <v>23</v>
      </c>
      <c r="J261" s="13">
        <f>1.8*I261+32</f>
        <v>73.400000000000006</v>
      </c>
      <c r="K261" s="13">
        <v>14</v>
      </c>
      <c r="L261" s="13">
        <f>IF(J261&gt;68,K261+(J261-68)*0.2,K261-(68-J261)*0.2)</f>
        <v>15.080000000000002</v>
      </c>
      <c r="M261" s="13">
        <f>(C261-H261)/C261*100</f>
        <v>49.12</v>
      </c>
      <c r="N261" s="13">
        <f>100-(M261+O261)</f>
        <v>20.72</v>
      </c>
      <c r="O261" s="13">
        <f>L261/C261*100</f>
        <v>30.160000000000004</v>
      </c>
      <c r="P261" s="12" t="s">
        <v>3</v>
      </c>
      <c r="Q261" s="11">
        <v>409286.23440000002</v>
      </c>
      <c r="R261" s="11">
        <v>3659201.667467</v>
      </c>
      <c r="T261" s="14">
        <v>2011105</v>
      </c>
      <c r="U261" s="14" t="s">
        <v>62</v>
      </c>
      <c r="V261" s="14">
        <v>7.5050000000000006E-2</v>
      </c>
      <c r="W261" s="14">
        <v>0.40364</v>
      </c>
      <c r="X261" s="14">
        <v>2.2769999999999999E-2</v>
      </c>
      <c r="Y261" s="14">
        <v>1.31002</v>
      </c>
      <c r="Z261" s="14">
        <v>8.0824300000000004</v>
      </c>
      <c r="AA261" s="14">
        <v>6.7068599999999998</v>
      </c>
      <c r="AB261" s="14">
        <v>-1.4975799999999999</v>
      </c>
    </row>
    <row r="262" spans="1:28" x14ac:dyDescent="0.25">
      <c r="A262" s="16"/>
      <c r="B262" s="14" t="s">
        <v>2</v>
      </c>
      <c r="C262" s="15">
        <v>50</v>
      </c>
      <c r="D262" s="14">
        <v>20</v>
      </c>
      <c r="E262" s="13">
        <v>25</v>
      </c>
      <c r="F262" s="13">
        <f>1.8*E262+32</f>
        <v>77</v>
      </c>
      <c r="G262" s="13">
        <v>26</v>
      </c>
      <c r="H262" s="13">
        <f>IF(F262&gt;68,G262+(F262-68)*0.2,Y490-(68-F262)*0.2)</f>
        <v>27.8</v>
      </c>
      <c r="I262" s="13">
        <v>23</v>
      </c>
      <c r="J262" s="13">
        <f>1.8*I262+32</f>
        <v>73.400000000000006</v>
      </c>
      <c r="K262" s="13">
        <v>16</v>
      </c>
      <c r="L262" s="13">
        <f>IF(J262&gt;68,K262+(J262-68)*0.2,K262-(68-J262)*0.2)</f>
        <v>17.080000000000002</v>
      </c>
      <c r="M262" s="13">
        <f>(C262-H262)/C262*100</f>
        <v>44.4</v>
      </c>
      <c r="N262" s="13">
        <f>100-(M262+O262)</f>
        <v>21.439999999999998</v>
      </c>
      <c r="O262" s="13">
        <f>L262/C262*100</f>
        <v>34.160000000000004</v>
      </c>
      <c r="P262" s="12" t="s">
        <v>30</v>
      </c>
      <c r="Q262" s="11">
        <v>409286.23440000002</v>
      </c>
      <c r="R262" s="11">
        <v>3659201.667467</v>
      </c>
      <c r="T262" s="14">
        <v>2011105</v>
      </c>
      <c r="U262" s="14" t="s">
        <v>61</v>
      </c>
      <c r="V262" s="14">
        <v>7.0660000000000001E-2</v>
      </c>
      <c r="W262" s="14">
        <v>0.38685000000000003</v>
      </c>
      <c r="X262" s="14">
        <v>2.683E-2</v>
      </c>
      <c r="Y262" s="14">
        <v>1.2855700000000001</v>
      </c>
      <c r="Z262" s="14">
        <v>12.137280000000001</v>
      </c>
      <c r="AA262" s="14">
        <v>8.0160499999999999</v>
      </c>
      <c r="AB262" s="14">
        <v>-1.8264499999999999</v>
      </c>
    </row>
    <row r="263" spans="1:28" x14ac:dyDescent="0.25">
      <c r="A263" s="16"/>
      <c r="B263" s="14" t="s">
        <v>1</v>
      </c>
      <c r="C263" s="15">
        <v>50</v>
      </c>
      <c r="D263" s="14">
        <v>20</v>
      </c>
      <c r="E263" s="13">
        <v>26</v>
      </c>
      <c r="F263" s="13">
        <f>1.8*E263+32</f>
        <v>78.800000000000011</v>
      </c>
      <c r="G263" s="13">
        <v>22</v>
      </c>
      <c r="H263" s="13">
        <f>IF(F263&gt;68,G263+(F263-68)*0.2,Y491-(68-F263)*0.2)</f>
        <v>24.160000000000004</v>
      </c>
      <c r="I263" s="13">
        <v>24</v>
      </c>
      <c r="J263" s="13">
        <f>1.8*I263+32</f>
        <v>75.2</v>
      </c>
      <c r="K263" s="13">
        <v>12</v>
      </c>
      <c r="L263" s="13">
        <f>IF(J263&gt;68,K263+(J263-68)*0.2,K263-(68-J263)*0.2)</f>
        <v>13.440000000000001</v>
      </c>
      <c r="M263" s="13">
        <f>(C263-H263)/C263*100</f>
        <v>51.679999999999993</v>
      </c>
      <c r="N263" s="13">
        <f>100-(M263+O263)</f>
        <v>21.439999999999998</v>
      </c>
      <c r="O263" s="13">
        <f>L263/C263*100</f>
        <v>26.880000000000003</v>
      </c>
      <c r="P263" s="12" t="s">
        <v>3</v>
      </c>
      <c r="Q263" s="11">
        <v>409286.23440000002</v>
      </c>
      <c r="R263" s="11">
        <v>3659201.667467</v>
      </c>
      <c r="T263" s="14">
        <v>2011105</v>
      </c>
      <c r="U263" s="14" t="s">
        <v>60</v>
      </c>
      <c r="V263" s="14">
        <v>6.3310000000000005E-2</v>
      </c>
      <c r="W263" s="14">
        <v>0.37766</v>
      </c>
      <c r="X263" s="14">
        <v>2.802E-2</v>
      </c>
      <c r="Y263" s="14">
        <v>1.32463</v>
      </c>
      <c r="Z263" s="14">
        <v>17.03088</v>
      </c>
      <c r="AA263" s="14">
        <v>9.6109299999999998</v>
      </c>
      <c r="AB263" s="14">
        <v>-1.57057</v>
      </c>
    </row>
    <row r="264" spans="1:28" x14ac:dyDescent="0.25">
      <c r="T264" s="14">
        <v>2011105</v>
      </c>
      <c r="U264" s="14" t="s">
        <v>59</v>
      </c>
      <c r="V264" s="14">
        <v>6.0600000000000001E-2</v>
      </c>
      <c r="W264" s="14">
        <v>0.38567000000000001</v>
      </c>
      <c r="X264" s="14">
        <v>2.6849999999999999E-2</v>
      </c>
      <c r="Y264" s="14">
        <v>1.3456900000000001</v>
      </c>
      <c r="Z264" s="14">
        <v>18.229990000000001</v>
      </c>
      <c r="AA264" s="14">
        <v>10.057359999999999</v>
      </c>
      <c r="AB264" s="14">
        <v>-1.3807400000000001</v>
      </c>
    </row>
    <row r="265" spans="1:28" ht="51.75" x14ac:dyDescent="0.25">
      <c r="A265" s="19" t="s">
        <v>58</v>
      </c>
      <c r="B265" s="22" t="s">
        <v>26</v>
      </c>
      <c r="C265" s="26" t="s">
        <v>25</v>
      </c>
      <c r="D265" s="25" t="s">
        <v>24</v>
      </c>
      <c r="E265" s="24" t="s">
        <v>23</v>
      </c>
      <c r="F265" s="24" t="s">
        <v>22</v>
      </c>
      <c r="G265" s="24" t="s">
        <v>21</v>
      </c>
      <c r="H265" s="24" t="s">
        <v>20</v>
      </c>
      <c r="I265" s="24" t="s">
        <v>19</v>
      </c>
      <c r="J265" s="24" t="s">
        <v>18</v>
      </c>
      <c r="K265" s="24" t="s">
        <v>17</v>
      </c>
      <c r="L265" s="24" t="s">
        <v>16</v>
      </c>
      <c r="M265" s="23" t="s">
        <v>15</v>
      </c>
      <c r="N265" s="23" t="s">
        <v>14</v>
      </c>
      <c r="O265" s="23" t="s">
        <v>13</v>
      </c>
      <c r="P265" s="22" t="s">
        <v>12</v>
      </c>
      <c r="Q265" s="27" t="s">
        <v>11</v>
      </c>
      <c r="R265" s="27"/>
      <c r="T265" s="14">
        <v>2011105</v>
      </c>
      <c r="U265" s="14" t="s">
        <v>57</v>
      </c>
      <c r="V265" s="14">
        <v>6.9379999999999997E-2</v>
      </c>
      <c r="W265" s="14">
        <v>0.39296999999999999</v>
      </c>
      <c r="X265" s="14">
        <v>2.4680000000000001E-2</v>
      </c>
      <c r="Y265" s="14">
        <v>1.3174999999999999</v>
      </c>
      <c r="Z265" s="14">
        <v>11.23972</v>
      </c>
      <c r="AA265" s="14">
        <v>7.8723299999999998</v>
      </c>
      <c r="AB265" s="14">
        <v>-1.5077</v>
      </c>
    </row>
    <row r="266" spans="1:28" x14ac:dyDescent="0.25">
      <c r="A266" s="20"/>
      <c r="B266" s="22"/>
      <c r="C266" s="26"/>
      <c r="D266" s="25"/>
      <c r="E266" s="24"/>
      <c r="F266" s="24"/>
      <c r="G266" s="24"/>
      <c r="H266" s="24"/>
      <c r="I266" s="24"/>
      <c r="J266" s="24"/>
      <c r="K266" s="24"/>
      <c r="L266" s="24"/>
      <c r="M266" s="23"/>
      <c r="N266" s="23"/>
      <c r="O266" s="23"/>
      <c r="P266" s="22"/>
      <c r="Q266" s="21" t="s">
        <v>10</v>
      </c>
      <c r="R266" s="21" t="s">
        <v>9</v>
      </c>
      <c r="T266" s="14">
        <v>2011105</v>
      </c>
      <c r="U266" s="14" t="s">
        <v>56</v>
      </c>
      <c r="V266" s="14">
        <v>8.1000000000000003E-2</v>
      </c>
      <c r="W266" s="14">
        <v>0.41413</v>
      </c>
      <c r="X266" s="14">
        <v>2.3869999999999999E-2</v>
      </c>
      <c r="Y266" s="14">
        <v>1.2729600000000001</v>
      </c>
      <c r="Z266" s="14">
        <v>7.7083899999999996</v>
      </c>
      <c r="AA266" s="14">
        <v>6.4368999999999996</v>
      </c>
      <c r="AB266" s="14">
        <v>-1.8285199999999999</v>
      </c>
    </row>
    <row r="267" spans="1:28" x14ac:dyDescent="0.25">
      <c r="A267" s="20"/>
      <c r="B267" s="14" t="s">
        <v>8</v>
      </c>
      <c r="C267" s="15">
        <v>50</v>
      </c>
      <c r="D267" s="14">
        <v>20</v>
      </c>
      <c r="E267" s="13">
        <v>23</v>
      </c>
      <c r="F267" s="13">
        <f>1.8*E267+32</f>
        <v>73.400000000000006</v>
      </c>
      <c r="G267" s="13">
        <v>18</v>
      </c>
      <c r="H267" s="13">
        <f>IF(F267&gt;68,G267+(F267-68)*0.2,Y495-(68-F267)*0.2)</f>
        <v>19.080000000000002</v>
      </c>
      <c r="I267" s="13">
        <v>23</v>
      </c>
      <c r="J267" s="13">
        <f>1.8*I267+32</f>
        <v>73.400000000000006</v>
      </c>
      <c r="K267" s="13">
        <v>10</v>
      </c>
      <c r="L267" s="13">
        <f>IF(J267&gt;68,K267+(J267-68)*0.2,K267-(68-J267)*0.2)</f>
        <v>11.080000000000002</v>
      </c>
      <c r="M267" s="13">
        <f>(C267-H267)/C267*100</f>
        <v>61.839999999999996</v>
      </c>
      <c r="N267" s="13">
        <f>100-(M267+O267)</f>
        <v>16</v>
      </c>
      <c r="O267" s="13">
        <f>L267/C267*100</f>
        <v>22.160000000000004</v>
      </c>
      <c r="P267" s="12" t="s">
        <v>3</v>
      </c>
      <c r="Q267" s="11">
        <v>409290.29639999999</v>
      </c>
      <c r="R267" s="11">
        <v>3659224.5359789999</v>
      </c>
      <c r="T267" s="14">
        <v>2011105</v>
      </c>
      <c r="U267" s="14" t="s">
        <v>55</v>
      </c>
      <c r="V267" s="14">
        <v>6.9889999999999994E-2</v>
      </c>
      <c r="W267" s="14">
        <v>0.39602999999999999</v>
      </c>
      <c r="X267" s="14">
        <v>2.3439999999999999E-2</v>
      </c>
      <c r="Y267" s="14">
        <v>1.32708</v>
      </c>
      <c r="Z267" s="14">
        <v>10.55842</v>
      </c>
      <c r="AA267" s="14">
        <v>7.4812599999999998</v>
      </c>
      <c r="AB267" s="14">
        <v>-1.40977</v>
      </c>
    </row>
    <row r="268" spans="1:28" x14ac:dyDescent="0.25">
      <c r="A268" s="19" t="s">
        <v>7</v>
      </c>
      <c r="B268" s="14" t="s">
        <v>6</v>
      </c>
      <c r="C268" s="15">
        <v>50</v>
      </c>
      <c r="D268" s="14">
        <v>20</v>
      </c>
      <c r="E268" s="13">
        <v>24</v>
      </c>
      <c r="F268" s="13">
        <f>1.8*E268+32</f>
        <v>75.2</v>
      </c>
      <c r="G268" s="13">
        <v>16</v>
      </c>
      <c r="H268" s="13">
        <f>IF(F268&gt;68,G268+(F268-68)*0.2,Y496-(68-F268)*0.2)</f>
        <v>17.440000000000001</v>
      </c>
      <c r="I268" s="13">
        <v>24</v>
      </c>
      <c r="J268" s="13">
        <f>1.8*I268+32</f>
        <v>75.2</v>
      </c>
      <c r="K268" s="13">
        <v>7</v>
      </c>
      <c r="L268" s="13">
        <f>IF(J268&gt;68,K268+(J268-68)*0.2,K268-(68-J268)*0.2)</f>
        <v>8.4400000000000013</v>
      </c>
      <c r="M268" s="13">
        <f>(C268-H268)/C268*100</f>
        <v>65.12</v>
      </c>
      <c r="N268" s="13">
        <f>100-(M268+O268)</f>
        <v>18</v>
      </c>
      <c r="O268" s="13">
        <f>L268/C268*100</f>
        <v>16.880000000000003</v>
      </c>
      <c r="P268" s="12" t="s">
        <v>0</v>
      </c>
      <c r="Q268" s="11">
        <v>409290.29639999999</v>
      </c>
      <c r="R268" s="11">
        <v>3659224.5359789999</v>
      </c>
      <c r="T268" s="14">
        <v>2011105</v>
      </c>
      <c r="U268" s="14" t="s">
        <v>54</v>
      </c>
      <c r="V268" s="14">
        <v>6.5930000000000002E-2</v>
      </c>
      <c r="W268" s="14">
        <v>0.38456000000000001</v>
      </c>
      <c r="X268" s="14">
        <v>2.7019999999999999E-2</v>
      </c>
      <c r="Y268" s="14">
        <v>1.31366</v>
      </c>
      <c r="Z268" s="14">
        <v>14.211410000000001</v>
      </c>
      <c r="AA268" s="14">
        <v>8.9493299999999998</v>
      </c>
      <c r="AB268" s="14">
        <v>-1.6019399999999999</v>
      </c>
    </row>
    <row r="269" spans="1:28" x14ac:dyDescent="0.25">
      <c r="A269" s="18">
        <v>41163</v>
      </c>
      <c r="B269" s="14" t="s">
        <v>5</v>
      </c>
      <c r="C269" s="15">
        <v>50</v>
      </c>
      <c r="D269" s="14">
        <v>20</v>
      </c>
      <c r="E269" s="13">
        <v>24</v>
      </c>
      <c r="F269" s="13">
        <f>1.8*E269+32</f>
        <v>75.2</v>
      </c>
      <c r="G269" s="13">
        <v>15</v>
      </c>
      <c r="H269" s="13">
        <f>IF(F269&gt;68,G269+(F269-68)*0.2,Y497-(68-F269)*0.2)</f>
        <v>16.440000000000001</v>
      </c>
      <c r="I269" s="13">
        <v>24</v>
      </c>
      <c r="J269" s="13">
        <f>1.8*I269+32</f>
        <v>75.2</v>
      </c>
      <c r="K269" s="13">
        <v>6</v>
      </c>
      <c r="L269" s="13">
        <f>IF(J269&gt;68,K269+(J269-68)*0.2,K269-(68-J269)*0.2)</f>
        <v>7.44</v>
      </c>
      <c r="M269" s="13">
        <f>(C269-H269)/C269*100</f>
        <v>67.12</v>
      </c>
      <c r="N269" s="13">
        <f>100-(M269+O269)</f>
        <v>18</v>
      </c>
      <c r="O269" s="13">
        <f>L269/C269*100</f>
        <v>14.88</v>
      </c>
      <c r="P269" s="12" t="s">
        <v>0</v>
      </c>
      <c r="Q269" s="11">
        <v>409290.29639999999</v>
      </c>
      <c r="R269" s="11">
        <v>3659224.5359789999</v>
      </c>
      <c r="T269" s="14">
        <v>2011105</v>
      </c>
      <c r="U269" s="14" t="s">
        <v>53</v>
      </c>
      <c r="V269" s="14">
        <v>6.318E-2</v>
      </c>
      <c r="W269" s="14">
        <v>0.38013999999999998</v>
      </c>
      <c r="X269" s="14">
        <v>2.8029999999999999E-2</v>
      </c>
      <c r="Y269" s="14">
        <v>1.32422</v>
      </c>
      <c r="Z269" s="14">
        <v>16.806439999999998</v>
      </c>
      <c r="AA269" s="14">
        <v>9.7236999999999991</v>
      </c>
      <c r="AB269" s="14">
        <v>-1.56267</v>
      </c>
    </row>
    <row r="270" spans="1:28" x14ac:dyDescent="0.25">
      <c r="A270" s="17"/>
      <c r="B270" s="14" t="s">
        <v>4</v>
      </c>
      <c r="C270" s="15">
        <v>50</v>
      </c>
      <c r="D270" s="14">
        <v>20</v>
      </c>
      <c r="E270" s="13">
        <v>24</v>
      </c>
      <c r="F270" s="13">
        <f>1.8*E270+32</f>
        <v>75.2</v>
      </c>
      <c r="G270" s="13">
        <v>17</v>
      </c>
      <c r="H270" s="13">
        <f>IF(F270&gt;68,G270+(F270-68)*0.2,Y498-(68-F270)*0.2)</f>
        <v>18.440000000000001</v>
      </c>
      <c r="I270" s="13">
        <v>24</v>
      </c>
      <c r="J270" s="13">
        <f>1.8*I270+32</f>
        <v>75.2</v>
      </c>
      <c r="K270" s="13">
        <v>7</v>
      </c>
      <c r="L270" s="13">
        <f>IF(J270&gt;68,K270+(J270-68)*0.2,K270-(68-J270)*0.2)</f>
        <v>8.4400000000000013</v>
      </c>
      <c r="M270" s="13">
        <f>(C270-H270)/C270*100</f>
        <v>63.12</v>
      </c>
      <c r="N270" s="13">
        <f>100-(M270+O270)</f>
        <v>20</v>
      </c>
      <c r="O270" s="13">
        <f>L270/C270*100</f>
        <v>16.880000000000003</v>
      </c>
      <c r="P270" s="12" t="s">
        <v>0</v>
      </c>
      <c r="Q270" s="11">
        <v>409290.29639999999</v>
      </c>
      <c r="R270" s="11">
        <v>3659224.5359789999</v>
      </c>
      <c r="T270" s="14">
        <v>2011105</v>
      </c>
      <c r="U270" s="14" t="s">
        <v>52</v>
      </c>
      <c r="V270" s="14">
        <v>6.0440000000000001E-2</v>
      </c>
      <c r="W270" s="14">
        <v>0.38345000000000001</v>
      </c>
      <c r="X270" s="14">
        <v>2.7830000000000001E-2</v>
      </c>
      <c r="Y270" s="14">
        <v>1.34188</v>
      </c>
      <c r="Z270" s="14">
        <v>18.947849999999999</v>
      </c>
      <c r="AA270" s="14">
        <v>10.403969999999999</v>
      </c>
      <c r="AB270" s="14">
        <v>-1.4321200000000001</v>
      </c>
    </row>
    <row r="271" spans="1:28" x14ac:dyDescent="0.25">
      <c r="A271" s="28">
        <v>41302</v>
      </c>
      <c r="B271" s="14" t="s">
        <v>2</v>
      </c>
      <c r="C271" s="15">
        <v>50</v>
      </c>
      <c r="D271" s="14">
        <v>20</v>
      </c>
      <c r="E271" s="13">
        <v>24</v>
      </c>
      <c r="F271" s="13">
        <f>1.8*E271+32</f>
        <v>75.2</v>
      </c>
      <c r="G271" s="13">
        <v>17</v>
      </c>
      <c r="H271" s="13">
        <f>IF(F271&gt;68,G271+(F271-68)*0.2,Y499-(68-F271)*0.2)</f>
        <v>18.440000000000001</v>
      </c>
      <c r="I271" s="13">
        <v>24</v>
      </c>
      <c r="J271" s="13">
        <f>1.8*I271+32</f>
        <v>75.2</v>
      </c>
      <c r="K271" s="13">
        <v>8</v>
      </c>
      <c r="L271" s="13">
        <f>IF(J271&gt;68,K271+(J271-68)*0.2,K271-(68-J271)*0.2)</f>
        <v>9.4400000000000013</v>
      </c>
      <c r="M271" s="13">
        <f>(C271-H271)/C271*100</f>
        <v>63.12</v>
      </c>
      <c r="N271" s="13">
        <f>100-(M271+O271)</f>
        <v>18</v>
      </c>
      <c r="O271" s="13">
        <f>L271/C271*100</f>
        <v>18.880000000000003</v>
      </c>
      <c r="P271" s="12" t="s">
        <v>0</v>
      </c>
      <c r="Q271" s="11">
        <v>409290.29639999999</v>
      </c>
      <c r="R271" s="11">
        <v>3659224.5359789999</v>
      </c>
      <c r="T271" s="14">
        <v>2011105</v>
      </c>
      <c r="U271" s="14" t="s">
        <v>51</v>
      </c>
      <c r="V271" s="14">
        <v>5.4539999999999998E-2</v>
      </c>
      <c r="W271" s="14">
        <v>0.38044</v>
      </c>
      <c r="X271" s="14">
        <v>3.0550000000000001E-2</v>
      </c>
      <c r="Y271" s="14">
        <v>1.37504</v>
      </c>
      <c r="Z271" s="14">
        <v>28.11946</v>
      </c>
      <c r="AA271" s="14">
        <v>13.139099999999999</v>
      </c>
      <c r="AB271" s="14">
        <v>-1.32718</v>
      </c>
    </row>
    <row r="272" spans="1:28" x14ac:dyDescent="0.25">
      <c r="A272" s="16"/>
      <c r="B272" s="14" t="s">
        <v>1</v>
      </c>
      <c r="C272" s="15">
        <v>50</v>
      </c>
      <c r="D272" s="14">
        <v>20</v>
      </c>
      <c r="E272" s="13">
        <v>24</v>
      </c>
      <c r="F272" s="13">
        <f>1.8*E272+32</f>
        <v>75.2</v>
      </c>
      <c r="G272" s="13">
        <v>21</v>
      </c>
      <c r="H272" s="13">
        <f>IF(F272&gt;68,G272+(F272-68)*0.2,Y500-(68-F272)*0.2)</f>
        <v>22.44</v>
      </c>
      <c r="I272" s="13">
        <v>24</v>
      </c>
      <c r="J272" s="13">
        <f>1.8*I272+32</f>
        <v>75.2</v>
      </c>
      <c r="K272" s="13">
        <v>10</v>
      </c>
      <c r="L272" s="13">
        <f>IF(J272&gt;68,K272+(J272-68)*0.2,K272-(68-J272)*0.2)</f>
        <v>11.440000000000001</v>
      </c>
      <c r="M272" s="13">
        <f>(C272-H272)/C272*100</f>
        <v>55.120000000000005</v>
      </c>
      <c r="N272" s="13">
        <f>100-(M272+O272)</f>
        <v>22</v>
      </c>
      <c r="O272" s="13">
        <f>L272/C272*100</f>
        <v>22.880000000000003</v>
      </c>
      <c r="P272" s="12" t="s">
        <v>3</v>
      </c>
      <c r="Q272" s="11">
        <v>409290.29639999999</v>
      </c>
      <c r="R272" s="11">
        <v>3659224.5359789999</v>
      </c>
      <c r="T272" s="14">
        <v>2011105</v>
      </c>
      <c r="U272" s="14" t="s">
        <v>50</v>
      </c>
      <c r="V272" s="14">
        <v>5.1630000000000002E-2</v>
      </c>
      <c r="W272" s="14">
        <v>0.38035999999999998</v>
      </c>
      <c r="X272" s="14">
        <v>3.2000000000000001E-2</v>
      </c>
      <c r="Y272" s="14">
        <v>1.3989100000000001</v>
      </c>
      <c r="Z272" s="14">
        <v>34.45561</v>
      </c>
      <c r="AA272" s="14">
        <v>14.958909999999999</v>
      </c>
      <c r="AB272" s="14">
        <v>-1.2581800000000001</v>
      </c>
    </row>
    <row r="273" spans="1:28" x14ac:dyDescent="0.25">
      <c r="T273" s="14">
        <v>2011105</v>
      </c>
      <c r="U273" s="14" t="s">
        <v>49</v>
      </c>
      <c r="V273" s="14">
        <v>6.0440000000000001E-2</v>
      </c>
      <c r="W273" s="14">
        <v>0.38057000000000002</v>
      </c>
      <c r="X273" s="14">
        <v>2.86E-2</v>
      </c>
      <c r="Y273" s="14">
        <v>1.3402799999999999</v>
      </c>
      <c r="Z273" s="14">
        <v>19.598040000000001</v>
      </c>
      <c r="AA273" s="14">
        <v>10.61961</v>
      </c>
      <c r="AB273" s="14">
        <v>-1.4714</v>
      </c>
    </row>
    <row r="274" spans="1:28" ht="51.75" x14ac:dyDescent="0.25">
      <c r="A274" s="19" t="s">
        <v>48</v>
      </c>
      <c r="B274" s="22" t="s">
        <v>26</v>
      </c>
      <c r="C274" s="26" t="s">
        <v>25</v>
      </c>
      <c r="D274" s="25" t="s">
        <v>24</v>
      </c>
      <c r="E274" s="24" t="s">
        <v>23</v>
      </c>
      <c r="F274" s="24" t="s">
        <v>22</v>
      </c>
      <c r="G274" s="24" t="s">
        <v>21</v>
      </c>
      <c r="H274" s="24" t="s">
        <v>20</v>
      </c>
      <c r="I274" s="24" t="s">
        <v>19</v>
      </c>
      <c r="J274" s="24" t="s">
        <v>18</v>
      </c>
      <c r="K274" s="24" t="s">
        <v>17</v>
      </c>
      <c r="L274" s="24" t="s">
        <v>16</v>
      </c>
      <c r="M274" s="23" t="s">
        <v>15</v>
      </c>
      <c r="N274" s="23" t="s">
        <v>14</v>
      </c>
      <c r="O274" s="23" t="s">
        <v>13</v>
      </c>
      <c r="P274" s="22" t="s">
        <v>12</v>
      </c>
      <c r="Q274" s="27" t="s">
        <v>11</v>
      </c>
      <c r="R274" s="27"/>
      <c r="T274" s="14">
        <v>2011105</v>
      </c>
      <c r="U274" s="14" t="s">
        <v>47</v>
      </c>
      <c r="V274" s="14">
        <v>5.4260000000000003E-2</v>
      </c>
      <c r="W274" s="14">
        <v>0.38213999999999998</v>
      </c>
      <c r="X274" s="14">
        <v>2.9909999999999999E-2</v>
      </c>
      <c r="Y274" s="14">
        <v>1.37049</v>
      </c>
      <c r="Z274" s="14">
        <v>26.945609999999999</v>
      </c>
      <c r="AA274" s="14">
        <v>12.86354</v>
      </c>
      <c r="AB274" s="14">
        <v>-1.31707</v>
      </c>
    </row>
    <row r="275" spans="1:28" x14ac:dyDescent="0.25">
      <c r="A275" s="20"/>
      <c r="B275" s="22"/>
      <c r="C275" s="26"/>
      <c r="D275" s="25"/>
      <c r="E275" s="24"/>
      <c r="F275" s="24"/>
      <c r="G275" s="24"/>
      <c r="H275" s="24"/>
      <c r="I275" s="24"/>
      <c r="J275" s="24"/>
      <c r="K275" s="24"/>
      <c r="L275" s="24"/>
      <c r="M275" s="23"/>
      <c r="N275" s="23"/>
      <c r="O275" s="23"/>
      <c r="P275" s="22"/>
      <c r="Q275" s="21" t="s">
        <v>10</v>
      </c>
      <c r="R275" s="21" t="s">
        <v>9</v>
      </c>
      <c r="T275" s="14">
        <v>2011105</v>
      </c>
      <c r="U275" s="14" t="s">
        <v>46</v>
      </c>
      <c r="V275" s="14">
        <v>5.7439999999999998E-2</v>
      </c>
      <c r="W275" s="14">
        <v>0.38486999999999999</v>
      </c>
      <c r="X275" s="14">
        <v>2.7529999999999999E-2</v>
      </c>
      <c r="Y275" s="14">
        <v>1.35762</v>
      </c>
      <c r="Z275" s="14">
        <v>21.43111</v>
      </c>
      <c r="AA275" s="14">
        <v>11.00371</v>
      </c>
      <c r="AB275" s="14">
        <v>-1.3234900000000001</v>
      </c>
    </row>
    <row r="276" spans="1:28" x14ac:dyDescent="0.25">
      <c r="A276" s="20"/>
      <c r="B276" s="14" t="s">
        <v>8</v>
      </c>
      <c r="C276" s="15">
        <v>50</v>
      </c>
      <c r="D276" s="14">
        <v>20</v>
      </c>
      <c r="E276" s="13">
        <v>24</v>
      </c>
      <c r="F276" s="13">
        <f>1.8*E276+32</f>
        <v>75.2</v>
      </c>
      <c r="G276" s="13">
        <v>16</v>
      </c>
      <c r="H276" s="13">
        <f>IF(F276&gt;68,G276+(F276-68)*0.2,Y504-(68-F276)*0.2)</f>
        <v>17.440000000000001</v>
      </c>
      <c r="I276" s="13">
        <v>24</v>
      </c>
      <c r="J276" s="13">
        <f>1.8*I276+32</f>
        <v>75.2</v>
      </c>
      <c r="K276" s="13">
        <v>8</v>
      </c>
      <c r="L276" s="13">
        <f>IF(J276&gt;68,K276+(J276-68)*0.2,K276-(68-J276)*0.2)</f>
        <v>9.4400000000000013</v>
      </c>
      <c r="M276" s="13">
        <f>(C276-H276)/C276*100</f>
        <v>65.12</v>
      </c>
      <c r="N276" s="13">
        <f>100-(M276+O276)</f>
        <v>16</v>
      </c>
      <c r="O276" s="13">
        <f>L276/C276*100</f>
        <v>18.880000000000003</v>
      </c>
      <c r="P276" s="12" t="s">
        <v>0</v>
      </c>
      <c r="Q276" s="11">
        <v>409326.87239999999</v>
      </c>
      <c r="R276" s="11">
        <v>3659192.558892</v>
      </c>
    </row>
    <row r="277" spans="1:28" x14ac:dyDescent="0.25">
      <c r="A277" s="19" t="s">
        <v>7</v>
      </c>
      <c r="B277" s="14" t="s">
        <v>6</v>
      </c>
      <c r="C277" s="15">
        <v>50</v>
      </c>
      <c r="D277" s="14">
        <v>20</v>
      </c>
      <c r="E277" s="13">
        <v>24</v>
      </c>
      <c r="F277" s="13">
        <f>1.8*E277+32</f>
        <v>75.2</v>
      </c>
      <c r="G277" s="13">
        <v>21</v>
      </c>
      <c r="H277" s="13">
        <f>IF(F277&gt;68,G277+(F277-68)*0.2,Y505-(68-F277)*0.2)</f>
        <v>22.44</v>
      </c>
      <c r="I277" s="13">
        <v>24</v>
      </c>
      <c r="J277" s="13">
        <f>1.8*I277+32</f>
        <v>75.2</v>
      </c>
      <c r="K277" s="13">
        <v>11</v>
      </c>
      <c r="L277" s="13">
        <f>IF(J277&gt;68,K277+(J277-68)*0.2,K277-(68-J277)*0.2)</f>
        <v>12.440000000000001</v>
      </c>
      <c r="M277" s="13">
        <f>(C277-H277)/C277*100</f>
        <v>55.120000000000005</v>
      </c>
      <c r="N277" s="13">
        <f>100-(M277+O277)</f>
        <v>20</v>
      </c>
      <c r="O277" s="13">
        <f>L277/C277*100</f>
        <v>24.880000000000003</v>
      </c>
      <c r="P277" s="12" t="s">
        <v>3</v>
      </c>
      <c r="Q277" s="11">
        <v>409326.87239999999</v>
      </c>
      <c r="R277" s="11">
        <v>3659192.558892</v>
      </c>
    </row>
    <row r="278" spans="1:28" x14ac:dyDescent="0.25">
      <c r="A278" s="18">
        <v>41302</v>
      </c>
      <c r="B278" s="14" t="s">
        <v>5</v>
      </c>
      <c r="C278" s="15">
        <v>50</v>
      </c>
      <c r="D278" s="14">
        <v>20</v>
      </c>
      <c r="E278" s="13">
        <v>24</v>
      </c>
      <c r="F278" s="13">
        <f>1.8*E278+32</f>
        <v>75.2</v>
      </c>
      <c r="G278" s="13">
        <v>26</v>
      </c>
      <c r="H278" s="13">
        <f>IF(F278&gt;68,G278+(F278-68)*0.2,Y506-(68-F278)*0.2)</f>
        <v>27.44</v>
      </c>
      <c r="I278" s="13">
        <v>24</v>
      </c>
      <c r="J278" s="13">
        <f>1.8*I278+32</f>
        <v>75.2</v>
      </c>
      <c r="K278" s="13">
        <v>15</v>
      </c>
      <c r="L278" s="13">
        <f>IF(J278&gt;68,K278+(J278-68)*0.2,K278-(68-J278)*0.2)</f>
        <v>16.440000000000001</v>
      </c>
      <c r="M278" s="13">
        <f>(C278-H278)/C278*100</f>
        <v>45.12</v>
      </c>
      <c r="N278" s="13">
        <f>100-(M278+O278)</f>
        <v>22</v>
      </c>
      <c r="O278" s="13">
        <f>L278/C278*100</f>
        <v>32.880000000000003</v>
      </c>
      <c r="P278" s="12" t="s">
        <v>3</v>
      </c>
      <c r="Q278" s="11">
        <v>409326.87239999999</v>
      </c>
      <c r="R278" s="11">
        <v>3659192.558892</v>
      </c>
    </row>
    <row r="279" spans="1:28" x14ac:dyDescent="0.25">
      <c r="A279" s="17"/>
      <c r="B279" s="14" t="s">
        <v>4</v>
      </c>
      <c r="C279" s="15">
        <v>50</v>
      </c>
      <c r="D279" s="14">
        <v>20</v>
      </c>
      <c r="E279" s="13">
        <v>24</v>
      </c>
      <c r="F279" s="13">
        <f>1.8*E279+32</f>
        <v>75.2</v>
      </c>
      <c r="G279" s="13">
        <v>26</v>
      </c>
      <c r="H279" s="13">
        <f>IF(F279&gt;68,G279+(F279-68)*0.2,Y507-(68-F279)*0.2)</f>
        <v>27.44</v>
      </c>
      <c r="I279" s="13">
        <v>24</v>
      </c>
      <c r="J279" s="13">
        <f>1.8*I279+32</f>
        <v>75.2</v>
      </c>
      <c r="K279" s="13">
        <v>15</v>
      </c>
      <c r="L279" s="13">
        <f>IF(J279&gt;68,K279+(J279-68)*0.2,K279-(68-J279)*0.2)</f>
        <v>16.440000000000001</v>
      </c>
      <c r="M279" s="13">
        <f>(C279-H279)/C279*100</f>
        <v>45.12</v>
      </c>
      <c r="N279" s="13">
        <f>100-(M279+O279)</f>
        <v>22</v>
      </c>
      <c r="O279" s="13">
        <f>L279/C279*100</f>
        <v>32.880000000000003</v>
      </c>
      <c r="P279" s="12" t="s">
        <v>3</v>
      </c>
      <c r="Q279" s="11">
        <v>409326.87239999999</v>
      </c>
      <c r="R279" s="11">
        <v>3659192.558892</v>
      </c>
    </row>
    <row r="280" spans="1:28" x14ac:dyDescent="0.25">
      <c r="A280" s="16"/>
      <c r="B280" s="14" t="s">
        <v>2</v>
      </c>
      <c r="C280" s="15">
        <v>50</v>
      </c>
      <c r="D280" s="14">
        <v>20</v>
      </c>
      <c r="E280" s="13">
        <v>24</v>
      </c>
      <c r="F280" s="13">
        <f>1.8*E280+32</f>
        <v>75.2</v>
      </c>
      <c r="G280" s="13">
        <v>24</v>
      </c>
      <c r="H280" s="13">
        <f>IF(F280&gt;68,G280+(F280-68)*0.2,Y508-(68-F280)*0.2)</f>
        <v>25.44</v>
      </c>
      <c r="I280" s="13">
        <v>24</v>
      </c>
      <c r="J280" s="13">
        <f>1.8*I280+32</f>
        <v>75.2</v>
      </c>
      <c r="K280" s="13">
        <v>14</v>
      </c>
      <c r="L280" s="13">
        <f>IF(J280&gt;68,K280+(J280-68)*0.2,K280-(68-J280)*0.2)</f>
        <v>15.440000000000001</v>
      </c>
      <c r="M280" s="13">
        <f>(C280-H280)/C280*100</f>
        <v>49.12</v>
      </c>
      <c r="N280" s="13">
        <f>100-(M280+O280)</f>
        <v>20</v>
      </c>
      <c r="O280" s="13">
        <f>L280/C280*100</f>
        <v>30.880000000000003</v>
      </c>
      <c r="P280" s="12" t="s">
        <v>3</v>
      </c>
      <c r="Q280" s="11">
        <v>409326.87239999999</v>
      </c>
      <c r="R280" s="11">
        <v>3659192.558892</v>
      </c>
    </row>
    <row r="281" spans="1:28" x14ac:dyDescent="0.25">
      <c r="A281" s="16"/>
      <c r="B281" s="14" t="s">
        <v>1</v>
      </c>
      <c r="C281" s="15">
        <v>50</v>
      </c>
      <c r="D281" s="14">
        <v>20</v>
      </c>
      <c r="E281" s="13">
        <v>24</v>
      </c>
      <c r="F281" s="13">
        <f>1.8*E281+32</f>
        <v>75.2</v>
      </c>
      <c r="G281" s="13">
        <v>20</v>
      </c>
      <c r="H281" s="13">
        <f>IF(F281&gt;68,G281+(F281-68)*0.2,Y509-(68-F281)*0.2)</f>
        <v>21.44</v>
      </c>
      <c r="I281" s="13">
        <v>24</v>
      </c>
      <c r="J281" s="13">
        <f>1.8*I281+32</f>
        <v>75.2</v>
      </c>
      <c r="K281" s="13">
        <v>11</v>
      </c>
      <c r="L281" s="13">
        <f>IF(J281&gt;68,K281+(J281-68)*0.2,K281-(68-J281)*0.2)</f>
        <v>12.440000000000001</v>
      </c>
      <c r="M281" s="13">
        <f>(C281-H281)/C281*100</f>
        <v>57.11999999999999</v>
      </c>
      <c r="N281" s="13">
        <f>100-(M281+O281)</f>
        <v>18</v>
      </c>
      <c r="O281" s="13">
        <f>L281/C281*100</f>
        <v>24.880000000000003</v>
      </c>
      <c r="P281" s="12" t="s">
        <v>3</v>
      </c>
      <c r="Q281" s="11">
        <v>409326.87239999999</v>
      </c>
      <c r="R281" s="11">
        <v>3659192.558892</v>
      </c>
    </row>
    <row r="283" spans="1:28" ht="51.75" x14ac:dyDescent="0.25">
      <c r="A283" s="19" t="s">
        <v>45</v>
      </c>
      <c r="B283" s="22" t="s">
        <v>26</v>
      </c>
      <c r="C283" s="26" t="s">
        <v>25</v>
      </c>
      <c r="D283" s="25" t="s">
        <v>24</v>
      </c>
      <c r="E283" s="24" t="s">
        <v>23</v>
      </c>
      <c r="F283" s="24" t="s">
        <v>22</v>
      </c>
      <c r="G283" s="24" t="s">
        <v>21</v>
      </c>
      <c r="H283" s="24" t="s">
        <v>20</v>
      </c>
      <c r="I283" s="24" t="s">
        <v>19</v>
      </c>
      <c r="J283" s="24" t="s">
        <v>18</v>
      </c>
      <c r="K283" s="24" t="s">
        <v>17</v>
      </c>
      <c r="L283" s="24" t="s">
        <v>16</v>
      </c>
      <c r="M283" s="23" t="s">
        <v>15</v>
      </c>
      <c r="N283" s="23" t="s">
        <v>14</v>
      </c>
      <c r="O283" s="23" t="s">
        <v>13</v>
      </c>
      <c r="P283" s="22" t="s">
        <v>12</v>
      </c>
      <c r="Q283" s="27" t="s">
        <v>11</v>
      </c>
      <c r="R283" s="27"/>
    </row>
    <row r="284" spans="1:28" x14ac:dyDescent="0.25">
      <c r="A284" s="20"/>
      <c r="B284" s="22"/>
      <c r="C284" s="26"/>
      <c r="D284" s="25"/>
      <c r="E284" s="24"/>
      <c r="F284" s="24"/>
      <c r="G284" s="24"/>
      <c r="H284" s="24"/>
      <c r="I284" s="24"/>
      <c r="J284" s="24"/>
      <c r="K284" s="24"/>
      <c r="L284" s="24"/>
      <c r="M284" s="23"/>
      <c r="N284" s="23"/>
      <c r="O284" s="23"/>
      <c r="P284" s="22"/>
      <c r="Q284" s="21" t="s">
        <v>10</v>
      </c>
      <c r="R284" s="21" t="s">
        <v>9</v>
      </c>
    </row>
    <row r="285" spans="1:28" x14ac:dyDescent="0.25">
      <c r="A285" s="20"/>
      <c r="B285" s="14" t="s">
        <v>8</v>
      </c>
      <c r="C285" s="15">
        <v>50</v>
      </c>
      <c r="D285" s="14">
        <v>20</v>
      </c>
      <c r="E285" s="13">
        <v>26</v>
      </c>
      <c r="F285" s="13">
        <f>1.8*E285+32</f>
        <v>78.800000000000011</v>
      </c>
      <c r="G285" s="13">
        <v>20</v>
      </c>
      <c r="H285" s="13">
        <f>IF(F285&gt;68,G285+(F285-68)*0.2,Y513-(68-F285)*0.2)</f>
        <v>22.160000000000004</v>
      </c>
      <c r="I285" s="13">
        <v>24</v>
      </c>
      <c r="J285" s="13">
        <f>1.8*I285+32</f>
        <v>75.2</v>
      </c>
      <c r="K285" s="13">
        <v>10</v>
      </c>
      <c r="L285" s="13">
        <f>IF(J285&gt;68,K285+(J285-68)*0.2,K285-(68-J285)*0.2)</f>
        <v>11.440000000000001</v>
      </c>
      <c r="M285" s="13">
        <f>(C285-H285)/C285*100</f>
        <v>55.679999999999993</v>
      </c>
      <c r="N285" s="13">
        <f>100-(M285+O285)</f>
        <v>21.439999999999998</v>
      </c>
      <c r="O285" s="13">
        <f>L285/C285*100</f>
        <v>22.880000000000003</v>
      </c>
      <c r="P285" s="12" t="s">
        <v>3</v>
      </c>
      <c r="Q285" s="11">
        <v>409302.49040000001</v>
      </c>
      <c r="R285" s="11">
        <v>3659224.5359789999</v>
      </c>
    </row>
    <row r="286" spans="1:28" x14ac:dyDescent="0.25">
      <c r="A286" s="19" t="s">
        <v>7</v>
      </c>
      <c r="B286" s="14" t="s">
        <v>6</v>
      </c>
      <c r="C286" s="15">
        <v>50</v>
      </c>
      <c r="D286" s="14">
        <v>20</v>
      </c>
      <c r="E286" s="13">
        <v>24</v>
      </c>
      <c r="F286" s="13">
        <f>1.8*E286+32</f>
        <v>75.2</v>
      </c>
      <c r="G286" s="13">
        <v>21</v>
      </c>
      <c r="H286" s="13">
        <f>IF(F286&gt;68,G286+(F286-68)*0.2,Y514-(68-F286)*0.2)</f>
        <v>22.44</v>
      </c>
      <c r="I286" s="13">
        <v>24</v>
      </c>
      <c r="J286" s="13">
        <f>1.8*I286+32</f>
        <v>75.2</v>
      </c>
      <c r="K286" s="13">
        <v>12</v>
      </c>
      <c r="L286" s="13">
        <f>IF(J286&gt;68,K286+(J286-68)*0.2,K286-(68-J286)*0.2)</f>
        <v>13.440000000000001</v>
      </c>
      <c r="M286" s="13">
        <f>(C286-H286)/C286*100</f>
        <v>55.120000000000005</v>
      </c>
      <c r="N286" s="13">
        <f>100-(M286+O286)</f>
        <v>18</v>
      </c>
      <c r="O286" s="13">
        <f>L286/C286*100</f>
        <v>26.880000000000003</v>
      </c>
      <c r="P286" s="12" t="s">
        <v>3</v>
      </c>
      <c r="Q286" s="11">
        <v>409302.49040000001</v>
      </c>
      <c r="R286" s="11">
        <v>3659224.5359789999</v>
      </c>
    </row>
    <row r="287" spans="1:28" x14ac:dyDescent="0.25">
      <c r="A287" s="18">
        <v>41302</v>
      </c>
      <c r="B287" s="14" t="s">
        <v>5</v>
      </c>
      <c r="C287" s="15">
        <v>50</v>
      </c>
      <c r="D287" s="14">
        <v>20</v>
      </c>
      <c r="E287" s="13">
        <v>26</v>
      </c>
      <c r="F287" s="13">
        <f>1.8*E287+32</f>
        <v>78.800000000000011</v>
      </c>
      <c r="G287" s="13">
        <v>25</v>
      </c>
      <c r="H287" s="13">
        <f>IF(F287&gt;68,G287+(F287-68)*0.2,Y515-(68-F287)*0.2)</f>
        <v>27.160000000000004</v>
      </c>
      <c r="I287" s="13">
        <v>24</v>
      </c>
      <c r="J287" s="13">
        <f>1.8*I287+32</f>
        <v>75.2</v>
      </c>
      <c r="K287" s="13">
        <v>14</v>
      </c>
      <c r="L287" s="13">
        <f>IF(J287&gt;68,K287+(J287-68)*0.2,K287-(68-J287)*0.2)</f>
        <v>15.440000000000001</v>
      </c>
      <c r="M287" s="13">
        <f>(C287-H287)/C287*100</f>
        <v>45.679999999999993</v>
      </c>
      <c r="N287" s="13">
        <f>100-(M287+O287)</f>
        <v>23.439999999999998</v>
      </c>
      <c r="O287" s="13">
        <f>L287/C287*100</f>
        <v>30.880000000000003</v>
      </c>
      <c r="P287" s="12" t="s">
        <v>3</v>
      </c>
      <c r="Q287" s="11">
        <v>409302.49040000001</v>
      </c>
      <c r="R287" s="11">
        <v>3659224.5359789999</v>
      </c>
    </row>
    <row r="288" spans="1:28" x14ac:dyDescent="0.25">
      <c r="A288" s="17"/>
      <c r="B288" s="14" t="s">
        <v>4</v>
      </c>
      <c r="C288" s="15">
        <v>50</v>
      </c>
      <c r="D288" s="14">
        <v>20</v>
      </c>
      <c r="E288" s="13">
        <v>24</v>
      </c>
      <c r="F288" s="13">
        <f>1.8*E288+32</f>
        <v>75.2</v>
      </c>
      <c r="G288" s="13">
        <v>26</v>
      </c>
      <c r="H288" s="13">
        <f>IF(F288&gt;68,G288+(F288-68)*0.2,Y516-(68-F288)*0.2)</f>
        <v>27.44</v>
      </c>
      <c r="I288" s="13">
        <v>23</v>
      </c>
      <c r="J288" s="13">
        <f>1.8*I288+32</f>
        <v>73.400000000000006</v>
      </c>
      <c r="K288" s="13">
        <v>14</v>
      </c>
      <c r="L288" s="13">
        <f>IF(J288&gt;68,K288+(J288-68)*0.2,K288-(68-J288)*0.2)</f>
        <v>15.080000000000002</v>
      </c>
      <c r="M288" s="13">
        <f>(C288-H288)/C288*100</f>
        <v>45.12</v>
      </c>
      <c r="N288" s="13">
        <f>100-(M288+O288)</f>
        <v>24.72</v>
      </c>
      <c r="O288" s="13">
        <f>L288/C288*100</f>
        <v>30.160000000000004</v>
      </c>
      <c r="P288" s="12" t="s">
        <v>3</v>
      </c>
      <c r="Q288" s="11">
        <v>409302.49040000001</v>
      </c>
      <c r="R288" s="11">
        <v>3659224.5359789999</v>
      </c>
    </row>
    <row r="289" spans="1:18" x14ac:dyDescent="0.25">
      <c r="A289" s="28">
        <v>41450</v>
      </c>
      <c r="B289" s="14" t="s">
        <v>2</v>
      </c>
      <c r="C289" s="15">
        <v>50</v>
      </c>
      <c r="D289" s="14">
        <v>20</v>
      </c>
      <c r="E289" s="13">
        <v>23</v>
      </c>
      <c r="F289" s="13">
        <f>1.8*E289+32</f>
        <v>73.400000000000006</v>
      </c>
      <c r="G289" s="13">
        <v>23</v>
      </c>
      <c r="H289" s="13">
        <f>IF(F289&gt;68,G289+(F289-68)*0.2,Y517-(68-F289)*0.2)</f>
        <v>24.080000000000002</v>
      </c>
      <c r="I289" s="13">
        <v>23</v>
      </c>
      <c r="J289" s="13">
        <f>1.8*I289+32</f>
        <v>73.400000000000006</v>
      </c>
      <c r="K289" s="13">
        <v>14</v>
      </c>
      <c r="L289" s="13">
        <f>IF(J289&gt;68,K289+(J289-68)*0.2,K289-(68-J289)*0.2)</f>
        <v>15.080000000000002</v>
      </c>
      <c r="M289" s="13">
        <f>(C289-H289)/C289*100</f>
        <v>51.839999999999996</v>
      </c>
      <c r="N289" s="13">
        <f>100-(M289+O289)</f>
        <v>18</v>
      </c>
      <c r="O289" s="13">
        <f>L289/C289*100</f>
        <v>30.160000000000004</v>
      </c>
      <c r="P289" s="12" t="s">
        <v>3</v>
      </c>
      <c r="Q289" s="11">
        <v>409302.49040000001</v>
      </c>
      <c r="R289" s="11">
        <v>3659224.5359789999</v>
      </c>
    </row>
    <row r="290" spans="1:18" x14ac:dyDescent="0.25">
      <c r="A290" s="16"/>
      <c r="B290" s="14" t="s">
        <v>1</v>
      </c>
      <c r="C290" s="15">
        <v>50</v>
      </c>
      <c r="D290" s="14">
        <v>20</v>
      </c>
      <c r="E290" s="13">
        <v>26</v>
      </c>
      <c r="F290" s="13">
        <f>1.8*E290+32</f>
        <v>78.800000000000011</v>
      </c>
      <c r="G290" s="13">
        <v>17</v>
      </c>
      <c r="H290" s="13">
        <f>IF(F290&gt;68,G290+(F290-68)*0.2,Y518-(68-F290)*0.2)</f>
        <v>19.160000000000004</v>
      </c>
      <c r="I290" s="13">
        <v>24</v>
      </c>
      <c r="J290" s="13">
        <f>1.8*I290+32</f>
        <v>75.2</v>
      </c>
      <c r="K290" s="13">
        <v>11</v>
      </c>
      <c r="L290" s="13">
        <f>IF(J290&gt;68,K290+(J290-68)*0.2,K290-(68-J290)*0.2)</f>
        <v>12.440000000000001</v>
      </c>
      <c r="M290" s="13">
        <f>(C290-H290)/C290*100</f>
        <v>61.679999999999993</v>
      </c>
      <c r="N290" s="13">
        <f>100-(M290+O290)</f>
        <v>13.439999999999998</v>
      </c>
      <c r="O290" s="13">
        <f>L290/C290*100</f>
        <v>24.880000000000003</v>
      </c>
      <c r="P290" s="12" t="s">
        <v>3</v>
      </c>
      <c r="Q290" s="11">
        <v>409302.49040000001</v>
      </c>
      <c r="R290" s="11">
        <v>3659224.5359789999</v>
      </c>
    </row>
    <row r="292" spans="1:18" ht="51.75" x14ac:dyDescent="0.25">
      <c r="A292" s="19" t="s">
        <v>44</v>
      </c>
      <c r="B292" s="22" t="s">
        <v>26</v>
      </c>
      <c r="C292" s="26" t="s">
        <v>25</v>
      </c>
      <c r="D292" s="25" t="s">
        <v>24</v>
      </c>
      <c r="E292" s="24" t="s">
        <v>23</v>
      </c>
      <c r="F292" s="24" t="s">
        <v>22</v>
      </c>
      <c r="G292" s="24" t="s">
        <v>21</v>
      </c>
      <c r="H292" s="24" t="s">
        <v>20</v>
      </c>
      <c r="I292" s="24" t="s">
        <v>19</v>
      </c>
      <c r="J292" s="24" t="s">
        <v>18</v>
      </c>
      <c r="K292" s="24" t="s">
        <v>17</v>
      </c>
      <c r="L292" s="24" t="s">
        <v>16</v>
      </c>
      <c r="M292" s="23" t="s">
        <v>15</v>
      </c>
      <c r="N292" s="23" t="s">
        <v>14</v>
      </c>
      <c r="O292" s="23" t="s">
        <v>13</v>
      </c>
      <c r="P292" s="22" t="s">
        <v>12</v>
      </c>
      <c r="Q292" s="27" t="s">
        <v>11</v>
      </c>
      <c r="R292" s="27"/>
    </row>
    <row r="293" spans="1:18" x14ac:dyDescent="0.25">
      <c r="A293" s="20"/>
      <c r="B293" s="22"/>
      <c r="C293" s="26"/>
      <c r="D293" s="25"/>
      <c r="E293" s="24"/>
      <c r="F293" s="24"/>
      <c r="G293" s="24"/>
      <c r="H293" s="24"/>
      <c r="I293" s="24"/>
      <c r="J293" s="24"/>
      <c r="K293" s="24"/>
      <c r="L293" s="24"/>
      <c r="M293" s="23"/>
      <c r="N293" s="23"/>
      <c r="O293" s="23"/>
      <c r="P293" s="22"/>
      <c r="Q293" s="21" t="s">
        <v>10</v>
      </c>
      <c r="R293" s="21" t="s">
        <v>9</v>
      </c>
    </row>
    <row r="294" spans="1:18" x14ac:dyDescent="0.25">
      <c r="A294" s="20"/>
      <c r="B294" s="14" t="s">
        <v>8</v>
      </c>
      <c r="C294" s="15">
        <v>50</v>
      </c>
      <c r="D294" s="14">
        <v>20</v>
      </c>
      <c r="E294" s="13">
        <v>23</v>
      </c>
      <c r="F294" s="13">
        <f>1.8*E294+32</f>
        <v>73.400000000000006</v>
      </c>
      <c r="G294" s="13">
        <v>16</v>
      </c>
      <c r="H294" s="13">
        <f>IF(F294&gt;68,G294+(F294-68)*0.2,Y522-(68-F294)*0.2)</f>
        <v>17.080000000000002</v>
      </c>
      <c r="I294" s="13">
        <v>23</v>
      </c>
      <c r="J294" s="13">
        <f>1.8*I294+32</f>
        <v>73.400000000000006</v>
      </c>
      <c r="K294" s="13">
        <v>8</v>
      </c>
      <c r="L294" s="13">
        <f>IF(J294&gt;68,K294+(J294-68)*0.2,K294-(68-J294)*0.2)</f>
        <v>9.0800000000000018</v>
      </c>
      <c r="M294" s="13">
        <f>(C294-H294)/C294*100</f>
        <v>65.84</v>
      </c>
      <c r="N294" s="13">
        <f>100-(M294+O294)</f>
        <v>16</v>
      </c>
      <c r="O294" s="13">
        <f>L294/C294*100</f>
        <v>18.160000000000004</v>
      </c>
      <c r="P294" s="12" t="s">
        <v>0</v>
      </c>
      <c r="Q294" s="11">
        <v>409326.87239999999</v>
      </c>
      <c r="R294" s="11">
        <v>3659183.4621819998</v>
      </c>
    </row>
    <row r="295" spans="1:18" x14ac:dyDescent="0.25">
      <c r="A295" s="19" t="s">
        <v>7</v>
      </c>
      <c r="B295" s="14" t="s">
        <v>6</v>
      </c>
      <c r="C295" s="15">
        <v>50</v>
      </c>
      <c r="D295" s="14">
        <v>20</v>
      </c>
      <c r="E295" s="13">
        <v>23</v>
      </c>
      <c r="F295" s="13">
        <f>1.8*E295+32</f>
        <v>73.400000000000006</v>
      </c>
      <c r="G295" s="13">
        <v>20</v>
      </c>
      <c r="H295" s="13">
        <f>IF(F295&gt;68,G295+(F295-68)*0.2,Y523-(68-F295)*0.2)</f>
        <v>21.080000000000002</v>
      </c>
      <c r="I295" s="13">
        <v>23</v>
      </c>
      <c r="J295" s="13">
        <f>1.8*I295+32</f>
        <v>73.400000000000006</v>
      </c>
      <c r="K295" s="13">
        <v>11</v>
      </c>
      <c r="L295" s="13">
        <f>IF(J295&gt;68,K295+(J295-68)*0.2,K295-(68-J295)*0.2)</f>
        <v>12.080000000000002</v>
      </c>
      <c r="M295" s="13">
        <f>(C295-H295)/C295*100</f>
        <v>57.839999999999989</v>
      </c>
      <c r="N295" s="13">
        <f>100-(M295+O295)</f>
        <v>18</v>
      </c>
      <c r="O295" s="13">
        <f>L295/C295*100</f>
        <v>24.160000000000004</v>
      </c>
      <c r="P295" s="12" t="s">
        <v>3</v>
      </c>
      <c r="Q295" s="11">
        <v>409326.87239999999</v>
      </c>
      <c r="R295" s="11">
        <v>3659183.4621819998</v>
      </c>
    </row>
    <row r="296" spans="1:18" x14ac:dyDescent="0.25">
      <c r="A296" s="18">
        <v>41303</v>
      </c>
      <c r="B296" s="14" t="s">
        <v>5</v>
      </c>
      <c r="C296" s="15">
        <v>50</v>
      </c>
      <c r="D296" s="14">
        <v>20</v>
      </c>
      <c r="E296" s="13">
        <v>24</v>
      </c>
      <c r="F296" s="13">
        <f>1.8*E296+32</f>
        <v>75.2</v>
      </c>
      <c r="G296" s="13">
        <v>30</v>
      </c>
      <c r="H296" s="13">
        <f>IF(F296&gt;68,G296+(F296-68)*0.2,Y524-(68-F296)*0.2)</f>
        <v>31.44</v>
      </c>
      <c r="I296" s="13">
        <v>24</v>
      </c>
      <c r="J296" s="13">
        <f>1.8*I296+32</f>
        <v>75.2</v>
      </c>
      <c r="K296" s="13">
        <v>16</v>
      </c>
      <c r="L296" s="13">
        <f>IF(J296&gt;68,K296+(J296-68)*0.2,K296-(68-J296)*0.2)</f>
        <v>17.440000000000001</v>
      </c>
      <c r="M296" s="13">
        <f>(C296-H296)/C296*100</f>
        <v>37.119999999999997</v>
      </c>
      <c r="N296" s="13">
        <f>100-(M296+O296)</f>
        <v>28</v>
      </c>
      <c r="O296" s="13">
        <f>L296/C296*100</f>
        <v>34.880000000000003</v>
      </c>
      <c r="P296" s="12" t="s">
        <v>30</v>
      </c>
      <c r="Q296" s="11">
        <v>409326.87239999999</v>
      </c>
      <c r="R296" s="11">
        <v>3659183.4621819998</v>
      </c>
    </row>
    <row r="297" spans="1:18" x14ac:dyDescent="0.25">
      <c r="A297" s="17"/>
      <c r="B297" s="14" t="s">
        <v>4</v>
      </c>
      <c r="C297" s="15">
        <v>50</v>
      </c>
      <c r="D297" s="14">
        <v>20</v>
      </c>
      <c r="E297" s="13">
        <v>24</v>
      </c>
      <c r="F297" s="13">
        <f>1.8*E297+32</f>
        <v>75.2</v>
      </c>
      <c r="G297" s="13">
        <v>26</v>
      </c>
      <c r="H297" s="13">
        <f>IF(F297&gt;68,G297+(F297-68)*0.2,Y525-(68-F297)*0.2)</f>
        <v>27.44</v>
      </c>
      <c r="I297" s="13">
        <v>24</v>
      </c>
      <c r="J297" s="13">
        <f>1.8*I297+32</f>
        <v>75.2</v>
      </c>
      <c r="K297" s="13">
        <v>16</v>
      </c>
      <c r="L297" s="13">
        <f>IF(J297&gt;68,K297+(J297-68)*0.2,K297-(68-J297)*0.2)</f>
        <v>17.440000000000001</v>
      </c>
      <c r="M297" s="13">
        <f>(C297-H297)/C297*100</f>
        <v>45.12</v>
      </c>
      <c r="N297" s="13">
        <f>100-(M297+O297)</f>
        <v>20</v>
      </c>
      <c r="O297" s="13">
        <f>L297/C297*100</f>
        <v>34.880000000000003</v>
      </c>
      <c r="P297" s="12" t="s">
        <v>3</v>
      </c>
      <c r="Q297" s="11">
        <v>409326.87239999999</v>
      </c>
      <c r="R297" s="11">
        <v>3659183.4621819998</v>
      </c>
    </row>
    <row r="298" spans="1:18" x14ac:dyDescent="0.25">
      <c r="A298" s="28">
        <v>41415</v>
      </c>
      <c r="B298" s="14" t="s">
        <v>2</v>
      </c>
      <c r="C298" s="15">
        <v>50</v>
      </c>
      <c r="D298" s="14">
        <v>20</v>
      </c>
      <c r="E298" s="13">
        <v>24</v>
      </c>
      <c r="F298" s="13">
        <f>1.8*E298+32</f>
        <v>75.2</v>
      </c>
      <c r="G298" s="13">
        <v>19</v>
      </c>
      <c r="H298" s="13">
        <f>IF(F298&gt;68,G298+(F298-68)*0.2,Y526-(68-F298)*0.2)</f>
        <v>20.440000000000001</v>
      </c>
      <c r="I298" s="13">
        <v>24</v>
      </c>
      <c r="J298" s="13">
        <f>1.8*I298+32</f>
        <v>75.2</v>
      </c>
      <c r="K298" s="13">
        <v>12</v>
      </c>
      <c r="L298" s="13">
        <f>IF(J298&gt;68,K298+(J298-68)*0.2,K298-(68-J298)*0.2)</f>
        <v>13.440000000000001</v>
      </c>
      <c r="M298" s="13">
        <f>(C298-H298)/C298*100</f>
        <v>59.12</v>
      </c>
      <c r="N298" s="13">
        <f>100-(M298+O298)</f>
        <v>14</v>
      </c>
      <c r="O298" s="13">
        <f>L298/C298*100</f>
        <v>26.880000000000003</v>
      </c>
      <c r="P298" s="12" t="s">
        <v>3</v>
      </c>
      <c r="Q298" s="11">
        <v>409326.87239999999</v>
      </c>
      <c r="R298" s="11">
        <v>3659183.4621819998</v>
      </c>
    </row>
    <row r="299" spans="1:18" x14ac:dyDescent="0.25">
      <c r="A299" s="16"/>
      <c r="B299" s="14" t="s">
        <v>1</v>
      </c>
      <c r="C299" s="15">
        <v>50</v>
      </c>
      <c r="D299" s="14">
        <v>20</v>
      </c>
      <c r="E299" s="13">
        <v>24</v>
      </c>
      <c r="F299" s="13">
        <f>1.8*E299+32</f>
        <v>75.2</v>
      </c>
      <c r="G299" s="13">
        <v>16</v>
      </c>
      <c r="H299" s="13">
        <f>IF(F299&gt;68,G299+(F299-68)*0.2,Y527-(68-F299)*0.2)</f>
        <v>17.440000000000001</v>
      </c>
      <c r="I299" s="13">
        <v>24</v>
      </c>
      <c r="J299" s="13">
        <f>1.8*I299+32</f>
        <v>75.2</v>
      </c>
      <c r="K299" s="13">
        <v>11</v>
      </c>
      <c r="L299" s="13">
        <f>IF(J299&gt;68,K299+(J299-68)*0.2,K299-(68-J299)*0.2)</f>
        <v>12.440000000000001</v>
      </c>
      <c r="M299" s="13">
        <f>(C299-H299)/C299*100</f>
        <v>65.12</v>
      </c>
      <c r="N299" s="13">
        <f>100-(M299+O299)</f>
        <v>10</v>
      </c>
      <c r="O299" s="13">
        <f>L299/C299*100</f>
        <v>24.880000000000003</v>
      </c>
      <c r="P299" s="12" t="s">
        <v>3</v>
      </c>
      <c r="Q299" s="11">
        <v>409326.87239999999</v>
      </c>
      <c r="R299" s="11">
        <v>3659183.4621819998</v>
      </c>
    </row>
    <row r="301" spans="1:18" ht="51.75" x14ac:dyDescent="0.25">
      <c r="A301" s="19" t="s">
        <v>43</v>
      </c>
      <c r="B301" s="22" t="s">
        <v>26</v>
      </c>
      <c r="C301" s="26" t="s">
        <v>25</v>
      </c>
      <c r="D301" s="25" t="s">
        <v>24</v>
      </c>
      <c r="E301" s="24" t="s">
        <v>23</v>
      </c>
      <c r="F301" s="24" t="s">
        <v>22</v>
      </c>
      <c r="G301" s="24" t="s">
        <v>21</v>
      </c>
      <c r="H301" s="24" t="s">
        <v>20</v>
      </c>
      <c r="I301" s="24" t="s">
        <v>19</v>
      </c>
      <c r="J301" s="24" t="s">
        <v>18</v>
      </c>
      <c r="K301" s="24" t="s">
        <v>17</v>
      </c>
      <c r="L301" s="24" t="s">
        <v>16</v>
      </c>
      <c r="M301" s="23" t="s">
        <v>15</v>
      </c>
      <c r="N301" s="23" t="s">
        <v>14</v>
      </c>
      <c r="O301" s="23" t="s">
        <v>13</v>
      </c>
      <c r="P301" s="22" t="s">
        <v>12</v>
      </c>
      <c r="Q301" s="27" t="s">
        <v>11</v>
      </c>
      <c r="R301" s="27"/>
    </row>
    <row r="302" spans="1:18" x14ac:dyDescent="0.25">
      <c r="A302" s="20"/>
      <c r="B302" s="22"/>
      <c r="C302" s="26"/>
      <c r="D302" s="25"/>
      <c r="E302" s="24"/>
      <c r="F302" s="24"/>
      <c r="G302" s="24"/>
      <c r="H302" s="24"/>
      <c r="I302" s="24"/>
      <c r="J302" s="24"/>
      <c r="K302" s="24"/>
      <c r="L302" s="24"/>
      <c r="M302" s="23"/>
      <c r="N302" s="23"/>
      <c r="O302" s="23"/>
      <c r="P302" s="22"/>
      <c r="Q302" s="21" t="s">
        <v>10</v>
      </c>
      <c r="R302" s="21" t="s">
        <v>9</v>
      </c>
    </row>
    <row r="303" spans="1:18" x14ac:dyDescent="0.25">
      <c r="A303" s="20"/>
      <c r="B303" s="14" t="s">
        <v>8</v>
      </c>
      <c r="C303" s="15">
        <v>50</v>
      </c>
      <c r="D303" s="14">
        <v>20</v>
      </c>
      <c r="E303" s="13">
        <v>24</v>
      </c>
      <c r="F303" s="13">
        <f>1.8*E303+32</f>
        <v>75.2</v>
      </c>
      <c r="G303" s="13">
        <v>20</v>
      </c>
      <c r="H303" s="13">
        <f>IF(F303&gt;68,G303+(F303-68)*0.2,Y531-(68-F303)*0.2)</f>
        <v>21.44</v>
      </c>
      <c r="I303" s="13">
        <v>24</v>
      </c>
      <c r="J303" s="13">
        <f>1.8*I303+32</f>
        <v>75.2</v>
      </c>
      <c r="K303" s="13">
        <v>10</v>
      </c>
      <c r="L303" s="13">
        <f>IF(J303&gt;68,K303+(J303-68)*0.2,K303-(68-J303)*0.2)</f>
        <v>11.440000000000001</v>
      </c>
      <c r="M303" s="13">
        <f>(C303-H303)/C303*100</f>
        <v>57.11999999999999</v>
      </c>
      <c r="N303" s="13">
        <f>100-(M303+O303)</f>
        <v>20</v>
      </c>
      <c r="O303" s="13">
        <f>L303/C303*100</f>
        <v>22.880000000000003</v>
      </c>
      <c r="P303" s="12" t="s">
        <v>3</v>
      </c>
      <c r="Q303" s="11">
        <v>409322.80839999998</v>
      </c>
      <c r="R303" s="11">
        <v>3659215.367877</v>
      </c>
    </row>
    <row r="304" spans="1:18" x14ac:dyDescent="0.25">
      <c r="A304" s="19" t="s">
        <v>7</v>
      </c>
      <c r="B304" s="14" t="s">
        <v>6</v>
      </c>
      <c r="C304" s="15">
        <v>50</v>
      </c>
      <c r="D304" s="14">
        <v>20</v>
      </c>
      <c r="E304" s="13">
        <v>24</v>
      </c>
      <c r="F304" s="13">
        <f>1.8*E304+32</f>
        <v>75.2</v>
      </c>
      <c r="G304" s="13">
        <v>28</v>
      </c>
      <c r="H304" s="13">
        <f>IF(F304&gt;68,G304+(F304-68)*0.2,Y532-(68-F304)*0.2)</f>
        <v>29.44</v>
      </c>
      <c r="I304" s="13">
        <v>24</v>
      </c>
      <c r="J304" s="13">
        <f>1.8*I304+32</f>
        <v>75.2</v>
      </c>
      <c r="K304" s="13">
        <v>15</v>
      </c>
      <c r="L304" s="13">
        <f>IF(J304&gt;68,K304+(J304-68)*0.2,K304-(68-J304)*0.2)</f>
        <v>16.440000000000001</v>
      </c>
      <c r="M304" s="13">
        <f>(C304-H304)/C304*100</f>
        <v>41.12</v>
      </c>
      <c r="N304" s="13">
        <f>100-(M304+O304)</f>
        <v>26</v>
      </c>
      <c r="O304" s="13">
        <f>L304/C304*100</f>
        <v>32.880000000000003</v>
      </c>
      <c r="P304" s="12" t="s">
        <v>30</v>
      </c>
      <c r="Q304" s="11">
        <v>409322.80839999998</v>
      </c>
      <c r="R304" s="11">
        <v>3659215.367877</v>
      </c>
    </row>
    <row r="305" spans="1:18" x14ac:dyDescent="0.25">
      <c r="A305" s="18">
        <v>41418</v>
      </c>
      <c r="B305" s="14" t="s">
        <v>5</v>
      </c>
      <c r="C305" s="15">
        <v>50</v>
      </c>
      <c r="D305" s="14">
        <v>20</v>
      </c>
      <c r="E305" s="13">
        <v>24</v>
      </c>
      <c r="F305" s="13">
        <f>1.8*E305+32</f>
        <v>75.2</v>
      </c>
      <c r="G305" s="13">
        <v>30</v>
      </c>
      <c r="H305" s="13">
        <f>IF(F305&gt;68,G305+(F305-68)*0.2,Y533-(68-F305)*0.2)</f>
        <v>31.44</v>
      </c>
      <c r="I305" s="13">
        <v>24</v>
      </c>
      <c r="J305" s="13">
        <f>1.8*I305+32</f>
        <v>75.2</v>
      </c>
      <c r="K305" s="13">
        <v>17</v>
      </c>
      <c r="L305" s="13">
        <f>IF(J305&gt;68,K305+(J305-68)*0.2,K305-(68-J305)*0.2)</f>
        <v>18.440000000000001</v>
      </c>
      <c r="M305" s="13">
        <f>(C305-H305)/C305*100</f>
        <v>37.119999999999997</v>
      </c>
      <c r="N305" s="13">
        <f>100-(M305+O305)</f>
        <v>26</v>
      </c>
      <c r="O305" s="13">
        <f>L305/C305*100</f>
        <v>36.880000000000003</v>
      </c>
      <c r="P305" s="12" t="s">
        <v>30</v>
      </c>
      <c r="Q305" s="11">
        <v>409322.80839999998</v>
      </c>
      <c r="R305" s="11">
        <v>3659215.367877</v>
      </c>
    </row>
    <row r="306" spans="1:18" x14ac:dyDescent="0.25">
      <c r="A306" s="17"/>
      <c r="B306" s="14" t="s">
        <v>4</v>
      </c>
      <c r="C306" s="15">
        <v>50</v>
      </c>
      <c r="D306" s="14">
        <v>20</v>
      </c>
      <c r="E306" s="13">
        <v>24</v>
      </c>
      <c r="F306" s="13">
        <f>1.8*E306+32</f>
        <v>75.2</v>
      </c>
      <c r="G306" s="13">
        <v>26</v>
      </c>
      <c r="H306" s="13">
        <f>IF(F306&gt;68,G306+(F306-68)*0.2,Y534-(68-F306)*0.2)</f>
        <v>27.44</v>
      </c>
      <c r="I306" s="13">
        <v>24</v>
      </c>
      <c r="J306" s="13">
        <f>1.8*I306+32</f>
        <v>75.2</v>
      </c>
      <c r="K306" s="13">
        <v>16</v>
      </c>
      <c r="L306" s="13">
        <f>IF(J306&gt;68,K306+(J306-68)*0.2,K306-(68-J306)*0.2)</f>
        <v>17.440000000000001</v>
      </c>
      <c r="M306" s="13">
        <f>(C306-H306)/C306*100</f>
        <v>45.12</v>
      </c>
      <c r="N306" s="13">
        <f>100-(M306+O306)</f>
        <v>20</v>
      </c>
      <c r="O306" s="13">
        <f>L306/C306*100</f>
        <v>34.880000000000003</v>
      </c>
      <c r="P306" s="12" t="s">
        <v>3</v>
      </c>
      <c r="Q306" s="11">
        <v>409322.80839999998</v>
      </c>
      <c r="R306" s="11">
        <v>3659215.367877</v>
      </c>
    </row>
    <row r="307" spans="1:18" x14ac:dyDescent="0.25">
      <c r="A307" s="16"/>
      <c r="B307" s="14" t="s">
        <v>2</v>
      </c>
      <c r="C307" s="15">
        <v>50</v>
      </c>
      <c r="D307" s="14">
        <v>20</v>
      </c>
      <c r="E307" s="13">
        <v>24</v>
      </c>
      <c r="F307" s="13">
        <f>1.8*E307+32</f>
        <v>75.2</v>
      </c>
      <c r="G307" s="13">
        <v>24</v>
      </c>
      <c r="H307" s="13">
        <f>IF(F307&gt;68,G307+(F307-68)*0.2,Y535-(68-F307)*0.2)</f>
        <v>25.44</v>
      </c>
      <c r="I307" s="13">
        <v>24</v>
      </c>
      <c r="J307" s="13">
        <f>1.8*I307+32</f>
        <v>75.2</v>
      </c>
      <c r="K307" s="13">
        <v>14</v>
      </c>
      <c r="L307" s="13">
        <f>IF(J307&gt;68,K307+(J307-68)*0.2,K307-(68-J307)*0.2)</f>
        <v>15.440000000000001</v>
      </c>
      <c r="M307" s="13">
        <f>(C307-H307)/C307*100</f>
        <v>49.12</v>
      </c>
      <c r="N307" s="13">
        <f>100-(M307+O307)</f>
        <v>20</v>
      </c>
      <c r="O307" s="13">
        <f>L307/C307*100</f>
        <v>30.880000000000003</v>
      </c>
      <c r="P307" s="12" t="s">
        <v>3</v>
      </c>
      <c r="Q307" s="11">
        <v>409322.80839999998</v>
      </c>
      <c r="R307" s="11">
        <v>3659215.367877</v>
      </c>
    </row>
    <row r="308" spans="1:18" x14ac:dyDescent="0.25">
      <c r="A308" s="16"/>
      <c r="B308" s="14" t="s">
        <v>1</v>
      </c>
      <c r="C308" s="15">
        <v>50</v>
      </c>
      <c r="D308" s="14">
        <v>20</v>
      </c>
      <c r="E308" s="13">
        <v>24</v>
      </c>
      <c r="F308" s="13">
        <f>1.8*E308+32</f>
        <v>75.2</v>
      </c>
      <c r="G308" s="13">
        <v>13</v>
      </c>
      <c r="H308" s="13">
        <f>IF(F308&gt;68,G308+(F308-68)*0.2,Y536-(68-F308)*0.2)</f>
        <v>14.440000000000001</v>
      </c>
      <c r="I308" s="13">
        <v>24</v>
      </c>
      <c r="J308" s="13">
        <f>1.8*I308+32</f>
        <v>75.2</v>
      </c>
      <c r="K308" s="13">
        <v>8</v>
      </c>
      <c r="L308" s="13">
        <f>IF(J308&gt;68,K308+(J308-68)*0.2,K308-(68-J308)*0.2)</f>
        <v>9.4400000000000013</v>
      </c>
      <c r="M308" s="13">
        <f>(C308-H308)/C308*100</f>
        <v>71.12</v>
      </c>
      <c r="N308" s="13">
        <f>100-(M308+O308)</f>
        <v>10</v>
      </c>
      <c r="O308" s="13">
        <f>L308/C308*100</f>
        <v>18.880000000000003</v>
      </c>
      <c r="P308" s="12" t="s">
        <v>0</v>
      </c>
      <c r="Q308" s="11">
        <v>409322.80839999998</v>
      </c>
      <c r="R308" s="11">
        <v>3659215.367877</v>
      </c>
    </row>
    <row r="310" spans="1:18" ht="51.75" x14ac:dyDescent="0.25">
      <c r="A310" s="19" t="s">
        <v>42</v>
      </c>
      <c r="B310" s="22" t="s">
        <v>26</v>
      </c>
      <c r="C310" s="26" t="s">
        <v>25</v>
      </c>
      <c r="D310" s="25" t="s">
        <v>24</v>
      </c>
      <c r="E310" s="24" t="s">
        <v>23</v>
      </c>
      <c r="F310" s="24" t="s">
        <v>22</v>
      </c>
      <c r="G310" s="24" t="s">
        <v>21</v>
      </c>
      <c r="H310" s="24" t="s">
        <v>20</v>
      </c>
      <c r="I310" s="24" t="s">
        <v>19</v>
      </c>
      <c r="J310" s="24" t="s">
        <v>18</v>
      </c>
      <c r="K310" s="24" t="s">
        <v>17</v>
      </c>
      <c r="L310" s="24" t="s">
        <v>16</v>
      </c>
      <c r="M310" s="23" t="s">
        <v>15</v>
      </c>
      <c r="N310" s="23" t="s">
        <v>14</v>
      </c>
      <c r="O310" s="23" t="s">
        <v>13</v>
      </c>
      <c r="P310" s="22" t="s">
        <v>12</v>
      </c>
      <c r="Q310" s="27" t="s">
        <v>11</v>
      </c>
      <c r="R310" s="27"/>
    </row>
    <row r="311" spans="1:18" x14ac:dyDescent="0.25">
      <c r="A311" s="20"/>
      <c r="B311" s="22"/>
      <c r="C311" s="26"/>
      <c r="D311" s="25"/>
      <c r="E311" s="24"/>
      <c r="F311" s="24"/>
      <c r="G311" s="24"/>
      <c r="H311" s="24"/>
      <c r="I311" s="24"/>
      <c r="J311" s="24"/>
      <c r="K311" s="24"/>
      <c r="L311" s="24"/>
      <c r="M311" s="23"/>
      <c r="N311" s="23"/>
      <c r="O311" s="23"/>
      <c r="P311" s="22"/>
      <c r="Q311" s="21" t="s">
        <v>10</v>
      </c>
      <c r="R311" s="21" t="s">
        <v>9</v>
      </c>
    </row>
    <row r="312" spans="1:18" x14ac:dyDescent="0.25">
      <c r="A312" s="20"/>
      <c r="B312" s="14" t="s">
        <v>8</v>
      </c>
      <c r="C312" s="15">
        <v>50</v>
      </c>
      <c r="D312" s="14">
        <v>20</v>
      </c>
      <c r="E312" s="13">
        <v>24</v>
      </c>
      <c r="F312" s="13">
        <f>1.8*E312+32</f>
        <v>75.2</v>
      </c>
      <c r="G312" s="13">
        <v>19</v>
      </c>
      <c r="H312" s="13">
        <f>IF(F312&gt;68,G312+(F312-68)*0.2,Y540-(68-F312)*0.2)</f>
        <v>20.440000000000001</v>
      </c>
      <c r="I312" s="13">
        <v>24</v>
      </c>
      <c r="J312" s="13">
        <f>1.8*I312+32</f>
        <v>75.2</v>
      </c>
      <c r="K312" s="13">
        <v>10</v>
      </c>
      <c r="L312" s="13">
        <f>IF(J312&gt;68,K312+(J312-68)*0.2,K312-(68-J312)*0.2)</f>
        <v>11.440000000000001</v>
      </c>
      <c r="M312" s="13">
        <f>(C312-H312)/C312*100</f>
        <v>59.12</v>
      </c>
      <c r="N312" s="13">
        <f>100-(M312+O312)</f>
        <v>18</v>
      </c>
      <c r="O312" s="13">
        <f>L312/C312*100</f>
        <v>22.880000000000003</v>
      </c>
      <c r="P312" s="12" t="s">
        <v>3</v>
      </c>
      <c r="Q312" s="11">
        <v>409302.49040000001</v>
      </c>
      <c r="R312" s="11">
        <v>3659183.4621819998</v>
      </c>
    </row>
    <row r="313" spans="1:18" x14ac:dyDescent="0.25">
      <c r="A313" s="19" t="s">
        <v>7</v>
      </c>
      <c r="B313" s="14" t="s">
        <v>6</v>
      </c>
      <c r="C313" s="15">
        <v>50</v>
      </c>
      <c r="D313" s="14">
        <v>20</v>
      </c>
      <c r="E313" s="13">
        <v>24</v>
      </c>
      <c r="F313" s="13">
        <f>1.8*E313+32</f>
        <v>75.2</v>
      </c>
      <c r="G313" s="13">
        <v>23</v>
      </c>
      <c r="H313" s="13">
        <f>IF(F313&gt;68,G313+(F313-68)*0.2,Y541-(68-F313)*0.2)</f>
        <v>24.44</v>
      </c>
      <c r="I313" s="13">
        <v>24</v>
      </c>
      <c r="J313" s="13">
        <f>1.8*I313+32</f>
        <v>75.2</v>
      </c>
      <c r="K313" s="13">
        <v>13</v>
      </c>
      <c r="L313" s="13">
        <f>IF(J313&gt;68,K313+(J313-68)*0.2,K313-(68-J313)*0.2)</f>
        <v>14.440000000000001</v>
      </c>
      <c r="M313" s="13">
        <f>(C313-H313)/C313*100</f>
        <v>51.12</v>
      </c>
      <c r="N313" s="13">
        <f>100-(M313+O313)</f>
        <v>20</v>
      </c>
      <c r="O313" s="13">
        <f>L313/C313*100</f>
        <v>28.88</v>
      </c>
      <c r="P313" s="12" t="s">
        <v>3</v>
      </c>
      <c r="Q313" s="11">
        <v>409302.49040000001</v>
      </c>
      <c r="R313" s="11">
        <v>3659183.4621819998</v>
      </c>
    </row>
    <row r="314" spans="1:18" x14ac:dyDescent="0.25">
      <c r="A314" s="18">
        <v>41418</v>
      </c>
      <c r="B314" s="14" t="s">
        <v>5</v>
      </c>
      <c r="C314" s="15">
        <v>50</v>
      </c>
      <c r="D314" s="14">
        <v>20</v>
      </c>
      <c r="E314" s="13">
        <v>25</v>
      </c>
      <c r="F314" s="13">
        <f>1.8*E314+32</f>
        <v>77</v>
      </c>
      <c r="G314" s="13">
        <v>32</v>
      </c>
      <c r="H314" s="13">
        <f>IF(F314&gt;68,G314+(F314-68)*0.2,Y542-(68-F314)*0.2)</f>
        <v>33.799999999999997</v>
      </c>
      <c r="I314" s="13">
        <v>24</v>
      </c>
      <c r="J314" s="13">
        <f>1.8*I314+32</f>
        <v>75.2</v>
      </c>
      <c r="K314" s="13">
        <v>17</v>
      </c>
      <c r="L314" s="13">
        <f>IF(J314&gt;68,K314+(J314-68)*0.2,K314-(68-J314)*0.2)</f>
        <v>18.440000000000001</v>
      </c>
      <c r="M314" s="13">
        <f>(C314-H314)/C314*100</f>
        <v>32.400000000000006</v>
      </c>
      <c r="N314" s="13">
        <f>100-(M314+O314)</f>
        <v>30.72</v>
      </c>
      <c r="O314" s="13">
        <f>L314/C314*100</f>
        <v>36.880000000000003</v>
      </c>
      <c r="P314" s="12" t="s">
        <v>30</v>
      </c>
      <c r="Q314" s="11">
        <v>409302.49040000001</v>
      </c>
      <c r="R314" s="11">
        <v>3659183.4621819998</v>
      </c>
    </row>
    <row r="315" spans="1:18" x14ac:dyDescent="0.25">
      <c r="A315" s="17"/>
      <c r="B315" s="14" t="s">
        <v>4</v>
      </c>
      <c r="C315" s="15">
        <v>50</v>
      </c>
      <c r="D315" s="14">
        <v>20</v>
      </c>
      <c r="E315" s="13">
        <v>25</v>
      </c>
      <c r="F315" s="13">
        <f>1.8*E315+32</f>
        <v>77</v>
      </c>
      <c r="G315" s="13">
        <v>25</v>
      </c>
      <c r="H315" s="13">
        <f>IF(F315&gt;68,G315+(F315-68)*0.2,Y543-(68-F315)*0.2)</f>
        <v>26.8</v>
      </c>
      <c r="I315" s="13">
        <v>24</v>
      </c>
      <c r="J315" s="13">
        <f>1.8*I315+32</f>
        <v>75.2</v>
      </c>
      <c r="K315" s="13">
        <v>15</v>
      </c>
      <c r="L315" s="13">
        <f>IF(J315&gt;68,K315+(J315-68)*0.2,K315-(68-J315)*0.2)</f>
        <v>16.440000000000001</v>
      </c>
      <c r="M315" s="13">
        <f>(C315-H315)/C315*100</f>
        <v>46.4</v>
      </c>
      <c r="N315" s="13">
        <f>100-(M315+O315)</f>
        <v>20.72</v>
      </c>
      <c r="O315" s="13">
        <f>L315/C315*100</f>
        <v>32.880000000000003</v>
      </c>
      <c r="P315" s="12" t="s">
        <v>3</v>
      </c>
      <c r="Q315" s="11">
        <v>409302.49040000001</v>
      </c>
      <c r="R315" s="11">
        <v>3659183.4621819998</v>
      </c>
    </row>
    <row r="316" spans="1:18" x14ac:dyDescent="0.25">
      <c r="A316" s="16"/>
      <c r="B316" s="14" t="s">
        <v>2</v>
      </c>
      <c r="C316" s="15">
        <v>50</v>
      </c>
      <c r="D316" s="14">
        <v>20</v>
      </c>
      <c r="E316" s="13">
        <v>25</v>
      </c>
      <c r="F316" s="13">
        <f>1.8*E316+32</f>
        <v>77</v>
      </c>
      <c r="G316" s="13">
        <v>23</v>
      </c>
      <c r="H316" s="13">
        <f>IF(F316&gt;68,G316+(F316-68)*0.2,Y544-(68-F316)*0.2)</f>
        <v>24.8</v>
      </c>
      <c r="I316" s="13">
        <v>24</v>
      </c>
      <c r="J316" s="13">
        <f>1.8*I316+32</f>
        <v>75.2</v>
      </c>
      <c r="K316" s="13">
        <v>12</v>
      </c>
      <c r="L316" s="13">
        <f>IF(J316&gt;68,K316+(J316-68)*0.2,K316-(68-J316)*0.2)</f>
        <v>13.440000000000001</v>
      </c>
      <c r="M316" s="13">
        <f>(C316-H316)/C316*100</f>
        <v>50.4</v>
      </c>
      <c r="N316" s="13">
        <f>100-(M316+O316)</f>
        <v>22.72</v>
      </c>
      <c r="O316" s="13">
        <f>L316/C316*100</f>
        <v>26.880000000000003</v>
      </c>
      <c r="P316" s="12" t="s">
        <v>3</v>
      </c>
      <c r="Q316" s="11">
        <v>409302.49040000001</v>
      </c>
      <c r="R316" s="11">
        <v>3659183.4621819998</v>
      </c>
    </row>
    <row r="317" spans="1:18" x14ac:dyDescent="0.25">
      <c r="A317" s="16"/>
      <c r="B317" s="14" t="s">
        <v>1</v>
      </c>
      <c r="C317" s="15">
        <v>50</v>
      </c>
      <c r="D317" s="14">
        <v>20</v>
      </c>
      <c r="E317" s="13">
        <v>25</v>
      </c>
      <c r="F317" s="13">
        <f>1.8*E317+32</f>
        <v>77</v>
      </c>
      <c r="G317" s="13">
        <v>21</v>
      </c>
      <c r="H317" s="13">
        <f>IF(F317&gt;68,G317+(F317-68)*0.2,Y545-(68-F317)*0.2)</f>
        <v>22.8</v>
      </c>
      <c r="I317" s="13">
        <v>24</v>
      </c>
      <c r="J317" s="13">
        <f>1.8*I317+32</f>
        <v>75.2</v>
      </c>
      <c r="K317" s="13">
        <v>11</v>
      </c>
      <c r="L317" s="13">
        <f>IF(J317&gt;68,K317+(J317-68)*0.2,K317-(68-J317)*0.2)</f>
        <v>12.440000000000001</v>
      </c>
      <c r="M317" s="13">
        <f>(C317-H317)/C317*100</f>
        <v>54.400000000000006</v>
      </c>
      <c r="N317" s="13">
        <f>100-(M317+O317)</f>
        <v>20.72</v>
      </c>
      <c r="O317" s="13">
        <f>L317/C317*100</f>
        <v>24.880000000000003</v>
      </c>
      <c r="P317" s="12" t="s">
        <v>3</v>
      </c>
      <c r="Q317" s="11">
        <v>409302.49040000001</v>
      </c>
      <c r="R317" s="11">
        <v>3659183.4621819998</v>
      </c>
    </row>
    <row r="319" spans="1:18" ht="51.75" x14ac:dyDescent="0.25">
      <c r="A319" s="19" t="s">
        <v>41</v>
      </c>
      <c r="B319" s="22" t="s">
        <v>26</v>
      </c>
      <c r="C319" s="26" t="s">
        <v>25</v>
      </c>
      <c r="D319" s="25" t="s">
        <v>24</v>
      </c>
      <c r="E319" s="24" t="s">
        <v>23</v>
      </c>
      <c r="F319" s="24" t="s">
        <v>22</v>
      </c>
      <c r="G319" s="24" t="s">
        <v>21</v>
      </c>
      <c r="H319" s="24" t="s">
        <v>20</v>
      </c>
      <c r="I319" s="24" t="s">
        <v>19</v>
      </c>
      <c r="J319" s="24" t="s">
        <v>18</v>
      </c>
      <c r="K319" s="24" t="s">
        <v>17</v>
      </c>
      <c r="L319" s="24" t="s">
        <v>16</v>
      </c>
      <c r="M319" s="23" t="s">
        <v>15</v>
      </c>
      <c r="N319" s="23" t="s">
        <v>14</v>
      </c>
      <c r="O319" s="23" t="s">
        <v>13</v>
      </c>
      <c r="P319" s="22" t="s">
        <v>12</v>
      </c>
      <c r="Q319" s="27" t="s">
        <v>11</v>
      </c>
      <c r="R319" s="27"/>
    </row>
    <row r="320" spans="1:18" x14ac:dyDescent="0.25">
      <c r="A320" s="20"/>
      <c r="B320" s="22"/>
      <c r="C320" s="26"/>
      <c r="D320" s="25"/>
      <c r="E320" s="24"/>
      <c r="F320" s="24"/>
      <c r="G320" s="24"/>
      <c r="H320" s="24"/>
      <c r="I320" s="24"/>
      <c r="J320" s="24"/>
      <c r="K320" s="24"/>
      <c r="L320" s="24"/>
      <c r="M320" s="23"/>
      <c r="N320" s="23"/>
      <c r="O320" s="23"/>
      <c r="P320" s="22"/>
      <c r="Q320" s="21" t="s">
        <v>10</v>
      </c>
      <c r="R320" s="21" t="s">
        <v>9</v>
      </c>
    </row>
    <row r="321" spans="1:18" x14ac:dyDescent="0.25">
      <c r="A321" s="20"/>
      <c r="B321" s="14" t="s">
        <v>8</v>
      </c>
      <c r="C321" s="15">
        <v>50</v>
      </c>
      <c r="D321" s="14">
        <v>20</v>
      </c>
      <c r="E321" s="13">
        <v>23</v>
      </c>
      <c r="F321" s="13">
        <f>1.8*E321+32</f>
        <v>73.400000000000006</v>
      </c>
      <c r="G321" s="13">
        <v>20</v>
      </c>
      <c r="H321" s="13">
        <f>IF(F321&gt;68,G321+(F321-68)*0.2,Y549-(68-F321)*0.2)</f>
        <v>21.080000000000002</v>
      </c>
      <c r="I321" s="13">
        <v>23</v>
      </c>
      <c r="J321" s="13">
        <f>1.8*I321+32</f>
        <v>73.400000000000006</v>
      </c>
      <c r="K321" s="13">
        <v>10</v>
      </c>
      <c r="L321" s="13">
        <f>IF(J321&gt;68,K321+(J321-68)*0.2,K321-(68-J321)*0.2)</f>
        <v>11.080000000000002</v>
      </c>
      <c r="M321" s="13">
        <f>(C321-H321)/C321*100</f>
        <v>57.839999999999989</v>
      </c>
      <c r="N321" s="13">
        <f>100-(M321+O321)</f>
        <v>20</v>
      </c>
      <c r="O321" s="13">
        <f>L321/C321*100</f>
        <v>22.160000000000004</v>
      </c>
      <c r="P321" s="12" t="s">
        <v>3</v>
      </c>
      <c r="Q321" s="11">
        <v>409322.80839999998</v>
      </c>
      <c r="R321" s="11">
        <v>3659201.667467</v>
      </c>
    </row>
    <row r="322" spans="1:18" x14ac:dyDescent="0.25">
      <c r="A322" s="19" t="s">
        <v>7</v>
      </c>
      <c r="B322" s="14" t="s">
        <v>6</v>
      </c>
      <c r="C322" s="15">
        <v>50</v>
      </c>
      <c r="D322" s="14">
        <v>20</v>
      </c>
      <c r="E322" s="13">
        <v>27</v>
      </c>
      <c r="F322" s="13">
        <f>1.8*E322+32</f>
        <v>80.599999999999994</v>
      </c>
      <c r="G322" s="13">
        <v>14</v>
      </c>
      <c r="H322" s="13">
        <f>IF(F322&gt;68,G322+(F322-68)*0.2,Y550-(68-F322)*0.2)</f>
        <v>16.52</v>
      </c>
      <c r="I322" s="13">
        <v>25</v>
      </c>
      <c r="J322" s="13">
        <f>1.8*I322+32</f>
        <v>77</v>
      </c>
      <c r="K322" s="13">
        <v>9</v>
      </c>
      <c r="L322" s="13">
        <f>IF(J322&gt;68,K322+(J322-68)*0.2,K322-(68-J322)*0.2)</f>
        <v>10.8</v>
      </c>
      <c r="M322" s="13">
        <f>(C322-H322)/C322*100</f>
        <v>66.960000000000008</v>
      </c>
      <c r="N322" s="13">
        <f>100-(M322+O322)</f>
        <v>11.439999999999998</v>
      </c>
      <c r="O322" s="13">
        <f>L322/C322*100</f>
        <v>21.6</v>
      </c>
      <c r="P322" s="12" t="s">
        <v>3</v>
      </c>
      <c r="Q322" s="11">
        <v>409322.80839999998</v>
      </c>
      <c r="R322" s="11">
        <v>3659201.667467</v>
      </c>
    </row>
    <row r="323" spans="1:18" x14ac:dyDescent="0.25">
      <c r="A323" s="18">
        <v>41163</v>
      </c>
      <c r="B323" s="14" t="s">
        <v>5</v>
      </c>
      <c r="C323" s="15">
        <v>50</v>
      </c>
      <c r="D323" s="14">
        <v>20</v>
      </c>
      <c r="E323" s="13">
        <v>23</v>
      </c>
      <c r="F323" s="13">
        <f>1.8*E323+32</f>
        <v>73.400000000000006</v>
      </c>
      <c r="G323" s="13">
        <v>16</v>
      </c>
      <c r="H323" s="13">
        <f>IF(F323&gt;68,G323+(F323-68)*0.2,Y551-(68-F323)*0.2)</f>
        <v>17.080000000000002</v>
      </c>
      <c r="I323" s="13">
        <v>23</v>
      </c>
      <c r="J323" s="13">
        <f>1.8*I323+32</f>
        <v>73.400000000000006</v>
      </c>
      <c r="K323" s="13">
        <v>8</v>
      </c>
      <c r="L323" s="13">
        <f>IF(J323&gt;68,K323+(J323-68)*0.2,K323-(68-J323)*0.2)</f>
        <v>9.0800000000000018</v>
      </c>
      <c r="M323" s="13">
        <f>(C323-H323)/C323*100</f>
        <v>65.84</v>
      </c>
      <c r="N323" s="13">
        <f>100-(M323+O323)</f>
        <v>16</v>
      </c>
      <c r="O323" s="13">
        <f>L323/C323*100</f>
        <v>18.160000000000004</v>
      </c>
      <c r="P323" s="12" t="s">
        <v>0</v>
      </c>
      <c r="Q323" s="11">
        <v>409322.80839999998</v>
      </c>
      <c r="R323" s="11">
        <v>3659201.667467</v>
      </c>
    </row>
    <row r="324" spans="1:18" x14ac:dyDescent="0.25">
      <c r="A324" s="17"/>
      <c r="B324" s="14" t="s">
        <v>4</v>
      </c>
      <c r="C324" s="15">
        <v>50</v>
      </c>
      <c r="D324" s="14">
        <v>20</v>
      </c>
      <c r="E324" s="13">
        <v>24</v>
      </c>
      <c r="F324" s="13">
        <f>1.8*E324+32</f>
        <v>75.2</v>
      </c>
      <c r="G324" s="13">
        <v>23</v>
      </c>
      <c r="H324" s="13">
        <f>IF(F324&gt;68,G324+(F324-68)*0.2,Y552-(68-F324)*0.2)</f>
        <v>24.44</v>
      </c>
      <c r="I324" s="13">
        <v>23</v>
      </c>
      <c r="J324" s="13">
        <f>1.8*I324+32</f>
        <v>73.400000000000006</v>
      </c>
      <c r="K324" s="13">
        <v>11</v>
      </c>
      <c r="L324" s="13">
        <f>IF(J324&gt;68,K324+(J324-68)*0.2,K324-(68-J324)*0.2)</f>
        <v>12.080000000000002</v>
      </c>
      <c r="M324" s="13">
        <f>(C324-H324)/C324*100</f>
        <v>51.12</v>
      </c>
      <c r="N324" s="13">
        <f>100-(M324+O324)</f>
        <v>24.72</v>
      </c>
      <c r="O324" s="13">
        <f>L324/C324*100</f>
        <v>24.160000000000004</v>
      </c>
      <c r="P324" s="12" t="s">
        <v>3</v>
      </c>
      <c r="Q324" s="11">
        <v>409322.80839999998</v>
      </c>
      <c r="R324" s="11">
        <v>3659201.667467</v>
      </c>
    </row>
    <row r="325" spans="1:18" x14ac:dyDescent="0.25">
      <c r="A325" s="16"/>
      <c r="B325" s="14" t="s">
        <v>2</v>
      </c>
      <c r="C325" s="15">
        <v>50</v>
      </c>
      <c r="D325" s="14">
        <v>20</v>
      </c>
      <c r="E325" s="13">
        <v>24</v>
      </c>
      <c r="F325" s="13">
        <f>1.8*E325+32</f>
        <v>75.2</v>
      </c>
      <c r="G325" s="13">
        <v>20</v>
      </c>
      <c r="H325" s="13">
        <f>IF(F325&gt;68,G325+(F325-68)*0.2,Y553-(68-F325)*0.2)</f>
        <v>21.44</v>
      </c>
      <c r="I325" s="13">
        <v>23</v>
      </c>
      <c r="J325" s="13">
        <f>1.8*I325+32</f>
        <v>73.400000000000006</v>
      </c>
      <c r="K325" s="13">
        <v>10</v>
      </c>
      <c r="L325" s="13">
        <f>IF(J325&gt;68,K325+(J325-68)*0.2,K325-(68-J325)*0.2)</f>
        <v>11.080000000000002</v>
      </c>
      <c r="M325" s="13">
        <f>(C325-H325)/C325*100</f>
        <v>57.11999999999999</v>
      </c>
      <c r="N325" s="13">
        <f>100-(M325+O325)</f>
        <v>20.72</v>
      </c>
      <c r="O325" s="13">
        <f>L325/C325*100</f>
        <v>22.160000000000004</v>
      </c>
      <c r="P325" s="12" t="s">
        <v>3</v>
      </c>
      <c r="Q325" s="11">
        <v>409322.80839999998</v>
      </c>
      <c r="R325" s="11">
        <v>3659201.667467</v>
      </c>
    </row>
    <row r="326" spans="1:18" x14ac:dyDescent="0.25">
      <c r="A326" s="16"/>
      <c r="B326" s="14" t="s">
        <v>1</v>
      </c>
      <c r="C326" s="15">
        <v>50</v>
      </c>
      <c r="D326" s="14">
        <v>20</v>
      </c>
      <c r="E326" s="13">
        <v>25</v>
      </c>
      <c r="F326" s="13">
        <f>1.8*E326+32</f>
        <v>77</v>
      </c>
      <c r="G326" s="13">
        <v>20</v>
      </c>
      <c r="H326" s="13">
        <f>IF(F326&gt;68,G326+(F326-68)*0.2,Y554-(68-F326)*0.2)</f>
        <v>21.8</v>
      </c>
      <c r="I326" s="13">
        <v>24</v>
      </c>
      <c r="J326" s="13">
        <f>1.8*I326+32</f>
        <v>75.2</v>
      </c>
      <c r="K326" s="13">
        <v>11</v>
      </c>
      <c r="L326" s="13">
        <f>IF(J326&gt;68,K326+(J326-68)*0.2,K326-(68-J326)*0.2)</f>
        <v>12.440000000000001</v>
      </c>
      <c r="M326" s="13">
        <f>(C326-H326)/C326*100</f>
        <v>56.399999999999991</v>
      </c>
      <c r="N326" s="13">
        <f>100-(M326+O326)</f>
        <v>18.72</v>
      </c>
      <c r="O326" s="13">
        <f>L326/C326*100</f>
        <v>24.880000000000003</v>
      </c>
      <c r="P326" s="12" t="s">
        <v>3</v>
      </c>
      <c r="Q326" s="11">
        <v>409322.80839999998</v>
      </c>
      <c r="R326" s="11">
        <v>3659201.667467</v>
      </c>
    </row>
    <row r="328" spans="1:18" ht="51.75" x14ac:dyDescent="0.25">
      <c r="A328" s="19" t="s">
        <v>40</v>
      </c>
      <c r="B328" s="22" t="s">
        <v>26</v>
      </c>
      <c r="C328" s="26" t="s">
        <v>25</v>
      </c>
      <c r="D328" s="25" t="s">
        <v>24</v>
      </c>
      <c r="E328" s="24" t="s">
        <v>23</v>
      </c>
      <c r="F328" s="24" t="s">
        <v>22</v>
      </c>
      <c r="G328" s="24" t="s">
        <v>21</v>
      </c>
      <c r="H328" s="24" t="s">
        <v>20</v>
      </c>
      <c r="I328" s="24" t="s">
        <v>19</v>
      </c>
      <c r="J328" s="24" t="s">
        <v>18</v>
      </c>
      <c r="K328" s="24" t="s">
        <v>17</v>
      </c>
      <c r="L328" s="24" t="s">
        <v>16</v>
      </c>
      <c r="M328" s="23" t="s">
        <v>15</v>
      </c>
      <c r="N328" s="23" t="s">
        <v>14</v>
      </c>
      <c r="O328" s="23" t="s">
        <v>13</v>
      </c>
      <c r="P328" s="22" t="s">
        <v>12</v>
      </c>
      <c r="Q328" s="27" t="s">
        <v>11</v>
      </c>
      <c r="R328" s="27"/>
    </row>
    <row r="329" spans="1:18" x14ac:dyDescent="0.25">
      <c r="A329" s="20"/>
      <c r="B329" s="22"/>
      <c r="C329" s="26"/>
      <c r="D329" s="25"/>
      <c r="E329" s="24"/>
      <c r="F329" s="24"/>
      <c r="G329" s="24"/>
      <c r="H329" s="24"/>
      <c r="I329" s="24"/>
      <c r="J329" s="24"/>
      <c r="K329" s="24"/>
      <c r="L329" s="24"/>
      <c r="M329" s="23"/>
      <c r="N329" s="23"/>
      <c r="O329" s="23"/>
      <c r="P329" s="22"/>
      <c r="Q329" s="21" t="s">
        <v>10</v>
      </c>
      <c r="R329" s="21" t="s">
        <v>9</v>
      </c>
    </row>
    <row r="330" spans="1:18" x14ac:dyDescent="0.25">
      <c r="A330" s="20"/>
      <c r="B330" s="14" t="s">
        <v>8</v>
      </c>
      <c r="C330" s="15">
        <v>50</v>
      </c>
      <c r="D330" s="14">
        <v>20</v>
      </c>
      <c r="E330" s="13">
        <v>24</v>
      </c>
      <c r="F330" s="13">
        <f>1.8*E330+32</f>
        <v>75.2</v>
      </c>
      <c r="G330" s="13">
        <v>20</v>
      </c>
      <c r="H330" s="13">
        <f>IF(F330&gt;68,G330+(F330-68)*0.2,Y560-(68-F330)*0.2)</f>
        <v>21.44</v>
      </c>
      <c r="I330" s="13">
        <v>23</v>
      </c>
      <c r="J330" s="13">
        <f>1.8*I330+32</f>
        <v>73.400000000000006</v>
      </c>
      <c r="K330" s="13">
        <v>10</v>
      </c>
      <c r="L330" s="13">
        <f>IF(J330&gt;68,K330+(J330-68)*0.2,K330-(68-J330)*0.2)</f>
        <v>11.080000000000002</v>
      </c>
      <c r="M330" s="13">
        <f>(C330-H330)/C330*100</f>
        <v>57.11999999999999</v>
      </c>
      <c r="N330" s="13">
        <f>100-(M330+O330)</f>
        <v>20.72</v>
      </c>
      <c r="O330" s="13">
        <f>L330/C330*100</f>
        <v>22.160000000000004</v>
      </c>
      <c r="P330" s="12" t="s">
        <v>3</v>
      </c>
      <c r="Q330" s="11">
        <v>409294.36040000001</v>
      </c>
      <c r="R330" s="11">
        <v>3659183.4621819998</v>
      </c>
    </row>
    <row r="331" spans="1:18" x14ac:dyDescent="0.25">
      <c r="A331" s="19" t="s">
        <v>7</v>
      </c>
      <c r="B331" s="14" t="s">
        <v>6</v>
      </c>
      <c r="C331" s="15">
        <v>50</v>
      </c>
      <c r="D331" s="14">
        <v>20</v>
      </c>
      <c r="E331" s="13">
        <v>26</v>
      </c>
      <c r="F331" s="13">
        <f>1.8*E331+32</f>
        <v>78.800000000000011</v>
      </c>
      <c r="G331" s="13">
        <v>21</v>
      </c>
      <c r="H331" s="13">
        <f>IF(F331&gt;68,G331+(F331-68)*0.2,Y561-(68-F331)*0.2)</f>
        <v>23.160000000000004</v>
      </c>
      <c r="I331" s="13">
        <v>24</v>
      </c>
      <c r="J331" s="13">
        <f>1.8*I331+32</f>
        <v>75.2</v>
      </c>
      <c r="K331" s="13">
        <v>12</v>
      </c>
      <c r="L331" s="13">
        <f>IF(J331&gt;68,K331+(J331-68)*0.2,K331-(68-J331)*0.2)</f>
        <v>13.440000000000001</v>
      </c>
      <c r="M331" s="13">
        <f>(C331-H331)/C331*100</f>
        <v>53.679999999999993</v>
      </c>
      <c r="N331" s="13">
        <f>100-(M331+O331)</f>
        <v>19.439999999999998</v>
      </c>
      <c r="O331" s="13">
        <f>L331/C331*100</f>
        <v>26.880000000000003</v>
      </c>
      <c r="P331" s="12" t="s">
        <v>3</v>
      </c>
      <c r="Q331" s="11">
        <v>409294.36040000001</v>
      </c>
      <c r="R331" s="11">
        <v>3659183.4621819998</v>
      </c>
    </row>
    <row r="332" spans="1:18" x14ac:dyDescent="0.25">
      <c r="A332" s="18">
        <v>41163</v>
      </c>
      <c r="B332" s="14" t="s">
        <v>5</v>
      </c>
      <c r="C332" s="15">
        <v>50</v>
      </c>
      <c r="D332" s="14">
        <v>20</v>
      </c>
      <c r="E332" s="13">
        <v>24</v>
      </c>
      <c r="F332" s="13">
        <f>1.8*E332+32</f>
        <v>75.2</v>
      </c>
      <c r="G332" s="13">
        <v>31</v>
      </c>
      <c r="H332" s="13">
        <f>IF(F332&gt;68,G332+(F332-68)*0.2,Y562-(68-F332)*0.2)</f>
        <v>32.44</v>
      </c>
      <c r="I332" s="13">
        <v>23</v>
      </c>
      <c r="J332" s="13">
        <f>1.8*I332+32</f>
        <v>73.400000000000006</v>
      </c>
      <c r="K332" s="13">
        <v>18</v>
      </c>
      <c r="L332" s="13">
        <f>IF(J332&gt;68,K332+(J332-68)*0.2,K332-(68-J332)*0.2)</f>
        <v>19.080000000000002</v>
      </c>
      <c r="M332" s="13">
        <f>(C332-H332)/C332*100</f>
        <v>35.120000000000005</v>
      </c>
      <c r="N332" s="13">
        <f>100-(M332+O332)</f>
        <v>26.72</v>
      </c>
      <c r="O332" s="13">
        <f>L332/C332*100</f>
        <v>38.160000000000004</v>
      </c>
      <c r="P332" s="12" t="s">
        <v>30</v>
      </c>
      <c r="Q332" s="11">
        <v>409294.36040000001</v>
      </c>
      <c r="R332" s="11">
        <v>3659183.4621819998</v>
      </c>
    </row>
    <row r="333" spans="1:18" x14ac:dyDescent="0.25">
      <c r="A333" s="17"/>
      <c r="B333" s="14" t="s">
        <v>4</v>
      </c>
      <c r="C333" s="15">
        <v>50</v>
      </c>
      <c r="D333" s="14">
        <v>20</v>
      </c>
      <c r="E333" s="13">
        <v>24</v>
      </c>
      <c r="F333" s="13">
        <f>1.8*E333+32</f>
        <v>75.2</v>
      </c>
      <c r="G333" s="13">
        <v>28</v>
      </c>
      <c r="H333" s="13">
        <f>IF(F333&gt;68,G333+(F333-68)*0.2,Y563-(68-F333)*0.2)</f>
        <v>29.44</v>
      </c>
      <c r="I333" s="13">
        <v>23</v>
      </c>
      <c r="J333" s="13">
        <f>1.8*I333+32</f>
        <v>73.400000000000006</v>
      </c>
      <c r="K333" s="13">
        <v>16</v>
      </c>
      <c r="L333" s="13">
        <f>IF(J333&gt;68,K333+(J333-68)*0.2,K333-(68-J333)*0.2)</f>
        <v>17.080000000000002</v>
      </c>
      <c r="M333" s="13">
        <f>(C333-H333)/C333*100</f>
        <v>41.12</v>
      </c>
      <c r="N333" s="13">
        <f>100-(M333+O333)</f>
        <v>24.72</v>
      </c>
      <c r="O333" s="13">
        <f>L333/C333*100</f>
        <v>34.160000000000004</v>
      </c>
      <c r="P333" s="12" t="s">
        <v>30</v>
      </c>
      <c r="Q333" s="11">
        <v>409294.36040000001</v>
      </c>
      <c r="R333" s="11">
        <v>3659183.4621819998</v>
      </c>
    </row>
    <row r="334" spans="1:18" x14ac:dyDescent="0.25">
      <c r="A334" s="16"/>
      <c r="B334" s="14" t="s">
        <v>2</v>
      </c>
      <c r="C334" s="15">
        <v>50</v>
      </c>
      <c r="D334" s="14">
        <v>20</v>
      </c>
      <c r="E334" s="13">
        <v>26</v>
      </c>
      <c r="F334" s="13">
        <f>1.8*E334+32</f>
        <v>78.800000000000011</v>
      </c>
      <c r="G334" s="13">
        <v>25</v>
      </c>
      <c r="H334" s="13">
        <f>IF(F334&gt;68,G334+(F334-68)*0.2,Y564-(68-F334)*0.2)</f>
        <v>27.160000000000004</v>
      </c>
      <c r="I334" s="13">
        <v>24</v>
      </c>
      <c r="J334" s="13">
        <f>1.8*I334+32</f>
        <v>75.2</v>
      </c>
      <c r="K334" s="13">
        <v>14</v>
      </c>
      <c r="L334" s="13">
        <f>IF(J334&gt;68,K334+(J334-68)*0.2,K334-(68-J334)*0.2)</f>
        <v>15.440000000000001</v>
      </c>
      <c r="M334" s="13">
        <f>(C334-H334)/C334*100</f>
        <v>45.679999999999993</v>
      </c>
      <c r="N334" s="13">
        <f>100-(M334+O334)</f>
        <v>23.439999999999998</v>
      </c>
      <c r="O334" s="13">
        <f>L334/C334*100</f>
        <v>30.880000000000003</v>
      </c>
      <c r="P334" s="12" t="s">
        <v>3</v>
      </c>
      <c r="Q334" s="11">
        <v>409294.36040000001</v>
      </c>
      <c r="R334" s="11">
        <v>3659183.4621819998</v>
      </c>
    </row>
    <row r="335" spans="1:18" x14ac:dyDescent="0.25">
      <c r="A335" s="16"/>
      <c r="B335" s="14" t="s">
        <v>1</v>
      </c>
      <c r="C335" s="15">
        <v>50</v>
      </c>
      <c r="D335" s="14">
        <v>20</v>
      </c>
      <c r="E335" s="13">
        <v>24</v>
      </c>
      <c r="F335" s="13">
        <f>1.8*E335+32</f>
        <v>75.2</v>
      </c>
      <c r="G335" s="13">
        <v>21</v>
      </c>
      <c r="H335" s="13">
        <f>IF(F335&gt;68,G335+(F335-68)*0.2,Y565-(68-F335)*0.2)</f>
        <v>22.44</v>
      </c>
      <c r="I335" s="13">
        <v>23</v>
      </c>
      <c r="J335" s="13">
        <f>1.8*I335+32</f>
        <v>73.400000000000006</v>
      </c>
      <c r="K335" s="13">
        <v>11</v>
      </c>
      <c r="L335" s="13">
        <f>IF(J335&gt;68,K335+(J335-68)*0.2,K335-(68-J335)*0.2)</f>
        <v>12.080000000000002</v>
      </c>
      <c r="M335" s="13">
        <f>(C335-H335)/C335*100</f>
        <v>55.120000000000005</v>
      </c>
      <c r="N335" s="13">
        <f>100-(M335+O335)</f>
        <v>20.72</v>
      </c>
      <c r="O335" s="13">
        <f>L335/C335*100</f>
        <v>24.160000000000004</v>
      </c>
      <c r="P335" s="12" t="s">
        <v>3</v>
      </c>
      <c r="Q335" s="11">
        <v>409294.36040000001</v>
      </c>
      <c r="R335" s="11">
        <v>3659183.4621819998</v>
      </c>
    </row>
    <row r="337" spans="1:18" ht="51.75" x14ac:dyDescent="0.25">
      <c r="A337" s="19" t="s">
        <v>39</v>
      </c>
      <c r="B337" s="22" t="s">
        <v>26</v>
      </c>
      <c r="C337" s="26" t="s">
        <v>25</v>
      </c>
      <c r="D337" s="25" t="s">
        <v>24</v>
      </c>
      <c r="E337" s="24" t="s">
        <v>23</v>
      </c>
      <c r="F337" s="24" t="s">
        <v>22</v>
      </c>
      <c r="G337" s="24" t="s">
        <v>21</v>
      </c>
      <c r="H337" s="24" t="s">
        <v>20</v>
      </c>
      <c r="I337" s="24" t="s">
        <v>19</v>
      </c>
      <c r="J337" s="24" t="s">
        <v>18</v>
      </c>
      <c r="K337" s="24" t="s">
        <v>17</v>
      </c>
      <c r="L337" s="24" t="s">
        <v>16</v>
      </c>
      <c r="M337" s="23" t="s">
        <v>15</v>
      </c>
      <c r="N337" s="23" t="s">
        <v>14</v>
      </c>
      <c r="O337" s="23" t="s">
        <v>13</v>
      </c>
      <c r="P337" s="22" t="s">
        <v>12</v>
      </c>
      <c r="Q337" s="27" t="s">
        <v>11</v>
      </c>
      <c r="R337" s="27"/>
    </row>
    <row r="338" spans="1:18" x14ac:dyDescent="0.25">
      <c r="A338" s="20"/>
      <c r="B338" s="22"/>
      <c r="C338" s="26"/>
      <c r="D338" s="25"/>
      <c r="E338" s="24"/>
      <c r="F338" s="24"/>
      <c r="G338" s="24"/>
      <c r="H338" s="24"/>
      <c r="I338" s="24"/>
      <c r="J338" s="24"/>
      <c r="K338" s="24"/>
      <c r="L338" s="24"/>
      <c r="M338" s="23"/>
      <c r="N338" s="23"/>
      <c r="O338" s="23"/>
      <c r="P338" s="22"/>
      <c r="Q338" s="21" t="s">
        <v>10</v>
      </c>
      <c r="R338" s="21" t="s">
        <v>9</v>
      </c>
    </row>
    <row r="339" spans="1:18" x14ac:dyDescent="0.25">
      <c r="A339" s="20"/>
      <c r="B339" s="14" t="s">
        <v>8</v>
      </c>
      <c r="C339" s="15">
        <v>50</v>
      </c>
      <c r="D339" s="14">
        <v>20</v>
      </c>
      <c r="E339" s="13">
        <v>25</v>
      </c>
      <c r="F339" s="13">
        <f>1.8*E339+32</f>
        <v>77</v>
      </c>
      <c r="G339" s="13">
        <v>20</v>
      </c>
      <c r="H339" s="13">
        <f>IF(F339&gt;68,G339+(F339-68)*0.2,Y569-(68-F339)*0.2)</f>
        <v>21.8</v>
      </c>
      <c r="I339" s="13">
        <v>24</v>
      </c>
      <c r="J339" s="13">
        <f>1.8*I339+32</f>
        <v>75.2</v>
      </c>
      <c r="K339" s="13">
        <v>11</v>
      </c>
      <c r="L339" s="13">
        <f>IF(J339&gt;68,K339+(J339-68)*0.2,K339-(68-J339)*0.2)</f>
        <v>12.440000000000001</v>
      </c>
      <c r="M339" s="13">
        <f>(C339-H339)/C339*100</f>
        <v>56.399999999999991</v>
      </c>
      <c r="N339" s="13">
        <f>100-(M339+O339)</f>
        <v>18.72</v>
      </c>
      <c r="O339" s="13">
        <f>L339/C339*100</f>
        <v>24.880000000000003</v>
      </c>
      <c r="P339" s="12" t="s">
        <v>3</v>
      </c>
      <c r="Q339" s="11">
        <v>409326.87239999999</v>
      </c>
      <c r="R339" s="11">
        <v>3659201.667467</v>
      </c>
    </row>
    <row r="340" spans="1:18" x14ac:dyDescent="0.25">
      <c r="A340" s="19" t="s">
        <v>7</v>
      </c>
      <c r="B340" s="14" t="s">
        <v>6</v>
      </c>
      <c r="C340" s="15">
        <v>50</v>
      </c>
      <c r="D340" s="14">
        <v>20</v>
      </c>
      <c r="E340" s="13">
        <v>25</v>
      </c>
      <c r="F340" s="13">
        <f>1.8*E340+32</f>
        <v>77</v>
      </c>
      <c r="G340" s="13">
        <v>23</v>
      </c>
      <c r="H340" s="13">
        <f>IF(F340&gt;68,G340+(F340-68)*0.2,Y570-(68-F340)*0.2)</f>
        <v>24.8</v>
      </c>
      <c r="I340" s="13">
        <v>24</v>
      </c>
      <c r="J340" s="13">
        <f>1.8*I340+32</f>
        <v>75.2</v>
      </c>
      <c r="K340" s="13">
        <v>13</v>
      </c>
      <c r="L340" s="13">
        <f>IF(J340&gt;68,K340+(J340-68)*0.2,K340-(68-J340)*0.2)</f>
        <v>14.440000000000001</v>
      </c>
      <c r="M340" s="13">
        <f>(C340-H340)/C340*100</f>
        <v>50.4</v>
      </c>
      <c r="N340" s="13">
        <f>100-(M340+O340)</f>
        <v>20.72</v>
      </c>
      <c r="O340" s="13">
        <f>L340/C340*100</f>
        <v>28.88</v>
      </c>
      <c r="P340" s="12" t="s">
        <v>3</v>
      </c>
      <c r="Q340" s="11">
        <v>409326.87239999999</v>
      </c>
      <c r="R340" s="11">
        <v>3659201.667467</v>
      </c>
    </row>
    <row r="341" spans="1:18" x14ac:dyDescent="0.25">
      <c r="A341" s="18">
        <v>41418</v>
      </c>
      <c r="B341" s="14" t="s">
        <v>5</v>
      </c>
      <c r="C341" s="15">
        <v>50</v>
      </c>
      <c r="D341" s="14">
        <v>20</v>
      </c>
      <c r="E341" s="13">
        <v>25</v>
      </c>
      <c r="F341" s="13">
        <f>1.8*E341+32</f>
        <v>77</v>
      </c>
      <c r="G341" s="13">
        <v>31</v>
      </c>
      <c r="H341" s="13">
        <f>IF(F341&gt;68,G341+(F341-68)*0.2,Y571-(68-F341)*0.2)</f>
        <v>32.799999999999997</v>
      </c>
      <c r="I341" s="13">
        <v>24</v>
      </c>
      <c r="J341" s="13">
        <f>1.8*I341+32</f>
        <v>75.2</v>
      </c>
      <c r="K341" s="13">
        <v>19</v>
      </c>
      <c r="L341" s="13">
        <f>IF(J341&gt;68,K341+(J341-68)*0.2,K341-(68-J341)*0.2)</f>
        <v>20.440000000000001</v>
      </c>
      <c r="M341" s="13">
        <f>(C341-H341)/C341*100</f>
        <v>34.400000000000006</v>
      </c>
      <c r="N341" s="13">
        <f>100-(M341+O341)</f>
        <v>24.72</v>
      </c>
      <c r="O341" s="13">
        <f>L341/C341*100</f>
        <v>40.880000000000003</v>
      </c>
      <c r="P341" s="12" t="s">
        <v>37</v>
      </c>
      <c r="Q341" s="11">
        <v>409326.87239999999</v>
      </c>
      <c r="R341" s="11">
        <v>3659201.667467</v>
      </c>
    </row>
    <row r="342" spans="1:18" x14ac:dyDescent="0.25">
      <c r="A342" s="17"/>
      <c r="B342" s="14" t="s">
        <v>4</v>
      </c>
      <c r="C342" s="15">
        <v>50</v>
      </c>
      <c r="D342" s="14">
        <v>20</v>
      </c>
      <c r="E342" s="13">
        <v>25</v>
      </c>
      <c r="F342" s="13">
        <f>1.8*E342+32</f>
        <v>77</v>
      </c>
      <c r="G342" s="13">
        <v>25</v>
      </c>
      <c r="H342" s="13">
        <f>IF(F342&gt;68,G342+(F342-68)*0.2,Y572-(68-F342)*0.2)</f>
        <v>26.8</v>
      </c>
      <c r="I342" s="13">
        <v>24</v>
      </c>
      <c r="J342" s="13">
        <f>1.8*I342+32</f>
        <v>75.2</v>
      </c>
      <c r="K342" s="13">
        <v>16</v>
      </c>
      <c r="L342" s="13">
        <f>IF(J342&gt;68,K342+(J342-68)*0.2,K342-(68-J342)*0.2)</f>
        <v>17.440000000000001</v>
      </c>
      <c r="M342" s="13">
        <f>(C342-H342)/C342*100</f>
        <v>46.4</v>
      </c>
      <c r="N342" s="13">
        <f>100-(M342+O342)</f>
        <v>18.72</v>
      </c>
      <c r="O342" s="13">
        <f>L342/C342*100</f>
        <v>34.880000000000003</v>
      </c>
      <c r="P342" s="12" t="s">
        <v>3</v>
      </c>
      <c r="Q342" s="11">
        <v>409326.87239999999</v>
      </c>
      <c r="R342" s="11">
        <v>3659201.667467</v>
      </c>
    </row>
    <row r="343" spans="1:18" x14ac:dyDescent="0.25">
      <c r="A343" s="16"/>
      <c r="B343" s="14" t="s">
        <v>2</v>
      </c>
      <c r="C343" s="15">
        <v>50</v>
      </c>
      <c r="D343" s="14">
        <v>20</v>
      </c>
      <c r="E343" s="13">
        <v>24</v>
      </c>
      <c r="F343" s="13">
        <f>1.8*E343+32</f>
        <v>75.2</v>
      </c>
      <c r="G343" s="13">
        <v>20</v>
      </c>
      <c r="H343" s="13">
        <f>IF(F343&gt;68,G343+(F343-68)*0.2,Y573-(68-F343)*0.2)</f>
        <v>21.44</v>
      </c>
      <c r="I343" s="13">
        <v>24</v>
      </c>
      <c r="J343" s="13">
        <f>1.8*I343+32</f>
        <v>75.2</v>
      </c>
      <c r="K343" s="13">
        <v>13</v>
      </c>
      <c r="L343" s="13">
        <f>IF(J343&gt;68,K343+(J343-68)*0.2,K343-(68-J343)*0.2)</f>
        <v>14.440000000000001</v>
      </c>
      <c r="M343" s="13">
        <f>(C343-H343)/C343*100</f>
        <v>57.11999999999999</v>
      </c>
      <c r="N343" s="13">
        <f>100-(M343+O343)</f>
        <v>14.000000000000014</v>
      </c>
      <c r="O343" s="13">
        <f>L343/C343*100</f>
        <v>28.88</v>
      </c>
      <c r="P343" s="12" t="s">
        <v>3</v>
      </c>
      <c r="Q343" s="11">
        <v>409326.87239999999</v>
      </c>
      <c r="R343" s="11">
        <v>3659201.667467</v>
      </c>
    </row>
    <row r="344" spans="1:18" x14ac:dyDescent="0.25">
      <c r="A344" s="16"/>
      <c r="B344" s="14" t="s">
        <v>1</v>
      </c>
      <c r="C344" s="15">
        <v>50</v>
      </c>
      <c r="D344" s="14">
        <v>20</v>
      </c>
      <c r="E344" s="13">
        <v>24</v>
      </c>
      <c r="F344" s="13">
        <f>1.8*E344+32</f>
        <v>75.2</v>
      </c>
      <c r="G344" s="13">
        <v>15</v>
      </c>
      <c r="H344" s="13">
        <f>IF(F344&gt;68,G344+(F344-68)*0.2,Y574-(68-F344)*0.2)</f>
        <v>16.440000000000001</v>
      </c>
      <c r="I344" s="13">
        <v>24</v>
      </c>
      <c r="J344" s="13">
        <f>1.8*I344+32</f>
        <v>75.2</v>
      </c>
      <c r="K344" s="13">
        <v>11</v>
      </c>
      <c r="L344" s="13">
        <f>IF(J344&gt;68,K344+(J344-68)*0.2,K344-(68-J344)*0.2)</f>
        <v>12.440000000000001</v>
      </c>
      <c r="M344" s="13">
        <f>(C344-H344)/C344*100</f>
        <v>67.12</v>
      </c>
      <c r="N344" s="13">
        <f>100-(M344+O344)</f>
        <v>8</v>
      </c>
      <c r="O344" s="13">
        <f>L344/C344*100</f>
        <v>24.880000000000003</v>
      </c>
      <c r="P344" s="12" t="s">
        <v>3</v>
      </c>
      <c r="Q344" s="11">
        <v>409326.87239999999</v>
      </c>
      <c r="R344" s="11">
        <v>3659201.667467</v>
      </c>
    </row>
    <row r="346" spans="1:18" ht="51.75" x14ac:dyDescent="0.25">
      <c r="A346" s="19" t="s">
        <v>38</v>
      </c>
      <c r="B346" s="22" t="s">
        <v>26</v>
      </c>
      <c r="C346" s="26" t="s">
        <v>25</v>
      </c>
      <c r="D346" s="25" t="s">
        <v>24</v>
      </c>
      <c r="E346" s="24" t="s">
        <v>23</v>
      </c>
      <c r="F346" s="24" t="s">
        <v>22</v>
      </c>
      <c r="G346" s="24" t="s">
        <v>21</v>
      </c>
      <c r="H346" s="24" t="s">
        <v>20</v>
      </c>
      <c r="I346" s="24" t="s">
        <v>19</v>
      </c>
      <c r="J346" s="24" t="s">
        <v>18</v>
      </c>
      <c r="K346" s="24" t="s">
        <v>17</v>
      </c>
      <c r="L346" s="24" t="s">
        <v>16</v>
      </c>
      <c r="M346" s="23" t="s">
        <v>15</v>
      </c>
      <c r="N346" s="23" t="s">
        <v>14</v>
      </c>
      <c r="O346" s="23" t="s">
        <v>13</v>
      </c>
      <c r="P346" s="22" t="s">
        <v>12</v>
      </c>
      <c r="Q346" s="27" t="s">
        <v>11</v>
      </c>
      <c r="R346" s="27"/>
    </row>
    <row r="347" spans="1:18" x14ac:dyDescent="0.25">
      <c r="A347" s="20"/>
      <c r="B347" s="22"/>
      <c r="C347" s="26"/>
      <c r="D347" s="25"/>
      <c r="E347" s="24"/>
      <c r="F347" s="24"/>
      <c r="G347" s="24"/>
      <c r="H347" s="24"/>
      <c r="I347" s="24"/>
      <c r="J347" s="24"/>
      <c r="K347" s="24"/>
      <c r="L347" s="24"/>
      <c r="M347" s="23"/>
      <c r="N347" s="23"/>
      <c r="O347" s="23"/>
      <c r="P347" s="22"/>
      <c r="Q347" s="21" t="s">
        <v>10</v>
      </c>
      <c r="R347" s="21" t="s">
        <v>9</v>
      </c>
    </row>
    <row r="348" spans="1:18" x14ac:dyDescent="0.25">
      <c r="A348" s="20"/>
      <c r="B348" s="14" t="s">
        <v>8</v>
      </c>
      <c r="C348" s="15">
        <v>50</v>
      </c>
      <c r="D348" s="14">
        <v>20</v>
      </c>
      <c r="E348" s="13">
        <v>24</v>
      </c>
      <c r="F348" s="13">
        <f>1.8*E348+32</f>
        <v>75.2</v>
      </c>
      <c r="G348" s="13">
        <v>20</v>
      </c>
      <c r="H348" s="13">
        <f>IF(F348&gt;68,G348+(F348-68)*0.2,Y578-(68-F348)*0.2)</f>
        <v>21.44</v>
      </c>
      <c r="I348" s="13">
        <v>24</v>
      </c>
      <c r="J348" s="13">
        <f>1.8*I348+32</f>
        <v>75.2</v>
      </c>
      <c r="K348" s="13">
        <v>11</v>
      </c>
      <c r="L348" s="13">
        <f>IF(J348&gt;68,K348+(J348-68)*0.2,K348-(68-J348)*0.2)</f>
        <v>12.440000000000001</v>
      </c>
      <c r="M348" s="13">
        <f>(C348-H348)/C348*100</f>
        <v>57.11999999999999</v>
      </c>
      <c r="N348" s="13">
        <f>100-(M348+O348)</f>
        <v>18</v>
      </c>
      <c r="O348" s="13">
        <f>L348/C348*100</f>
        <v>24.880000000000003</v>
      </c>
      <c r="P348" s="12" t="s">
        <v>3</v>
      </c>
      <c r="Q348" s="11">
        <v>409298.4264</v>
      </c>
      <c r="R348" s="11">
        <v>3659192.558892</v>
      </c>
    </row>
    <row r="349" spans="1:18" x14ac:dyDescent="0.25">
      <c r="A349" s="19" t="s">
        <v>7</v>
      </c>
      <c r="B349" s="14" t="s">
        <v>6</v>
      </c>
      <c r="C349" s="15">
        <v>50</v>
      </c>
      <c r="D349" s="14">
        <v>20</v>
      </c>
      <c r="E349" s="13">
        <v>24</v>
      </c>
      <c r="F349" s="13">
        <f>1.8*E349+32</f>
        <v>75.2</v>
      </c>
      <c r="G349" s="13">
        <v>22</v>
      </c>
      <c r="H349" s="13">
        <f>IF(F349&gt;68,G349+(F349-68)*0.2,Y579-(68-F349)*0.2)</f>
        <v>23.44</v>
      </c>
      <c r="I349" s="13">
        <v>24</v>
      </c>
      <c r="J349" s="13">
        <f>1.8*I349+32</f>
        <v>75.2</v>
      </c>
      <c r="K349" s="13">
        <v>12</v>
      </c>
      <c r="L349" s="13">
        <f>IF(J349&gt;68,K349+(J349-68)*0.2,K349-(68-J349)*0.2)</f>
        <v>13.440000000000001</v>
      </c>
      <c r="M349" s="13">
        <f>(C349-H349)/C349*100</f>
        <v>53.12</v>
      </c>
      <c r="N349" s="13">
        <f>100-(M349+O349)</f>
        <v>20</v>
      </c>
      <c r="O349" s="13">
        <f>L349/C349*100</f>
        <v>26.880000000000003</v>
      </c>
      <c r="P349" s="12" t="s">
        <v>3</v>
      </c>
      <c r="Q349" s="11">
        <v>409298.4264</v>
      </c>
      <c r="R349" s="11">
        <v>3659192.558892</v>
      </c>
    </row>
    <row r="350" spans="1:18" x14ac:dyDescent="0.25">
      <c r="A350" s="18">
        <v>41418</v>
      </c>
      <c r="B350" s="14" t="s">
        <v>5</v>
      </c>
      <c r="C350" s="15">
        <v>50</v>
      </c>
      <c r="D350" s="14">
        <v>20</v>
      </c>
      <c r="E350" s="13">
        <v>26</v>
      </c>
      <c r="F350" s="13">
        <f>1.8*E350+32</f>
        <v>78.800000000000011</v>
      </c>
      <c r="G350" s="13">
        <v>30</v>
      </c>
      <c r="H350" s="13">
        <f>IF(F350&gt;68,G350+(F350-68)*0.2,Y580-(68-F350)*0.2)</f>
        <v>32.160000000000004</v>
      </c>
      <c r="I350" s="13">
        <v>24</v>
      </c>
      <c r="J350" s="13">
        <f>1.8*I350+32</f>
        <v>75.2</v>
      </c>
      <c r="K350" s="13">
        <v>19</v>
      </c>
      <c r="L350" s="13">
        <f>IF(J350&gt;68,K350+(J350-68)*0.2,K350-(68-J350)*0.2)</f>
        <v>20.440000000000001</v>
      </c>
      <c r="M350" s="13">
        <f>(C350-H350)/C350*100</f>
        <v>35.679999999999993</v>
      </c>
      <c r="N350" s="13">
        <f>100-(M350+O350)</f>
        <v>23.439999999999998</v>
      </c>
      <c r="O350" s="13">
        <f>L350/C350*100</f>
        <v>40.880000000000003</v>
      </c>
      <c r="P350" s="12" t="s">
        <v>37</v>
      </c>
      <c r="Q350" s="11">
        <v>409298.4264</v>
      </c>
      <c r="R350" s="11">
        <v>3659192.558892</v>
      </c>
    </row>
    <row r="351" spans="1:18" x14ac:dyDescent="0.25">
      <c r="A351" s="17"/>
      <c r="B351" s="14" t="s">
        <v>4</v>
      </c>
      <c r="C351" s="15">
        <v>50</v>
      </c>
      <c r="D351" s="14">
        <v>20</v>
      </c>
      <c r="E351" s="13">
        <v>25</v>
      </c>
      <c r="F351" s="13">
        <f>1.8*E351+32</f>
        <v>77</v>
      </c>
      <c r="G351" s="13">
        <v>25</v>
      </c>
      <c r="H351" s="13">
        <f>IF(F351&gt;68,G351+(F351-68)*0.2,Y581-(68-F351)*0.2)</f>
        <v>26.8</v>
      </c>
      <c r="I351" s="13">
        <v>24</v>
      </c>
      <c r="J351" s="13">
        <f>1.8*I351+32</f>
        <v>75.2</v>
      </c>
      <c r="K351" s="13">
        <v>17</v>
      </c>
      <c r="L351" s="13">
        <f>IF(J351&gt;68,K351+(J351-68)*0.2,K351-(68-J351)*0.2)</f>
        <v>18.440000000000001</v>
      </c>
      <c r="M351" s="13">
        <f>(C351-H351)/C351*100</f>
        <v>46.4</v>
      </c>
      <c r="N351" s="13">
        <f>100-(M351+O351)</f>
        <v>16.72</v>
      </c>
      <c r="O351" s="13">
        <f>L351/C351*100</f>
        <v>36.880000000000003</v>
      </c>
      <c r="P351" s="12" t="s">
        <v>36</v>
      </c>
      <c r="Q351" s="11">
        <v>409298.4264</v>
      </c>
      <c r="R351" s="11">
        <v>3659192.558892</v>
      </c>
    </row>
    <row r="352" spans="1:18" x14ac:dyDescent="0.25">
      <c r="A352" s="28">
        <v>41450</v>
      </c>
      <c r="B352" s="14" t="s">
        <v>2</v>
      </c>
      <c r="C352" s="15">
        <v>50</v>
      </c>
      <c r="D352" s="14">
        <v>20</v>
      </c>
      <c r="E352" s="13">
        <v>25</v>
      </c>
      <c r="F352" s="13">
        <f>1.8*E352+32</f>
        <v>77</v>
      </c>
      <c r="G352" s="13">
        <v>25</v>
      </c>
      <c r="H352" s="13">
        <f>IF(F352&gt;68,G352+(F352-68)*0.2,Y582-(68-F352)*0.2)</f>
        <v>26.8</v>
      </c>
      <c r="I352" s="13">
        <v>24</v>
      </c>
      <c r="J352" s="13">
        <f>1.8*I352+32</f>
        <v>75.2</v>
      </c>
      <c r="K352" s="13">
        <v>16</v>
      </c>
      <c r="L352" s="13">
        <f>IF(J352&gt;68,K352+(J352-68)*0.2,K352-(68-J352)*0.2)</f>
        <v>17.440000000000001</v>
      </c>
      <c r="M352" s="13">
        <f>(C352-H352)/C352*100</f>
        <v>46.4</v>
      </c>
      <c r="N352" s="13">
        <f>100-(M352+O352)</f>
        <v>18.72</v>
      </c>
      <c r="O352" s="13">
        <f>L352/C352*100</f>
        <v>34.880000000000003</v>
      </c>
      <c r="P352" s="12" t="s">
        <v>30</v>
      </c>
      <c r="Q352" s="11">
        <v>409298.4264</v>
      </c>
      <c r="R352" s="11">
        <v>3659192.558892</v>
      </c>
    </row>
    <row r="353" spans="1:18" x14ac:dyDescent="0.25">
      <c r="A353" s="16"/>
      <c r="B353" s="14" t="s">
        <v>1</v>
      </c>
      <c r="C353" s="15">
        <v>50</v>
      </c>
      <c r="D353" s="14">
        <v>20</v>
      </c>
      <c r="E353" s="13">
        <v>26</v>
      </c>
      <c r="F353" s="13">
        <f>1.8*E353+32</f>
        <v>78.800000000000011</v>
      </c>
      <c r="G353" s="13">
        <v>23</v>
      </c>
      <c r="H353" s="13">
        <f>IF(F353&gt;68,G353+(F353-68)*0.2,Y583-(68-F353)*0.2)</f>
        <v>25.160000000000004</v>
      </c>
      <c r="I353" s="13">
        <v>24</v>
      </c>
      <c r="J353" s="13">
        <f>1.8*I353+32</f>
        <v>75.2</v>
      </c>
      <c r="K353" s="13">
        <v>13</v>
      </c>
      <c r="L353" s="13">
        <f>IF(J353&gt;68,K353+(J353-68)*0.2,K353-(68-J353)*0.2)</f>
        <v>14.440000000000001</v>
      </c>
      <c r="M353" s="13">
        <f>(C353-H353)/C353*100</f>
        <v>49.679999999999993</v>
      </c>
      <c r="N353" s="13">
        <f>100-(M353+O353)</f>
        <v>21.440000000000012</v>
      </c>
      <c r="O353" s="13">
        <f>L353/C353*100</f>
        <v>28.88</v>
      </c>
      <c r="P353" s="12" t="s">
        <v>3</v>
      </c>
      <c r="Q353" s="11">
        <v>409298.4264</v>
      </c>
      <c r="R353" s="11">
        <v>3659192.558892</v>
      </c>
    </row>
    <row r="355" spans="1:18" ht="51.75" x14ac:dyDescent="0.25">
      <c r="A355" s="19" t="s">
        <v>35</v>
      </c>
      <c r="B355" s="22" t="s">
        <v>26</v>
      </c>
      <c r="C355" s="26" t="s">
        <v>25</v>
      </c>
      <c r="D355" s="25" t="s">
        <v>24</v>
      </c>
      <c r="E355" s="24" t="s">
        <v>23</v>
      </c>
      <c r="F355" s="24" t="s">
        <v>22</v>
      </c>
      <c r="G355" s="24" t="s">
        <v>21</v>
      </c>
      <c r="H355" s="24" t="s">
        <v>20</v>
      </c>
      <c r="I355" s="24" t="s">
        <v>19</v>
      </c>
      <c r="J355" s="24" t="s">
        <v>18</v>
      </c>
      <c r="K355" s="24" t="s">
        <v>17</v>
      </c>
      <c r="L355" s="24" t="s">
        <v>16</v>
      </c>
      <c r="M355" s="23" t="s">
        <v>15</v>
      </c>
      <c r="N355" s="23" t="s">
        <v>14</v>
      </c>
      <c r="O355" s="23" t="s">
        <v>13</v>
      </c>
      <c r="P355" s="22" t="s">
        <v>12</v>
      </c>
      <c r="Q355" s="27" t="s">
        <v>11</v>
      </c>
      <c r="R355" s="27"/>
    </row>
    <row r="356" spans="1:18" x14ac:dyDescent="0.25">
      <c r="A356" s="20"/>
      <c r="B356" s="22"/>
      <c r="C356" s="26"/>
      <c r="D356" s="25"/>
      <c r="E356" s="24"/>
      <c r="F356" s="24"/>
      <c r="G356" s="24"/>
      <c r="H356" s="24"/>
      <c r="I356" s="24"/>
      <c r="J356" s="24"/>
      <c r="K356" s="24"/>
      <c r="L356" s="24"/>
      <c r="M356" s="23"/>
      <c r="N356" s="23"/>
      <c r="O356" s="23"/>
      <c r="P356" s="22"/>
      <c r="Q356" s="21" t="s">
        <v>10</v>
      </c>
      <c r="R356" s="21" t="s">
        <v>9</v>
      </c>
    </row>
    <row r="357" spans="1:18" x14ac:dyDescent="0.25">
      <c r="A357" s="20"/>
      <c r="B357" s="14" t="s">
        <v>8</v>
      </c>
      <c r="C357" s="15">
        <v>50</v>
      </c>
      <c r="D357" s="14">
        <v>20</v>
      </c>
      <c r="E357" s="13">
        <v>26</v>
      </c>
      <c r="F357" s="13">
        <f>1.8*E357+32</f>
        <v>78.800000000000011</v>
      </c>
      <c r="G357" s="13">
        <v>18</v>
      </c>
      <c r="H357" s="13">
        <f>IF(F357&gt;68,G357+(F357-68)*0.2,Y587-(68-F357)*0.2)</f>
        <v>20.160000000000004</v>
      </c>
      <c r="I357" s="13">
        <v>24</v>
      </c>
      <c r="J357" s="13">
        <f>1.8*I357+32</f>
        <v>75.2</v>
      </c>
      <c r="K357" s="13">
        <v>10</v>
      </c>
      <c r="L357" s="13">
        <f>IF(J357&gt;68,K357+(J357-68)*0.2,K357-(68-J357)*0.2)</f>
        <v>11.440000000000001</v>
      </c>
      <c r="M357" s="13">
        <f>(C357-H357)/C357*100</f>
        <v>59.679999999999986</v>
      </c>
      <c r="N357" s="13">
        <f>100-(M357+O357)</f>
        <v>17.440000000000012</v>
      </c>
      <c r="O357" s="13">
        <f>L357/C357*100</f>
        <v>22.880000000000003</v>
      </c>
      <c r="P357" s="12" t="s">
        <v>3</v>
      </c>
      <c r="Q357" s="11">
        <v>409322.80839999998</v>
      </c>
      <c r="R357" s="11">
        <v>3659224.5359789999</v>
      </c>
    </row>
    <row r="358" spans="1:18" x14ac:dyDescent="0.25">
      <c r="A358" s="19" t="s">
        <v>7</v>
      </c>
      <c r="B358" s="14" t="s">
        <v>6</v>
      </c>
      <c r="C358" s="15">
        <v>50</v>
      </c>
      <c r="D358" s="14">
        <v>20</v>
      </c>
      <c r="E358" s="13">
        <v>24</v>
      </c>
      <c r="F358" s="13">
        <f>1.8*E358+32</f>
        <v>75.2</v>
      </c>
      <c r="G358" s="13">
        <v>20</v>
      </c>
      <c r="H358" s="13">
        <f>IF(F358&gt;68,G358+(F358-68)*0.2,Y588-(68-F358)*0.2)</f>
        <v>21.44</v>
      </c>
      <c r="I358" s="13">
        <v>23</v>
      </c>
      <c r="J358" s="13">
        <f>1.8*I358+32</f>
        <v>73.400000000000006</v>
      </c>
      <c r="K358" s="13">
        <v>11</v>
      </c>
      <c r="L358" s="13">
        <f>IF(J358&gt;68,K358+(J358-68)*0.2,K358-(68-J358)*0.2)</f>
        <v>12.080000000000002</v>
      </c>
      <c r="M358" s="13">
        <f>(C358-H358)/C358*100</f>
        <v>57.11999999999999</v>
      </c>
      <c r="N358" s="13">
        <f>100-(M358+O358)</f>
        <v>18.72</v>
      </c>
      <c r="O358" s="13">
        <f>L358/C358*100</f>
        <v>24.160000000000004</v>
      </c>
      <c r="P358" s="12" t="s">
        <v>3</v>
      </c>
      <c r="Q358" s="11">
        <v>409322.80839999998</v>
      </c>
      <c r="R358" s="11">
        <v>3659224.5359789999</v>
      </c>
    </row>
    <row r="359" spans="1:18" x14ac:dyDescent="0.25">
      <c r="A359" s="18">
        <v>41451</v>
      </c>
      <c r="B359" s="14" t="s">
        <v>5</v>
      </c>
      <c r="C359" s="15">
        <v>50</v>
      </c>
      <c r="D359" s="14">
        <v>20</v>
      </c>
      <c r="E359" s="13">
        <v>27</v>
      </c>
      <c r="F359" s="13">
        <f>1.8*E359+32</f>
        <v>80.599999999999994</v>
      </c>
      <c r="G359" s="13">
        <v>22</v>
      </c>
      <c r="H359" s="13">
        <f>IF(F359&gt;68,G359+(F359-68)*0.2,Y589-(68-F359)*0.2)</f>
        <v>24.52</v>
      </c>
      <c r="I359" s="13">
        <v>25</v>
      </c>
      <c r="J359" s="13">
        <f>1.8*I359+32</f>
        <v>77</v>
      </c>
      <c r="K359" s="13">
        <v>12</v>
      </c>
      <c r="L359" s="13">
        <f>IF(J359&gt;68,K359+(J359-68)*0.2,K359-(68-J359)*0.2)</f>
        <v>13.8</v>
      </c>
      <c r="M359" s="13">
        <f>(C359-H359)/C359*100</f>
        <v>50.960000000000008</v>
      </c>
      <c r="N359" s="13">
        <f>100-(M359+O359)</f>
        <v>21.439999999999998</v>
      </c>
      <c r="O359" s="13">
        <f>L359/C359*100</f>
        <v>27.6</v>
      </c>
      <c r="P359" s="12" t="s">
        <v>3</v>
      </c>
      <c r="Q359" s="11">
        <v>409322.80839999998</v>
      </c>
      <c r="R359" s="11">
        <v>3659224.5359789999</v>
      </c>
    </row>
    <row r="360" spans="1:18" x14ac:dyDescent="0.25">
      <c r="A360" s="17"/>
      <c r="B360" s="14" t="s">
        <v>4</v>
      </c>
      <c r="C360" s="15">
        <v>50</v>
      </c>
      <c r="D360" s="14">
        <v>20</v>
      </c>
      <c r="E360" s="13">
        <v>26</v>
      </c>
      <c r="F360" s="13">
        <f>1.8*E360+32</f>
        <v>78.800000000000011</v>
      </c>
      <c r="G360" s="13">
        <v>25</v>
      </c>
      <c r="H360" s="13">
        <f>IF(F360&gt;68,G360+(F360-68)*0.2,Y590-(68-F360)*0.2)</f>
        <v>27.160000000000004</v>
      </c>
      <c r="I360" s="13">
        <v>24</v>
      </c>
      <c r="J360" s="13">
        <f>1.8*I360+32</f>
        <v>75.2</v>
      </c>
      <c r="K360" s="13">
        <v>14</v>
      </c>
      <c r="L360" s="13">
        <f>IF(J360&gt;68,K360+(J360-68)*0.2,K360-(68-J360)*0.2)</f>
        <v>15.440000000000001</v>
      </c>
      <c r="M360" s="13">
        <f>(C360-H360)/C360*100</f>
        <v>45.679999999999993</v>
      </c>
      <c r="N360" s="13">
        <f>100-(M360+O360)</f>
        <v>23.439999999999998</v>
      </c>
      <c r="O360" s="13">
        <f>L360/C360*100</f>
        <v>30.880000000000003</v>
      </c>
      <c r="P360" s="12" t="s">
        <v>3</v>
      </c>
      <c r="Q360" s="11">
        <v>409322.80839999998</v>
      </c>
      <c r="R360" s="11">
        <v>3659224.5359789999</v>
      </c>
    </row>
    <row r="361" spans="1:18" x14ac:dyDescent="0.25">
      <c r="A361" s="28">
        <v>41457</v>
      </c>
      <c r="B361" s="14" t="s">
        <v>2</v>
      </c>
      <c r="C361" s="15">
        <v>50</v>
      </c>
      <c r="D361" s="14">
        <v>20</v>
      </c>
      <c r="E361" s="13">
        <v>26</v>
      </c>
      <c r="F361" s="13">
        <f>1.8*E361+32</f>
        <v>78.800000000000011</v>
      </c>
      <c r="G361" s="13">
        <v>23</v>
      </c>
      <c r="H361" s="13">
        <f>IF(F361&gt;68,G361+(F361-68)*0.2,Y591-(68-F361)*0.2)</f>
        <v>25.160000000000004</v>
      </c>
      <c r="I361" s="13">
        <v>24</v>
      </c>
      <c r="J361" s="13">
        <f>1.8*I361+32</f>
        <v>75.2</v>
      </c>
      <c r="K361" s="13">
        <v>14</v>
      </c>
      <c r="L361" s="13">
        <f>IF(J361&gt;68,K361+(J361-68)*0.2,K361-(68-J361)*0.2)</f>
        <v>15.440000000000001</v>
      </c>
      <c r="M361" s="13">
        <f>(C361-H361)/C361*100</f>
        <v>49.679999999999993</v>
      </c>
      <c r="N361" s="13">
        <f>100-(M361+O361)</f>
        <v>19.439999999999998</v>
      </c>
      <c r="O361" s="13">
        <f>L361/C361*100</f>
        <v>30.880000000000003</v>
      </c>
      <c r="P361" s="12" t="s">
        <v>3</v>
      </c>
      <c r="Q361" s="11">
        <v>409322.80839999998</v>
      </c>
      <c r="R361" s="11">
        <v>3659224.5359789999</v>
      </c>
    </row>
    <row r="362" spans="1:18" x14ac:dyDescent="0.25">
      <c r="A362" s="16"/>
      <c r="B362" s="14" t="s">
        <v>1</v>
      </c>
      <c r="C362" s="15">
        <v>50</v>
      </c>
      <c r="D362" s="14">
        <v>20</v>
      </c>
      <c r="E362" s="13">
        <v>27</v>
      </c>
      <c r="F362" s="13">
        <f>1.8*E362+32</f>
        <v>80.599999999999994</v>
      </c>
      <c r="G362" s="13">
        <v>23</v>
      </c>
      <c r="H362" s="13">
        <f>IF(F362&gt;68,G362+(F362-68)*0.2,Y592-(68-F362)*0.2)</f>
        <v>25.52</v>
      </c>
      <c r="I362" s="13">
        <v>25</v>
      </c>
      <c r="J362" s="13">
        <f>1.8*I362+32</f>
        <v>77</v>
      </c>
      <c r="K362" s="13">
        <v>15</v>
      </c>
      <c r="L362" s="13">
        <f>IF(J362&gt;68,K362+(J362-68)*0.2,K362-(68-J362)*0.2)</f>
        <v>16.8</v>
      </c>
      <c r="M362" s="13">
        <f>(C362-H362)/C362*100</f>
        <v>48.96</v>
      </c>
      <c r="N362" s="13">
        <f>100-(M362+O362)</f>
        <v>17.439999999999998</v>
      </c>
      <c r="O362" s="13">
        <f>L362/C362*100</f>
        <v>33.6</v>
      </c>
      <c r="P362" s="12" t="s">
        <v>3</v>
      </c>
      <c r="Q362" s="11">
        <v>409322.80839999998</v>
      </c>
      <c r="R362" s="11">
        <v>3659224.5359789999</v>
      </c>
    </row>
    <row r="363" spans="1:18" x14ac:dyDescent="0.25">
      <c r="I363" t="s">
        <v>34</v>
      </c>
    </row>
    <row r="364" spans="1:18" ht="51.75" x14ac:dyDescent="0.25">
      <c r="A364" s="19" t="s">
        <v>33</v>
      </c>
      <c r="B364" s="22" t="s">
        <v>26</v>
      </c>
      <c r="C364" s="26" t="s">
        <v>25</v>
      </c>
      <c r="D364" s="25" t="s">
        <v>24</v>
      </c>
      <c r="E364" s="24" t="s">
        <v>23</v>
      </c>
      <c r="F364" s="24" t="s">
        <v>22</v>
      </c>
      <c r="G364" s="24" t="s">
        <v>21</v>
      </c>
      <c r="H364" s="24" t="s">
        <v>20</v>
      </c>
      <c r="I364" s="24" t="s">
        <v>19</v>
      </c>
      <c r="J364" s="24" t="s">
        <v>18</v>
      </c>
      <c r="K364" s="24" t="s">
        <v>17</v>
      </c>
      <c r="L364" s="24" t="s">
        <v>16</v>
      </c>
      <c r="M364" s="23" t="s">
        <v>15</v>
      </c>
      <c r="N364" s="23" t="s">
        <v>14</v>
      </c>
      <c r="O364" s="23" t="s">
        <v>13</v>
      </c>
      <c r="P364" s="22" t="s">
        <v>12</v>
      </c>
      <c r="Q364" s="27" t="s">
        <v>11</v>
      </c>
      <c r="R364" s="27"/>
    </row>
    <row r="365" spans="1:18" x14ac:dyDescent="0.25">
      <c r="A365" s="20"/>
      <c r="B365" s="22"/>
      <c r="C365" s="26"/>
      <c r="D365" s="25"/>
      <c r="E365" s="24"/>
      <c r="F365" s="24"/>
      <c r="G365" s="24"/>
      <c r="H365" s="24"/>
      <c r="I365" s="24"/>
      <c r="J365" s="24"/>
      <c r="K365" s="24"/>
      <c r="L365" s="24"/>
      <c r="M365" s="23"/>
      <c r="N365" s="23"/>
      <c r="O365" s="23"/>
      <c r="P365" s="22"/>
      <c r="Q365" s="21" t="s">
        <v>10</v>
      </c>
      <c r="R365" s="21" t="s">
        <v>9</v>
      </c>
    </row>
    <row r="366" spans="1:18" x14ac:dyDescent="0.25">
      <c r="A366" s="20"/>
      <c r="B366" s="14" t="s">
        <v>8</v>
      </c>
      <c r="C366" s="15">
        <v>50</v>
      </c>
      <c r="D366" s="14">
        <v>20</v>
      </c>
      <c r="E366" s="13">
        <v>24</v>
      </c>
      <c r="F366" s="13">
        <f>1.8*E366+32</f>
        <v>75.2</v>
      </c>
      <c r="G366" s="13">
        <v>16</v>
      </c>
      <c r="H366" s="13">
        <f>IF(F366&gt;68,G366+(F366-68)*0.2,Y596-(68-F366)*0.2)</f>
        <v>17.440000000000001</v>
      </c>
      <c r="I366" s="13">
        <v>23</v>
      </c>
      <c r="J366" s="13">
        <f>1.8*I366+32</f>
        <v>73.400000000000006</v>
      </c>
      <c r="K366" s="13">
        <v>8</v>
      </c>
      <c r="L366" s="13">
        <f>IF(J366&gt;68,K366+(J366-68)*0.2,K366-(68-J366)*0.2)</f>
        <v>9.0800000000000018</v>
      </c>
      <c r="M366" s="13">
        <f>(C366-H366)/C366*100</f>
        <v>65.12</v>
      </c>
      <c r="N366" s="13">
        <f>100-(M366+O366)</f>
        <v>16.72</v>
      </c>
      <c r="O366" s="13">
        <f>L366/C366*100</f>
        <v>18.160000000000004</v>
      </c>
      <c r="P366" s="12" t="s">
        <v>0</v>
      </c>
      <c r="Q366" s="11">
        <v>409286.23440000002</v>
      </c>
      <c r="R366" s="11">
        <v>3659183.4621819998</v>
      </c>
    </row>
    <row r="367" spans="1:18" x14ac:dyDescent="0.25">
      <c r="A367" s="19" t="s">
        <v>7</v>
      </c>
      <c r="B367" s="14" t="s">
        <v>6</v>
      </c>
      <c r="C367" s="15">
        <v>50</v>
      </c>
      <c r="D367" s="14">
        <v>20</v>
      </c>
      <c r="E367" s="13">
        <v>24</v>
      </c>
      <c r="F367" s="13">
        <f>1.8*E367+32</f>
        <v>75.2</v>
      </c>
      <c r="G367" s="13">
        <v>17</v>
      </c>
      <c r="H367" s="13">
        <f>IF(F367&gt;68,G367+(F367-68)*0.2,Y597-(68-F367)*0.2)</f>
        <v>18.440000000000001</v>
      </c>
      <c r="I367" s="13">
        <v>23</v>
      </c>
      <c r="J367" s="13">
        <f>1.8*I367+32</f>
        <v>73.400000000000006</v>
      </c>
      <c r="K367" s="13">
        <v>9</v>
      </c>
      <c r="L367" s="13">
        <f>IF(J367&gt;68,K367+(J367-68)*0.2,K367-(68-J367)*0.2)</f>
        <v>10.080000000000002</v>
      </c>
      <c r="M367" s="13">
        <f>(C367-H367)/C367*100</f>
        <v>63.12</v>
      </c>
      <c r="N367" s="13">
        <f>100-(M367+O367)</f>
        <v>16.72</v>
      </c>
      <c r="O367" s="13">
        <f>L367/C367*100</f>
        <v>20.160000000000004</v>
      </c>
      <c r="P367" s="12" t="s">
        <v>3</v>
      </c>
      <c r="Q367" s="11">
        <v>409286.23440000002</v>
      </c>
      <c r="R367" s="11">
        <v>3659183.4621819998</v>
      </c>
    </row>
    <row r="368" spans="1:18" x14ac:dyDescent="0.25">
      <c r="A368" s="18">
        <v>41163</v>
      </c>
      <c r="B368" s="14" t="s">
        <v>5</v>
      </c>
      <c r="C368" s="15">
        <v>50</v>
      </c>
      <c r="D368" s="14">
        <v>20</v>
      </c>
      <c r="E368" s="13">
        <v>24</v>
      </c>
      <c r="F368" s="13">
        <f>1.8*E368+32</f>
        <v>75.2</v>
      </c>
      <c r="G368" s="13">
        <v>28</v>
      </c>
      <c r="H368" s="13">
        <f>IF(F368&gt;68,G368+(F368-68)*0.2,Y598-(68-F368)*0.2)</f>
        <v>29.44</v>
      </c>
      <c r="I368" s="13">
        <v>23</v>
      </c>
      <c r="J368" s="13">
        <f>1.8*I368+32</f>
        <v>73.400000000000006</v>
      </c>
      <c r="K368" s="13">
        <v>17</v>
      </c>
      <c r="L368" s="13">
        <f>IF(J368&gt;68,K368+(J368-68)*0.2,K368-(68-J368)*0.2)</f>
        <v>18.080000000000002</v>
      </c>
      <c r="M368" s="13">
        <f>(C368-H368)/C368*100</f>
        <v>41.12</v>
      </c>
      <c r="N368" s="13">
        <f>100-(M368+O368)</f>
        <v>22.72</v>
      </c>
      <c r="O368" s="13">
        <f>L368/C368*100</f>
        <v>36.160000000000004</v>
      </c>
      <c r="P368" s="12" t="s">
        <v>30</v>
      </c>
      <c r="Q368" s="11">
        <v>409286.23440000002</v>
      </c>
      <c r="R368" s="11">
        <v>3659183.4621819998</v>
      </c>
    </row>
    <row r="369" spans="1:18" x14ac:dyDescent="0.25">
      <c r="A369" s="17"/>
      <c r="B369" s="14" t="s">
        <v>4</v>
      </c>
      <c r="C369" s="15">
        <v>50</v>
      </c>
      <c r="D369" s="14">
        <v>20</v>
      </c>
      <c r="E369" s="13">
        <v>24</v>
      </c>
      <c r="F369" s="13">
        <f>1.8*E369+32</f>
        <v>75.2</v>
      </c>
      <c r="G369" s="13">
        <v>24</v>
      </c>
      <c r="H369" s="13">
        <f>IF(F369&gt;68,G369+(F369-68)*0.2,Y599-(68-F369)*0.2)</f>
        <v>25.44</v>
      </c>
      <c r="I369" s="13">
        <v>23</v>
      </c>
      <c r="J369" s="13">
        <f>1.8*I369+32</f>
        <v>73.400000000000006</v>
      </c>
      <c r="K369" s="13">
        <v>14</v>
      </c>
      <c r="L369" s="13">
        <f>IF(J369&gt;68,K369+(J369-68)*0.2,K369-(68-J369)*0.2)</f>
        <v>15.080000000000002</v>
      </c>
      <c r="M369" s="13">
        <f>(C369-H369)/C369*100</f>
        <v>49.12</v>
      </c>
      <c r="N369" s="13">
        <f>100-(M369+O369)</f>
        <v>20.72</v>
      </c>
      <c r="O369" s="13">
        <f>L369/C369*100</f>
        <v>30.160000000000004</v>
      </c>
      <c r="P369" s="12" t="s">
        <v>3</v>
      </c>
      <c r="Q369" s="11">
        <v>409286.23440000002</v>
      </c>
      <c r="R369" s="11">
        <v>3659183.4621819998</v>
      </c>
    </row>
    <row r="370" spans="1:18" x14ac:dyDescent="0.25">
      <c r="A370" s="16"/>
      <c r="B370" s="14" t="s">
        <v>2</v>
      </c>
      <c r="C370" s="15">
        <v>50</v>
      </c>
      <c r="D370" s="14">
        <v>20</v>
      </c>
      <c r="E370" s="13">
        <v>24</v>
      </c>
      <c r="F370" s="13">
        <f>1.8*E370+32</f>
        <v>75.2</v>
      </c>
      <c r="G370" s="13">
        <v>22</v>
      </c>
      <c r="H370" s="13">
        <f>IF(F370&gt;68,G370+(F370-68)*0.2,Y600-(68-F370)*0.2)</f>
        <v>23.44</v>
      </c>
      <c r="I370" s="13">
        <v>23</v>
      </c>
      <c r="J370" s="13">
        <f>1.8*I370+32</f>
        <v>73.400000000000006</v>
      </c>
      <c r="K370" s="13">
        <v>11</v>
      </c>
      <c r="L370" s="13">
        <f>IF(J370&gt;68,K370+(J370-68)*0.2,K370-(68-J370)*0.2)</f>
        <v>12.080000000000002</v>
      </c>
      <c r="M370" s="13">
        <f>(C370-H370)/C370*100</f>
        <v>53.12</v>
      </c>
      <c r="N370" s="13">
        <f>100-(M370+O370)</f>
        <v>22.72</v>
      </c>
      <c r="O370" s="13">
        <f>L370/C370*100</f>
        <v>24.160000000000004</v>
      </c>
      <c r="P370" s="12" t="s">
        <v>3</v>
      </c>
      <c r="Q370" s="11">
        <v>409286.23440000002</v>
      </c>
      <c r="R370" s="11">
        <v>3659183.4621819998</v>
      </c>
    </row>
    <row r="371" spans="1:18" x14ac:dyDescent="0.25">
      <c r="A371" s="16"/>
      <c r="B371" s="14" t="s">
        <v>1</v>
      </c>
      <c r="C371" s="15">
        <v>50</v>
      </c>
      <c r="D371" s="14">
        <v>20</v>
      </c>
      <c r="E371" s="13">
        <v>24</v>
      </c>
      <c r="F371" s="13">
        <f>1.8*E371+32</f>
        <v>75.2</v>
      </c>
      <c r="G371" s="13">
        <v>15</v>
      </c>
      <c r="H371" s="13">
        <f>IF(F371&gt;68,G371+(F371-68)*0.2,Y601-(68-F371)*0.2)</f>
        <v>16.440000000000001</v>
      </c>
      <c r="I371" s="13">
        <v>23</v>
      </c>
      <c r="J371" s="13">
        <f>1.8*I371+32</f>
        <v>73.400000000000006</v>
      </c>
      <c r="K371" s="13">
        <v>8</v>
      </c>
      <c r="L371" s="13">
        <f>IF(J371&gt;68,K371+(J371-68)*0.2,K371-(68-J371)*0.2)</f>
        <v>9.0800000000000018</v>
      </c>
      <c r="M371" s="13">
        <f>(C371-H371)/C371*100</f>
        <v>67.12</v>
      </c>
      <c r="N371" s="13">
        <f>100-(M371+O371)</f>
        <v>14.719999999999999</v>
      </c>
      <c r="O371" s="13">
        <f>L371/C371*100</f>
        <v>18.160000000000004</v>
      </c>
      <c r="P371" s="12" t="s">
        <v>0</v>
      </c>
      <c r="Q371" s="11">
        <v>409286.23440000002</v>
      </c>
      <c r="R371" s="11">
        <v>3659183.4621819998</v>
      </c>
    </row>
    <row r="373" spans="1:18" ht="51.75" x14ac:dyDescent="0.25">
      <c r="A373" s="19" t="s">
        <v>32</v>
      </c>
      <c r="B373" s="22" t="s">
        <v>26</v>
      </c>
      <c r="C373" s="26" t="s">
        <v>25</v>
      </c>
      <c r="D373" s="25" t="s">
        <v>24</v>
      </c>
      <c r="E373" s="24" t="s">
        <v>23</v>
      </c>
      <c r="F373" s="24" t="s">
        <v>22</v>
      </c>
      <c r="G373" s="24" t="s">
        <v>21</v>
      </c>
      <c r="H373" s="24" t="s">
        <v>20</v>
      </c>
      <c r="I373" s="24" t="s">
        <v>19</v>
      </c>
      <c r="J373" s="24" t="s">
        <v>18</v>
      </c>
      <c r="K373" s="24" t="s">
        <v>17</v>
      </c>
      <c r="L373" s="24" t="s">
        <v>16</v>
      </c>
      <c r="M373" s="23" t="s">
        <v>15</v>
      </c>
      <c r="N373" s="23" t="s">
        <v>14</v>
      </c>
      <c r="O373" s="23" t="s">
        <v>13</v>
      </c>
      <c r="P373" s="22" t="s">
        <v>12</v>
      </c>
      <c r="Q373" s="27" t="s">
        <v>11</v>
      </c>
      <c r="R373" s="27"/>
    </row>
    <row r="374" spans="1:18" x14ac:dyDescent="0.25">
      <c r="A374" s="20"/>
      <c r="B374" s="22"/>
      <c r="C374" s="26"/>
      <c r="D374" s="25"/>
      <c r="E374" s="24"/>
      <c r="F374" s="24"/>
      <c r="G374" s="24"/>
      <c r="H374" s="24"/>
      <c r="I374" s="24"/>
      <c r="J374" s="24"/>
      <c r="K374" s="24"/>
      <c r="L374" s="24"/>
      <c r="M374" s="23"/>
      <c r="N374" s="23"/>
      <c r="O374" s="23"/>
      <c r="P374" s="22"/>
      <c r="Q374" s="21" t="s">
        <v>10</v>
      </c>
      <c r="R374" s="21" t="s">
        <v>9</v>
      </c>
    </row>
    <row r="375" spans="1:18" x14ac:dyDescent="0.25">
      <c r="A375" s="20"/>
      <c r="B375" s="14" t="s">
        <v>8</v>
      </c>
      <c r="C375" s="15">
        <v>50</v>
      </c>
      <c r="D375" s="14">
        <v>20</v>
      </c>
      <c r="E375" s="13">
        <v>24</v>
      </c>
      <c r="F375" s="13">
        <f>1.8*E375+32</f>
        <v>75.2</v>
      </c>
      <c r="G375" s="13">
        <v>18</v>
      </c>
      <c r="H375" s="13">
        <f>IF(F375&gt;68,G375+(F375-68)*0.2,Y605-(68-F375)*0.2)</f>
        <v>19.440000000000001</v>
      </c>
      <c r="I375" s="13">
        <v>23</v>
      </c>
      <c r="J375" s="13">
        <f>1.8*I375+32</f>
        <v>73.400000000000006</v>
      </c>
      <c r="K375" s="13">
        <v>9</v>
      </c>
      <c r="L375" s="13">
        <f>IF(J375&gt;68,K375+(J375-68)*0.2,K375-(68-J375)*0.2)</f>
        <v>10.080000000000002</v>
      </c>
      <c r="M375" s="13">
        <f>(C375-H375)/C375*100</f>
        <v>61.12</v>
      </c>
      <c r="N375" s="13">
        <f>100-(M375+O375)</f>
        <v>18.72</v>
      </c>
      <c r="O375" s="13">
        <f>L375/C375*100</f>
        <v>20.160000000000004</v>
      </c>
      <c r="P375" s="12" t="s">
        <v>3</v>
      </c>
      <c r="Q375" s="11">
        <v>409330.93839999998</v>
      </c>
      <c r="R375" s="11">
        <v>3659215.367877</v>
      </c>
    </row>
    <row r="376" spans="1:18" x14ac:dyDescent="0.25">
      <c r="A376" s="19" t="s">
        <v>7</v>
      </c>
      <c r="B376" s="14" t="s">
        <v>6</v>
      </c>
      <c r="C376" s="15">
        <v>50</v>
      </c>
      <c r="D376" s="14">
        <v>20</v>
      </c>
      <c r="E376" s="13">
        <v>24</v>
      </c>
      <c r="F376" s="13">
        <f>1.8*E376+32</f>
        <v>75.2</v>
      </c>
      <c r="G376" s="13">
        <v>21</v>
      </c>
      <c r="H376" s="13">
        <f>IF(F376&gt;68,G376+(F376-68)*0.2,Y606-(68-F376)*0.2)</f>
        <v>22.44</v>
      </c>
      <c r="I376" s="13">
        <v>23</v>
      </c>
      <c r="J376" s="13">
        <f>1.8*I376+32</f>
        <v>73.400000000000006</v>
      </c>
      <c r="K376" s="13">
        <v>11</v>
      </c>
      <c r="L376" s="13">
        <f>IF(J376&gt;68,K376+(J376-68)*0.2,K376-(68-J376)*0.2)</f>
        <v>12.080000000000002</v>
      </c>
      <c r="M376" s="13">
        <f>(C376-H376)/C376*100</f>
        <v>55.120000000000005</v>
      </c>
      <c r="N376" s="13">
        <f>100-(M376+O376)</f>
        <v>20.72</v>
      </c>
      <c r="O376" s="13">
        <f>L376/C376*100</f>
        <v>24.160000000000004</v>
      </c>
      <c r="P376" s="12" t="s">
        <v>3</v>
      </c>
      <c r="Q376" s="11">
        <v>409330.93839999998</v>
      </c>
      <c r="R376" s="11">
        <v>3659215.367877</v>
      </c>
    </row>
    <row r="377" spans="1:18" x14ac:dyDescent="0.25">
      <c r="A377" s="18">
        <v>41163</v>
      </c>
      <c r="B377" s="14" t="s">
        <v>5</v>
      </c>
      <c r="C377" s="15">
        <v>50</v>
      </c>
      <c r="D377" s="14">
        <v>20</v>
      </c>
      <c r="E377" s="13">
        <v>24</v>
      </c>
      <c r="F377" s="13">
        <f>1.8*E377+32</f>
        <v>75.2</v>
      </c>
      <c r="G377" s="13">
        <v>30</v>
      </c>
      <c r="H377" s="13">
        <f>IF(F377&gt;68,G377+(F377-68)*0.2,Y607-(68-F377)*0.2)</f>
        <v>31.44</v>
      </c>
      <c r="I377" s="13">
        <v>23</v>
      </c>
      <c r="J377" s="13">
        <f>1.8*I377+32</f>
        <v>73.400000000000006</v>
      </c>
      <c r="K377" s="13">
        <v>17</v>
      </c>
      <c r="L377" s="13">
        <f>IF(J377&gt;68,K377+(J377-68)*0.2,K377-(68-J377)*0.2)</f>
        <v>18.080000000000002</v>
      </c>
      <c r="M377" s="13">
        <f>(C377-H377)/C377*100</f>
        <v>37.119999999999997</v>
      </c>
      <c r="N377" s="13">
        <f>100-(M377+O377)</f>
        <v>26.72</v>
      </c>
      <c r="O377" s="13">
        <f>L377/C377*100</f>
        <v>36.160000000000004</v>
      </c>
      <c r="P377" s="12" t="s">
        <v>30</v>
      </c>
      <c r="Q377" s="11">
        <v>409330.93839999998</v>
      </c>
      <c r="R377" s="11">
        <v>3659215.367877</v>
      </c>
    </row>
    <row r="378" spans="1:18" x14ac:dyDescent="0.25">
      <c r="A378" s="17"/>
      <c r="B378" s="14" t="s">
        <v>4</v>
      </c>
      <c r="C378" s="15">
        <v>50</v>
      </c>
      <c r="D378" s="14">
        <v>20</v>
      </c>
      <c r="E378" s="13">
        <v>24</v>
      </c>
      <c r="F378" s="13">
        <f>1.8*E378+32</f>
        <v>75.2</v>
      </c>
      <c r="G378" s="13">
        <v>23</v>
      </c>
      <c r="H378" s="13">
        <f>IF(F378&gt;68,G378+(F378-68)*0.2,Y608-(68-F378)*0.2)</f>
        <v>24.44</v>
      </c>
      <c r="I378" s="13">
        <v>24</v>
      </c>
      <c r="J378" s="13">
        <f>1.8*I378+32</f>
        <v>75.2</v>
      </c>
      <c r="K378" s="13">
        <v>12</v>
      </c>
      <c r="L378" s="13">
        <f>IF(J378&gt;68,K378+(J378-68)*0.2,K378-(68-J378)*0.2)</f>
        <v>13.440000000000001</v>
      </c>
      <c r="M378" s="13">
        <f>(C378-H378)/C378*100</f>
        <v>51.12</v>
      </c>
      <c r="N378" s="13">
        <f>100-(M378+O378)</f>
        <v>22</v>
      </c>
      <c r="O378" s="13">
        <f>L378/C378*100</f>
        <v>26.880000000000003</v>
      </c>
      <c r="P378" s="12" t="s">
        <v>3</v>
      </c>
      <c r="Q378" s="11">
        <v>409330.93839999998</v>
      </c>
      <c r="R378" s="11">
        <v>3659215.367877</v>
      </c>
    </row>
    <row r="379" spans="1:18" x14ac:dyDescent="0.25">
      <c r="A379" s="28">
        <v>41164</v>
      </c>
      <c r="B379" s="14" t="s">
        <v>2</v>
      </c>
      <c r="C379" s="15">
        <v>50</v>
      </c>
      <c r="D379" s="14">
        <v>20</v>
      </c>
      <c r="E379" s="13">
        <v>24</v>
      </c>
      <c r="F379" s="13">
        <f>1.8*E379+32</f>
        <v>75.2</v>
      </c>
      <c r="G379" s="13">
        <v>21</v>
      </c>
      <c r="H379" s="13">
        <f>IF(F379&gt;68,G379+(F379-68)*0.2,Y609-(68-F379)*0.2)</f>
        <v>22.44</v>
      </c>
      <c r="I379" s="13">
        <v>24</v>
      </c>
      <c r="J379" s="13">
        <f>1.8*I379+32</f>
        <v>75.2</v>
      </c>
      <c r="K379" s="13">
        <v>11</v>
      </c>
      <c r="L379" s="13">
        <f>IF(J379&gt;68,K379+(J379-68)*0.2,K379-(68-J379)*0.2)</f>
        <v>12.440000000000001</v>
      </c>
      <c r="M379" s="13">
        <f>(C379-H379)/C379*100</f>
        <v>55.120000000000005</v>
      </c>
      <c r="N379" s="13">
        <f>100-(M379+O379)</f>
        <v>20</v>
      </c>
      <c r="O379" s="13">
        <f>L379/C379*100</f>
        <v>24.880000000000003</v>
      </c>
      <c r="P379" s="12" t="s">
        <v>3</v>
      </c>
      <c r="Q379" s="11">
        <v>409330.93839999998</v>
      </c>
      <c r="R379" s="11">
        <v>3659215.367877</v>
      </c>
    </row>
    <row r="380" spans="1:18" x14ac:dyDescent="0.25">
      <c r="A380" s="16"/>
      <c r="B380" s="14" t="s">
        <v>1</v>
      </c>
      <c r="C380" s="15">
        <v>50</v>
      </c>
      <c r="D380" s="14">
        <v>20</v>
      </c>
      <c r="E380" s="13">
        <v>24</v>
      </c>
      <c r="F380" s="13">
        <f>1.8*E380+32</f>
        <v>75.2</v>
      </c>
      <c r="G380" s="13">
        <v>18</v>
      </c>
      <c r="H380" s="13">
        <f>IF(F380&gt;68,G380+(F380-68)*0.2,Y610-(68-F380)*0.2)</f>
        <v>19.440000000000001</v>
      </c>
      <c r="I380" s="13">
        <v>24</v>
      </c>
      <c r="J380" s="13">
        <f>1.8*I380+32</f>
        <v>75.2</v>
      </c>
      <c r="K380" s="13">
        <v>9</v>
      </c>
      <c r="L380" s="13">
        <f>IF(J380&gt;68,K380+(J380-68)*0.2,K380-(68-J380)*0.2)</f>
        <v>10.440000000000001</v>
      </c>
      <c r="M380" s="13">
        <f>(C380-H380)/C380*100</f>
        <v>61.12</v>
      </c>
      <c r="N380" s="13">
        <f>100-(M380+O380)</f>
        <v>18</v>
      </c>
      <c r="O380" s="13">
        <f>L380/C380*100</f>
        <v>20.880000000000003</v>
      </c>
      <c r="P380" s="12" t="s">
        <v>3</v>
      </c>
      <c r="Q380" s="11">
        <v>409330.93839999998</v>
      </c>
      <c r="R380" s="11">
        <v>3659215.367877</v>
      </c>
    </row>
    <row r="382" spans="1:18" ht="51.75" x14ac:dyDescent="0.25">
      <c r="A382" s="19" t="s">
        <v>31</v>
      </c>
      <c r="B382" s="22" t="s">
        <v>26</v>
      </c>
      <c r="C382" s="26" t="s">
        <v>25</v>
      </c>
      <c r="D382" s="25" t="s">
        <v>24</v>
      </c>
      <c r="E382" s="24" t="s">
        <v>23</v>
      </c>
      <c r="F382" s="24" t="s">
        <v>22</v>
      </c>
      <c r="G382" s="24" t="s">
        <v>21</v>
      </c>
      <c r="H382" s="24" t="s">
        <v>20</v>
      </c>
      <c r="I382" s="24" t="s">
        <v>19</v>
      </c>
      <c r="J382" s="24" t="s">
        <v>18</v>
      </c>
      <c r="K382" s="24" t="s">
        <v>17</v>
      </c>
      <c r="L382" s="24" t="s">
        <v>16</v>
      </c>
      <c r="M382" s="23" t="s">
        <v>15</v>
      </c>
      <c r="N382" s="23" t="s">
        <v>14</v>
      </c>
      <c r="O382" s="23" t="s">
        <v>13</v>
      </c>
      <c r="P382" s="22" t="s">
        <v>12</v>
      </c>
      <c r="Q382" s="27" t="s">
        <v>11</v>
      </c>
      <c r="R382" s="27"/>
    </row>
    <row r="383" spans="1:18" x14ac:dyDescent="0.25">
      <c r="A383" s="20"/>
      <c r="B383" s="22"/>
      <c r="C383" s="26"/>
      <c r="D383" s="25"/>
      <c r="E383" s="24"/>
      <c r="F383" s="24"/>
      <c r="G383" s="24"/>
      <c r="H383" s="24"/>
      <c r="I383" s="24"/>
      <c r="J383" s="24"/>
      <c r="K383" s="24"/>
      <c r="L383" s="24"/>
      <c r="M383" s="23"/>
      <c r="N383" s="23"/>
      <c r="O383" s="23"/>
      <c r="P383" s="22"/>
      <c r="Q383" s="21" t="s">
        <v>10</v>
      </c>
      <c r="R383" s="21" t="s">
        <v>9</v>
      </c>
    </row>
    <row r="384" spans="1:18" x14ac:dyDescent="0.25">
      <c r="A384" s="20"/>
      <c r="B384" s="14" t="s">
        <v>8</v>
      </c>
      <c r="C384" s="15">
        <v>50</v>
      </c>
      <c r="D384" s="14">
        <v>20</v>
      </c>
      <c r="E384" s="13">
        <v>24</v>
      </c>
      <c r="F384" s="13">
        <f>1.8*E384+32</f>
        <v>75.2</v>
      </c>
      <c r="G384" s="13">
        <v>20</v>
      </c>
      <c r="H384" s="13">
        <f>IF(F384&gt;68,G384+(F384-68)*0.2,Y614-(68-F384)*0.2)</f>
        <v>21.44</v>
      </c>
      <c r="I384" s="13">
        <v>24</v>
      </c>
      <c r="J384" s="13">
        <f>1.8*I384+32</f>
        <v>75.2</v>
      </c>
      <c r="K384" s="13">
        <v>10</v>
      </c>
      <c r="L384" s="13">
        <f>IF(J384&gt;68,K384+(J384-68)*0.2,K384-(68-J384)*0.2)</f>
        <v>11.440000000000001</v>
      </c>
      <c r="M384" s="13">
        <f>(C384-H384)/C384*100</f>
        <v>57.11999999999999</v>
      </c>
      <c r="N384" s="13">
        <f>100-(M384+O384)</f>
        <v>20</v>
      </c>
      <c r="O384" s="13">
        <f>L384/C384*100</f>
        <v>22.880000000000003</v>
      </c>
      <c r="P384" s="12" t="s">
        <v>3</v>
      </c>
      <c r="Q384" s="11">
        <v>409330.93839999998</v>
      </c>
      <c r="R384" s="11">
        <v>3659192.558892</v>
      </c>
    </row>
    <row r="385" spans="1:18" x14ac:dyDescent="0.25">
      <c r="A385" s="19" t="s">
        <v>7</v>
      </c>
      <c r="B385" s="14" t="s">
        <v>6</v>
      </c>
      <c r="C385" s="15">
        <v>50</v>
      </c>
      <c r="D385" s="14">
        <v>20</v>
      </c>
      <c r="E385" s="13">
        <v>24</v>
      </c>
      <c r="F385" s="13">
        <f>1.8*E385+32</f>
        <v>75.2</v>
      </c>
      <c r="G385" s="13">
        <v>21</v>
      </c>
      <c r="H385" s="13">
        <f>IF(F385&gt;68,G385+(F385-68)*0.2,Y615-(68-F385)*0.2)</f>
        <v>22.44</v>
      </c>
      <c r="I385" s="13">
        <v>24</v>
      </c>
      <c r="J385" s="13">
        <f>1.8*I385+32</f>
        <v>75.2</v>
      </c>
      <c r="K385" s="13">
        <v>13</v>
      </c>
      <c r="L385" s="13">
        <f>IF(J385&gt;68,K385+(J385-68)*0.2,K385-(68-J385)*0.2)</f>
        <v>14.440000000000001</v>
      </c>
      <c r="M385" s="13">
        <f>(C385-H385)/C385*100</f>
        <v>55.120000000000005</v>
      </c>
      <c r="N385" s="13">
        <f>100-(M385+O385)</f>
        <v>16</v>
      </c>
      <c r="O385" s="13">
        <f>L385/C385*100</f>
        <v>28.88</v>
      </c>
      <c r="P385" s="12" t="s">
        <v>3</v>
      </c>
      <c r="Q385" s="11">
        <v>409330.93839999998</v>
      </c>
      <c r="R385" s="11">
        <v>3659192.558892</v>
      </c>
    </row>
    <row r="386" spans="1:18" x14ac:dyDescent="0.25">
      <c r="A386" s="18">
        <v>41164</v>
      </c>
      <c r="B386" s="14" t="s">
        <v>5</v>
      </c>
      <c r="C386" s="15">
        <v>50</v>
      </c>
      <c r="D386" s="14">
        <v>20</v>
      </c>
      <c r="E386" s="13">
        <v>24</v>
      </c>
      <c r="F386" s="13">
        <f>1.8*E386+32</f>
        <v>75.2</v>
      </c>
      <c r="G386" s="13">
        <v>27</v>
      </c>
      <c r="H386" s="13">
        <f>IF(F386&gt;68,G386+(F386-68)*0.2,Y616-(68-F386)*0.2)</f>
        <v>28.44</v>
      </c>
      <c r="I386" s="13">
        <v>24</v>
      </c>
      <c r="J386" s="13">
        <f>1.8*I386+32</f>
        <v>75.2</v>
      </c>
      <c r="K386" s="13">
        <v>17</v>
      </c>
      <c r="L386" s="13">
        <f>IF(J386&gt;68,K386+(J386-68)*0.2,K386-(68-J386)*0.2)</f>
        <v>18.440000000000001</v>
      </c>
      <c r="M386" s="13">
        <f>(C386-H386)/C386*100</f>
        <v>43.12</v>
      </c>
      <c r="N386" s="13">
        <f>100-(M386+O386)</f>
        <v>20</v>
      </c>
      <c r="O386" s="13">
        <f>L386/C386*100</f>
        <v>36.880000000000003</v>
      </c>
      <c r="P386" s="12" t="s">
        <v>30</v>
      </c>
      <c r="Q386" s="11">
        <v>409330.93839999998</v>
      </c>
      <c r="R386" s="11">
        <v>3659192.558892</v>
      </c>
    </row>
    <row r="387" spans="1:18" x14ac:dyDescent="0.25">
      <c r="A387" s="17"/>
      <c r="B387" s="14" t="s">
        <v>4</v>
      </c>
      <c r="C387" s="15">
        <v>50</v>
      </c>
      <c r="D387" s="14">
        <v>20</v>
      </c>
      <c r="E387" s="13">
        <v>24</v>
      </c>
      <c r="F387" s="13">
        <f>1.8*E387+32</f>
        <v>75.2</v>
      </c>
      <c r="G387" s="13">
        <v>24</v>
      </c>
      <c r="H387" s="13">
        <f>IF(F387&gt;68,G387+(F387-68)*0.2,Y617-(68-F387)*0.2)</f>
        <v>25.44</v>
      </c>
      <c r="I387" s="13">
        <v>24</v>
      </c>
      <c r="J387" s="13">
        <f>1.8*I387+32</f>
        <v>75.2</v>
      </c>
      <c r="K387" s="13">
        <v>14</v>
      </c>
      <c r="L387" s="13">
        <f>IF(J387&gt;68,K387+(J387-68)*0.2,K387-(68-J387)*0.2)</f>
        <v>15.440000000000001</v>
      </c>
      <c r="M387" s="13">
        <f>(C387-H387)/C387*100</f>
        <v>49.12</v>
      </c>
      <c r="N387" s="13">
        <f>100-(M387+O387)</f>
        <v>20</v>
      </c>
      <c r="O387" s="13">
        <f>L387/C387*100</f>
        <v>30.880000000000003</v>
      </c>
      <c r="P387" s="12" t="s">
        <v>3</v>
      </c>
      <c r="Q387" s="11">
        <v>409330.93839999998</v>
      </c>
      <c r="R387" s="11">
        <v>3659192.558892</v>
      </c>
    </row>
    <row r="388" spans="1:18" x14ac:dyDescent="0.25">
      <c r="A388" s="16"/>
      <c r="B388" s="14" t="s">
        <v>2</v>
      </c>
      <c r="C388" s="15">
        <v>50</v>
      </c>
      <c r="D388" s="14">
        <v>20</v>
      </c>
      <c r="E388" s="13">
        <v>24</v>
      </c>
      <c r="F388" s="13">
        <f>1.8*E388+32</f>
        <v>75.2</v>
      </c>
      <c r="G388" s="13">
        <v>19</v>
      </c>
      <c r="H388" s="13">
        <f>IF(F388&gt;68,G388+(F388-68)*0.2,Y618-(68-F388)*0.2)</f>
        <v>20.440000000000001</v>
      </c>
      <c r="I388" s="13">
        <v>24</v>
      </c>
      <c r="J388" s="13">
        <f>1.8*I388+32</f>
        <v>75.2</v>
      </c>
      <c r="K388" s="13">
        <v>13</v>
      </c>
      <c r="L388" s="13">
        <f>IF(J388&gt;68,K388+(J388-68)*0.2,K388-(68-J388)*0.2)</f>
        <v>14.440000000000001</v>
      </c>
      <c r="M388" s="13">
        <f>(C388-H388)/C388*100</f>
        <v>59.12</v>
      </c>
      <c r="N388" s="13">
        <f>100-(M388+O388)</f>
        <v>12</v>
      </c>
      <c r="O388" s="13">
        <f>L388/C388*100</f>
        <v>28.88</v>
      </c>
      <c r="P388" s="12" t="s">
        <v>3</v>
      </c>
      <c r="Q388" s="11">
        <v>409330.93839999998</v>
      </c>
      <c r="R388" s="11">
        <v>3659192.558892</v>
      </c>
    </row>
    <row r="389" spans="1:18" x14ac:dyDescent="0.25">
      <c r="A389" s="16"/>
      <c r="B389" s="14" t="s">
        <v>1</v>
      </c>
      <c r="C389" s="15">
        <v>50</v>
      </c>
      <c r="D389" s="14">
        <v>20</v>
      </c>
      <c r="E389" s="13">
        <v>24</v>
      </c>
      <c r="F389" s="13">
        <f>1.8*E389+32</f>
        <v>75.2</v>
      </c>
      <c r="G389" s="13">
        <v>15</v>
      </c>
      <c r="H389" s="13">
        <f>IF(F389&gt;68,G389+(F389-68)*0.2,Y619-(68-F389)*0.2)</f>
        <v>16.440000000000001</v>
      </c>
      <c r="I389" s="13">
        <v>24</v>
      </c>
      <c r="J389" s="13">
        <f>1.8*I389+32</f>
        <v>75.2</v>
      </c>
      <c r="K389" s="13">
        <v>10</v>
      </c>
      <c r="L389" s="13">
        <f>IF(J389&gt;68,K389+(J389-68)*0.2,K389-(68-J389)*0.2)</f>
        <v>11.440000000000001</v>
      </c>
      <c r="M389" s="13">
        <f>(C389-H389)/C389*100</f>
        <v>67.12</v>
      </c>
      <c r="N389" s="13">
        <f>100-(M389+O389)</f>
        <v>10</v>
      </c>
      <c r="O389" s="13">
        <f>L389/C389*100</f>
        <v>22.880000000000003</v>
      </c>
      <c r="P389" s="12" t="s">
        <v>3</v>
      </c>
      <c r="Q389" s="11">
        <v>409330.93839999998</v>
      </c>
      <c r="R389" s="11">
        <v>3659192.558892</v>
      </c>
    </row>
    <row r="391" spans="1:18" ht="51.75" x14ac:dyDescent="0.25">
      <c r="A391" s="19" t="s">
        <v>29</v>
      </c>
      <c r="B391" s="22" t="s">
        <v>26</v>
      </c>
      <c r="C391" s="26" t="s">
        <v>25</v>
      </c>
      <c r="D391" s="25" t="s">
        <v>24</v>
      </c>
      <c r="E391" s="24" t="s">
        <v>23</v>
      </c>
      <c r="F391" s="24" t="s">
        <v>22</v>
      </c>
      <c r="G391" s="24" t="s">
        <v>21</v>
      </c>
      <c r="H391" s="24" t="s">
        <v>20</v>
      </c>
      <c r="I391" s="24" t="s">
        <v>19</v>
      </c>
      <c r="J391" s="24" t="s">
        <v>18</v>
      </c>
      <c r="K391" s="24" t="s">
        <v>17</v>
      </c>
      <c r="L391" s="24" t="s">
        <v>16</v>
      </c>
      <c r="M391" s="23" t="s">
        <v>15</v>
      </c>
      <c r="N391" s="23" t="s">
        <v>14</v>
      </c>
      <c r="O391" s="23" t="s">
        <v>13</v>
      </c>
      <c r="P391" s="22" t="s">
        <v>12</v>
      </c>
      <c r="Q391" s="27" t="s">
        <v>11</v>
      </c>
      <c r="R391" s="27"/>
    </row>
    <row r="392" spans="1:18" x14ac:dyDescent="0.25">
      <c r="A392" s="20"/>
      <c r="B392" s="22"/>
      <c r="C392" s="26"/>
      <c r="D392" s="25"/>
      <c r="E392" s="24"/>
      <c r="F392" s="24"/>
      <c r="G392" s="24"/>
      <c r="H392" s="24"/>
      <c r="I392" s="24"/>
      <c r="J392" s="24"/>
      <c r="K392" s="24"/>
      <c r="L392" s="24"/>
      <c r="M392" s="23"/>
      <c r="N392" s="23"/>
      <c r="O392" s="23"/>
      <c r="P392" s="22"/>
      <c r="Q392" s="21" t="s">
        <v>10</v>
      </c>
      <c r="R392" s="21" t="s">
        <v>9</v>
      </c>
    </row>
    <row r="393" spans="1:18" x14ac:dyDescent="0.25">
      <c r="A393" s="20"/>
      <c r="B393" s="14" t="s">
        <v>8</v>
      </c>
      <c r="C393" s="15">
        <v>50</v>
      </c>
      <c r="D393" s="14">
        <v>20</v>
      </c>
      <c r="E393" s="13">
        <v>24</v>
      </c>
      <c r="F393" s="13">
        <f>1.8*E393+32</f>
        <v>75.2</v>
      </c>
      <c r="G393" s="13">
        <v>18</v>
      </c>
      <c r="H393" s="13">
        <f>IF(F393&gt;68,G393+(F393-68)*0.2,Y623-(68-F393)*0.2)</f>
        <v>19.440000000000001</v>
      </c>
      <c r="I393" s="13">
        <v>24</v>
      </c>
      <c r="J393" s="13">
        <f>1.8*I393+32</f>
        <v>75.2</v>
      </c>
      <c r="K393" s="13">
        <v>9</v>
      </c>
      <c r="L393" s="13">
        <f>IF(J393&gt;68,K393+(J393-68)*0.2,K393-(68-J393)*0.2)</f>
        <v>10.440000000000001</v>
      </c>
      <c r="M393" s="13">
        <f>(C393-H393)/C393*100</f>
        <v>61.12</v>
      </c>
      <c r="N393" s="13">
        <f>100-(M393+O393)</f>
        <v>18</v>
      </c>
      <c r="O393" s="13">
        <f>L393/C393*100</f>
        <v>20.880000000000003</v>
      </c>
      <c r="P393" s="12" t="s">
        <v>3</v>
      </c>
      <c r="Q393" s="11">
        <v>409298.4264</v>
      </c>
      <c r="R393" s="11">
        <v>3659201.667467</v>
      </c>
    </row>
    <row r="394" spans="1:18" x14ac:dyDescent="0.25">
      <c r="A394" s="19" t="s">
        <v>7</v>
      </c>
      <c r="B394" s="14" t="s">
        <v>6</v>
      </c>
      <c r="C394" s="15">
        <v>50</v>
      </c>
      <c r="D394" s="14">
        <v>20</v>
      </c>
      <c r="E394" s="13">
        <v>24</v>
      </c>
      <c r="F394" s="13">
        <f>1.8*E394+32</f>
        <v>75.2</v>
      </c>
      <c r="G394" s="13">
        <v>21</v>
      </c>
      <c r="H394" s="13">
        <f>IF(F394&gt;68,G394+(F394-68)*0.2,Y624-(68-F394)*0.2)</f>
        <v>22.44</v>
      </c>
      <c r="I394" s="13">
        <v>24</v>
      </c>
      <c r="J394" s="13">
        <f>1.8*I394+32</f>
        <v>75.2</v>
      </c>
      <c r="K394" s="13">
        <v>12</v>
      </c>
      <c r="L394" s="13">
        <f>IF(J394&gt;68,K394+(J394-68)*0.2,K394-(68-J394)*0.2)</f>
        <v>13.440000000000001</v>
      </c>
      <c r="M394" s="13">
        <f>(C394-H394)/C394*100</f>
        <v>55.120000000000005</v>
      </c>
      <c r="N394" s="13">
        <f>100-(M394+O394)</f>
        <v>18</v>
      </c>
      <c r="O394" s="13">
        <f>L394/C394*100</f>
        <v>26.880000000000003</v>
      </c>
      <c r="P394" s="12" t="s">
        <v>3</v>
      </c>
      <c r="Q394" s="11">
        <v>409298.4264</v>
      </c>
      <c r="R394" s="11">
        <v>3659201.667467</v>
      </c>
    </row>
    <row r="395" spans="1:18" x14ac:dyDescent="0.25">
      <c r="A395" s="18">
        <v>41164</v>
      </c>
      <c r="B395" s="14" t="s">
        <v>5</v>
      </c>
      <c r="C395" s="15">
        <v>50</v>
      </c>
      <c r="D395" s="14">
        <v>20</v>
      </c>
      <c r="E395" s="13">
        <v>24</v>
      </c>
      <c r="F395" s="13">
        <f>1.8*E395+32</f>
        <v>75.2</v>
      </c>
      <c r="G395" s="13">
        <v>26</v>
      </c>
      <c r="H395" s="13">
        <f>IF(F395&gt;68,G395+(F395-68)*0.2,Y625-(68-F395)*0.2)</f>
        <v>27.44</v>
      </c>
      <c r="I395" s="13">
        <v>24</v>
      </c>
      <c r="J395" s="13">
        <f>1.8*I395+32</f>
        <v>75.2</v>
      </c>
      <c r="K395" s="13">
        <v>17</v>
      </c>
      <c r="L395" s="13">
        <f>IF(J395&gt;68,K395+(J395-68)*0.2,K395-(68-J395)*0.2)</f>
        <v>18.440000000000001</v>
      </c>
      <c r="M395" s="13">
        <f>(C395-H395)/C395*100</f>
        <v>45.12</v>
      </c>
      <c r="N395" s="13">
        <f>100-(M395+O395)</f>
        <v>18</v>
      </c>
      <c r="O395" s="13">
        <f>L395/C395*100</f>
        <v>36.880000000000003</v>
      </c>
      <c r="P395" s="12" t="s">
        <v>28</v>
      </c>
      <c r="Q395" s="11">
        <v>409298.4264</v>
      </c>
      <c r="R395" s="11">
        <v>3659201.667467</v>
      </c>
    </row>
    <row r="396" spans="1:18" x14ac:dyDescent="0.25">
      <c r="A396" s="17"/>
      <c r="B396" s="14" t="s">
        <v>4</v>
      </c>
      <c r="C396" s="15">
        <v>50</v>
      </c>
      <c r="D396" s="14">
        <v>20</v>
      </c>
      <c r="E396" s="13">
        <v>24</v>
      </c>
      <c r="F396" s="13">
        <f>1.8*E396+32</f>
        <v>75.2</v>
      </c>
      <c r="G396" s="13">
        <v>22</v>
      </c>
      <c r="H396" s="13">
        <f>IF(F396&gt;68,G396+(F396-68)*0.2,Y626-(68-F396)*0.2)</f>
        <v>23.44</v>
      </c>
      <c r="I396" s="13">
        <v>24</v>
      </c>
      <c r="J396" s="13">
        <f>1.8*I396+32</f>
        <v>75.2</v>
      </c>
      <c r="K396" s="13">
        <v>12</v>
      </c>
      <c r="L396" s="13">
        <f>IF(J396&gt;68,K396+(J396-68)*0.2,K396-(68-J396)*0.2)</f>
        <v>13.440000000000001</v>
      </c>
      <c r="M396" s="13">
        <f>(C396-H396)/C396*100</f>
        <v>53.12</v>
      </c>
      <c r="N396" s="13">
        <f>100-(M396+O396)</f>
        <v>20</v>
      </c>
      <c r="O396" s="13">
        <f>L396/C396*100</f>
        <v>26.880000000000003</v>
      </c>
      <c r="P396" s="12" t="s">
        <v>3</v>
      </c>
      <c r="Q396" s="11">
        <v>409298.4264</v>
      </c>
      <c r="R396" s="11">
        <v>3659201.667467</v>
      </c>
    </row>
    <row r="397" spans="1:18" x14ac:dyDescent="0.25">
      <c r="A397" s="16"/>
      <c r="B397" s="14" t="s">
        <v>2</v>
      </c>
      <c r="C397" s="15">
        <v>50</v>
      </c>
      <c r="D397" s="14">
        <v>20</v>
      </c>
      <c r="E397" s="13">
        <v>24</v>
      </c>
      <c r="F397" s="13">
        <f>1.8*E397+32</f>
        <v>75.2</v>
      </c>
      <c r="G397" s="13">
        <v>18</v>
      </c>
      <c r="H397" s="13">
        <f>IF(F397&gt;68,G397+(F397-68)*0.2,Y627-(68-F397)*0.2)</f>
        <v>19.440000000000001</v>
      </c>
      <c r="I397" s="13">
        <v>24</v>
      </c>
      <c r="J397" s="13">
        <f>1.8*I397+32</f>
        <v>75.2</v>
      </c>
      <c r="K397" s="13">
        <v>11</v>
      </c>
      <c r="L397" s="13">
        <f>IF(J397&gt;68,K397+(J397-68)*0.2,K397-(68-J397)*0.2)</f>
        <v>12.440000000000001</v>
      </c>
      <c r="M397" s="13">
        <f>(C397-H397)/C397*100</f>
        <v>61.12</v>
      </c>
      <c r="N397" s="13">
        <f>100-(M397+O397)</f>
        <v>14</v>
      </c>
      <c r="O397" s="13">
        <f>L397/C397*100</f>
        <v>24.880000000000003</v>
      </c>
      <c r="P397" s="12" t="s">
        <v>3</v>
      </c>
      <c r="Q397" s="11">
        <v>409298.4264</v>
      </c>
      <c r="R397" s="11">
        <v>3659201.667467</v>
      </c>
    </row>
    <row r="398" spans="1:18" x14ac:dyDescent="0.25">
      <c r="A398" s="16"/>
      <c r="B398" s="14" t="s">
        <v>1</v>
      </c>
      <c r="C398" s="15">
        <v>50</v>
      </c>
      <c r="D398" s="14">
        <v>20</v>
      </c>
      <c r="E398" s="13">
        <v>24</v>
      </c>
      <c r="F398" s="13">
        <f>1.8*E398+32</f>
        <v>75.2</v>
      </c>
      <c r="G398" s="13">
        <v>16</v>
      </c>
      <c r="H398" s="13">
        <f>IF(F398&gt;68,G398+(F398-68)*0.2,Y628-(68-F398)*0.2)</f>
        <v>17.440000000000001</v>
      </c>
      <c r="I398" s="13">
        <v>24</v>
      </c>
      <c r="J398" s="13">
        <f>1.8*I398+32</f>
        <v>75.2</v>
      </c>
      <c r="K398" s="13">
        <v>10</v>
      </c>
      <c r="L398" s="13">
        <f>IF(J398&gt;68,K398+(J398-68)*0.2,K398-(68-J398)*0.2)</f>
        <v>11.440000000000001</v>
      </c>
      <c r="M398" s="13">
        <f>(C398-H398)/C398*100</f>
        <v>65.12</v>
      </c>
      <c r="N398" s="13">
        <f>100-(M398+O398)</f>
        <v>12</v>
      </c>
      <c r="O398" s="13">
        <f>L398/C398*100</f>
        <v>22.880000000000003</v>
      </c>
      <c r="P398" s="12" t="s">
        <v>3</v>
      </c>
      <c r="Q398" s="11">
        <v>409298.4264</v>
      </c>
      <c r="R398" s="11">
        <v>3659201.667467</v>
      </c>
    </row>
    <row r="400" spans="1:18" ht="51.75" x14ac:dyDescent="0.25">
      <c r="A400" s="19" t="s">
        <v>27</v>
      </c>
      <c r="B400" s="22" t="s">
        <v>26</v>
      </c>
      <c r="C400" s="26" t="s">
        <v>25</v>
      </c>
      <c r="D400" s="25" t="s">
        <v>24</v>
      </c>
      <c r="E400" s="24" t="s">
        <v>23</v>
      </c>
      <c r="F400" s="24" t="s">
        <v>22</v>
      </c>
      <c r="G400" s="24" t="s">
        <v>21</v>
      </c>
      <c r="H400" s="24" t="s">
        <v>20</v>
      </c>
      <c r="I400" s="24" t="s">
        <v>19</v>
      </c>
      <c r="J400" s="24" t="s">
        <v>18</v>
      </c>
      <c r="K400" s="24" t="s">
        <v>17</v>
      </c>
      <c r="L400" s="24" t="s">
        <v>16</v>
      </c>
      <c r="M400" s="23" t="s">
        <v>15</v>
      </c>
      <c r="N400" s="23" t="s">
        <v>14</v>
      </c>
      <c r="O400" s="23" t="s">
        <v>13</v>
      </c>
      <c r="P400" s="22" t="s">
        <v>12</v>
      </c>
      <c r="Q400" s="27" t="s">
        <v>11</v>
      </c>
      <c r="R400" s="27"/>
    </row>
    <row r="401" spans="1:18" x14ac:dyDescent="0.25">
      <c r="A401" s="20"/>
      <c r="B401" s="22"/>
      <c r="C401" s="26"/>
      <c r="D401" s="25"/>
      <c r="E401" s="24"/>
      <c r="F401" s="24"/>
      <c r="G401" s="24"/>
      <c r="H401" s="24"/>
      <c r="I401" s="24"/>
      <c r="J401" s="24"/>
      <c r="K401" s="24"/>
      <c r="L401" s="24"/>
      <c r="M401" s="23"/>
      <c r="N401" s="23"/>
      <c r="O401" s="23"/>
      <c r="P401" s="22"/>
      <c r="Q401" s="21" t="s">
        <v>10</v>
      </c>
      <c r="R401" s="21" t="s">
        <v>9</v>
      </c>
    </row>
    <row r="402" spans="1:18" x14ac:dyDescent="0.25">
      <c r="A402" s="20"/>
      <c r="B402" s="14" t="s">
        <v>8</v>
      </c>
      <c r="C402" s="15">
        <v>50</v>
      </c>
      <c r="D402" s="14">
        <v>20</v>
      </c>
      <c r="E402" s="13">
        <v>24</v>
      </c>
      <c r="F402" s="13">
        <f>1.8*E402+32</f>
        <v>75.2</v>
      </c>
      <c r="G402" s="13">
        <v>17</v>
      </c>
      <c r="H402" s="13">
        <f>IF(F402&gt;68,G402+(F402-68)*0.2,Y632-(68-F402)*0.2)</f>
        <v>18.440000000000001</v>
      </c>
      <c r="I402" s="13">
        <v>24</v>
      </c>
      <c r="J402" s="13">
        <f>1.8*I402+32</f>
        <v>75.2</v>
      </c>
      <c r="K402" s="13">
        <v>9</v>
      </c>
      <c r="L402" s="13">
        <f>IF(J402&gt;68,K402+(J402-68)*0.2,K402-(68-J402)*0.2)</f>
        <v>10.440000000000001</v>
      </c>
      <c r="M402" s="13">
        <f>(C402-H402)/C402*100</f>
        <v>63.12</v>
      </c>
      <c r="N402" s="13">
        <f>100-(M402+O402)</f>
        <v>16</v>
      </c>
      <c r="O402" s="13">
        <f>L402/C402*100</f>
        <v>20.880000000000003</v>
      </c>
      <c r="P402" s="12" t="s">
        <v>3</v>
      </c>
      <c r="Q402" s="11">
        <v>409302.49040000001</v>
      </c>
      <c r="R402" s="11">
        <v>3659201.667467</v>
      </c>
    </row>
    <row r="403" spans="1:18" x14ac:dyDescent="0.25">
      <c r="A403" s="19" t="s">
        <v>7</v>
      </c>
      <c r="B403" s="14" t="s">
        <v>6</v>
      </c>
      <c r="C403" s="15">
        <v>50</v>
      </c>
      <c r="D403" s="14">
        <v>20</v>
      </c>
      <c r="E403" s="13">
        <v>25</v>
      </c>
      <c r="F403" s="13">
        <f>1.8*E403+32</f>
        <v>77</v>
      </c>
      <c r="G403" s="13">
        <v>14</v>
      </c>
      <c r="H403" s="13">
        <f>IF(F403&gt;68,G403+(F403-68)*0.2,Y633-(68-F403)*0.2)</f>
        <v>15.8</v>
      </c>
      <c r="I403" s="13">
        <v>24</v>
      </c>
      <c r="J403" s="13">
        <f>1.8*I403+32</f>
        <v>75.2</v>
      </c>
      <c r="K403" s="13">
        <v>7</v>
      </c>
      <c r="L403" s="13">
        <f>IF(J403&gt;68,K403+(J403-68)*0.2,K403-(68-J403)*0.2)</f>
        <v>8.4400000000000013</v>
      </c>
      <c r="M403" s="13">
        <f>(C403-H403)/C403*100</f>
        <v>68.400000000000006</v>
      </c>
      <c r="N403" s="13">
        <f>100-(M403+O403)</f>
        <v>14.719999999999999</v>
      </c>
      <c r="O403" s="13">
        <f>L403/C403*100</f>
        <v>16.880000000000003</v>
      </c>
      <c r="P403" s="12" t="s">
        <v>0</v>
      </c>
      <c r="Q403" s="11">
        <v>409302.49040000001</v>
      </c>
      <c r="R403" s="11">
        <v>3659201.667467</v>
      </c>
    </row>
    <row r="404" spans="1:18" x14ac:dyDescent="0.25">
      <c r="A404" s="18">
        <v>41164</v>
      </c>
      <c r="B404" s="14" t="s">
        <v>5</v>
      </c>
      <c r="C404" s="15">
        <v>50</v>
      </c>
      <c r="D404" s="14">
        <v>20</v>
      </c>
      <c r="E404" s="13">
        <v>25</v>
      </c>
      <c r="F404" s="13">
        <f>1.8*E404+32</f>
        <v>77</v>
      </c>
      <c r="G404" s="13">
        <v>13</v>
      </c>
      <c r="H404" s="13">
        <f>IF(F404&gt;68,G404+(F404-68)*0.2,Y634-(68-F404)*0.2)</f>
        <v>14.8</v>
      </c>
      <c r="I404" s="13">
        <v>24</v>
      </c>
      <c r="J404" s="13">
        <f>1.8*I404+32</f>
        <v>75.2</v>
      </c>
      <c r="K404" s="13">
        <v>6</v>
      </c>
      <c r="L404" s="13">
        <f>IF(J404&gt;68,K404+(J404-68)*0.2,K404-(68-J404)*0.2)</f>
        <v>7.44</v>
      </c>
      <c r="M404" s="13">
        <f>(C404-H404)/C404*100</f>
        <v>70.400000000000006</v>
      </c>
      <c r="N404" s="13">
        <f>100-(M404+O404)</f>
        <v>14.719999999999999</v>
      </c>
      <c r="O404" s="13">
        <f>L404/C404*100</f>
        <v>14.88</v>
      </c>
      <c r="P404" s="12" t="s">
        <v>0</v>
      </c>
      <c r="Q404" s="11">
        <v>409302.49040000001</v>
      </c>
      <c r="R404" s="11">
        <v>3659201.667467</v>
      </c>
    </row>
    <row r="405" spans="1:18" x14ac:dyDescent="0.25">
      <c r="A405" s="17"/>
      <c r="B405" s="14" t="s">
        <v>4</v>
      </c>
      <c r="C405" s="15">
        <v>50</v>
      </c>
      <c r="D405" s="14">
        <v>20</v>
      </c>
      <c r="E405" s="13">
        <v>26</v>
      </c>
      <c r="F405" s="13">
        <f>1.8*E405+32</f>
        <v>78.800000000000011</v>
      </c>
      <c r="G405" s="13">
        <v>15</v>
      </c>
      <c r="H405" s="13">
        <f>IF(F405&gt;68,G405+(F405-68)*0.2,Y635-(68-F405)*0.2)</f>
        <v>17.160000000000004</v>
      </c>
      <c r="I405" s="13">
        <v>24</v>
      </c>
      <c r="J405" s="13">
        <f>1.8*I405+32</f>
        <v>75.2</v>
      </c>
      <c r="K405" s="13">
        <v>9</v>
      </c>
      <c r="L405" s="13">
        <f>IF(J405&gt;68,K405+(J405-68)*0.2,K405-(68-J405)*0.2)</f>
        <v>10.440000000000001</v>
      </c>
      <c r="M405" s="13">
        <f>(C405-H405)/C405*100</f>
        <v>65.679999999999993</v>
      </c>
      <c r="N405" s="13">
        <f>100-(M405+O405)</f>
        <v>13.439999999999998</v>
      </c>
      <c r="O405" s="13">
        <f>L405/C405*100</f>
        <v>20.880000000000003</v>
      </c>
      <c r="P405" s="12" t="s">
        <v>3</v>
      </c>
      <c r="Q405" s="11">
        <v>409302.49040000001</v>
      </c>
      <c r="R405" s="11">
        <v>3659201.667467</v>
      </c>
    </row>
    <row r="406" spans="1:18" x14ac:dyDescent="0.25">
      <c r="A406" s="16"/>
      <c r="B406" s="14" t="s">
        <v>2</v>
      </c>
      <c r="C406" s="15">
        <v>50</v>
      </c>
      <c r="D406" s="14">
        <v>20</v>
      </c>
      <c r="E406" s="13">
        <v>25</v>
      </c>
      <c r="F406" s="13">
        <f>1.8*E406+32</f>
        <v>77</v>
      </c>
      <c r="G406" s="13">
        <v>15</v>
      </c>
      <c r="H406" s="13">
        <f>IF(F406&gt;68,G406+(F406-68)*0.2,Y636-(68-F406)*0.2)</f>
        <v>16.8</v>
      </c>
      <c r="I406" s="13">
        <v>24</v>
      </c>
      <c r="J406" s="13">
        <f>1.8*I406+32</f>
        <v>75.2</v>
      </c>
      <c r="K406" s="13">
        <v>7</v>
      </c>
      <c r="L406" s="13">
        <f>IF(J406&gt;68,K406+(J406-68)*0.2,K406-(68-J406)*0.2)</f>
        <v>8.4400000000000013</v>
      </c>
      <c r="M406" s="13">
        <f>(C406-H406)/C406*100</f>
        <v>66.400000000000006</v>
      </c>
      <c r="N406" s="13">
        <f>100-(M406+O406)</f>
        <v>16.72</v>
      </c>
      <c r="O406" s="13">
        <f>L406/C406*100</f>
        <v>16.880000000000003</v>
      </c>
      <c r="P406" s="12" t="s">
        <v>0</v>
      </c>
      <c r="Q406" s="11">
        <v>409302.49040000001</v>
      </c>
      <c r="R406" s="11">
        <v>3659201.667467</v>
      </c>
    </row>
    <row r="407" spans="1:18" x14ac:dyDescent="0.25">
      <c r="A407" s="16"/>
      <c r="B407" s="14" t="s">
        <v>1</v>
      </c>
      <c r="C407" s="15">
        <v>50</v>
      </c>
      <c r="D407" s="14">
        <v>20</v>
      </c>
      <c r="E407" s="13">
        <v>25</v>
      </c>
      <c r="F407" s="13">
        <f>1.8*E407+32</f>
        <v>77</v>
      </c>
      <c r="G407" s="13">
        <v>17</v>
      </c>
      <c r="H407" s="13">
        <f>IF(F407&gt;68,G407+(F407-68)*0.2,Y637-(68-F407)*0.2)</f>
        <v>18.8</v>
      </c>
      <c r="I407" s="13">
        <v>24</v>
      </c>
      <c r="J407" s="13">
        <f>1.8*I407+32</f>
        <v>75.2</v>
      </c>
      <c r="K407" s="13">
        <v>8</v>
      </c>
      <c r="L407" s="13">
        <f>IF(J407&gt;68,K407+(J407-68)*0.2,K407-(68-J407)*0.2)</f>
        <v>9.4400000000000013</v>
      </c>
      <c r="M407" s="13">
        <f>(C407-H407)/C407*100</f>
        <v>62.4</v>
      </c>
      <c r="N407" s="13">
        <f>100-(M407+O407)</f>
        <v>18.72</v>
      </c>
      <c r="O407" s="13">
        <f>L407/C407*100</f>
        <v>18.880000000000003</v>
      </c>
      <c r="P407" s="12" t="s">
        <v>0</v>
      </c>
      <c r="Q407" s="11">
        <v>409302.49040000001</v>
      </c>
      <c r="R407" s="11">
        <v>3659201.667467</v>
      </c>
    </row>
    <row r="409" spans="1:18" x14ac:dyDescent="0.25">
      <c r="A409" s="7"/>
      <c r="B409" s="2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7"/>
      <c r="N409" s="7"/>
      <c r="O409" s="7"/>
      <c r="P409" s="2"/>
    </row>
    <row r="410" spans="1:18" x14ac:dyDescent="0.25">
      <c r="A410" s="10"/>
      <c r="B410" s="2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7"/>
      <c r="N410" s="7"/>
      <c r="O410" s="7"/>
      <c r="P410" s="2"/>
    </row>
    <row r="411" spans="1:18" x14ac:dyDescent="0.25">
      <c r="A411" s="10"/>
      <c r="P411" s="8"/>
    </row>
    <row r="412" spans="1:18" x14ac:dyDescent="0.25">
      <c r="A412" s="7"/>
      <c r="P412" s="8"/>
    </row>
    <row r="413" spans="1:18" x14ac:dyDescent="0.25">
      <c r="A413" s="9"/>
      <c r="P413" s="8"/>
    </row>
    <row r="414" spans="1:18" x14ac:dyDescent="0.25">
      <c r="A414" s="9"/>
      <c r="P414" s="8"/>
    </row>
    <row r="415" spans="1:18" x14ac:dyDescent="0.25">
      <c r="P415" s="8"/>
    </row>
    <row r="416" spans="1:18" x14ac:dyDescent="0.25">
      <c r="P416" s="8"/>
    </row>
    <row r="418" spans="1:16" x14ac:dyDescent="0.25">
      <c r="A418" s="7"/>
      <c r="B418" s="2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7"/>
      <c r="N418" s="7"/>
      <c r="O418" s="7"/>
      <c r="P418" s="2"/>
    </row>
    <row r="419" spans="1:16" x14ac:dyDescent="0.25">
      <c r="A419" s="10"/>
      <c r="B419" s="2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7"/>
      <c r="N419" s="7"/>
      <c r="O419" s="7"/>
      <c r="P419" s="2"/>
    </row>
    <row r="420" spans="1:16" x14ac:dyDescent="0.25">
      <c r="A420" s="10"/>
      <c r="P420" s="8"/>
    </row>
    <row r="421" spans="1:16" x14ac:dyDescent="0.25">
      <c r="A421" s="7"/>
      <c r="P421" s="8"/>
    </row>
    <row r="422" spans="1:16" x14ac:dyDescent="0.25">
      <c r="A422" s="9"/>
      <c r="P422" s="8"/>
    </row>
    <row r="423" spans="1:16" x14ac:dyDescent="0.25">
      <c r="A423" s="9"/>
      <c r="P423" s="8"/>
    </row>
    <row r="424" spans="1:16" x14ac:dyDescent="0.25">
      <c r="P424" s="8"/>
    </row>
    <row r="425" spans="1:16" x14ac:dyDescent="0.25">
      <c r="P425" s="8"/>
    </row>
    <row r="427" spans="1:16" x14ac:dyDescent="0.25">
      <c r="A427" s="7"/>
      <c r="B427" s="2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7"/>
      <c r="N427" s="7"/>
      <c r="O427" s="7"/>
      <c r="P427" s="2"/>
    </row>
    <row r="428" spans="1:16" x14ac:dyDescent="0.25">
      <c r="A428" s="10"/>
      <c r="B428" s="2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7"/>
      <c r="N428" s="7"/>
      <c r="O428" s="7"/>
      <c r="P428" s="2"/>
    </row>
    <row r="429" spans="1:16" x14ac:dyDescent="0.25">
      <c r="A429" s="10"/>
      <c r="P429" s="8"/>
    </row>
    <row r="430" spans="1:16" x14ac:dyDescent="0.25">
      <c r="A430" s="7"/>
      <c r="P430" s="8"/>
    </row>
    <row r="431" spans="1:16" x14ac:dyDescent="0.25">
      <c r="A431" s="9"/>
      <c r="P431" s="8"/>
    </row>
    <row r="432" spans="1:16" x14ac:dyDescent="0.25">
      <c r="A432" s="9"/>
      <c r="P432" s="8"/>
    </row>
    <row r="433" spans="1:16" x14ac:dyDescent="0.25">
      <c r="P433" s="8"/>
    </row>
    <row r="434" spans="1:16" x14ac:dyDescent="0.25">
      <c r="P434" s="8"/>
    </row>
    <row r="436" spans="1:16" x14ac:dyDescent="0.25">
      <c r="A436" s="7"/>
      <c r="B436" s="2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7"/>
      <c r="N436" s="7"/>
      <c r="O436" s="7"/>
      <c r="P436" s="2"/>
    </row>
    <row r="437" spans="1:16" x14ac:dyDescent="0.25">
      <c r="A437" s="10"/>
      <c r="B437" s="2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7"/>
      <c r="N437" s="7"/>
      <c r="O437" s="7"/>
      <c r="P437" s="2"/>
    </row>
    <row r="438" spans="1:16" x14ac:dyDescent="0.25">
      <c r="A438" s="10"/>
      <c r="P438" s="8"/>
    </row>
    <row r="439" spans="1:16" x14ac:dyDescent="0.25">
      <c r="A439" s="7"/>
      <c r="P439" s="8"/>
    </row>
    <row r="440" spans="1:16" x14ac:dyDescent="0.25">
      <c r="A440" s="9"/>
      <c r="P440" s="8"/>
    </row>
    <row r="441" spans="1:16" x14ac:dyDescent="0.25">
      <c r="A441" s="9"/>
      <c r="P441" s="8"/>
    </row>
    <row r="442" spans="1:16" x14ac:dyDescent="0.25">
      <c r="P442" s="8"/>
    </row>
    <row r="443" spans="1:16" x14ac:dyDescent="0.25">
      <c r="P443" s="8"/>
    </row>
    <row r="445" spans="1:16" x14ac:dyDescent="0.25">
      <c r="A445" s="7"/>
      <c r="B445" s="2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7"/>
      <c r="N445" s="7"/>
      <c r="O445" s="7"/>
      <c r="P445" s="2"/>
    </row>
    <row r="446" spans="1:16" x14ac:dyDescent="0.25">
      <c r="A446" s="10"/>
      <c r="B446" s="2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7"/>
      <c r="N446" s="7"/>
      <c r="O446" s="7"/>
      <c r="P446" s="2"/>
    </row>
    <row r="447" spans="1:16" x14ac:dyDescent="0.25">
      <c r="A447" s="10"/>
      <c r="P447" s="8"/>
    </row>
    <row r="448" spans="1:16" x14ac:dyDescent="0.25">
      <c r="A448" s="7"/>
      <c r="P448" s="8"/>
    </row>
    <row r="449" spans="1:16" x14ac:dyDescent="0.25">
      <c r="A449" s="9"/>
      <c r="P449" s="8"/>
    </row>
    <row r="450" spans="1:16" x14ac:dyDescent="0.25">
      <c r="A450" s="9"/>
      <c r="P450" s="8"/>
    </row>
    <row r="451" spans="1:16" x14ac:dyDescent="0.25">
      <c r="P451" s="8"/>
    </row>
    <row r="452" spans="1:16" x14ac:dyDescent="0.25">
      <c r="P452" s="8"/>
    </row>
    <row r="454" spans="1:16" x14ac:dyDescent="0.25">
      <c r="A454" s="7"/>
      <c r="B454" s="2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7"/>
      <c r="N454" s="7"/>
      <c r="O454" s="7"/>
      <c r="P454" s="2"/>
    </row>
    <row r="455" spans="1:16" x14ac:dyDescent="0.25">
      <c r="A455" s="10"/>
      <c r="B455" s="2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7"/>
      <c r="N455" s="7"/>
      <c r="O455" s="7"/>
      <c r="P455" s="2"/>
    </row>
    <row r="456" spans="1:16" x14ac:dyDescent="0.25">
      <c r="A456" s="10"/>
      <c r="P456" s="8"/>
    </row>
    <row r="457" spans="1:16" x14ac:dyDescent="0.25">
      <c r="A457" s="7"/>
      <c r="P457" s="8"/>
    </row>
    <row r="458" spans="1:16" x14ac:dyDescent="0.25">
      <c r="A458" s="9"/>
      <c r="P458" s="8"/>
    </row>
    <row r="459" spans="1:16" x14ac:dyDescent="0.25">
      <c r="A459" s="9"/>
      <c r="P459" s="8"/>
    </row>
    <row r="460" spans="1:16" x14ac:dyDescent="0.25">
      <c r="P460" s="8"/>
    </row>
    <row r="461" spans="1:16" x14ac:dyDescent="0.25">
      <c r="P461" s="8"/>
    </row>
    <row r="463" spans="1:16" x14ac:dyDescent="0.25">
      <c r="A463" s="7"/>
      <c r="B463" s="2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7"/>
      <c r="N463" s="7"/>
      <c r="O463" s="7"/>
      <c r="P463" s="2"/>
    </row>
    <row r="464" spans="1:16" x14ac:dyDescent="0.25">
      <c r="A464" s="10"/>
      <c r="B464" s="2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7"/>
      <c r="N464" s="7"/>
      <c r="O464" s="7"/>
      <c r="P464" s="2"/>
    </row>
    <row r="465" spans="1:16" x14ac:dyDescent="0.25">
      <c r="A465" s="10"/>
      <c r="P465" s="8"/>
    </row>
    <row r="466" spans="1:16" x14ac:dyDescent="0.25">
      <c r="A466" s="7"/>
      <c r="P466" s="8"/>
    </row>
    <row r="467" spans="1:16" x14ac:dyDescent="0.25">
      <c r="A467" s="9"/>
      <c r="P467" s="8"/>
    </row>
    <row r="468" spans="1:16" x14ac:dyDescent="0.25">
      <c r="A468" s="9"/>
      <c r="P468" s="8"/>
    </row>
    <row r="469" spans="1:16" x14ac:dyDescent="0.25">
      <c r="P469" s="8"/>
    </row>
    <row r="470" spans="1:16" x14ac:dyDescent="0.25">
      <c r="P470" s="8"/>
    </row>
    <row r="471" spans="1:16" x14ac:dyDescent="0.25">
      <c r="A471" s="7"/>
      <c r="B471" s="2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7"/>
      <c r="N471" s="7"/>
      <c r="O471" s="7"/>
      <c r="P471" s="2"/>
    </row>
    <row r="472" spans="1:16" x14ac:dyDescent="0.25">
      <c r="A472" s="7"/>
      <c r="B472" s="2"/>
      <c r="C472" s="6"/>
      <c r="D472" s="5"/>
      <c r="E472" s="4"/>
      <c r="F472" s="4"/>
      <c r="G472" s="4"/>
      <c r="H472" s="4"/>
      <c r="I472" s="4"/>
      <c r="J472" s="4"/>
      <c r="K472" s="4"/>
      <c r="L472" s="4"/>
      <c r="M472" s="3"/>
      <c r="N472" s="3"/>
      <c r="O472" s="3"/>
      <c r="P472" s="2"/>
    </row>
  </sheetData>
  <mergeCells count="149">
    <mergeCell ref="A59:A60"/>
    <mergeCell ref="A62:A63"/>
    <mergeCell ref="A68:A69"/>
    <mergeCell ref="A32:A33"/>
    <mergeCell ref="A35:A36"/>
    <mergeCell ref="A41:A42"/>
    <mergeCell ref="A44:A45"/>
    <mergeCell ref="A50:A51"/>
    <mergeCell ref="A53:A54"/>
    <mergeCell ref="A161:A162"/>
    <mergeCell ref="A113:A114"/>
    <mergeCell ref="A116:A117"/>
    <mergeCell ref="A122:A123"/>
    <mergeCell ref="A125:A126"/>
    <mergeCell ref="A131:A132"/>
    <mergeCell ref="A134:A135"/>
    <mergeCell ref="A170:A171"/>
    <mergeCell ref="A176:A177"/>
    <mergeCell ref="A71:A72"/>
    <mergeCell ref="A77:A78"/>
    <mergeCell ref="A80:A81"/>
    <mergeCell ref="A140:A141"/>
    <mergeCell ref="A143:A144"/>
    <mergeCell ref="A149:A150"/>
    <mergeCell ref="A152:A153"/>
    <mergeCell ref="A158:A159"/>
    <mergeCell ref="A269:A270"/>
    <mergeCell ref="A275:A276"/>
    <mergeCell ref="A278:A279"/>
    <mergeCell ref="A5:A6"/>
    <mergeCell ref="A8:A9"/>
    <mergeCell ref="A14:A15"/>
    <mergeCell ref="A17:A18"/>
    <mergeCell ref="A23:A24"/>
    <mergeCell ref="A26:A27"/>
    <mergeCell ref="A167:A168"/>
    <mergeCell ref="A86:A87"/>
    <mergeCell ref="A89:A90"/>
    <mergeCell ref="A95:A96"/>
    <mergeCell ref="A98:A99"/>
    <mergeCell ref="A104:A105"/>
    <mergeCell ref="A107:A108"/>
    <mergeCell ref="A251:A252"/>
    <mergeCell ref="A257:A258"/>
    <mergeCell ref="A260:A261"/>
    <mergeCell ref="A266:A267"/>
    <mergeCell ref="A215:A216"/>
    <mergeCell ref="A221:A222"/>
    <mergeCell ref="A224:A225"/>
    <mergeCell ref="A230:A231"/>
    <mergeCell ref="A233:A234"/>
    <mergeCell ref="A239:A240"/>
    <mergeCell ref="A350:A351"/>
    <mergeCell ref="A356:A357"/>
    <mergeCell ref="A305:A306"/>
    <mergeCell ref="A311:A312"/>
    <mergeCell ref="A284:A285"/>
    <mergeCell ref="A179:A180"/>
    <mergeCell ref="A185:A186"/>
    <mergeCell ref="A188:A189"/>
    <mergeCell ref="A242:A243"/>
    <mergeCell ref="A248:A249"/>
    <mergeCell ref="A359:A360"/>
    <mergeCell ref="A365:A366"/>
    <mergeCell ref="A368:A369"/>
    <mergeCell ref="A374:A375"/>
    <mergeCell ref="A377:A378"/>
    <mergeCell ref="A383:A384"/>
    <mergeCell ref="A386:A387"/>
    <mergeCell ref="A392:A393"/>
    <mergeCell ref="A287:A288"/>
    <mergeCell ref="A293:A294"/>
    <mergeCell ref="A296:A297"/>
    <mergeCell ref="A194:A195"/>
    <mergeCell ref="A197:A198"/>
    <mergeCell ref="A203:A204"/>
    <mergeCell ref="A206:A207"/>
    <mergeCell ref="A212:A213"/>
    <mergeCell ref="A428:A429"/>
    <mergeCell ref="A431:A432"/>
    <mergeCell ref="A464:A465"/>
    <mergeCell ref="A467:A468"/>
    <mergeCell ref="A437:A438"/>
    <mergeCell ref="A440:A441"/>
    <mergeCell ref="A446:A447"/>
    <mergeCell ref="A449:A450"/>
    <mergeCell ref="A455:A456"/>
    <mergeCell ref="A458:A459"/>
    <mergeCell ref="Q346:R346"/>
    <mergeCell ref="Q355:R355"/>
    <mergeCell ref="A314:A315"/>
    <mergeCell ref="A320:A321"/>
    <mergeCell ref="A323:A324"/>
    <mergeCell ref="A329:A330"/>
    <mergeCell ref="A332:A333"/>
    <mergeCell ref="A338:A339"/>
    <mergeCell ref="A341:A342"/>
    <mergeCell ref="A347:A348"/>
    <mergeCell ref="Q265:R265"/>
    <mergeCell ref="Q274:R274"/>
    <mergeCell ref="A410:A411"/>
    <mergeCell ref="A413:A414"/>
    <mergeCell ref="A419:A420"/>
    <mergeCell ref="A422:A423"/>
    <mergeCell ref="A395:A396"/>
    <mergeCell ref="A401:A402"/>
    <mergeCell ref="A404:A405"/>
    <mergeCell ref="A302:A303"/>
    <mergeCell ref="Q4:R4"/>
    <mergeCell ref="Q13:R13"/>
    <mergeCell ref="Q22:R22"/>
    <mergeCell ref="Q31:R31"/>
    <mergeCell ref="Q40:R40"/>
    <mergeCell ref="Q49:R49"/>
    <mergeCell ref="Q148:R148"/>
    <mergeCell ref="Q157:R157"/>
    <mergeCell ref="Q166:R166"/>
    <mergeCell ref="Q175:R175"/>
    <mergeCell ref="Q58:R58"/>
    <mergeCell ref="Q67:R67"/>
    <mergeCell ref="Q76:R76"/>
    <mergeCell ref="Q364:R364"/>
    <mergeCell ref="Q373:R373"/>
    <mergeCell ref="Q382:R382"/>
    <mergeCell ref="Q283:R283"/>
    <mergeCell ref="Q292:R292"/>
    <mergeCell ref="Q301:R301"/>
    <mergeCell ref="Q310:R310"/>
    <mergeCell ref="Q319:R319"/>
    <mergeCell ref="Q328:R328"/>
    <mergeCell ref="Q337:R337"/>
    <mergeCell ref="Q229:R229"/>
    <mergeCell ref="Q238:R238"/>
    <mergeCell ref="Q247:R247"/>
    <mergeCell ref="Q184:R184"/>
    <mergeCell ref="Q193:R193"/>
    <mergeCell ref="Q202:R202"/>
    <mergeCell ref="Q211:R211"/>
    <mergeCell ref="Q220:R220"/>
    <mergeCell ref="Q256:R256"/>
    <mergeCell ref="Q391:R391"/>
    <mergeCell ref="Q400:R400"/>
    <mergeCell ref="Q85:R85"/>
    <mergeCell ref="Q94:R94"/>
    <mergeCell ref="Q103:R103"/>
    <mergeCell ref="Q112:R112"/>
    <mergeCell ref="Q121:R121"/>
    <mergeCell ref="Q130:R130"/>
    <mergeCell ref="Q139:R1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76544-CB06-4FA5-8ECE-332B832521AB}">
  <dimension ref="A1:AB407"/>
  <sheetViews>
    <sheetView topLeftCell="L1" zoomScale="85" zoomScaleNormal="85" workbookViewId="0">
      <selection activeCell="T3" sqref="T3"/>
    </sheetView>
  </sheetViews>
  <sheetFormatPr defaultRowHeight="15" x14ac:dyDescent="0.25"/>
  <cols>
    <col min="1" max="1" width="10.7109375" bestFit="1" customWidth="1"/>
    <col min="6" max="6" width="9.85546875" customWidth="1"/>
    <col min="7" max="7" width="11.5703125" customWidth="1"/>
    <col min="8" max="8" width="11.42578125" customWidth="1"/>
    <col min="10" max="10" width="10.85546875" customWidth="1"/>
    <col min="11" max="11" width="11.42578125" customWidth="1"/>
    <col min="12" max="12" width="11.7109375" customWidth="1"/>
    <col min="16" max="16" width="18.28515625" bestFit="1" customWidth="1"/>
    <col min="17" max="17" width="16.85546875" bestFit="1" customWidth="1"/>
    <col min="18" max="18" width="17.7109375" bestFit="1" customWidth="1"/>
  </cols>
  <sheetData>
    <row r="1" spans="1:28" x14ac:dyDescent="0.25">
      <c r="A1" s="1"/>
    </row>
    <row r="2" spans="1:28" x14ac:dyDescent="0.25">
      <c r="A2" s="1"/>
      <c r="C2" s="8" t="s">
        <v>366</v>
      </c>
    </row>
    <row r="3" spans="1:28" x14ac:dyDescent="0.25">
      <c r="A3" s="1"/>
      <c r="T3" t="s">
        <v>362</v>
      </c>
    </row>
    <row r="4" spans="1:28" ht="51.75" x14ac:dyDescent="0.25">
      <c r="A4" s="19" t="s">
        <v>361</v>
      </c>
      <c r="B4" s="22" t="s">
        <v>26</v>
      </c>
      <c r="C4" s="26" t="s">
        <v>25</v>
      </c>
      <c r="D4" s="25" t="s">
        <v>24</v>
      </c>
      <c r="E4" s="24" t="s">
        <v>23</v>
      </c>
      <c r="F4" s="24" t="s">
        <v>22</v>
      </c>
      <c r="G4" s="24" t="s">
        <v>21</v>
      </c>
      <c r="H4" s="24" t="s">
        <v>20</v>
      </c>
      <c r="I4" s="24" t="s">
        <v>19</v>
      </c>
      <c r="J4" s="24" t="s">
        <v>18</v>
      </c>
      <c r="K4" s="24" t="s">
        <v>17</v>
      </c>
      <c r="L4" s="24" t="s">
        <v>16</v>
      </c>
      <c r="M4" s="23" t="s">
        <v>15</v>
      </c>
      <c r="N4" s="23" t="s">
        <v>14</v>
      </c>
      <c r="O4" s="23" t="s">
        <v>13</v>
      </c>
      <c r="P4" s="22" t="s">
        <v>12</v>
      </c>
      <c r="Q4" s="27" t="s">
        <v>11</v>
      </c>
      <c r="R4" s="27"/>
      <c r="T4" s="14" t="s">
        <v>360</v>
      </c>
      <c r="U4" s="14" t="s">
        <v>359</v>
      </c>
      <c r="V4" s="14" t="s">
        <v>358</v>
      </c>
      <c r="W4" s="14" t="s">
        <v>357</v>
      </c>
      <c r="X4" s="14" t="s">
        <v>356</v>
      </c>
      <c r="Y4" s="14" t="s">
        <v>355</v>
      </c>
      <c r="Z4" s="14" t="s">
        <v>354</v>
      </c>
      <c r="AA4" s="14" t="s">
        <v>353</v>
      </c>
      <c r="AB4" s="14" t="s">
        <v>352</v>
      </c>
    </row>
    <row r="5" spans="1:28" x14ac:dyDescent="0.25">
      <c r="A5" s="20"/>
      <c r="B5" s="22"/>
      <c r="C5" s="26"/>
      <c r="D5" s="25"/>
      <c r="E5" s="24"/>
      <c r="F5" s="24"/>
      <c r="G5" s="24"/>
      <c r="H5" s="24"/>
      <c r="I5" s="24"/>
      <c r="J5" s="24"/>
      <c r="K5" s="24"/>
      <c r="L5" s="24"/>
      <c r="M5" s="23"/>
      <c r="N5" s="23"/>
      <c r="O5" s="23"/>
      <c r="P5" s="22"/>
      <c r="Q5" s="21" t="s">
        <v>10</v>
      </c>
      <c r="R5" s="21" t="s">
        <v>9</v>
      </c>
      <c r="T5" s="14"/>
      <c r="U5" s="14"/>
      <c r="V5" s="14" t="s">
        <v>351</v>
      </c>
      <c r="W5" s="14" t="s">
        <v>351</v>
      </c>
      <c r="X5" s="14" t="s">
        <v>350</v>
      </c>
      <c r="Y5" s="14" t="s">
        <v>348</v>
      </c>
      <c r="Z5" s="14" t="s">
        <v>349</v>
      </c>
      <c r="AA5" s="14" t="s">
        <v>349</v>
      </c>
      <c r="AB5" s="14" t="s">
        <v>348</v>
      </c>
    </row>
    <row r="6" spans="1:28" x14ac:dyDescent="0.25">
      <c r="A6" s="20"/>
      <c r="B6" s="14" t="s">
        <v>8</v>
      </c>
      <c r="C6" s="15">
        <v>50</v>
      </c>
      <c r="D6" s="14">
        <v>20</v>
      </c>
      <c r="E6" s="13">
        <v>25</v>
      </c>
      <c r="F6" s="13">
        <f>1.8*E6+32</f>
        <v>77</v>
      </c>
      <c r="G6" s="13">
        <v>16</v>
      </c>
      <c r="H6" s="13">
        <f>IF(F6&gt;68,G6+(F6-68)*0.2,Y223-(68-F6)*0.2)</f>
        <v>17.8</v>
      </c>
      <c r="I6" s="13">
        <v>22</v>
      </c>
      <c r="J6" s="13">
        <f>1.8*I6+32</f>
        <v>71.599999999999994</v>
      </c>
      <c r="K6" s="13">
        <v>9</v>
      </c>
      <c r="L6" s="13">
        <f>IF(J6&gt;68,K6+(J6-68)*0.2,K6-(68-J6)*0.2)</f>
        <v>9.7199999999999989</v>
      </c>
      <c r="M6" s="13">
        <f>(C6-H6)/C6*100</f>
        <v>64.400000000000006</v>
      </c>
      <c r="N6" s="13">
        <f>100-(M6+O6)</f>
        <v>16.159999999999997</v>
      </c>
      <c r="O6" s="13">
        <f>L6/C6*100</f>
        <v>19.439999999999998</v>
      </c>
      <c r="P6" s="12" t="s">
        <v>0</v>
      </c>
      <c r="Q6" s="11">
        <v>409274.06507499999</v>
      </c>
      <c r="R6" s="11">
        <v>3659130.0210150001</v>
      </c>
      <c r="T6" s="14">
        <v>2011105</v>
      </c>
      <c r="U6" s="14" t="s">
        <v>347</v>
      </c>
      <c r="V6" s="14">
        <v>5.8270000000000002E-2</v>
      </c>
      <c r="W6" s="14">
        <v>0.38269999999999998</v>
      </c>
      <c r="X6" s="14">
        <v>2.8510000000000001E-2</v>
      </c>
      <c r="Y6" s="14">
        <v>1.3514999999999999</v>
      </c>
      <c r="Z6" s="14">
        <v>21.479320000000001</v>
      </c>
      <c r="AA6" s="14">
        <v>11.17994</v>
      </c>
      <c r="AB6" s="14">
        <v>-1.3912100000000001</v>
      </c>
    </row>
    <row r="7" spans="1:28" x14ac:dyDescent="0.25">
      <c r="A7" s="19" t="s">
        <v>7</v>
      </c>
      <c r="B7" s="14" t="s">
        <v>6</v>
      </c>
      <c r="C7" s="15">
        <v>50</v>
      </c>
      <c r="D7" s="14">
        <v>20</v>
      </c>
      <c r="E7" s="13">
        <v>25</v>
      </c>
      <c r="F7" s="13">
        <f>1.8*E7+32</f>
        <v>77</v>
      </c>
      <c r="G7" s="13">
        <v>19</v>
      </c>
      <c r="H7" s="13">
        <f>IF(F7&gt;68,G7+(F7-68)*0.2,Y224-(68-F7)*0.2)</f>
        <v>20.8</v>
      </c>
      <c r="I7" s="13">
        <v>22</v>
      </c>
      <c r="J7" s="13">
        <f>1.8*I7+32</f>
        <v>71.599999999999994</v>
      </c>
      <c r="K7" s="13">
        <v>12</v>
      </c>
      <c r="L7" s="13">
        <f>IF(J7&gt;68,K7+(J7-68)*0.2,K7-(68-J7)*0.2)</f>
        <v>12.719999999999999</v>
      </c>
      <c r="M7" s="13">
        <f>(C7-H7)/C7*100</f>
        <v>58.4</v>
      </c>
      <c r="N7" s="13">
        <f>100-(M7+O7)</f>
        <v>16.159999999999997</v>
      </c>
      <c r="O7" s="13">
        <f>L7/C7*100</f>
        <v>25.439999999999998</v>
      </c>
      <c r="P7" s="12" t="s">
        <v>3</v>
      </c>
      <c r="Q7" s="11">
        <v>409274.06507499999</v>
      </c>
      <c r="R7" s="11">
        <v>3659130.0210150001</v>
      </c>
      <c r="T7" s="14">
        <v>2011105</v>
      </c>
      <c r="U7" s="14" t="s">
        <v>346</v>
      </c>
      <c r="V7" s="14">
        <v>6.7019999999999996E-2</v>
      </c>
      <c r="W7" s="14">
        <v>0.38822000000000001</v>
      </c>
      <c r="X7" s="14">
        <v>2.6020000000000001E-2</v>
      </c>
      <c r="Y7" s="14">
        <v>1.31698</v>
      </c>
      <c r="Z7" s="14">
        <v>13.08661</v>
      </c>
      <c r="AA7" s="14">
        <v>8.5577000000000005</v>
      </c>
      <c r="AB7" s="14">
        <v>-1.5488500000000001</v>
      </c>
    </row>
    <row r="8" spans="1:28" x14ac:dyDescent="0.25">
      <c r="A8" s="18">
        <v>41494</v>
      </c>
      <c r="B8" s="14" t="s">
        <v>5</v>
      </c>
      <c r="C8" s="15">
        <v>50</v>
      </c>
      <c r="D8" s="14">
        <v>20</v>
      </c>
      <c r="E8" s="13">
        <v>25</v>
      </c>
      <c r="F8" s="13">
        <f>1.8*E8+32</f>
        <v>77</v>
      </c>
      <c r="G8" s="13">
        <v>26</v>
      </c>
      <c r="H8" s="13">
        <f>IF(F8&gt;68,G8+(F8-68)*0.2,Y225-(68-F8)*0.2)</f>
        <v>27.8</v>
      </c>
      <c r="I8" s="13">
        <v>22</v>
      </c>
      <c r="J8" s="13">
        <f>1.8*I8+32</f>
        <v>71.599999999999994</v>
      </c>
      <c r="K8" s="13">
        <v>16</v>
      </c>
      <c r="L8" s="13">
        <f>IF(J8&gt;68,K8+(J8-68)*0.2,K8-(68-J8)*0.2)</f>
        <v>16.72</v>
      </c>
      <c r="M8" s="13">
        <f>(C8-H8)/C8*100</f>
        <v>44.4</v>
      </c>
      <c r="N8" s="13">
        <f>100-(M8+O8)</f>
        <v>22.159999999999997</v>
      </c>
      <c r="O8" s="13">
        <f>L8/C8*100</f>
        <v>33.44</v>
      </c>
      <c r="P8" s="12" t="s">
        <v>30</v>
      </c>
      <c r="Q8" s="11">
        <v>409274.06507499999</v>
      </c>
      <c r="R8" s="11">
        <v>3659130.0210150001</v>
      </c>
      <c r="T8" s="14">
        <v>2011105</v>
      </c>
      <c r="U8" s="14" t="s">
        <v>345</v>
      </c>
      <c r="V8" s="14">
        <v>7.8689999999999996E-2</v>
      </c>
      <c r="W8" s="14">
        <v>0.41349000000000002</v>
      </c>
      <c r="X8" s="14">
        <v>2.1090000000000001E-2</v>
      </c>
      <c r="Y8" s="14">
        <v>1.31108</v>
      </c>
      <c r="Z8" s="14">
        <v>6.4140199999999998</v>
      </c>
      <c r="AA8" s="14">
        <v>5.9451799999999997</v>
      </c>
      <c r="AB8" s="14">
        <v>-1.4258</v>
      </c>
    </row>
    <row r="9" spans="1:28" x14ac:dyDescent="0.25">
      <c r="A9" s="17"/>
      <c r="B9" s="14" t="s">
        <v>4</v>
      </c>
      <c r="C9" s="15">
        <v>50</v>
      </c>
      <c r="D9" s="14">
        <v>20</v>
      </c>
      <c r="E9" s="13">
        <v>25</v>
      </c>
      <c r="F9" s="13">
        <f>1.8*E9+32</f>
        <v>77</v>
      </c>
      <c r="G9" s="13">
        <v>22</v>
      </c>
      <c r="H9" s="13">
        <f>IF(F9&gt;68,G9+(F9-68)*0.2,Y226-(68-F9)*0.2)</f>
        <v>23.8</v>
      </c>
      <c r="I9" s="13">
        <v>22</v>
      </c>
      <c r="J9" s="13">
        <f>1.8*I9+32</f>
        <v>71.599999999999994</v>
      </c>
      <c r="K9" s="13">
        <v>14</v>
      </c>
      <c r="L9" s="13">
        <f>IF(J9&gt;68,K9+(J9-68)*0.2,K9-(68-J9)*0.2)</f>
        <v>14.719999999999999</v>
      </c>
      <c r="M9" s="13">
        <f>(C9-H9)/C9*100</f>
        <v>52.400000000000006</v>
      </c>
      <c r="N9" s="13">
        <f>100-(M9+O9)</f>
        <v>18.159999999999997</v>
      </c>
      <c r="O9" s="13">
        <f>L9/C9*100</f>
        <v>29.439999999999998</v>
      </c>
      <c r="P9" s="12" t="s">
        <v>3</v>
      </c>
      <c r="Q9" s="11">
        <v>409274.06507499999</v>
      </c>
      <c r="R9" s="11">
        <v>3659130.0210150001</v>
      </c>
      <c r="T9" s="14">
        <v>2011105</v>
      </c>
      <c r="U9" s="14" t="s">
        <v>344</v>
      </c>
      <c r="V9" s="14">
        <v>7.2749999999999995E-2</v>
      </c>
      <c r="W9" s="14">
        <v>0.39761000000000002</v>
      </c>
      <c r="X9" s="14">
        <v>2.4109999999999999E-2</v>
      </c>
      <c r="Y9" s="14">
        <v>1.3068200000000001</v>
      </c>
      <c r="Z9" s="14">
        <v>9.4708799999999993</v>
      </c>
      <c r="AA9" s="14">
        <v>7.2872000000000003</v>
      </c>
      <c r="AB9" s="14">
        <v>-1.56491</v>
      </c>
    </row>
    <row r="10" spans="1:28" x14ac:dyDescent="0.25">
      <c r="A10" s="16"/>
      <c r="B10" s="14" t="s">
        <v>2</v>
      </c>
      <c r="C10" s="15">
        <v>50</v>
      </c>
      <c r="D10" s="14">
        <v>20</v>
      </c>
      <c r="E10" s="13">
        <v>25</v>
      </c>
      <c r="F10" s="13">
        <f>1.8*E10+32</f>
        <v>77</v>
      </c>
      <c r="G10" s="13">
        <v>14</v>
      </c>
      <c r="H10" s="13">
        <f>IF(F10&gt;68,G10+(F10-68)*0.2,Y227-(68-F10)*0.2)</f>
        <v>15.8</v>
      </c>
      <c r="I10" s="13">
        <v>22</v>
      </c>
      <c r="J10" s="13">
        <f>1.8*I10+32</f>
        <v>71.599999999999994</v>
      </c>
      <c r="K10" s="13">
        <v>8</v>
      </c>
      <c r="L10" s="13">
        <f>IF(J10&gt;68,K10+(J10-68)*0.2,K10-(68-J10)*0.2)</f>
        <v>8.7199999999999989</v>
      </c>
      <c r="M10" s="13">
        <f>(C10-H10)/C10*100</f>
        <v>68.400000000000006</v>
      </c>
      <c r="N10" s="13">
        <f>100-(M10+O10)</f>
        <v>14.159999999999997</v>
      </c>
      <c r="O10" s="13">
        <f>L10/C10*100</f>
        <v>17.439999999999998</v>
      </c>
      <c r="P10" s="12" t="s">
        <v>0</v>
      </c>
      <c r="Q10" s="11">
        <v>409274.06507499999</v>
      </c>
      <c r="R10" s="11">
        <v>3659130.0210150001</v>
      </c>
      <c r="T10" s="14">
        <v>2011105</v>
      </c>
      <c r="U10" s="14" t="s">
        <v>343</v>
      </c>
      <c r="V10" s="14">
        <v>5.5460000000000002E-2</v>
      </c>
      <c r="W10" s="14">
        <v>0.38003999999999999</v>
      </c>
      <c r="X10" s="14">
        <v>3.0300000000000001E-2</v>
      </c>
      <c r="Y10" s="14">
        <v>1.37087</v>
      </c>
      <c r="Z10" s="14">
        <v>26.88231</v>
      </c>
      <c r="AA10" s="14">
        <v>12.739520000000001</v>
      </c>
      <c r="AB10" s="14">
        <v>-1.3463099999999999</v>
      </c>
    </row>
    <row r="11" spans="1:28" x14ac:dyDescent="0.25">
      <c r="A11" s="16"/>
      <c r="B11" s="14" t="s">
        <v>1</v>
      </c>
      <c r="C11" s="15">
        <v>50</v>
      </c>
      <c r="D11" s="14">
        <v>20</v>
      </c>
      <c r="E11" s="13">
        <v>25</v>
      </c>
      <c r="F11" s="13">
        <f>1.8*E11+32</f>
        <v>77</v>
      </c>
      <c r="G11" s="13">
        <v>15</v>
      </c>
      <c r="H11" s="13">
        <f>IF(F11&gt;68,G11+(F11-68)*0.2,#REF!-(68-F11)*0.2)</f>
        <v>16.8</v>
      </c>
      <c r="I11" s="13">
        <v>22</v>
      </c>
      <c r="J11" s="13">
        <f>1.8*I11+32</f>
        <v>71.599999999999994</v>
      </c>
      <c r="K11" s="13">
        <v>9</v>
      </c>
      <c r="L11" s="13">
        <f>IF(J11&gt;68,K11+(J11-68)*0.2,K11-(68-J11)*0.2)</f>
        <v>9.7199999999999989</v>
      </c>
      <c r="M11" s="13">
        <f>(C11-H11)/C11*100</f>
        <v>66.400000000000006</v>
      </c>
      <c r="N11" s="13">
        <f>100-(M11+O11)</f>
        <v>14.159999999999997</v>
      </c>
      <c r="O11" s="13">
        <f>L11/C11*100</f>
        <v>19.439999999999998</v>
      </c>
      <c r="P11" s="12" t="s">
        <v>0</v>
      </c>
      <c r="Q11" s="11">
        <v>409274.06507499999</v>
      </c>
      <c r="R11" s="11">
        <v>3659130.0210150001</v>
      </c>
      <c r="T11" s="14">
        <v>2011105</v>
      </c>
      <c r="U11" s="14" t="s">
        <v>342</v>
      </c>
      <c r="V11" s="14">
        <v>5.8349999999999999E-2</v>
      </c>
      <c r="W11" s="14">
        <v>0.38064999999999999</v>
      </c>
      <c r="X11" s="14">
        <v>2.9149999999999999E-2</v>
      </c>
      <c r="Y11" s="14">
        <v>1.35188</v>
      </c>
      <c r="Z11" s="14">
        <v>22.160769999999999</v>
      </c>
      <c r="AA11" s="14">
        <v>11.38719</v>
      </c>
      <c r="AB11" s="14">
        <v>-1.41527</v>
      </c>
    </row>
    <row r="12" spans="1:28" x14ac:dyDescent="0.25">
      <c r="A12" s="1"/>
      <c r="T12" s="14">
        <v>2011105</v>
      </c>
      <c r="U12" s="14" t="s">
        <v>341</v>
      </c>
      <c r="V12" s="14">
        <v>6.1210000000000001E-2</v>
      </c>
      <c r="W12" s="14">
        <v>0.38174000000000002</v>
      </c>
      <c r="X12" s="14">
        <v>2.819E-2</v>
      </c>
      <c r="Y12" s="14">
        <v>1.3362000000000001</v>
      </c>
      <c r="Z12" s="14">
        <v>18.524450000000002</v>
      </c>
      <c r="AA12" s="14">
        <v>10.308579999999999</v>
      </c>
      <c r="AB12" s="14">
        <v>-1.4822299999999999</v>
      </c>
    </row>
    <row r="13" spans="1:28" ht="51.75" x14ac:dyDescent="0.25">
      <c r="A13" s="19" t="s">
        <v>340</v>
      </c>
      <c r="B13" s="22" t="s">
        <v>26</v>
      </c>
      <c r="C13" s="26" t="s">
        <v>25</v>
      </c>
      <c r="D13" s="25" t="s">
        <v>24</v>
      </c>
      <c r="E13" s="24" t="s">
        <v>23</v>
      </c>
      <c r="F13" s="24" t="s">
        <v>22</v>
      </c>
      <c r="G13" s="24" t="s">
        <v>21</v>
      </c>
      <c r="H13" s="24" t="s">
        <v>20</v>
      </c>
      <c r="I13" s="24" t="s">
        <v>19</v>
      </c>
      <c r="J13" s="24" t="s">
        <v>18</v>
      </c>
      <c r="K13" s="24" t="s">
        <v>17</v>
      </c>
      <c r="L13" s="24" t="s">
        <v>16</v>
      </c>
      <c r="M13" s="23" t="s">
        <v>15</v>
      </c>
      <c r="N13" s="23" t="s">
        <v>14</v>
      </c>
      <c r="O13" s="23" t="s">
        <v>13</v>
      </c>
      <c r="P13" s="22" t="s">
        <v>12</v>
      </c>
      <c r="Q13" s="27" t="s">
        <v>11</v>
      </c>
      <c r="R13" s="27"/>
      <c r="T13" s="14">
        <v>2011105</v>
      </c>
      <c r="U13" s="14" t="s">
        <v>339</v>
      </c>
      <c r="V13" s="14">
        <v>6.1289999999999997E-2</v>
      </c>
      <c r="W13" s="14">
        <v>0.38405</v>
      </c>
      <c r="X13" s="14">
        <v>2.7490000000000001E-2</v>
      </c>
      <c r="Y13" s="14">
        <v>1.3387</v>
      </c>
      <c r="Z13" s="14">
        <v>18.002600000000001</v>
      </c>
      <c r="AA13" s="14">
        <v>10.10431</v>
      </c>
      <c r="AB13" s="14">
        <v>-1.4430799999999999</v>
      </c>
    </row>
    <row r="14" spans="1:28" x14ac:dyDescent="0.25">
      <c r="A14" s="20"/>
      <c r="B14" s="22"/>
      <c r="C14" s="26"/>
      <c r="D14" s="25"/>
      <c r="E14" s="24"/>
      <c r="F14" s="24"/>
      <c r="G14" s="24"/>
      <c r="H14" s="24"/>
      <c r="I14" s="24"/>
      <c r="J14" s="24"/>
      <c r="K14" s="24"/>
      <c r="L14" s="24"/>
      <c r="M14" s="23"/>
      <c r="N14" s="23"/>
      <c r="O14" s="23"/>
      <c r="P14" s="22"/>
      <c r="Q14" s="21" t="s">
        <v>10</v>
      </c>
      <c r="R14" s="21" t="s">
        <v>9</v>
      </c>
      <c r="T14" s="14">
        <v>2011105</v>
      </c>
      <c r="U14" s="14" t="s">
        <v>338</v>
      </c>
      <c r="V14" s="14">
        <v>5.1790000000000003E-2</v>
      </c>
      <c r="W14" s="14">
        <v>0.38290000000000002</v>
      </c>
      <c r="X14" s="14">
        <v>3.031E-2</v>
      </c>
      <c r="Y14" s="14">
        <v>1.37988</v>
      </c>
      <c r="Z14" s="14">
        <v>29.811350000000001</v>
      </c>
      <c r="AA14" s="14">
        <v>13.766500000000001</v>
      </c>
      <c r="AB14" s="14">
        <v>-1.26702</v>
      </c>
    </row>
    <row r="15" spans="1:28" x14ac:dyDescent="0.25">
      <c r="A15" s="20"/>
      <c r="B15" s="14" t="s">
        <v>8</v>
      </c>
      <c r="C15" s="15">
        <v>50</v>
      </c>
      <c r="D15" s="14">
        <v>20</v>
      </c>
      <c r="E15" s="13">
        <v>25</v>
      </c>
      <c r="F15" s="13">
        <f>1.8*E15+32</f>
        <v>77</v>
      </c>
      <c r="G15" s="13">
        <v>16</v>
      </c>
      <c r="H15" s="13">
        <f>IF(F15&gt;68,G15+(F15-68)*0.2,Y230-(68-F15)*0.2)</f>
        <v>17.8</v>
      </c>
      <c r="I15" s="13">
        <v>22</v>
      </c>
      <c r="J15" s="13">
        <f>1.8*I15+32</f>
        <v>71.599999999999994</v>
      </c>
      <c r="K15" s="13">
        <v>10</v>
      </c>
      <c r="L15" s="13">
        <f>IF(J15&gt;68,K15+(J15-68)*0.2,K15-(68-J15)*0.2)</f>
        <v>10.719999999999999</v>
      </c>
      <c r="M15" s="13">
        <f>(C15-H15)/C15*100</f>
        <v>64.400000000000006</v>
      </c>
      <c r="N15" s="13">
        <f>100-(M15+O15)</f>
        <v>14.159999999999997</v>
      </c>
      <c r="O15" s="13">
        <f>L15/C15*100</f>
        <v>21.439999999999998</v>
      </c>
      <c r="P15" s="12" t="s">
        <v>3</v>
      </c>
      <c r="Q15" s="11">
        <v>409274.12586999999</v>
      </c>
      <c r="R15" s="11">
        <v>3659139.3532270002</v>
      </c>
      <c r="T15" s="14">
        <v>2011105</v>
      </c>
      <c r="U15" s="14" t="s">
        <v>337</v>
      </c>
      <c r="V15" s="14">
        <v>5.849E-2</v>
      </c>
      <c r="W15" s="14">
        <v>0.38668999999999998</v>
      </c>
      <c r="X15" s="14">
        <v>2.6249999999999999E-2</v>
      </c>
      <c r="Y15" s="14">
        <v>1.35812</v>
      </c>
      <c r="Z15" s="14">
        <v>19.676760000000002</v>
      </c>
      <c r="AA15" s="14">
        <v>10.276540000000001</v>
      </c>
      <c r="AB15" s="14">
        <v>-1.28884</v>
      </c>
    </row>
    <row r="16" spans="1:28" x14ac:dyDescent="0.25">
      <c r="A16" s="19" t="s">
        <v>7</v>
      </c>
      <c r="B16" s="14" t="s">
        <v>6</v>
      </c>
      <c r="C16" s="15">
        <v>50</v>
      </c>
      <c r="D16" s="14">
        <v>20</v>
      </c>
      <c r="E16" s="13">
        <v>25</v>
      </c>
      <c r="F16" s="13">
        <f>1.8*E16+32</f>
        <v>77</v>
      </c>
      <c r="G16" s="13">
        <v>17</v>
      </c>
      <c r="H16" s="13">
        <f>IF(F16&gt;68,G16+(F16-68)*0.2,Y231-(68-F16)*0.2)</f>
        <v>18.8</v>
      </c>
      <c r="I16" s="13">
        <v>22</v>
      </c>
      <c r="J16" s="13">
        <f>1.8*I16+32</f>
        <v>71.599999999999994</v>
      </c>
      <c r="K16" s="13">
        <v>10</v>
      </c>
      <c r="L16" s="13">
        <f>IF(J16&gt;68,K16+(J16-68)*0.2,K16-(68-J16)*0.2)</f>
        <v>10.719999999999999</v>
      </c>
      <c r="M16" s="13">
        <f>(C16-H16)/C16*100</f>
        <v>62.4</v>
      </c>
      <c r="N16" s="13">
        <f>100-(M16+O16)</f>
        <v>16.159999999999997</v>
      </c>
      <c r="O16" s="13">
        <f>L16/C16*100</f>
        <v>21.439999999999998</v>
      </c>
      <c r="P16" s="12" t="s">
        <v>3</v>
      </c>
      <c r="Q16" s="11">
        <v>409274.12586999999</v>
      </c>
      <c r="R16" s="11">
        <v>3659139.3532270002</v>
      </c>
      <c r="T16" s="14">
        <v>2011105</v>
      </c>
      <c r="U16" s="14" t="s">
        <v>336</v>
      </c>
      <c r="V16" s="14">
        <v>5.543E-2</v>
      </c>
      <c r="W16" s="14">
        <v>0.38839000000000001</v>
      </c>
      <c r="X16" s="14">
        <v>2.419E-2</v>
      </c>
      <c r="Y16" s="14">
        <v>1.37812</v>
      </c>
      <c r="Z16" s="14">
        <v>21.10876</v>
      </c>
      <c r="AA16" s="14">
        <v>9.9768600000000003</v>
      </c>
      <c r="AB16" s="14">
        <v>-1.1215200000000001</v>
      </c>
    </row>
    <row r="17" spans="1:28" x14ac:dyDescent="0.25">
      <c r="A17" s="18">
        <v>41494</v>
      </c>
      <c r="B17" s="14" t="s">
        <v>5</v>
      </c>
      <c r="C17" s="15">
        <v>50</v>
      </c>
      <c r="D17" s="14">
        <v>20</v>
      </c>
      <c r="E17" s="13">
        <v>25</v>
      </c>
      <c r="F17" s="13">
        <f>1.8*E17+32</f>
        <v>77</v>
      </c>
      <c r="G17" s="13">
        <v>15</v>
      </c>
      <c r="H17" s="13">
        <f>IF(F17&gt;68,G17+(F17-68)*0.2,Y232-(68-F17)*0.2)</f>
        <v>16.8</v>
      </c>
      <c r="I17" s="13">
        <v>22</v>
      </c>
      <c r="J17" s="13">
        <f>1.8*I17+32</f>
        <v>71.599999999999994</v>
      </c>
      <c r="K17" s="13">
        <v>7</v>
      </c>
      <c r="L17" s="13">
        <f>IF(J17&gt;68,K17+(J17-68)*0.2,K17-(68-J17)*0.2)</f>
        <v>7.7199999999999989</v>
      </c>
      <c r="M17" s="13">
        <f>(C17-H17)/C17*100</f>
        <v>66.400000000000006</v>
      </c>
      <c r="N17" s="13">
        <f>100-(M17+O17)</f>
        <v>18.159999999999997</v>
      </c>
      <c r="O17" s="13">
        <f>L17/C17*100</f>
        <v>15.439999999999998</v>
      </c>
      <c r="P17" s="12" t="s">
        <v>0</v>
      </c>
      <c r="Q17" s="11">
        <v>409274.12586999999</v>
      </c>
      <c r="R17" s="11">
        <v>3659139.3532270002</v>
      </c>
      <c r="T17" s="14">
        <v>2011105</v>
      </c>
      <c r="U17" s="14" t="s">
        <v>335</v>
      </c>
      <c r="V17" s="14">
        <v>6.1490000000000003E-2</v>
      </c>
      <c r="W17" s="14">
        <v>0.38635999999999998</v>
      </c>
      <c r="X17" s="14">
        <v>2.648E-2</v>
      </c>
      <c r="Y17" s="14">
        <v>1.3432900000000001</v>
      </c>
      <c r="Z17" s="14">
        <v>17.30322</v>
      </c>
      <c r="AA17" s="14">
        <v>9.7527799999999996</v>
      </c>
      <c r="AB17" s="14">
        <v>-1.38666</v>
      </c>
    </row>
    <row r="18" spans="1:28" x14ac:dyDescent="0.25">
      <c r="A18" s="17"/>
      <c r="B18" s="14" t="s">
        <v>4</v>
      </c>
      <c r="C18" s="15">
        <v>50</v>
      </c>
      <c r="D18" s="14">
        <v>20</v>
      </c>
      <c r="E18" s="13">
        <v>25</v>
      </c>
      <c r="F18" s="13">
        <f>1.8*E18+32</f>
        <v>77</v>
      </c>
      <c r="G18" s="13">
        <v>18</v>
      </c>
      <c r="H18" s="13">
        <f>IF(F18&gt;68,G18+(F18-68)*0.2,Y233-(68-F18)*0.2)</f>
        <v>19.8</v>
      </c>
      <c r="I18" s="13">
        <v>22</v>
      </c>
      <c r="J18" s="13">
        <f>1.8*I18+32</f>
        <v>71.599999999999994</v>
      </c>
      <c r="K18" s="13">
        <v>9</v>
      </c>
      <c r="L18" s="13">
        <f>IF(J18&gt;68,K18+(J18-68)*0.2,K18-(68-J18)*0.2)</f>
        <v>9.7199999999999989</v>
      </c>
      <c r="M18" s="13">
        <f>(C18-H18)/C18*100</f>
        <v>60.4</v>
      </c>
      <c r="N18" s="13">
        <f>100-(M18+O18)</f>
        <v>20.159999999999997</v>
      </c>
      <c r="O18" s="13">
        <f>L18/C18*100</f>
        <v>19.439999999999998</v>
      </c>
      <c r="P18" s="12" t="s">
        <v>0</v>
      </c>
      <c r="Q18" s="11">
        <v>409274.12586999999</v>
      </c>
      <c r="R18" s="11">
        <v>3659139.3532270002</v>
      </c>
      <c r="T18" s="14">
        <v>2011105</v>
      </c>
      <c r="U18" s="14" t="s">
        <v>334</v>
      </c>
      <c r="V18" s="14">
        <v>5.2900000000000003E-2</v>
      </c>
      <c r="W18" s="14">
        <v>0.38402999999999998</v>
      </c>
      <c r="X18" s="14">
        <v>2.896E-2</v>
      </c>
      <c r="Y18" s="14">
        <v>1.37371</v>
      </c>
      <c r="Z18" s="14">
        <v>27.0108</v>
      </c>
      <c r="AA18" s="14">
        <v>12.746370000000001</v>
      </c>
      <c r="AB18" s="14">
        <v>-1.2605</v>
      </c>
    </row>
    <row r="19" spans="1:28" x14ac:dyDescent="0.25">
      <c r="A19" s="16"/>
      <c r="B19" s="14" t="s">
        <v>2</v>
      </c>
      <c r="C19" s="15">
        <v>50</v>
      </c>
      <c r="D19" s="14">
        <v>20</v>
      </c>
      <c r="E19" s="13">
        <v>25</v>
      </c>
      <c r="F19" s="13">
        <f>1.8*E19+32</f>
        <v>77</v>
      </c>
      <c r="G19" s="13">
        <v>19</v>
      </c>
      <c r="H19" s="13">
        <f>IF(F19&gt;68,G19+(F19-68)*0.2,Y234-(68-F19)*0.2)</f>
        <v>20.8</v>
      </c>
      <c r="I19" s="13">
        <v>22</v>
      </c>
      <c r="J19" s="13">
        <f>1.8*I19+32</f>
        <v>71.599999999999994</v>
      </c>
      <c r="K19" s="13">
        <v>8</v>
      </c>
      <c r="L19" s="13">
        <f>IF(J19&gt;68,K19+(J19-68)*0.2,K19-(68-J19)*0.2)</f>
        <v>8.7199999999999989</v>
      </c>
      <c r="M19" s="13">
        <f>(C19-H19)/C19*100</f>
        <v>58.4</v>
      </c>
      <c r="N19" s="13">
        <f>100-(M19+O19)</f>
        <v>24.159999999999997</v>
      </c>
      <c r="O19" s="13">
        <f>L19/C19*100</f>
        <v>17.439999999999998</v>
      </c>
      <c r="P19" s="12" t="s">
        <v>0</v>
      </c>
      <c r="Q19" s="11">
        <v>409274.12586999999</v>
      </c>
      <c r="R19" s="11">
        <v>3659139.3532270002</v>
      </c>
      <c r="T19" s="14">
        <v>2011105</v>
      </c>
      <c r="U19" s="14" t="s">
        <v>333</v>
      </c>
      <c r="V19" s="14">
        <v>5.6619999999999997E-2</v>
      </c>
      <c r="W19" s="14">
        <v>0.37951000000000001</v>
      </c>
      <c r="X19" s="14">
        <v>2.997E-2</v>
      </c>
      <c r="Y19" s="14">
        <v>1.36534</v>
      </c>
      <c r="Z19" s="14">
        <v>25.318960000000001</v>
      </c>
      <c r="AA19" s="14">
        <v>12.24277</v>
      </c>
      <c r="AB19" s="14">
        <v>-1.3716699999999999</v>
      </c>
    </row>
    <row r="20" spans="1:28" x14ac:dyDescent="0.25">
      <c r="A20" s="16"/>
      <c r="B20" s="14" t="s">
        <v>1</v>
      </c>
      <c r="C20" s="15">
        <v>50</v>
      </c>
      <c r="D20" s="14">
        <v>20</v>
      </c>
      <c r="E20" s="13">
        <v>25</v>
      </c>
      <c r="F20" s="13">
        <f>1.8*E20+32</f>
        <v>77</v>
      </c>
      <c r="G20" s="13">
        <v>18</v>
      </c>
      <c r="H20" s="13">
        <f>IF(F20&gt;68,G20+(F20-68)*0.2,Y235-(68-F20)*0.2)</f>
        <v>19.8</v>
      </c>
      <c r="I20" s="13">
        <v>22</v>
      </c>
      <c r="J20" s="13">
        <f>1.8*I20+32</f>
        <v>71.599999999999994</v>
      </c>
      <c r="K20" s="13">
        <v>10</v>
      </c>
      <c r="L20" s="13">
        <f>IF(J20&gt;68,K20+(J20-68)*0.2,K20-(68-J20)*0.2)</f>
        <v>10.719999999999999</v>
      </c>
      <c r="M20" s="13">
        <f>(C20-H20)/C20*100</f>
        <v>60.4</v>
      </c>
      <c r="N20" s="13">
        <f>100-(M20+O20)</f>
        <v>18.159999999999997</v>
      </c>
      <c r="O20" s="13">
        <f>L20/C20*100</f>
        <v>21.439999999999998</v>
      </c>
      <c r="P20" s="12" t="s">
        <v>3</v>
      </c>
      <c r="Q20" s="11">
        <v>409274.12586999999</v>
      </c>
      <c r="R20" s="11">
        <v>3659139.3532270002</v>
      </c>
      <c r="T20" s="14">
        <v>2011105</v>
      </c>
      <c r="U20" s="14" t="s">
        <v>332</v>
      </c>
      <c r="V20" s="14">
        <v>5.0360000000000002E-2</v>
      </c>
      <c r="W20" s="14">
        <v>0.38096000000000002</v>
      </c>
      <c r="X20" s="14">
        <v>3.2439999999999997E-2</v>
      </c>
      <c r="Y20" s="14">
        <v>1.40415</v>
      </c>
      <c r="Z20" s="14">
        <v>36.320929999999997</v>
      </c>
      <c r="AA20" s="14">
        <v>15.64785</v>
      </c>
      <c r="AB20" s="14">
        <v>-1.23803</v>
      </c>
    </row>
    <row r="21" spans="1:28" x14ac:dyDescent="0.25">
      <c r="A21" s="1"/>
      <c r="T21" s="14">
        <v>2011105</v>
      </c>
      <c r="U21" s="14" t="s">
        <v>331</v>
      </c>
      <c r="V21" s="14">
        <v>5.3339999999999999E-2</v>
      </c>
      <c r="W21" s="14">
        <v>0.38095000000000001</v>
      </c>
      <c r="X21" s="14">
        <v>3.0880000000000001E-2</v>
      </c>
      <c r="Y21" s="14">
        <v>1.38025</v>
      </c>
      <c r="Z21" s="14">
        <v>29.731680000000001</v>
      </c>
      <c r="AA21" s="14">
        <v>13.66996</v>
      </c>
      <c r="AB21" s="14">
        <v>-1.3033399999999999</v>
      </c>
    </row>
    <row r="22" spans="1:28" ht="51.75" x14ac:dyDescent="0.25">
      <c r="A22" s="19" t="s">
        <v>330</v>
      </c>
      <c r="B22" s="22" t="s">
        <v>26</v>
      </c>
      <c r="C22" s="26" t="s">
        <v>25</v>
      </c>
      <c r="D22" s="25" t="s">
        <v>24</v>
      </c>
      <c r="E22" s="24" t="s">
        <v>23</v>
      </c>
      <c r="F22" s="24" t="s">
        <v>22</v>
      </c>
      <c r="G22" s="24" t="s">
        <v>21</v>
      </c>
      <c r="H22" s="24" t="s">
        <v>20</v>
      </c>
      <c r="I22" s="24" t="s">
        <v>19</v>
      </c>
      <c r="J22" s="24" t="s">
        <v>18</v>
      </c>
      <c r="K22" s="24" t="s">
        <v>17</v>
      </c>
      <c r="L22" s="24" t="s">
        <v>16</v>
      </c>
      <c r="M22" s="23" t="s">
        <v>15</v>
      </c>
      <c r="N22" s="23" t="s">
        <v>14</v>
      </c>
      <c r="O22" s="23" t="s">
        <v>13</v>
      </c>
      <c r="P22" s="22" t="s">
        <v>12</v>
      </c>
      <c r="Q22" s="27" t="s">
        <v>11</v>
      </c>
      <c r="R22" s="27"/>
      <c r="T22" s="14">
        <v>2011105</v>
      </c>
      <c r="U22" s="14" t="s">
        <v>329</v>
      </c>
      <c r="V22" s="14">
        <v>4.9520000000000002E-2</v>
      </c>
      <c r="W22" s="14">
        <v>0.38353999999999999</v>
      </c>
      <c r="X22" s="14">
        <v>3.0669999999999999E-2</v>
      </c>
      <c r="Y22" s="14">
        <v>1.3874899999999999</v>
      </c>
      <c r="Z22" s="14">
        <v>32.38673</v>
      </c>
      <c r="AA22" s="14">
        <v>14.61585</v>
      </c>
      <c r="AB22" s="14">
        <v>-1.2253700000000001</v>
      </c>
    </row>
    <row r="23" spans="1:28" x14ac:dyDescent="0.25">
      <c r="A23" s="20"/>
      <c r="B23" s="22"/>
      <c r="C23" s="26"/>
      <c r="D23" s="25"/>
      <c r="E23" s="24"/>
      <c r="F23" s="24"/>
      <c r="G23" s="24"/>
      <c r="H23" s="24"/>
      <c r="I23" s="24"/>
      <c r="J23" s="24"/>
      <c r="K23" s="24"/>
      <c r="L23" s="24"/>
      <c r="M23" s="23"/>
      <c r="N23" s="23"/>
      <c r="O23" s="23"/>
      <c r="P23" s="22"/>
      <c r="Q23" s="21" t="s">
        <v>10</v>
      </c>
      <c r="R23" s="21" t="s">
        <v>9</v>
      </c>
      <c r="T23" s="14">
        <v>2011105</v>
      </c>
      <c r="U23" s="14" t="s">
        <v>328</v>
      </c>
      <c r="V23" s="14">
        <v>5.6250000000000001E-2</v>
      </c>
      <c r="W23" s="14">
        <v>0.38325999999999999</v>
      </c>
      <c r="X23" s="14">
        <v>2.87E-2</v>
      </c>
      <c r="Y23" s="14">
        <v>1.3606499999999999</v>
      </c>
      <c r="Z23" s="14">
        <v>23.54195</v>
      </c>
      <c r="AA23" s="14">
        <v>11.77164</v>
      </c>
      <c r="AB23" s="14">
        <v>-1.3377399999999999</v>
      </c>
    </row>
    <row r="24" spans="1:28" x14ac:dyDescent="0.25">
      <c r="A24" s="20"/>
      <c r="B24" s="14" t="s">
        <v>8</v>
      </c>
      <c r="C24" s="15">
        <v>50</v>
      </c>
      <c r="D24" s="14">
        <v>20</v>
      </c>
      <c r="E24" s="13">
        <v>25</v>
      </c>
      <c r="F24" s="13">
        <f>1.8*E24+32</f>
        <v>77</v>
      </c>
      <c r="G24" s="13">
        <v>16</v>
      </c>
      <c r="H24" s="13">
        <f>IF(F24&gt;68,G24+(F24-68)*0.2,Y237-(68-F24)*0.2)</f>
        <v>17.8</v>
      </c>
      <c r="I24" s="13">
        <v>23</v>
      </c>
      <c r="J24" s="13">
        <f>1.8*I24+32</f>
        <v>73.400000000000006</v>
      </c>
      <c r="K24" s="13">
        <v>7</v>
      </c>
      <c r="L24" s="13">
        <f>IF(J24&gt;68,K24+(J24-68)*0.2,K24-(68-J24)*0.2)</f>
        <v>8.0800000000000018</v>
      </c>
      <c r="M24" s="13">
        <f>(C24-H24)/C24*100</f>
        <v>64.400000000000006</v>
      </c>
      <c r="N24" s="13">
        <f>100-(M24+O24)</f>
        <v>19.439999999999998</v>
      </c>
      <c r="O24" s="13">
        <f>L24/C24*100</f>
        <v>16.160000000000004</v>
      </c>
      <c r="P24" s="12" t="s">
        <v>0</v>
      </c>
      <c r="Q24" s="11">
        <v>409274.04942499998</v>
      </c>
      <c r="R24" s="11">
        <v>3659152.9249049998</v>
      </c>
      <c r="T24" s="14">
        <v>2011105</v>
      </c>
      <c r="U24" s="14" t="s">
        <v>327</v>
      </c>
      <c r="V24" s="14">
        <v>5.9420000000000001E-2</v>
      </c>
      <c r="W24" s="14">
        <v>0.38449</v>
      </c>
      <c r="X24" s="14">
        <v>2.7519999999999999E-2</v>
      </c>
      <c r="Y24" s="14">
        <v>1.3484100000000001</v>
      </c>
      <c r="Z24" s="14">
        <v>19.651859999999999</v>
      </c>
      <c r="AA24" s="14">
        <v>10.546950000000001</v>
      </c>
      <c r="AB24" s="14">
        <v>-1.3813599999999999</v>
      </c>
    </row>
    <row r="25" spans="1:28" x14ac:dyDescent="0.25">
      <c r="A25" s="19" t="s">
        <v>7</v>
      </c>
      <c r="B25" s="14" t="s">
        <v>6</v>
      </c>
      <c r="C25" s="15">
        <v>50</v>
      </c>
      <c r="D25" s="14">
        <v>20</v>
      </c>
      <c r="E25" s="13">
        <v>25</v>
      </c>
      <c r="F25" s="13">
        <f>1.8*E25+32</f>
        <v>77</v>
      </c>
      <c r="G25" s="13">
        <v>14</v>
      </c>
      <c r="H25" s="13">
        <f>IF(F25&gt;68,G25+(F25-68)*0.2,Y238-(68-F25)*0.2)</f>
        <v>15.8</v>
      </c>
      <c r="I25" s="13">
        <v>23</v>
      </c>
      <c r="J25" s="13">
        <f>1.8*I25+32</f>
        <v>73.400000000000006</v>
      </c>
      <c r="K25" s="13">
        <v>8</v>
      </c>
      <c r="L25" s="13">
        <f>IF(J25&gt;68,K25+(J25-68)*0.2,K25-(68-J25)*0.2)</f>
        <v>9.0800000000000018</v>
      </c>
      <c r="M25" s="13">
        <f>(C25-H25)/C25*100</f>
        <v>68.400000000000006</v>
      </c>
      <c r="N25" s="13">
        <f>100-(M25+O25)</f>
        <v>13.439999999999998</v>
      </c>
      <c r="O25" s="13">
        <f>L25/C25*100</f>
        <v>18.160000000000004</v>
      </c>
      <c r="P25" s="12" t="s">
        <v>0</v>
      </c>
      <c r="Q25" s="11">
        <v>409274.04942499998</v>
      </c>
      <c r="R25" s="11">
        <v>3659152.9249049998</v>
      </c>
      <c r="T25" s="14">
        <v>2011105</v>
      </c>
      <c r="U25" s="14" t="s">
        <v>326</v>
      </c>
      <c r="V25" s="14">
        <v>6.8269999999999997E-2</v>
      </c>
      <c r="W25" s="14">
        <v>0.39105000000000001</v>
      </c>
      <c r="X25" s="14">
        <v>2.5180000000000001E-2</v>
      </c>
      <c r="Y25" s="14">
        <v>1.31837</v>
      </c>
      <c r="Z25" s="14">
        <v>12.028180000000001</v>
      </c>
      <c r="AA25" s="14">
        <v>8.1582500000000007</v>
      </c>
      <c r="AB25" s="14">
        <v>-1.5156000000000001</v>
      </c>
    </row>
    <row r="26" spans="1:28" x14ac:dyDescent="0.25">
      <c r="A26" s="18">
        <v>41494</v>
      </c>
      <c r="B26" s="14" t="s">
        <v>5</v>
      </c>
      <c r="C26" s="15">
        <v>50</v>
      </c>
      <c r="D26" s="14">
        <v>20</v>
      </c>
      <c r="E26" s="13">
        <v>25</v>
      </c>
      <c r="F26" s="13">
        <f>1.8*E26+32</f>
        <v>77</v>
      </c>
      <c r="G26" s="13">
        <v>13</v>
      </c>
      <c r="H26" s="13">
        <f>IF(F26&gt;68,G26+(F26-68)*0.2,Y239-(68-F26)*0.2)</f>
        <v>14.8</v>
      </c>
      <c r="I26" s="13">
        <v>23</v>
      </c>
      <c r="J26" s="13">
        <f>1.8*I26+32</f>
        <v>73.400000000000006</v>
      </c>
      <c r="K26" s="13">
        <v>6</v>
      </c>
      <c r="L26" s="13">
        <f>IF(J26&gt;68,K26+(J26-68)*0.2,K26-(68-J26)*0.2)</f>
        <v>7.080000000000001</v>
      </c>
      <c r="M26" s="13">
        <f>(C26-H26)/C26*100</f>
        <v>70.400000000000006</v>
      </c>
      <c r="N26" s="13">
        <f>100-(M26+O26)</f>
        <v>15.439999999999998</v>
      </c>
      <c r="O26" s="13">
        <f>L26/C26*100</f>
        <v>14.160000000000004</v>
      </c>
      <c r="P26" s="12" t="s">
        <v>0</v>
      </c>
      <c r="Q26" s="11">
        <v>409274.04942499998</v>
      </c>
      <c r="R26" s="11">
        <v>3659152.9249049998</v>
      </c>
      <c r="T26" s="14">
        <v>2011105</v>
      </c>
      <c r="U26" s="14" t="s">
        <v>325</v>
      </c>
      <c r="V26" s="14">
        <v>6.0999999999999999E-2</v>
      </c>
      <c r="W26" s="14">
        <v>0.39473000000000003</v>
      </c>
      <c r="X26" s="14">
        <v>1.9740000000000001E-2</v>
      </c>
      <c r="Y26" s="14">
        <v>1.3901399999999999</v>
      </c>
      <c r="Z26" s="14">
        <v>14.69009</v>
      </c>
      <c r="AA26" s="14">
        <v>7.2755599999999996</v>
      </c>
      <c r="AB26" s="14">
        <v>-0.96789000000000003</v>
      </c>
    </row>
    <row r="27" spans="1:28" x14ac:dyDescent="0.25">
      <c r="A27" s="17"/>
      <c r="B27" s="14" t="s">
        <v>4</v>
      </c>
      <c r="C27" s="15">
        <v>50</v>
      </c>
      <c r="D27" s="14">
        <v>20</v>
      </c>
      <c r="E27" s="13">
        <v>25</v>
      </c>
      <c r="F27" s="13">
        <f>1.8*E27+32</f>
        <v>77</v>
      </c>
      <c r="G27" s="13">
        <v>14</v>
      </c>
      <c r="H27" s="13">
        <f>IF(F27&gt;68,G27+(F27-68)*0.2,Y240-(68-F27)*0.2)</f>
        <v>15.8</v>
      </c>
      <c r="I27" s="13">
        <v>23</v>
      </c>
      <c r="J27" s="13">
        <f>1.8*I27+32</f>
        <v>73.400000000000006</v>
      </c>
      <c r="K27" s="13">
        <v>7</v>
      </c>
      <c r="L27" s="13">
        <f>IF(J27&gt;68,K27+(J27-68)*0.2,K27-(68-J27)*0.2)</f>
        <v>8.0800000000000018</v>
      </c>
      <c r="M27" s="13">
        <f>(C27-H27)/C27*100</f>
        <v>68.400000000000006</v>
      </c>
      <c r="N27" s="13">
        <f>100-(M27+O27)</f>
        <v>15.439999999999998</v>
      </c>
      <c r="O27" s="13">
        <f>L27/C27*100</f>
        <v>16.160000000000004</v>
      </c>
      <c r="P27" s="12" t="s">
        <v>0</v>
      </c>
      <c r="Q27" s="11">
        <v>409274.04942499998</v>
      </c>
      <c r="R27" s="11">
        <v>3659152.9249049998</v>
      </c>
      <c r="T27" s="14">
        <v>2011105</v>
      </c>
      <c r="U27" s="14" t="s">
        <v>324</v>
      </c>
      <c r="V27" s="14">
        <v>8.3330000000000001E-2</v>
      </c>
      <c r="W27" s="14">
        <v>0.42452000000000001</v>
      </c>
      <c r="X27" s="14">
        <v>2.1530000000000001E-2</v>
      </c>
      <c r="Y27" s="14">
        <v>1.2856099999999999</v>
      </c>
      <c r="Z27" s="14">
        <v>6.08751</v>
      </c>
      <c r="AA27" s="14">
        <v>5.7297599999999997</v>
      </c>
      <c r="AB27" s="14">
        <v>-1.6146799999999999</v>
      </c>
    </row>
    <row r="28" spans="1:28" x14ac:dyDescent="0.25">
      <c r="A28" s="16"/>
      <c r="B28" s="14" t="s">
        <v>2</v>
      </c>
      <c r="C28" s="15">
        <v>50</v>
      </c>
      <c r="D28" s="14">
        <v>20</v>
      </c>
      <c r="E28" s="13">
        <v>25</v>
      </c>
      <c r="F28" s="13">
        <f>1.8*E28+32</f>
        <v>77</v>
      </c>
      <c r="G28" s="13">
        <v>15</v>
      </c>
      <c r="H28" s="13">
        <f>IF(F28&gt;68,G28+(F28-68)*0.2,Y241-(68-F28)*0.2)</f>
        <v>16.8</v>
      </c>
      <c r="I28" s="13">
        <v>23</v>
      </c>
      <c r="J28" s="13">
        <f>1.8*I28+32</f>
        <v>73.400000000000006</v>
      </c>
      <c r="K28" s="13">
        <v>6</v>
      </c>
      <c r="L28" s="13">
        <f>IF(J28&gt;68,K28+(J28-68)*0.2,K28-(68-J28)*0.2)</f>
        <v>7.080000000000001</v>
      </c>
      <c r="M28" s="13">
        <f>(C28-H28)/C28*100</f>
        <v>66.400000000000006</v>
      </c>
      <c r="N28" s="13">
        <f>100-(M28+O28)</f>
        <v>19.439999999999998</v>
      </c>
      <c r="O28" s="13">
        <f>L28/C28*100</f>
        <v>14.160000000000004</v>
      </c>
      <c r="P28" s="12" t="s">
        <v>0</v>
      </c>
      <c r="Q28" s="11">
        <v>409274.04942499998</v>
      </c>
      <c r="R28" s="11">
        <v>3659152.9249049998</v>
      </c>
      <c r="T28" s="14">
        <v>2011105</v>
      </c>
      <c r="U28" s="14" t="s">
        <v>323</v>
      </c>
      <c r="V28" s="14">
        <v>5.4530000000000002E-2</v>
      </c>
      <c r="W28" s="14">
        <v>0.37751000000000001</v>
      </c>
      <c r="X28" s="14">
        <v>3.107E-2</v>
      </c>
      <c r="Y28" s="14">
        <v>1.40263</v>
      </c>
      <c r="Z28" s="14">
        <v>32.489170000000001</v>
      </c>
      <c r="AA28" s="14">
        <v>13.68872</v>
      </c>
      <c r="AB28" s="14">
        <v>-1.26996</v>
      </c>
    </row>
    <row r="29" spans="1:28" x14ac:dyDescent="0.25">
      <c r="A29" s="16"/>
      <c r="B29" s="14" t="s">
        <v>1</v>
      </c>
      <c r="C29" s="15">
        <v>50</v>
      </c>
      <c r="D29" s="14">
        <v>20</v>
      </c>
      <c r="E29" s="13">
        <v>25</v>
      </c>
      <c r="F29" s="13">
        <f>1.8*E29+32</f>
        <v>77</v>
      </c>
      <c r="G29" s="13">
        <v>16</v>
      </c>
      <c r="H29" s="13">
        <f>IF(F29&gt;68,G29+(F29-68)*0.2,W242-(68-F29)*0.2)</f>
        <v>17.8</v>
      </c>
      <c r="I29" s="13">
        <v>23</v>
      </c>
      <c r="J29" s="13">
        <f>1.8*I29+32</f>
        <v>73.400000000000006</v>
      </c>
      <c r="K29" s="13">
        <v>8</v>
      </c>
      <c r="L29" s="13">
        <f>IF(J29&gt;68,K29+(J29-68)*0.2,K29-(68-J29)*0.2)</f>
        <v>9.0800000000000018</v>
      </c>
      <c r="M29" s="13">
        <f>(C29-H29)/C29*100</f>
        <v>64.400000000000006</v>
      </c>
      <c r="N29" s="13">
        <f>100-(M29+O29)</f>
        <v>17.439999999999998</v>
      </c>
      <c r="O29" s="13">
        <f>L29/C29*100</f>
        <v>18.160000000000004</v>
      </c>
      <c r="P29" s="12" t="s">
        <v>0</v>
      </c>
      <c r="Q29" s="11">
        <v>409274.04942499998</v>
      </c>
      <c r="R29" s="11">
        <v>3659152.9249049998</v>
      </c>
      <c r="T29" s="14">
        <v>2011105</v>
      </c>
      <c r="U29" s="14" t="s">
        <v>322</v>
      </c>
      <c r="V29" s="14">
        <v>5.5509999999999997E-2</v>
      </c>
      <c r="W29" s="14">
        <v>0.37563000000000002</v>
      </c>
      <c r="X29" s="14">
        <v>3.0460000000000001E-2</v>
      </c>
      <c r="Y29" s="14">
        <v>1.4216599999999999</v>
      </c>
      <c r="Z29" s="14">
        <v>33.909280000000003</v>
      </c>
      <c r="AA29" s="14">
        <v>13.315860000000001</v>
      </c>
      <c r="AB29" s="14">
        <v>-1.22906</v>
      </c>
    </row>
    <row r="30" spans="1:28" x14ac:dyDescent="0.25">
      <c r="A30" s="1"/>
      <c r="T30" s="14">
        <v>2011105</v>
      </c>
      <c r="U30" s="14" t="s">
        <v>321</v>
      </c>
      <c r="V30" s="14">
        <v>5.5350000000000003E-2</v>
      </c>
      <c r="W30" s="14">
        <v>0.38783000000000001</v>
      </c>
      <c r="X30" s="14">
        <v>2.4850000000000001E-2</v>
      </c>
      <c r="Y30" s="14">
        <v>1.3754900000000001</v>
      </c>
      <c r="Z30" s="14">
        <v>21.569489999999998</v>
      </c>
      <c r="AA30" s="14">
        <v>10.286490000000001</v>
      </c>
      <c r="AB30" s="14">
        <v>-1.15096</v>
      </c>
    </row>
    <row r="31" spans="1:28" ht="51.75" x14ac:dyDescent="0.25">
      <c r="A31" s="19" t="s">
        <v>320</v>
      </c>
      <c r="B31" s="22" t="s">
        <v>26</v>
      </c>
      <c r="C31" s="26" t="s">
        <v>25</v>
      </c>
      <c r="D31" s="25" t="s">
        <v>24</v>
      </c>
      <c r="E31" s="24" t="s">
        <v>23</v>
      </c>
      <c r="F31" s="24" t="s">
        <v>22</v>
      </c>
      <c r="G31" s="24" t="s">
        <v>21</v>
      </c>
      <c r="H31" s="24" t="s">
        <v>20</v>
      </c>
      <c r="I31" s="24" t="s">
        <v>19</v>
      </c>
      <c r="J31" s="24" t="s">
        <v>18</v>
      </c>
      <c r="K31" s="24" t="s">
        <v>17</v>
      </c>
      <c r="L31" s="24" t="s">
        <v>16</v>
      </c>
      <c r="M31" s="23" t="s">
        <v>15</v>
      </c>
      <c r="N31" s="23" t="s">
        <v>14</v>
      </c>
      <c r="O31" s="23" t="s">
        <v>13</v>
      </c>
      <c r="P31" s="22" t="s">
        <v>12</v>
      </c>
      <c r="Q31" s="27" t="s">
        <v>11</v>
      </c>
      <c r="R31" s="27"/>
      <c r="T31" s="14">
        <v>2011105</v>
      </c>
      <c r="U31" s="14" t="s">
        <v>319</v>
      </c>
      <c r="V31" s="14">
        <v>6.5670000000000006E-2</v>
      </c>
      <c r="W31" s="14">
        <v>0.39534999999999998</v>
      </c>
      <c r="X31" s="14">
        <v>2.1930000000000002E-2</v>
      </c>
      <c r="Y31" s="14">
        <v>1.3582799999999999</v>
      </c>
      <c r="Z31" s="14">
        <v>12.52885</v>
      </c>
      <c r="AA31" s="14">
        <v>7.5568499999999998</v>
      </c>
      <c r="AB31" s="14">
        <v>-1.1897</v>
      </c>
    </row>
    <row r="32" spans="1:28" x14ac:dyDescent="0.25">
      <c r="A32" s="20"/>
      <c r="B32" s="22"/>
      <c r="C32" s="26"/>
      <c r="D32" s="25"/>
      <c r="E32" s="24"/>
      <c r="F32" s="24"/>
      <c r="G32" s="24"/>
      <c r="H32" s="24"/>
      <c r="I32" s="24"/>
      <c r="J32" s="24"/>
      <c r="K32" s="24"/>
      <c r="L32" s="24"/>
      <c r="M32" s="23"/>
      <c r="N32" s="23"/>
      <c r="O32" s="23"/>
      <c r="P32" s="22"/>
      <c r="Q32" s="21" t="s">
        <v>10</v>
      </c>
      <c r="R32" s="21" t="s">
        <v>9</v>
      </c>
      <c r="T32" s="14">
        <v>2011105</v>
      </c>
      <c r="U32" s="14" t="s">
        <v>318</v>
      </c>
      <c r="V32" s="14">
        <v>7.034E-2</v>
      </c>
      <c r="W32" s="14">
        <v>0.40755999999999998</v>
      </c>
      <c r="X32" s="14">
        <v>1.6590000000000001E-2</v>
      </c>
      <c r="Y32" s="14">
        <v>1.3926700000000001</v>
      </c>
      <c r="Z32" s="14">
        <v>8.2537099999999999</v>
      </c>
      <c r="AA32" s="14">
        <v>5.2181199999999999</v>
      </c>
      <c r="AB32" s="14">
        <v>-0.87526999999999999</v>
      </c>
    </row>
    <row r="33" spans="1:28" x14ac:dyDescent="0.25">
      <c r="A33" s="20"/>
      <c r="B33" s="14" t="s">
        <v>8</v>
      </c>
      <c r="C33" s="15">
        <v>50</v>
      </c>
      <c r="D33" s="14">
        <v>20</v>
      </c>
      <c r="E33" s="13">
        <v>25</v>
      </c>
      <c r="F33" s="13">
        <f>1.8*E33+32</f>
        <v>77</v>
      </c>
      <c r="G33" s="13">
        <v>17</v>
      </c>
      <c r="H33" s="13">
        <f>IF(F33&gt;68,G33+(F33-68)*0.2,#REF!-(68-F33)*0.2)</f>
        <v>18.8</v>
      </c>
      <c r="I33" s="13">
        <v>23</v>
      </c>
      <c r="J33" s="13">
        <f>1.8*I33+32</f>
        <v>73.400000000000006</v>
      </c>
      <c r="K33" s="13">
        <v>9</v>
      </c>
      <c r="L33" s="13">
        <f>IF(J33&gt;68,K33+(J33-68)*0.2,K33-(68-J33)*0.2)</f>
        <v>10.080000000000002</v>
      </c>
      <c r="M33" s="13">
        <f>(C33-H33)/C33*100</f>
        <v>62.4</v>
      </c>
      <c r="N33" s="13">
        <f>100-(M33+O33)</f>
        <v>17.439999999999998</v>
      </c>
      <c r="O33" s="13">
        <f>L33/C33*100</f>
        <v>20.160000000000004</v>
      </c>
      <c r="P33" s="12" t="s">
        <v>3</v>
      </c>
      <c r="Q33" s="11">
        <v>409274.05656499998</v>
      </c>
      <c r="R33" s="11">
        <v>3659162.0104950001</v>
      </c>
      <c r="T33" s="14">
        <v>2011105</v>
      </c>
      <c r="U33" s="14" t="s">
        <v>317</v>
      </c>
      <c r="V33" s="14">
        <v>7.2419999999999998E-2</v>
      </c>
      <c r="W33" s="14">
        <v>0.40690999999999999</v>
      </c>
      <c r="X33" s="14">
        <v>1.881E-2</v>
      </c>
      <c r="Y33" s="14">
        <v>1.3621000000000001</v>
      </c>
      <c r="Z33" s="14">
        <v>8.04087</v>
      </c>
      <c r="AA33" s="14">
        <v>5.8067200000000003</v>
      </c>
      <c r="AB33" s="14">
        <v>-1.0802799999999999</v>
      </c>
    </row>
    <row r="34" spans="1:28" x14ac:dyDescent="0.25">
      <c r="A34" s="19" t="s">
        <v>7</v>
      </c>
      <c r="B34" s="14" t="s">
        <v>6</v>
      </c>
      <c r="C34" s="15">
        <v>50</v>
      </c>
      <c r="D34" s="14">
        <v>20</v>
      </c>
      <c r="E34" s="13">
        <v>25</v>
      </c>
      <c r="F34" s="13">
        <f>1.8*E34+32</f>
        <v>77</v>
      </c>
      <c r="G34" s="13">
        <v>20</v>
      </c>
      <c r="H34" s="13">
        <f>IF(F34&gt;68,G34+(F34-68)*0.2,#REF!-(68-F34)*0.2)</f>
        <v>21.8</v>
      </c>
      <c r="I34" s="13">
        <v>23</v>
      </c>
      <c r="J34" s="13">
        <f>1.8*I34+32</f>
        <v>73.400000000000006</v>
      </c>
      <c r="K34" s="13">
        <v>12</v>
      </c>
      <c r="L34" s="13">
        <f>IF(J34&gt;68,K34+(J34-68)*0.2,K34-(68-J34)*0.2)</f>
        <v>13.080000000000002</v>
      </c>
      <c r="M34" s="13">
        <f>(C34-H34)/C34*100</f>
        <v>56.399999999999991</v>
      </c>
      <c r="N34" s="13">
        <f>100-(M34+O34)</f>
        <v>17.439999999999998</v>
      </c>
      <c r="O34" s="13">
        <f>L34/C34*100</f>
        <v>26.160000000000004</v>
      </c>
      <c r="P34" s="12" t="s">
        <v>3</v>
      </c>
      <c r="Q34" s="11">
        <v>409274.05656499998</v>
      </c>
      <c r="R34" s="11">
        <v>3659162.0104950001</v>
      </c>
      <c r="T34" s="14">
        <v>2011105</v>
      </c>
      <c r="U34" s="14" t="s">
        <v>316</v>
      </c>
      <c r="V34" s="14">
        <v>6.0580000000000002E-2</v>
      </c>
      <c r="W34" s="14">
        <v>0.39273000000000002</v>
      </c>
      <c r="X34" s="14">
        <v>2.155E-2</v>
      </c>
      <c r="Y34" s="14">
        <v>1.37818</v>
      </c>
      <c r="Z34" s="14">
        <v>15.755240000000001</v>
      </c>
      <c r="AA34" s="14">
        <v>8.0661500000000004</v>
      </c>
      <c r="AB34" s="14">
        <v>-1.07067</v>
      </c>
    </row>
    <row r="35" spans="1:28" x14ac:dyDescent="0.25">
      <c r="A35" s="18">
        <v>41494</v>
      </c>
      <c r="B35" s="14" t="s">
        <v>5</v>
      </c>
      <c r="C35" s="15">
        <v>50</v>
      </c>
      <c r="D35" s="14">
        <v>20</v>
      </c>
      <c r="E35" s="13">
        <v>25</v>
      </c>
      <c r="F35" s="13">
        <f>1.8*E35+32</f>
        <v>77</v>
      </c>
      <c r="G35" s="13">
        <v>22</v>
      </c>
      <c r="H35" s="13">
        <f>IF(F35&gt;68,G35+(F35-68)*0.2,W246-(68-F35)*0.2)</f>
        <v>23.8</v>
      </c>
      <c r="I35" s="13">
        <v>23</v>
      </c>
      <c r="J35" s="13">
        <f>1.8*I35+32</f>
        <v>73.400000000000006</v>
      </c>
      <c r="K35" s="13">
        <v>9</v>
      </c>
      <c r="L35" s="13">
        <f>IF(J35&gt;68,K35+(J35-68)*0.2,K35-(68-J35)*0.2)</f>
        <v>10.080000000000002</v>
      </c>
      <c r="M35" s="13">
        <f>(C35-H35)/C35*100</f>
        <v>52.400000000000006</v>
      </c>
      <c r="N35" s="13">
        <f>100-(M35+O35)</f>
        <v>27.439999999999998</v>
      </c>
      <c r="O35" s="13">
        <f>L35/C35*100</f>
        <v>20.160000000000004</v>
      </c>
      <c r="P35" s="12" t="s">
        <v>3</v>
      </c>
      <c r="Q35" s="11">
        <v>409274.05656499998</v>
      </c>
      <c r="R35" s="11">
        <v>3659162.0104950001</v>
      </c>
      <c r="T35" s="14">
        <v>2011105</v>
      </c>
      <c r="U35" s="14" t="s">
        <v>315</v>
      </c>
      <c r="V35" s="14">
        <v>5.935E-2</v>
      </c>
      <c r="W35" s="14">
        <v>0.38235999999999998</v>
      </c>
      <c r="X35" s="14">
        <v>2.8400000000000002E-2</v>
      </c>
      <c r="Y35" s="14">
        <v>1.34612</v>
      </c>
      <c r="Z35" s="14">
        <v>20.374829999999999</v>
      </c>
      <c r="AA35" s="14">
        <v>10.85848</v>
      </c>
      <c r="AB35" s="14">
        <v>-1.4228499999999999</v>
      </c>
    </row>
    <row r="36" spans="1:28" x14ac:dyDescent="0.25">
      <c r="A36" s="17"/>
      <c r="B36" s="14" t="s">
        <v>4</v>
      </c>
      <c r="C36" s="15">
        <v>50</v>
      </c>
      <c r="D36" s="14">
        <v>20</v>
      </c>
      <c r="E36" s="13">
        <v>25</v>
      </c>
      <c r="F36" s="13">
        <f>1.8*E36+32</f>
        <v>77</v>
      </c>
      <c r="G36" s="13">
        <v>28</v>
      </c>
      <c r="H36" s="13">
        <f>IF(F36&gt;68,G36+(F36-68)*0.2,W247-(68-F36)*0.2)</f>
        <v>29.8</v>
      </c>
      <c r="I36" s="13">
        <v>23</v>
      </c>
      <c r="J36" s="13">
        <f>1.8*I36+32</f>
        <v>73.400000000000006</v>
      </c>
      <c r="K36" s="13">
        <v>18</v>
      </c>
      <c r="L36" s="13">
        <f>IF(J36&gt;68,K36+(J36-68)*0.2,K36-(68-J36)*0.2)</f>
        <v>19.080000000000002</v>
      </c>
      <c r="M36" s="13">
        <f>(C36-H36)/C36*100</f>
        <v>40.4</v>
      </c>
      <c r="N36" s="13">
        <f>100-(M36+O36)</f>
        <v>21.439999999999998</v>
      </c>
      <c r="O36" s="13">
        <f>L36/C36*100</f>
        <v>38.160000000000004</v>
      </c>
      <c r="P36" s="12" t="s">
        <v>30</v>
      </c>
      <c r="Q36" s="11">
        <v>409274.05656499998</v>
      </c>
      <c r="R36" s="11">
        <v>3659162.0104950001</v>
      </c>
      <c r="T36" s="14">
        <v>2011105</v>
      </c>
      <c r="U36" s="14" t="s">
        <v>314</v>
      </c>
      <c r="V36" s="14">
        <v>6.6320000000000004E-2</v>
      </c>
      <c r="W36" s="14">
        <v>0.39378999999999997</v>
      </c>
      <c r="X36" s="14">
        <v>2.3210000000000001E-2</v>
      </c>
      <c r="Y36" s="14">
        <v>1.3451200000000001</v>
      </c>
      <c r="Z36" s="14">
        <v>12.559609999999999</v>
      </c>
      <c r="AA36" s="14">
        <v>7.8987600000000002</v>
      </c>
      <c r="AB36" s="14">
        <v>-1.2956399999999999</v>
      </c>
    </row>
    <row r="37" spans="1:28" x14ac:dyDescent="0.25">
      <c r="A37" s="16"/>
      <c r="B37" s="14" t="s">
        <v>2</v>
      </c>
      <c r="C37" s="15">
        <v>50</v>
      </c>
      <c r="D37" s="14">
        <v>20</v>
      </c>
      <c r="E37" s="13">
        <v>25</v>
      </c>
      <c r="F37" s="13">
        <f>1.8*E37+32</f>
        <v>77</v>
      </c>
      <c r="G37" s="13">
        <v>12</v>
      </c>
      <c r="H37" s="13">
        <f>IF(F37&gt;68,G37+(F37-68)*0.2,W248-(68-F37)*0.2)</f>
        <v>13.8</v>
      </c>
      <c r="I37" s="13">
        <v>23</v>
      </c>
      <c r="J37" s="13">
        <f>1.8*I37+32</f>
        <v>73.400000000000006</v>
      </c>
      <c r="K37" s="13">
        <v>7</v>
      </c>
      <c r="L37" s="13">
        <f>IF(J37&gt;68,K37+(J37-68)*0.2,K37-(68-J37)*0.2)</f>
        <v>8.0800000000000018</v>
      </c>
      <c r="M37" s="13">
        <f>(C37-H37)/C37*100</f>
        <v>72.400000000000006</v>
      </c>
      <c r="N37" s="13">
        <f>100-(M37+O37)</f>
        <v>11.439999999999998</v>
      </c>
      <c r="O37" s="13">
        <f>L37/C37*100</f>
        <v>16.160000000000004</v>
      </c>
      <c r="P37" s="12" t="s">
        <v>0</v>
      </c>
      <c r="Q37" s="11">
        <v>409274.05656499998</v>
      </c>
      <c r="R37" s="11">
        <v>3659162.0104950001</v>
      </c>
      <c r="T37" s="14">
        <v>2011105</v>
      </c>
      <c r="U37" s="14" t="s">
        <v>313</v>
      </c>
      <c r="V37" s="14">
        <v>7.46E-2</v>
      </c>
      <c r="W37" s="14">
        <v>0.40465000000000001</v>
      </c>
      <c r="X37" s="14">
        <v>2.1870000000000001E-2</v>
      </c>
      <c r="Y37" s="14">
        <v>1.32124</v>
      </c>
      <c r="Z37" s="14">
        <v>7.9413799999999997</v>
      </c>
      <c r="AA37" s="14">
        <v>6.5184499999999996</v>
      </c>
      <c r="AB37" s="14">
        <v>-1.3955900000000001</v>
      </c>
    </row>
    <row r="38" spans="1:28" x14ac:dyDescent="0.25">
      <c r="A38" s="16"/>
      <c r="B38" s="14" t="s">
        <v>1</v>
      </c>
      <c r="C38" s="15">
        <v>50</v>
      </c>
      <c r="D38" s="14">
        <v>20</v>
      </c>
      <c r="E38" s="13">
        <v>25</v>
      </c>
      <c r="F38" s="13">
        <f>1.8*E38+32</f>
        <v>77</v>
      </c>
      <c r="G38" s="13">
        <v>11</v>
      </c>
      <c r="H38" s="13">
        <f>IF(F38&gt;68,G38+(F38-68)*0.2,W249-(68-F38)*0.2)</f>
        <v>12.8</v>
      </c>
      <c r="I38" s="13">
        <v>23</v>
      </c>
      <c r="J38" s="13">
        <f>1.8*I38+32</f>
        <v>73.400000000000006</v>
      </c>
      <c r="K38" s="13">
        <v>7</v>
      </c>
      <c r="L38" s="13">
        <f>IF(J38&gt;68,K38+(J38-68)*0.2,K38-(68-J38)*0.2)</f>
        <v>8.0800000000000018</v>
      </c>
      <c r="M38" s="13">
        <f>(C38-H38)/C38*100</f>
        <v>74.400000000000006</v>
      </c>
      <c r="N38" s="13">
        <f>100-(M38+O38)</f>
        <v>9.4399999999999977</v>
      </c>
      <c r="O38" s="13">
        <f>L38/C38*100</f>
        <v>16.160000000000004</v>
      </c>
      <c r="P38" s="12" t="s">
        <v>0</v>
      </c>
      <c r="Q38" s="11">
        <v>409274.05656499998</v>
      </c>
      <c r="R38" s="11">
        <v>3659162.0104950001</v>
      </c>
      <c r="T38" s="14">
        <v>2011105</v>
      </c>
      <c r="U38" s="14" t="s">
        <v>312</v>
      </c>
      <c r="V38" s="14">
        <v>5.9420000000000001E-2</v>
      </c>
      <c r="W38" s="14">
        <v>0.38449</v>
      </c>
      <c r="X38" s="14">
        <v>2.7519999999999999E-2</v>
      </c>
      <c r="Y38" s="14">
        <v>1.3484100000000001</v>
      </c>
      <c r="Z38" s="14">
        <v>19.651859999999999</v>
      </c>
      <c r="AA38" s="14">
        <v>10.546950000000001</v>
      </c>
      <c r="AB38" s="14">
        <v>-1.3813599999999999</v>
      </c>
    </row>
    <row r="39" spans="1:28" x14ac:dyDescent="0.25">
      <c r="A39" s="1"/>
      <c r="T39" s="14">
        <v>2011105</v>
      </c>
      <c r="U39" s="14" t="s">
        <v>311</v>
      </c>
      <c r="V39" s="14">
        <v>5.9420000000000001E-2</v>
      </c>
      <c r="W39" s="14">
        <v>0.38449</v>
      </c>
      <c r="X39" s="14">
        <v>2.7519999999999999E-2</v>
      </c>
      <c r="Y39" s="14">
        <v>1.3484100000000001</v>
      </c>
      <c r="Z39" s="14">
        <v>19.651859999999999</v>
      </c>
      <c r="AA39" s="14">
        <v>10.546950000000001</v>
      </c>
      <c r="AB39" s="14">
        <v>-1.3813599999999999</v>
      </c>
    </row>
    <row r="40" spans="1:28" ht="51.75" x14ac:dyDescent="0.25">
      <c r="A40" s="19" t="s">
        <v>310</v>
      </c>
      <c r="B40" s="22" t="s">
        <v>26</v>
      </c>
      <c r="C40" s="26" t="s">
        <v>25</v>
      </c>
      <c r="D40" s="25" t="s">
        <v>24</v>
      </c>
      <c r="E40" s="24" t="s">
        <v>23</v>
      </c>
      <c r="F40" s="24" t="s">
        <v>22</v>
      </c>
      <c r="G40" s="24" t="s">
        <v>21</v>
      </c>
      <c r="H40" s="24" t="s">
        <v>20</v>
      </c>
      <c r="I40" s="24" t="s">
        <v>19</v>
      </c>
      <c r="J40" s="24" t="s">
        <v>18</v>
      </c>
      <c r="K40" s="24" t="s">
        <v>17</v>
      </c>
      <c r="L40" s="24" t="s">
        <v>16</v>
      </c>
      <c r="M40" s="23" t="s">
        <v>15</v>
      </c>
      <c r="N40" s="23" t="s">
        <v>14</v>
      </c>
      <c r="O40" s="23" t="s">
        <v>13</v>
      </c>
      <c r="P40" s="22" t="s">
        <v>12</v>
      </c>
      <c r="Q40" s="27" t="s">
        <v>11</v>
      </c>
      <c r="R40" s="27"/>
      <c r="T40" s="14">
        <v>2011105</v>
      </c>
      <c r="U40" s="14" t="s">
        <v>309</v>
      </c>
      <c r="V40" s="14">
        <v>6.0199999999999997E-2</v>
      </c>
      <c r="W40" s="14">
        <v>0.39071</v>
      </c>
      <c r="X40" s="14">
        <v>2.3290000000000002E-2</v>
      </c>
      <c r="Y40" s="14">
        <v>1.3679300000000001</v>
      </c>
      <c r="Z40" s="14">
        <v>16.803609999999999</v>
      </c>
      <c r="AA40" s="14">
        <v>8.8185099999999998</v>
      </c>
      <c r="AB40" s="14">
        <v>-1.1654199999999999</v>
      </c>
    </row>
    <row r="41" spans="1:28" x14ac:dyDescent="0.25">
      <c r="A41" s="20"/>
      <c r="B41" s="22"/>
      <c r="C41" s="26"/>
      <c r="D41" s="25"/>
      <c r="E41" s="24"/>
      <c r="F41" s="24"/>
      <c r="G41" s="24"/>
      <c r="H41" s="24"/>
      <c r="I41" s="24"/>
      <c r="J41" s="24"/>
      <c r="K41" s="24"/>
      <c r="L41" s="24"/>
      <c r="M41" s="23"/>
      <c r="N41" s="23"/>
      <c r="O41" s="23"/>
      <c r="P41" s="22"/>
      <c r="Q41" s="21" t="s">
        <v>10</v>
      </c>
      <c r="R41" s="21" t="s">
        <v>9</v>
      </c>
      <c r="T41" s="14">
        <v>2011105</v>
      </c>
      <c r="U41" s="14" t="s">
        <v>308</v>
      </c>
      <c r="V41" s="14">
        <v>5.9420000000000001E-2</v>
      </c>
      <c r="W41" s="14">
        <v>0.38449</v>
      </c>
      <c r="X41" s="14">
        <v>2.7519999999999999E-2</v>
      </c>
      <c r="Y41" s="14">
        <v>1.3484100000000001</v>
      </c>
      <c r="Z41" s="14">
        <v>19.651859999999999</v>
      </c>
      <c r="AA41" s="14">
        <v>10.546950000000001</v>
      </c>
      <c r="AB41" s="14">
        <v>-1.3813599999999999</v>
      </c>
    </row>
    <row r="42" spans="1:28" x14ac:dyDescent="0.25">
      <c r="A42" s="20"/>
      <c r="B42" s="14" t="s">
        <v>8</v>
      </c>
      <c r="C42" s="15">
        <v>50</v>
      </c>
      <c r="D42" s="14">
        <v>20</v>
      </c>
      <c r="E42" s="13">
        <v>24</v>
      </c>
      <c r="F42" s="13">
        <f>1.8*E42+32</f>
        <v>75.2</v>
      </c>
      <c r="G42" s="13">
        <v>19</v>
      </c>
      <c r="H42" s="13">
        <f>IF(F42&gt;68,G42+(F42-68)*0.2,W253-(68-F42)*0.2)</f>
        <v>20.440000000000001</v>
      </c>
      <c r="I42" s="13">
        <v>22</v>
      </c>
      <c r="J42" s="13">
        <f>1.8*I42+32</f>
        <v>71.599999999999994</v>
      </c>
      <c r="K42" s="13">
        <v>8</v>
      </c>
      <c r="L42" s="13">
        <f>IF(J42&gt;68,K42+(J42-68)*0.2,K42-(68-J42)*0.2)</f>
        <v>8.7199999999999989</v>
      </c>
      <c r="M42" s="13">
        <f>(C42-H42)/C42*100</f>
        <v>59.12</v>
      </c>
      <c r="N42" s="13">
        <f>100-(M42+O42)</f>
        <v>23.439999999999998</v>
      </c>
      <c r="O42" s="13">
        <f>L42/C42*100</f>
        <v>17.439999999999998</v>
      </c>
      <c r="P42" s="12" t="s">
        <v>0</v>
      </c>
      <c r="Q42" s="11">
        <v>409273.80781299999</v>
      </c>
      <c r="R42" s="11">
        <v>3659171.1231539999</v>
      </c>
      <c r="T42" s="14">
        <v>2011105</v>
      </c>
      <c r="U42" s="14" t="s">
        <v>306</v>
      </c>
      <c r="V42" s="14">
        <v>6.2799999999999995E-2</v>
      </c>
      <c r="W42" s="14">
        <v>0.38861000000000001</v>
      </c>
      <c r="X42" s="14">
        <v>2.537E-2</v>
      </c>
      <c r="Y42" s="14">
        <v>1.3441399999999999</v>
      </c>
      <c r="Z42" s="14">
        <v>15.76939</v>
      </c>
      <c r="AA42" s="14">
        <v>9.1434599999999993</v>
      </c>
      <c r="AB42" s="14">
        <v>-1.35402</v>
      </c>
    </row>
    <row r="43" spans="1:28" x14ac:dyDescent="0.25">
      <c r="A43" s="19" t="s">
        <v>7</v>
      </c>
      <c r="B43" s="14" t="s">
        <v>6</v>
      </c>
      <c r="C43" s="15">
        <v>50</v>
      </c>
      <c r="D43" s="14">
        <v>20</v>
      </c>
      <c r="E43" s="13">
        <v>24</v>
      </c>
      <c r="F43" s="13">
        <f>1.8*E43+32</f>
        <v>75.2</v>
      </c>
      <c r="G43" s="13">
        <v>22</v>
      </c>
      <c r="H43" s="13">
        <f>IF(F43&gt;68,G43+(F43-68)*0.2,W254-(68-F43)*0.2)</f>
        <v>23.44</v>
      </c>
      <c r="I43" s="13">
        <v>22</v>
      </c>
      <c r="J43" s="13">
        <f>1.8*I43+32</f>
        <v>71.599999999999994</v>
      </c>
      <c r="K43" s="13">
        <v>11</v>
      </c>
      <c r="L43" s="13">
        <f>IF(J43&gt;68,K43+(J43-68)*0.2,K43-(68-J43)*0.2)</f>
        <v>11.719999999999999</v>
      </c>
      <c r="M43" s="13">
        <f>(C43-H43)/C43*100</f>
        <v>53.12</v>
      </c>
      <c r="N43" s="13">
        <f>100-(M43+O43)</f>
        <v>23.439999999999998</v>
      </c>
      <c r="O43" s="13">
        <f>L43/C43*100</f>
        <v>23.439999999999998</v>
      </c>
      <c r="P43" s="12" t="s">
        <v>3</v>
      </c>
      <c r="Q43" s="11">
        <v>409273.80781299999</v>
      </c>
      <c r="R43" s="11">
        <v>3659171.1231539999</v>
      </c>
      <c r="T43" s="14">
        <v>2011105</v>
      </c>
      <c r="U43" s="14" t="s">
        <v>305</v>
      </c>
      <c r="V43" s="14">
        <v>7.46E-2</v>
      </c>
      <c r="W43" s="14">
        <v>0.40465000000000001</v>
      </c>
      <c r="X43" s="14">
        <v>2.1870000000000001E-2</v>
      </c>
      <c r="Y43" s="14">
        <v>1.32124</v>
      </c>
      <c r="Z43" s="14">
        <v>7.9413799999999997</v>
      </c>
      <c r="AA43" s="14">
        <v>6.5184499999999996</v>
      </c>
      <c r="AB43" s="14">
        <v>-1.3955900000000001</v>
      </c>
    </row>
    <row r="44" spans="1:28" x14ac:dyDescent="0.25">
      <c r="A44" s="18">
        <v>41493</v>
      </c>
      <c r="B44" s="14" t="s">
        <v>5</v>
      </c>
      <c r="C44" s="15">
        <v>50</v>
      </c>
      <c r="D44" s="14">
        <v>20</v>
      </c>
      <c r="E44" s="13">
        <v>24</v>
      </c>
      <c r="F44" s="13">
        <f>1.8*E44+32</f>
        <v>75.2</v>
      </c>
      <c r="G44" s="13">
        <v>26</v>
      </c>
      <c r="H44" s="13">
        <f>IF(F44&gt;68,G44+(F44-68)*0.2,#REF!-(68-F44)*0.2)</f>
        <v>27.44</v>
      </c>
      <c r="I44" s="13">
        <v>22</v>
      </c>
      <c r="J44" s="13">
        <f>1.8*I44+32</f>
        <v>71.599999999999994</v>
      </c>
      <c r="K44" s="13">
        <v>12</v>
      </c>
      <c r="L44" s="13">
        <f>IF(J44&gt;68,K44+(J44-68)*0.2,K44-(68-J44)*0.2)</f>
        <v>12.719999999999999</v>
      </c>
      <c r="M44" s="13">
        <f>(C44-H44)/C44*100</f>
        <v>45.12</v>
      </c>
      <c r="N44" s="13">
        <f>100-(M44+O44)</f>
        <v>29.439999999999998</v>
      </c>
      <c r="O44" s="13">
        <f>L44/C44*100</f>
        <v>25.439999999999998</v>
      </c>
      <c r="P44" s="12" t="s">
        <v>3</v>
      </c>
      <c r="Q44" s="11">
        <v>409273.80781299999</v>
      </c>
      <c r="R44" s="11">
        <v>3659171.1231539999</v>
      </c>
      <c r="T44" s="14">
        <v>2011105</v>
      </c>
      <c r="U44" s="14" t="s">
        <v>304</v>
      </c>
      <c r="V44" s="14">
        <v>6.3600000000000004E-2</v>
      </c>
      <c r="W44" s="14">
        <v>0.39340000000000003</v>
      </c>
      <c r="X44" s="14">
        <v>2.24E-2</v>
      </c>
      <c r="Y44" s="14">
        <v>1.3622000000000001</v>
      </c>
      <c r="Z44" s="14">
        <v>14.028840000000001</v>
      </c>
      <c r="AA44" s="14">
        <v>7.9947900000000001</v>
      </c>
      <c r="AB44" s="14">
        <v>-1.1791100000000001</v>
      </c>
    </row>
    <row r="45" spans="1:28" x14ac:dyDescent="0.25">
      <c r="A45" s="17"/>
      <c r="B45" s="14" t="s">
        <v>4</v>
      </c>
      <c r="C45" s="15">
        <v>50</v>
      </c>
      <c r="D45" s="14">
        <v>20</v>
      </c>
      <c r="E45" s="13">
        <v>25</v>
      </c>
      <c r="F45" s="13">
        <f>1.8*E45+32</f>
        <v>77</v>
      </c>
      <c r="G45" s="13">
        <v>25</v>
      </c>
      <c r="H45" s="13">
        <f>IF(F45&gt;68,G45+(F45-68)*0.2,#REF!-(68-F45)*0.2)</f>
        <v>26.8</v>
      </c>
      <c r="I45" s="13">
        <v>22</v>
      </c>
      <c r="J45" s="13">
        <f>1.8*I45+32</f>
        <v>71.599999999999994</v>
      </c>
      <c r="K45" s="13">
        <v>13</v>
      </c>
      <c r="L45" s="13">
        <f>IF(J45&gt;68,K45+(J45-68)*0.2,K45-(68-J45)*0.2)</f>
        <v>13.719999999999999</v>
      </c>
      <c r="M45" s="13">
        <f>(C45-H45)/C45*100</f>
        <v>46.4</v>
      </c>
      <c r="N45" s="13">
        <f>100-(M45+O45)</f>
        <v>26.159999999999997</v>
      </c>
      <c r="O45" s="13">
        <f>L45/C45*100</f>
        <v>27.439999999999998</v>
      </c>
      <c r="P45" s="12" t="s">
        <v>3</v>
      </c>
      <c r="Q45" s="11">
        <v>409273.80781299999</v>
      </c>
      <c r="R45" s="11">
        <v>3659171.1231539999</v>
      </c>
      <c r="T45" s="14">
        <v>2011105</v>
      </c>
      <c r="U45" s="14" t="s">
        <v>303</v>
      </c>
      <c r="V45" s="14">
        <v>7.2029999999999997E-2</v>
      </c>
      <c r="W45" s="14">
        <v>0.40061999999999998</v>
      </c>
      <c r="X45" s="14">
        <v>2.2190000000000001E-2</v>
      </c>
      <c r="Y45" s="14">
        <v>1.32961</v>
      </c>
      <c r="Z45" s="14">
        <v>9.1287400000000005</v>
      </c>
      <c r="AA45" s="14">
        <v>6.8758800000000004</v>
      </c>
      <c r="AB45" s="14">
        <v>-1.3568100000000001</v>
      </c>
    </row>
    <row r="46" spans="1:28" x14ac:dyDescent="0.25">
      <c r="A46" s="16"/>
      <c r="B46" s="14" t="s">
        <v>2</v>
      </c>
      <c r="C46" s="15">
        <v>50</v>
      </c>
      <c r="D46" s="14">
        <v>20</v>
      </c>
      <c r="E46" s="13">
        <v>25</v>
      </c>
      <c r="F46" s="13">
        <f>1.8*E46+32</f>
        <v>77</v>
      </c>
      <c r="G46" s="13">
        <v>21</v>
      </c>
      <c r="H46" s="13">
        <f>IF(F46&gt;68,G46+(F46-68)*0.2,W255-(68-F46)*0.2)</f>
        <v>22.8</v>
      </c>
      <c r="I46" s="13">
        <v>23</v>
      </c>
      <c r="J46" s="13">
        <f>1.8*I46+32</f>
        <v>73.400000000000006</v>
      </c>
      <c r="K46" s="13">
        <v>9</v>
      </c>
      <c r="L46" s="13">
        <f>IF(J46&gt;68,K46+(J46-68)*0.2,K46-(68-J46)*0.2)</f>
        <v>10.080000000000002</v>
      </c>
      <c r="M46" s="13">
        <f>(C46-H46)/C46*100</f>
        <v>54.400000000000006</v>
      </c>
      <c r="N46" s="13">
        <f>100-(M46+O46)</f>
        <v>25.439999999999998</v>
      </c>
      <c r="O46" s="13">
        <f>L46/C46*100</f>
        <v>20.160000000000004</v>
      </c>
      <c r="P46" s="12" t="s">
        <v>3</v>
      </c>
      <c r="Q46" s="11">
        <v>409273.80781299999</v>
      </c>
      <c r="R46" s="11">
        <v>3659171.1231539999</v>
      </c>
      <c r="T46" s="14">
        <v>2011105</v>
      </c>
      <c r="U46" s="14" t="s">
        <v>302</v>
      </c>
      <c r="V46" s="14">
        <v>5.9420000000000001E-2</v>
      </c>
      <c r="W46" s="14">
        <v>0.38449</v>
      </c>
      <c r="X46" s="14">
        <v>2.7519999999999999E-2</v>
      </c>
      <c r="Y46" s="14">
        <v>1.3484100000000001</v>
      </c>
      <c r="Z46" s="14">
        <v>19.651859999999999</v>
      </c>
      <c r="AA46" s="14">
        <v>10.546950000000001</v>
      </c>
      <c r="AB46" s="14">
        <v>-1.3813599999999999</v>
      </c>
    </row>
    <row r="47" spans="1:28" x14ac:dyDescent="0.25">
      <c r="A47" s="16"/>
      <c r="B47" s="14" t="s">
        <v>1</v>
      </c>
      <c r="C47" s="15">
        <v>50</v>
      </c>
      <c r="D47" s="14">
        <v>20</v>
      </c>
      <c r="E47" s="13">
        <v>25</v>
      </c>
      <c r="F47" s="13">
        <f>1.8*E47+32</f>
        <v>77</v>
      </c>
      <c r="G47" s="13">
        <v>16</v>
      </c>
      <c r="H47" s="13">
        <f>IF(F47&gt;68,G47+(F47-68)*0.2,W256-(68-F47)*0.2)</f>
        <v>17.8</v>
      </c>
      <c r="I47" s="13">
        <v>23</v>
      </c>
      <c r="J47" s="13">
        <f>1.8*I47+32</f>
        <v>73.400000000000006</v>
      </c>
      <c r="K47" s="13">
        <v>9</v>
      </c>
      <c r="L47" s="13">
        <f>IF(J47&gt;68,K47+(J47-68)*0.2,K47-(68-J47)*0.2)</f>
        <v>10.080000000000002</v>
      </c>
      <c r="M47" s="13">
        <f>(C47-H47)/C47*100</f>
        <v>64.400000000000006</v>
      </c>
      <c r="N47" s="13">
        <f>100-(M47+O47)</f>
        <v>15.439999999999998</v>
      </c>
      <c r="O47" s="13">
        <f>L47/C47*100</f>
        <v>20.160000000000004</v>
      </c>
      <c r="P47" s="12" t="s">
        <v>3</v>
      </c>
      <c r="Q47" s="11">
        <v>409273.80781299999</v>
      </c>
      <c r="R47" s="11">
        <v>3659171.1231539999</v>
      </c>
      <c r="T47" s="14">
        <v>2011105</v>
      </c>
      <c r="U47" s="14" t="s">
        <v>301</v>
      </c>
      <c r="V47" s="14">
        <v>5.0360000000000002E-2</v>
      </c>
      <c r="W47" s="14">
        <v>0.38096000000000002</v>
      </c>
      <c r="X47" s="14">
        <v>3.2439999999999997E-2</v>
      </c>
      <c r="Y47" s="14">
        <v>1.40415</v>
      </c>
      <c r="Z47" s="14">
        <v>36.320929999999997</v>
      </c>
      <c r="AA47" s="14">
        <v>15.64785</v>
      </c>
      <c r="AB47" s="14">
        <v>-1.23803</v>
      </c>
    </row>
    <row r="48" spans="1:28" x14ac:dyDescent="0.25">
      <c r="A48" s="1"/>
      <c r="T48" s="14">
        <v>2011105</v>
      </c>
      <c r="U48" s="14" t="s">
        <v>300</v>
      </c>
      <c r="V48" s="14">
        <v>5.9360000000000003E-2</v>
      </c>
      <c r="W48" s="14">
        <v>0.38296000000000002</v>
      </c>
      <c r="X48" s="14">
        <v>2.819E-2</v>
      </c>
      <c r="Y48" s="14">
        <v>1.3465199999999999</v>
      </c>
      <c r="Z48" s="14">
        <v>20.189820000000001</v>
      </c>
      <c r="AA48" s="14">
        <v>10.78744</v>
      </c>
      <c r="AB48" s="14">
        <v>-1.41306</v>
      </c>
    </row>
    <row r="49" spans="1:28" ht="51.75" x14ac:dyDescent="0.25">
      <c r="A49" s="19" t="s">
        <v>299</v>
      </c>
      <c r="B49" s="22" t="s">
        <v>26</v>
      </c>
      <c r="C49" s="26" t="s">
        <v>25</v>
      </c>
      <c r="D49" s="25" t="s">
        <v>24</v>
      </c>
      <c r="E49" s="24" t="s">
        <v>23</v>
      </c>
      <c r="F49" s="24" t="s">
        <v>22</v>
      </c>
      <c r="G49" s="24" t="s">
        <v>21</v>
      </c>
      <c r="H49" s="24" t="s">
        <v>20</v>
      </c>
      <c r="I49" s="24" t="s">
        <v>19</v>
      </c>
      <c r="J49" s="24" t="s">
        <v>18</v>
      </c>
      <c r="K49" s="24" t="s">
        <v>17</v>
      </c>
      <c r="L49" s="24" t="s">
        <v>16</v>
      </c>
      <c r="M49" s="23" t="s">
        <v>15</v>
      </c>
      <c r="N49" s="23" t="s">
        <v>14</v>
      </c>
      <c r="O49" s="23" t="s">
        <v>13</v>
      </c>
      <c r="P49" s="22" t="s">
        <v>12</v>
      </c>
      <c r="Q49" s="27" t="s">
        <v>11</v>
      </c>
      <c r="R49" s="27"/>
      <c r="T49" s="14">
        <v>2011105</v>
      </c>
      <c r="U49" s="14" t="s">
        <v>298</v>
      </c>
      <c r="V49" s="14">
        <v>6.1670000000000003E-2</v>
      </c>
      <c r="W49" s="14">
        <v>0.38783000000000001</v>
      </c>
      <c r="X49" s="14">
        <v>2.5690000000000001E-2</v>
      </c>
      <c r="Y49" s="14">
        <v>1.34724</v>
      </c>
      <c r="Z49" s="14">
        <v>16.783799999999999</v>
      </c>
      <c r="AA49" s="14">
        <v>9.4592399999999994</v>
      </c>
      <c r="AB49" s="14">
        <v>-1.3427100000000001</v>
      </c>
    </row>
    <row r="50" spans="1:28" x14ac:dyDescent="0.25">
      <c r="A50" s="20"/>
      <c r="B50" s="22"/>
      <c r="C50" s="26"/>
      <c r="D50" s="25"/>
      <c r="E50" s="24"/>
      <c r="F50" s="24"/>
      <c r="G50" s="24"/>
      <c r="H50" s="24"/>
      <c r="I50" s="24"/>
      <c r="J50" s="24"/>
      <c r="K50" s="24"/>
      <c r="L50" s="24"/>
      <c r="M50" s="23"/>
      <c r="N50" s="23"/>
      <c r="O50" s="23"/>
      <c r="P50" s="22"/>
      <c r="Q50" s="21" t="s">
        <v>10</v>
      </c>
      <c r="R50" s="21" t="s">
        <v>9</v>
      </c>
      <c r="T50" s="14">
        <v>2011105</v>
      </c>
      <c r="U50" s="14" t="s">
        <v>297</v>
      </c>
      <c r="V50" s="14">
        <v>6.4130000000000006E-2</v>
      </c>
      <c r="W50" s="14">
        <v>0.38496999999999998</v>
      </c>
      <c r="X50" s="14">
        <v>2.6970000000000001E-2</v>
      </c>
      <c r="Y50" s="14">
        <v>1.3254999999999999</v>
      </c>
      <c r="Z50" s="14">
        <v>15.441750000000001</v>
      </c>
      <c r="AA50" s="14">
        <v>9.3327799999999996</v>
      </c>
      <c r="AB50" s="14">
        <v>-1.5162800000000001</v>
      </c>
    </row>
    <row r="51" spans="1:28" x14ac:dyDescent="0.25">
      <c r="A51" s="20"/>
      <c r="B51" s="14" t="s">
        <v>8</v>
      </c>
      <c r="C51" s="15">
        <v>50</v>
      </c>
      <c r="D51" s="14">
        <v>20</v>
      </c>
      <c r="E51" s="13">
        <v>25</v>
      </c>
      <c r="F51" s="13">
        <f>1.8*E51+32</f>
        <v>77</v>
      </c>
      <c r="G51" s="13">
        <v>21</v>
      </c>
      <c r="H51" s="13">
        <f>IF(F51&gt;68,G51+(F51-68)*0.2,W260-(68-F51)*0.2)</f>
        <v>22.8</v>
      </c>
      <c r="I51" s="13">
        <v>23</v>
      </c>
      <c r="J51" s="13">
        <f>1.8*I51+32</f>
        <v>73.400000000000006</v>
      </c>
      <c r="K51" s="13">
        <v>11</v>
      </c>
      <c r="L51" s="13">
        <f>IF(J51&gt;68,K51+(J51-68)*0.2,K51-(68-J51)*0.2)</f>
        <v>12.080000000000002</v>
      </c>
      <c r="M51" s="13">
        <f>(C51-H51)/C51*100</f>
        <v>54.400000000000006</v>
      </c>
      <c r="N51" s="13">
        <f>100-(M51+O51)</f>
        <v>21.439999999999998</v>
      </c>
      <c r="O51" s="13">
        <f>L51/C51*100</f>
        <v>24.160000000000004</v>
      </c>
      <c r="P51" s="12" t="s">
        <v>3</v>
      </c>
      <c r="Q51" s="11">
        <v>409282.03901000001</v>
      </c>
      <c r="R51" s="11">
        <v>3659171.091333</v>
      </c>
      <c r="T51" s="14">
        <v>2011105</v>
      </c>
      <c r="U51" s="14" t="s">
        <v>296</v>
      </c>
      <c r="V51" s="14">
        <v>5.5160000000000001E-2</v>
      </c>
      <c r="W51" s="14">
        <v>0.38625999999999999</v>
      </c>
      <c r="X51" s="14">
        <v>2.6540000000000001E-2</v>
      </c>
      <c r="Y51" s="14">
        <v>1.36972</v>
      </c>
      <c r="Z51" s="14">
        <v>22.820679999999999</v>
      </c>
      <c r="AA51" s="14">
        <v>11.083449999999999</v>
      </c>
      <c r="AB51" s="14">
        <v>-1.22363</v>
      </c>
    </row>
    <row r="52" spans="1:28" x14ac:dyDescent="0.25">
      <c r="A52" s="19" t="s">
        <v>7</v>
      </c>
      <c r="B52" s="14" t="s">
        <v>6</v>
      </c>
      <c r="C52" s="15">
        <v>50</v>
      </c>
      <c r="D52" s="14">
        <v>20</v>
      </c>
      <c r="E52" s="13">
        <v>25</v>
      </c>
      <c r="F52" s="13">
        <f>1.8*E52+32</f>
        <v>77</v>
      </c>
      <c r="G52" s="13">
        <v>24</v>
      </c>
      <c r="H52" s="13">
        <f>IF(F52&gt;68,G52+(F52-68)*0.2,W261-(68-F52)*0.2)</f>
        <v>25.8</v>
      </c>
      <c r="I52" s="13">
        <v>23</v>
      </c>
      <c r="J52" s="13">
        <f>1.8*I52+32</f>
        <v>73.400000000000006</v>
      </c>
      <c r="K52" s="13">
        <v>14</v>
      </c>
      <c r="L52" s="13">
        <f>IF(J52&gt;68,K52+(J52-68)*0.2,K52-(68-J52)*0.2)</f>
        <v>15.080000000000002</v>
      </c>
      <c r="M52" s="13">
        <f>(C52-H52)/C52*100</f>
        <v>48.4</v>
      </c>
      <c r="N52" s="13">
        <f>100-(M52+O52)</f>
        <v>21.439999999999998</v>
      </c>
      <c r="O52" s="13">
        <f>L52/C52*100</f>
        <v>30.160000000000004</v>
      </c>
      <c r="P52" s="12" t="s">
        <v>3</v>
      </c>
      <c r="Q52" s="11">
        <v>409282.03901000001</v>
      </c>
      <c r="R52" s="11">
        <v>3659171.091333</v>
      </c>
      <c r="T52" s="14">
        <v>2011105</v>
      </c>
      <c r="U52" s="14" t="s">
        <v>295</v>
      </c>
      <c r="V52" s="14">
        <v>6.3950000000000007E-2</v>
      </c>
      <c r="W52" s="14">
        <v>0.38240000000000002</v>
      </c>
      <c r="X52" s="14">
        <v>2.7609999999999999E-2</v>
      </c>
      <c r="Y52" s="14">
        <v>1.3215600000000001</v>
      </c>
      <c r="Z52" s="14">
        <v>15.88536</v>
      </c>
      <c r="AA52" s="14">
        <v>9.4866899999999994</v>
      </c>
      <c r="AB52" s="14">
        <v>-1.5638300000000001</v>
      </c>
    </row>
    <row r="53" spans="1:28" x14ac:dyDescent="0.25">
      <c r="A53" s="18">
        <v>41494</v>
      </c>
      <c r="B53" s="14" t="s">
        <v>5</v>
      </c>
      <c r="C53" s="15">
        <v>50</v>
      </c>
      <c r="D53" s="14">
        <v>20</v>
      </c>
      <c r="E53" s="13">
        <v>25</v>
      </c>
      <c r="F53" s="13">
        <f>1.8*E53+32</f>
        <v>77</v>
      </c>
      <c r="G53" s="13">
        <v>17</v>
      </c>
      <c r="H53" s="13">
        <f>IF(F53&gt;68,G53+(F53-68)*0.2,W262-(68-F53)*0.2)</f>
        <v>18.8</v>
      </c>
      <c r="I53" s="13">
        <v>23</v>
      </c>
      <c r="J53" s="13">
        <f>1.8*I53+32</f>
        <v>73.400000000000006</v>
      </c>
      <c r="K53" s="13">
        <v>9</v>
      </c>
      <c r="L53" s="13">
        <f>IF(J53&gt;68,K53+(J53-68)*0.2,K53-(68-J53)*0.2)</f>
        <v>10.080000000000002</v>
      </c>
      <c r="M53" s="13">
        <f>(C53-H53)/C53*100</f>
        <v>62.4</v>
      </c>
      <c r="N53" s="13">
        <f>100-(M53+O53)</f>
        <v>17.439999999999998</v>
      </c>
      <c r="O53" s="13">
        <f>L53/C53*100</f>
        <v>20.160000000000004</v>
      </c>
      <c r="P53" s="12" t="s">
        <v>3</v>
      </c>
      <c r="Q53" s="11">
        <v>409282.03901000001</v>
      </c>
      <c r="R53" s="11">
        <v>3659171.091333</v>
      </c>
      <c r="T53" s="14">
        <v>2011105</v>
      </c>
      <c r="U53" s="14" t="s">
        <v>294</v>
      </c>
      <c r="V53" s="14">
        <v>5.842E-2</v>
      </c>
      <c r="W53" s="14">
        <v>0.37990000000000002</v>
      </c>
      <c r="X53" s="14">
        <v>2.928E-2</v>
      </c>
      <c r="Y53" s="14">
        <v>1.3527100000000001</v>
      </c>
      <c r="Z53" s="14">
        <v>22.359660000000002</v>
      </c>
      <c r="AA53" s="14">
        <v>11.416550000000001</v>
      </c>
      <c r="AB53" s="14">
        <v>-1.4190199999999999</v>
      </c>
    </row>
    <row r="54" spans="1:28" x14ac:dyDescent="0.25">
      <c r="A54" s="17"/>
      <c r="B54" s="14" t="s">
        <v>4</v>
      </c>
      <c r="C54" s="15">
        <v>50</v>
      </c>
      <c r="D54" s="14">
        <v>20</v>
      </c>
      <c r="E54" s="13">
        <v>25</v>
      </c>
      <c r="F54" s="13">
        <f>1.8*E54+32</f>
        <v>77</v>
      </c>
      <c r="G54" s="13">
        <v>17</v>
      </c>
      <c r="H54" s="13">
        <f>IF(F54&gt;68,G54+(F54-68)*0.2,W263-(68-F54)*0.2)</f>
        <v>18.8</v>
      </c>
      <c r="I54" s="13">
        <v>23</v>
      </c>
      <c r="J54" s="13">
        <f>1.8*I54+32</f>
        <v>73.400000000000006</v>
      </c>
      <c r="K54" s="13">
        <v>9</v>
      </c>
      <c r="L54" s="13">
        <f>IF(J54&gt;68,K54+(J54-68)*0.2,K54-(68-J54)*0.2)</f>
        <v>10.080000000000002</v>
      </c>
      <c r="M54" s="13">
        <f>(C54-H54)/C54*100</f>
        <v>62.4</v>
      </c>
      <c r="N54" s="13">
        <f>100-(M54+O54)</f>
        <v>17.439999999999998</v>
      </c>
      <c r="O54" s="13">
        <f>L54/C54*100</f>
        <v>20.160000000000004</v>
      </c>
      <c r="P54" s="12" t="s">
        <v>3</v>
      </c>
      <c r="Q54" s="11">
        <v>409282.03901000001</v>
      </c>
      <c r="R54" s="11">
        <v>3659171.091333</v>
      </c>
      <c r="T54" s="14">
        <v>2011105</v>
      </c>
      <c r="U54" s="14" t="s">
        <v>293</v>
      </c>
      <c r="V54" s="14">
        <v>5.96E-2</v>
      </c>
      <c r="W54" s="14">
        <v>0.38658999999999999</v>
      </c>
      <c r="X54" s="14">
        <v>2.6339999999999999E-2</v>
      </c>
      <c r="Y54" s="14">
        <v>1.35293</v>
      </c>
      <c r="Z54" s="14">
        <v>18.785160000000001</v>
      </c>
      <c r="AA54" s="14">
        <v>10.086880000000001</v>
      </c>
      <c r="AB54" s="14">
        <v>-1.3230200000000001</v>
      </c>
    </row>
    <row r="55" spans="1:28" x14ac:dyDescent="0.25">
      <c r="A55" s="16"/>
      <c r="B55" s="14" t="s">
        <v>2</v>
      </c>
      <c r="C55" s="15">
        <v>50</v>
      </c>
      <c r="D55" s="14">
        <v>20</v>
      </c>
      <c r="E55" s="13">
        <v>25</v>
      </c>
      <c r="F55" s="13">
        <f>1.8*E55+32</f>
        <v>77</v>
      </c>
      <c r="G55" s="13">
        <v>20</v>
      </c>
      <c r="H55" s="13">
        <f>IF(F55&gt;68,G55+(F55-68)*0.2,#REF!-(68-F55)*0.2)</f>
        <v>21.8</v>
      </c>
      <c r="I55" s="13">
        <v>23</v>
      </c>
      <c r="J55" s="13">
        <f>1.8*I55+32</f>
        <v>73.400000000000006</v>
      </c>
      <c r="K55" s="13">
        <v>9</v>
      </c>
      <c r="L55" s="13">
        <f>IF(J55&gt;68,K55+(J55-68)*0.2,K55-(68-J55)*0.2)</f>
        <v>10.080000000000002</v>
      </c>
      <c r="M55" s="13">
        <f>(C55-H55)/C55*100</f>
        <v>56.399999999999991</v>
      </c>
      <c r="N55" s="13">
        <f>100-(M55+O55)</f>
        <v>23.439999999999998</v>
      </c>
      <c r="O55" s="13">
        <f>L55/C55*100</f>
        <v>20.160000000000004</v>
      </c>
      <c r="P55" s="12" t="s">
        <v>3</v>
      </c>
      <c r="Q55" s="11">
        <v>409282.03901000001</v>
      </c>
      <c r="R55" s="11">
        <v>3659171.091333</v>
      </c>
      <c r="T55" s="14">
        <v>2011105</v>
      </c>
      <c r="U55" s="14" t="s">
        <v>292</v>
      </c>
      <c r="V55" s="14">
        <v>7.417E-2</v>
      </c>
      <c r="W55" s="14">
        <v>0.40214</v>
      </c>
      <c r="X55" s="14">
        <v>2.2849999999999999E-2</v>
      </c>
      <c r="Y55" s="14">
        <v>1.31315</v>
      </c>
      <c r="Z55" s="14">
        <v>8.4280200000000001</v>
      </c>
      <c r="AA55" s="14">
        <v>6.8196300000000001</v>
      </c>
      <c r="AB55" s="14">
        <v>-1.47993</v>
      </c>
    </row>
    <row r="56" spans="1:28" x14ac:dyDescent="0.25">
      <c r="A56" s="16"/>
      <c r="B56" s="14" t="s">
        <v>1</v>
      </c>
      <c r="C56" s="15">
        <v>50</v>
      </c>
      <c r="D56" s="14">
        <v>20</v>
      </c>
      <c r="E56" s="13">
        <v>25</v>
      </c>
      <c r="F56" s="13">
        <f>1.8*E56+32</f>
        <v>77</v>
      </c>
      <c r="G56" s="13">
        <v>17</v>
      </c>
      <c r="H56" s="13">
        <f>IF(F56&gt;68,G56+(F56-68)*0.2,#REF!-(68-F56)*0.2)</f>
        <v>18.8</v>
      </c>
      <c r="I56" s="13">
        <v>23</v>
      </c>
      <c r="J56" s="13">
        <f>1.8*I56+32</f>
        <v>73.400000000000006</v>
      </c>
      <c r="K56" s="13">
        <v>9</v>
      </c>
      <c r="L56" s="13">
        <f>IF(J56&gt;68,K56+(J56-68)*0.2,K56-(68-J56)*0.2)</f>
        <v>10.080000000000002</v>
      </c>
      <c r="M56" s="13">
        <f>(C56-H56)/C56*100</f>
        <v>62.4</v>
      </c>
      <c r="N56" s="13">
        <f>100-(M56+O56)</f>
        <v>17.439999999999998</v>
      </c>
      <c r="O56" s="13">
        <f>L56/C56*100</f>
        <v>20.160000000000004</v>
      </c>
      <c r="P56" s="12" t="s">
        <v>3</v>
      </c>
      <c r="Q56" s="11">
        <v>409282.03901000001</v>
      </c>
      <c r="R56" s="11">
        <v>3659171.091333</v>
      </c>
      <c r="T56" s="14">
        <v>2011105</v>
      </c>
      <c r="U56" s="14" t="s">
        <v>291</v>
      </c>
      <c r="V56" s="14">
        <v>8.591E-2</v>
      </c>
      <c r="W56" s="14">
        <v>0.43564000000000003</v>
      </c>
      <c r="X56" s="14">
        <v>1.9730000000000001E-2</v>
      </c>
      <c r="Y56" s="14">
        <v>1.29108</v>
      </c>
      <c r="Z56" s="14">
        <v>5.7427299999999999</v>
      </c>
      <c r="AA56" s="14">
        <v>5.1252800000000001</v>
      </c>
      <c r="AB56" s="14">
        <v>-1.4827999999999999</v>
      </c>
    </row>
    <row r="57" spans="1:28" x14ac:dyDescent="0.25">
      <c r="A57" s="1"/>
      <c r="T57" s="14">
        <v>2011105</v>
      </c>
      <c r="U57" s="14" t="s">
        <v>290</v>
      </c>
      <c r="V57" s="14">
        <v>6.7970000000000003E-2</v>
      </c>
      <c r="W57" s="14">
        <v>0.38894000000000001</v>
      </c>
      <c r="X57" s="14">
        <v>2.5899999999999999E-2</v>
      </c>
      <c r="Y57" s="14">
        <v>1.3128</v>
      </c>
      <c r="Z57" s="14">
        <v>12.48822</v>
      </c>
      <c r="AA57" s="14">
        <v>8.36754</v>
      </c>
      <c r="AB57" s="14">
        <v>-1.57542</v>
      </c>
    </row>
    <row r="58" spans="1:28" ht="51.75" x14ac:dyDescent="0.25">
      <c r="A58" s="19" t="s">
        <v>289</v>
      </c>
      <c r="B58" s="22" t="s">
        <v>26</v>
      </c>
      <c r="C58" s="26" t="s">
        <v>25</v>
      </c>
      <c r="D58" s="25" t="s">
        <v>24</v>
      </c>
      <c r="E58" s="24" t="s">
        <v>23</v>
      </c>
      <c r="F58" s="24" t="s">
        <v>22</v>
      </c>
      <c r="G58" s="24" t="s">
        <v>21</v>
      </c>
      <c r="H58" s="24" t="s">
        <v>20</v>
      </c>
      <c r="I58" s="24" t="s">
        <v>19</v>
      </c>
      <c r="J58" s="24" t="s">
        <v>18</v>
      </c>
      <c r="K58" s="24" t="s">
        <v>17</v>
      </c>
      <c r="L58" s="24" t="s">
        <v>16</v>
      </c>
      <c r="M58" s="23" t="s">
        <v>15</v>
      </c>
      <c r="N58" s="23" t="s">
        <v>14</v>
      </c>
      <c r="O58" s="23" t="s">
        <v>13</v>
      </c>
      <c r="P58" s="22" t="s">
        <v>12</v>
      </c>
      <c r="Q58" s="27" t="s">
        <v>11</v>
      </c>
      <c r="R58" s="27"/>
      <c r="T58" s="14">
        <v>2011105</v>
      </c>
      <c r="U58" s="14" t="s">
        <v>288</v>
      </c>
      <c r="V58" s="14">
        <v>5.6309999999999999E-2</v>
      </c>
      <c r="W58" s="14">
        <v>0.38194</v>
      </c>
      <c r="X58" s="14">
        <v>2.9340000000000001E-2</v>
      </c>
      <c r="Y58" s="14">
        <v>1.36094</v>
      </c>
      <c r="Z58" s="14">
        <v>24.24015</v>
      </c>
      <c r="AA58" s="14">
        <v>12.030340000000001</v>
      </c>
      <c r="AB58" s="14">
        <v>-1.35903</v>
      </c>
    </row>
    <row r="59" spans="1:28" x14ac:dyDescent="0.25">
      <c r="A59" s="20"/>
      <c r="B59" s="22"/>
      <c r="C59" s="26"/>
      <c r="D59" s="25"/>
      <c r="E59" s="24"/>
      <c r="F59" s="24"/>
      <c r="G59" s="24"/>
      <c r="H59" s="24"/>
      <c r="I59" s="24"/>
      <c r="J59" s="24"/>
      <c r="K59" s="24"/>
      <c r="L59" s="24"/>
      <c r="M59" s="23"/>
      <c r="N59" s="23"/>
      <c r="O59" s="23"/>
      <c r="P59" s="22"/>
      <c r="Q59" s="21" t="s">
        <v>10</v>
      </c>
      <c r="R59" s="21" t="s">
        <v>9</v>
      </c>
      <c r="T59" s="14">
        <v>2011105</v>
      </c>
      <c r="U59" s="14" t="s">
        <v>287</v>
      </c>
      <c r="V59" s="14">
        <v>5.6250000000000001E-2</v>
      </c>
      <c r="W59" s="14">
        <v>0.38377</v>
      </c>
      <c r="X59" s="14">
        <v>2.8400000000000002E-2</v>
      </c>
      <c r="Y59" s="14">
        <v>1.3609199999999999</v>
      </c>
      <c r="Z59" s="14">
        <v>23.256460000000001</v>
      </c>
      <c r="AA59" s="14">
        <v>11.64636</v>
      </c>
      <c r="AB59" s="14">
        <v>-1.32684</v>
      </c>
    </row>
    <row r="60" spans="1:28" x14ac:dyDescent="0.25">
      <c r="A60" s="20"/>
      <c r="B60" s="14" t="s">
        <v>8</v>
      </c>
      <c r="C60" s="15">
        <v>50</v>
      </c>
      <c r="D60" s="14">
        <v>20</v>
      </c>
      <c r="E60" s="13">
        <v>25</v>
      </c>
      <c r="F60" s="13">
        <f>1.8*E60+32</f>
        <v>77</v>
      </c>
      <c r="G60" s="13">
        <v>19</v>
      </c>
      <c r="H60" s="13">
        <f>IF(F60&gt;68,G60+(F60-68)*0.2,W267-(68-F60)*0.2)</f>
        <v>20.8</v>
      </c>
      <c r="I60" s="13">
        <v>23</v>
      </c>
      <c r="J60" s="13">
        <f>1.8*I60+32</f>
        <v>73.400000000000006</v>
      </c>
      <c r="K60" s="13">
        <v>10</v>
      </c>
      <c r="L60" s="13">
        <f>IF(J60&gt;68,K60+(J60-68)*0.2,K60-(68-J60)*0.2)</f>
        <v>11.080000000000002</v>
      </c>
      <c r="M60" s="13">
        <f>(C60-H60)/C60*100</f>
        <v>58.4</v>
      </c>
      <c r="N60" s="13">
        <f>100-(M60+O60)</f>
        <v>19.439999999999998</v>
      </c>
      <c r="O60" s="13">
        <f>L60/C60*100</f>
        <v>22.160000000000004</v>
      </c>
      <c r="P60" s="12" t="s">
        <v>3</v>
      </c>
      <c r="Q60" s="11">
        <v>409281.99953099998</v>
      </c>
      <c r="R60" s="11">
        <v>3659162.033694</v>
      </c>
      <c r="T60" s="14">
        <v>2011105</v>
      </c>
      <c r="U60" s="14" t="s">
        <v>286</v>
      </c>
      <c r="V60" s="14">
        <v>6.2579999999999997E-2</v>
      </c>
      <c r="W60" s="14">
        <v>0.38686999999999999</v>
      </c>
      <c r="X60" s="14">
        <v>2.6249999999999999E-2</v>
      </c>
      <c r="Y60" s="14">
        <v>1.3392900000000001</v>
      </c>
      <c r="Z60" s="14">
        <v>16.32574</v>
      </c>
      <c r="AA60" s="14">
        <v>9.4607700000000001</v>
      </c>
      <c r="AB60" s="14">
        <v>-1.4059999999999999</v>
      </c>
    </row>
    <row r="61" spans="1:28" x14ac:dyDescent="0.25">
      <c r="A61" s="19" t="s">
        <v>7</v>
      </c>
      <c r="B61" s="14" t="s">
        <v>6</v>
      </c>
      <c r="C61" s="15">
        <v>50</v>
      </c>
      <c r="D61" s="14">
        <v>20</v>
      </c>
      <c r="E61" s="13">
        <v>25</v>
      </c>
      <c r="F61" s="13">
        <f>1.8*E61+32</f>
        <v>77</v>
      </c>
      <c r="G61" s="13">
        <v>24</v>
      </c>
      <c r="H61" s="13">
        <f>IF(F61&gt;68,G61+(F61-68)*0.2,W268-(68-F61)*0.2)</f>
        <v>25.8</v>
      </c>
      <c r="I61" s="13">
        <v>23</v>
      </c>
      <c r="J61" s="13">
        <f>1.8*I61+32</f>
        <v>73.400000000000006</v>
      </c>
      <c r="K61" s="13">
        <v>14</v>
      </c>
      <c r="L61" s="13">
        <f>IF(J61&gt;68,K61+(J61-68)*0.2,K61-(68-J61)*0.2)</f>
        <v>15.080000000000002</v>
      </c>
      <c r="M61" s="13">
        <f>(C61-H61)/C61*100</f>
        <v>48.4</v>
      </c>
      <c r="N61" s="13">
        <f>100-(M61+O61)</f>
        <v>21.439999999999998</v>
      </c>
      <c r="O61" s="13">
        <f>L61/C61*100</f>
        <v>30.160000000000004</v>
      </c>
      <c r="P61" s="12" t="s">
        <v>3</v>
      </c>
      <c r="Q61" s="11">
        <v>409281.99953099998</v>
      </c>
      <c r="R61" s="11">
        <v>3659162.033694</v>
      </c>
      <c r="T61" s="14">
        <v>2011105</v>
      </c>
      <c r="U61" s="14" t="s">
        <v>285</v>
      </c>
      <c r="V61" s="14">
        <v>7.1620000000000003E-2</v>
      </c>
      <c r="W61" s="14">
        <v>0.39828000000000002</v>
      </c>
      <c r="X61" s="14">
        <v>2.317E-2</v>
      </c>
      <c r="Y61" s="14">
        <v>1.32172</v>
      </c>
      <c r="Z61" s="14">
        <v>9.6131600000000006</v>
      </c>
      <c r="AA61" s="14">
        <v>7.19156</v>
      </c>
      <c r="AB61" s="14">
        <v>-1.4352499999999999</v>
      </c>
    </row>
    <row r="62" spans="1:28" x14ac:dyDescent="0.25">
      <c r="A62" s="18">
        <v>41494</v>
      </c>
      <c r="B62" s="14" t="s">
        <v>5</v>
      </c>
      <c r="C62" s="15">
        <v>50</v>
      </c>
      <c r="D62" s="14">
        <v>20</v>
      </c>
      <c r="E62" s="13">
        <v>25</v>
      </c>
      <c r="F62" s="13">
        <f>1.8*E62+32</f>
        <v>77</v>
      </c>
      <c r="G62" s="13">
        <v>21</v>
      </c>
      <c r="H62" s="13">
        <f>IF(F62&gt;68,G62+(F62-68)*0.2,W269-(68-F62)*0.2)</f>
        <v>22.8</v>
      </c>
      <c r="I62" s="13">
        <v>23</v>
      </c>
      <c r="J62" s="13">
        <f>1.8*I62+32</f>
        <v>73.400000000000006</v>
      </c>
      <c r="K62" s="13">
        <v>10</v>
      </c>
      <c r="L62" s="13">
        <f>IF(J62&gt;68,K62+(J62-68)*0.2,K62-(68-J62)*0.2)</f>
        <v>11.080000000000002</v>
      </c>
      <c r="M62" s="13">
        <f>(C62-H62)/C62*100</f>
        <v>54.400000000000006</v>
      </c>
      <c r="N62" s="13">
        <f>100-(M62+O62)</f>
        <v>23.439999999999998</v>
      </c>
      <c r="O62" s="13">
        <f>L62/C62*100</f>
        <v>22.160000000000004</v>
      </c>
      <c r="P62" s="12" t="s">
        <v>3</v>
      </c>
      <c r="Q62" s="11">
        <v>409281.99953099998</v>
      </c>
      <c r="R62" s="11">
        <v>3659162.033694</v>
      </c>
      <c r="T62" s="14">
        <v>2011105</v>
      </c>
      <c r="U62" s="14" t="s">
        <v>284</v>
      </c>
      <c r="V62" s="14">
        <v>6.9419999999999996E-2</v>
      </c>
      <c r="W62" s="14">
        <v>0.39784999999999998</v>
      </c>
      <c r="X62" s="14">
        <v>2.223E-2</v>
      </c>
      <c r="Y62" s="14">
        <v>1.34067</v>
      </c>
      <c r="Z62" s="14">
        <v>10.45148</v>
      </c>
      <c r="AA62" s="14">
        <v>7.1894900000000002</v>
      </c>
      <c r="AB62" s="14">
        <v>-1.2946500000000001</v>
      </c>
    </row>
    <row r="63" spans="1:28" x14ac:dyDescent="0.25">
      <c r="A63" s="17"/>
      <c r="B63" s="14" t="s">
        <v>4</v>
      </c>
      <c r="C63" s="15">
        <v>50</v>
      </c>
      <c r="D63" s="14">
        <v>20</v>
      </c>
      <c r="E63" s="13">
        <v>25</v>
      </c>
      <c r="F63" s="13">
        <f>1.8*E63+32</f>
        <v>77</v>
      </c>
      <c r="G63" s="13">
        <v>23</v>
      </c>
      <c r="H63" s="13">
        <f>IF(F63&gt;68,G63+(F63-68)*0.2,W270-(68-F63)*0.2)</f>
        <v>24.8</v>
      </c>
      <c r="I63" s="13">
        <v>23</v>
      </c>
      <c r="J63" s="13">
        <f>1.8*I63+32</f>
        <v>73.400000000000006</v>
      </c>
      <c r="K63" s="13">
        <v>13</v>
      </c>
      <c r="L63" s="13">
        <f>IF(J63&gt;68,K63+(J63-68)*0.2,K63-(68-J63)*0.2)</f>
        <v>14.080000000000002</v>
      </c>
      <c r="M63" s="13">
        <f>(C63-H63)/C63*100</f>
        <v>50.4</v>
      </c>
      <c r="N63" s="13">
        <f>100-(M63+O63)</f>
        <v>21.439999999999998</v>
      </c>
      <c r="O63" s="13">
        <f>L63/C63*100</f>
        <v>28.16</v>
      </c>
      <c r="P63" s="12" t="s">
        <v>3</v>
      </c>
      <c r="Q63" s="11">
        <v>409281.99953099998</v>
      </c>
      <c r="R63" s="11">
        <v>3659162.033694</v>
      </c>
      <c r="T63" s="14">
        <v>2011105</v>
      </c>
      <c r="U63" s="14" t="s">
        <v>283</v>
      </c>
      <c r="V63" s="14">
        <v>6.8890000000000007E-2</v>
      </c>
      <c r="W63" s="14">
        <v>0.39484000000000002</v>
      </c>
      <c r="X63" s="14">
        <v>2.3619999999999999E-2</v>
      </c>
      <c r="Y63" s="14">
        <v>1.33005</v>
      </c>
      <c r="Z63" s="14">
        <v>11.15936</v>
      </c>
      <c r="AA63" s="14">
        <v>7.6643400000000002</v>
      </c>
      <c r="AB63" s="14">
        <v>-1.39639</v>
      </c>
    </row>
    <row r="64" spans="1:28" x14ac:dyDescent="0.25">
      <c r="A64" s="16"/>
      <c r="B64" s="14" t="s">
        <v>2</v>
      </c>
      <c r="C64" s="15">
        <v>50</v>
      </c>
      <c r="D64" s="14">
        <v>20</v>
      </c>
      <c r="E64" s="13">
        <v>25</v>
      </c>
      <c r="F64" s="13">
        <f>1.8*E64+32</f>
        <v>77</v>
      </c>
      <c r="G64" s="13">
        <v>17</v>
      </c>
      <c r="H64" s="13">
        <f>IF(F64&gt;68,G64+(F64-68)*0.2,W271-(68-F64)*0.2)</f>
        <v>18.8</v>
      </c>
      <c r="I64" s="13">
        <v>23</v>
      </c>
      <c r="J64" s="13">
        <f>1.8*I64+32</f>
        <v>73.400000000000006</v>
      </c>
      <c r="K64" s="13">
        <v>9</v>
      </c>
      <c r="L64" s="13">
        <f>IF(J64&gt;68,K64+(J64-68)*0.2,K64-(68-J64)*0.2)</f>
        <v>10.080000000000002</v>
      </c>
      <c r="M64" s="13">
        <f>(C64-H64)/C64*100</f>
        <v>62.4</v>
      </c>
      <c r="N64" s="13">
        <f>100-(M64+O64)</f>
        <v>17.439999999999998</v>
      </c>
      <c r="O64" s="13">
        <f>L64/C64*100</f>
        <v>20.160000000000004</v>
      </c>
      <c r="P64" s="12" t="s">
        <v>3</v>
      </c>
      <c r="Q64" s="11">
        <v>409281.99953099998</v>
      </c>
      <c r="R64" s="11">
        <v>3659162.033694</v>
      </c>
      <c r="T64" s="14">
        <v>2011105</v>
      </c>
      <c r="U64" s="14" t="s">
        <v>282</v>
      </c>
      <c r="V64" s="14">
        <v>5.9389999999999998E-2</v>
      </c>
      <c r="W64" s="14">
        <v>0.38080999999999998</v>
      </c>
      <c r="X64" s="14">
        <v>2.8819999999999998E-2</v>
      </c>
      <c r="Y64" s="14">
        <v>1.3459700000000001</v>
      </c>
      <c r="Z64" s="14">
        <v>20.780349999999999</v>
      </c>
      <c r="AA64" s="14">
        <v>10.97963</v>
      </c>
      <c r="AB64" s="14">
        <v>-1.4410400000000001</v>
      </c>
    </row>
    <row r="65" spans="1:28" x14ac:dyDescent="0.25">
      <c r="A65" s="16"/>
      <c r="B65" s="14" t="s">
        <v>1</v>
      </c>
      <c r="C65" s="15">
        <v>50</v>
      </c>
      <c r="D65" s="14">
        <v>20</v>
      </c>
      <c r="E65" s="13">
        <v>25</v>
      </c>
      <c r="F65" s="13">
        <f>1.8*E65+32</f>
        <v>77</v>
      </c>
      <c r="G65" s="13">
        <v>13</v>
      </c>
      <c r="H65" s="13">
        <f>IF(F65&gt;68,G65+(F65-68)*0.2,W272-(68-F65)*0.2)</f>
        <v>14.8</v>
      </c>
      <c r="I65" s="13">
        <v>23</v>
      </c>
      <c r="J65" s="13">
        <f>1.8*I65+32</f>
        <v>73.400000000000006</v>
      </c>
      <c r="K65" s="13">
        <v>6</v>
      </c>
      <c r="L65" s="13">
        <f>IF(J65&gt;68,K65+(J65-68)*0.2,K65-(68-J65)*0.2)</f>
        <v>7.080000000000001</v>
      </c>
      <c r="M65" s="13">
        <f>(C65-H65)/C65*100</f>
        <v>70.400000000000006</v>
      </c>
      <c r="N65" s="13">
        <f>100-(M65+O65)</f>
        <v>15.439999999999998</v>
      </c>
      <c r="O65" s="13">
        <f>L65/C65*100</f>
        <v>14.160000000000004</v>
      </c>
      <c r="P65" s="12" t="s">
        <v>0</v>
      </c>
      <c r="Q65" s="11">
        <v>409281.99953099998</v>
      </c>
      <c r="R65" s="11">
        <v>3659162.033694</v>
      </c>
      <c r="T65" s="14">
        <v>2011105</v>
      </c>
      <c r="U65" s="14" t="s">
        <v>281</v>
      </c>
      <c r="V65" s="14">
        <v>5.296E-2</v>
      </c>
      <c r="W65" s="14">
        <v>0.37663999999999997</v>
      </c>
      <c r="X65" s="14">
        <v>3.1800000000000002E-2</v>
      </c>
      <c r="Y65" s="14">
        <v>1.4618899999999999</v>
      </c>
      <c r="Z65" s="14">
        <v>43.437240000000003</v>
      </c>
      <c r="AA65" s="14">
        <v>15.31169</v>
      </c>
      <c r="AB65" s="14">
        <v>-1.1495899999999999</v>
      </c>
    </row>
    <row r="66" spans="1:28" x14ac:dyDescent="0.25">
      <c r="A66" s="1"/>
      <c r="T66" s="14">
        <v>2011105</v>
      </c>
      <c r="U66" s="14" t="s">
        <v>280</v>
      </c>
      <c r="V66" s="14">
        <v>5.5070000000000001E-2</v>
      </c>
      <c r="W66" s="14">
        <v>0.38402999999999998</v>
      </c>
      <c r="X66" s="14">
        <v>2.8469999999999999E-2</v>
      </c>
      <c r="Y66" s="14">
        <v>1.36575</v>
      </c>
      <c r="Z66" s="14">
        <v>24.43873</v>
      </c>
      <c r="AA66" s="14">
        <v>11.96833</v>
      </c>
      <c r="AB66" s="14">
        <v>-1.29779</v>
      </c>
    </row>
    <row r="67" spans="1:28" ht="51.75" x14ac:dyDescent="0.25">
      <c r="A67" s="19" t="s">
        <v>279</v>
      </c>
      <c r="B67" s="22" t="s">
        <v>26</v>
      </c>
      <c r="C67" s="26" t="s">
        <v>25</v>
      </c>
      <c r="D67" s="25" t="s">
        <v>24</v>
      </c>
      <c r="E67" s="24" t="s">
        <v>23</v>
      </c>
      <c r="F67" s="24" t="s">
        <v>22</v>
      </c>
      <c r="G67" s="24" t="s">
        <v>21</v>
      </c>
      <c r="H67" s="24" t="s">
        <v>20</v>
      </c>
      <c r="I67" s="24" t="s">
        <v>19</v>
      </c>
      <c r="J67" s="24" t="s">
        <v>18</v>
      </c>
      <c r="K67" s="24" t="s">
        <v>17</v>
      </c>
      <c r="L67" s="24" t="s">
        <v>16</v>
      </c>
      <c r="M67" s="23" t="s">
        <v>15</v>
      </c>
      <c r="N67" s="23" t="s">
        <v>14</v>
      </c>
      <c r="O67" s="23" t="s">
        <v>13</v>
      </c>
      <c r="P67" s="22" t="s">
        <v>12</v>
      </c>
      <c r="Q67" s="27" t="s">
        <v>11</v>
      </c>
      <c r="R67" s="27"/>
      <c r="T67" s="14">
        <v>2011105</v>
      </c>
      <c r="U67" s="14" t="s">
        <v>278</v>
      </c>
      <c r="V67" s="14">
        <v>5.8270000000000002E-2</v>
      </c>
      <c r="W67" s="14">
        <v>0.38327</v>
      </c>
      <c r="X67" s="14">
        <v>2.827E-2</v>
      </c>
      <c r="Y67" s="14">
        <v>1.3518600000000001</v>
      </c>
      <c r="Z67" s="14">
        <v>21.257560000000002</v>
      </c>
      <c r="AA67" s="14">
        <v>11.090490000000001</v>
      </c>
      <c r="AB67" s="14">
        <v>-1.3810199999999999</v>
      </c>
    </row>
    <row r="68" spans="1:28" x14ac:dyDescent="0.25">
      <c r="A68" s="20"/>
      <c r="B68" s="22"/>
      <c r="C68" s="26"/>
      <c r="D68" s="25"/>
      <c r="E68" s="24"/>
      <c r="F68" s="24"/>
      <c r="G68" s="24"/>
      <c r="H68" s="24"/>
      <c r="I68" s="24"/>
      <c r="J68" s="24"/>
      <c r="K68" s="24"/>
      <c r="L68" s="24"/>
      <c r="M68" s="23"/>
      <c r="N68" s="23"/>
      <c r="O68" s="23"/>
      <c r="P68" s="22"/>
      <c r="Q68" s="21" t="s">
        <v>10</v>
      </c>
      <c r="R68" s="21" t="s">
        <v>9</v>
      </c>
      <c r="T68" s="14">
        <v>2011105</v>
      </c>
      <c r="U68" s="14" t="s">
        <v>277</v>
      </c>
      <c r="V68" s="14">
        <v>5.1999999999999998E-2</v>
      </c>
      <c r="W68" s="14">
        <v>0.38185999999999998</v>
      </c>
      <c r="X68" s="14">
        <v>3.099E-2</v>
      </c>
      <c r="Y68" s="14">
        <v>1.38337</v>
      </c>
      <c r="Z68" s="14">
        <v>30.919730000000001</v>
      </c>
      <c r="AA68" s="14">
        <v>14.115349999999999</v>
      </c>
      <c r="AB68" s="14">
        <v>-1.2785599999999999</v>
      </c>
    </row>
    <row r="69" spans="1:28" x14ac:dyDescent="0.25">
      <c r="A69" s="20"/>
      <c r="B69" s="14" t="s">
        <v>8</v>
      </c>
      <c r="C69" s="15">
        <v>50</v>
      </c>
      <c r="D69" s="14">
        <v>20</v>
      </c>
      <c r="E69" s="13">
        <v>23</v>
      </c>
      <c r="F69" s="13">
        <f>1.8*E69+32</f>
        <v>73.400000000000006</v>
      </c>
      <c r="G69" s="13">
        <v>17</v>
      </c>
      <c r="H69" s="13">
        <f>IF(F69&gt;68,G69+(F69-68)*0.2,W274-(68-F69)*0.2)</f>
        <v>18.080000000000002</v>
      </c>
      <c r="I69" s="13">
        <v>23</v>
      </c>
      <c r="J69" s="13">
        <f>1.8*I69+32</f>
        <v>73.400000000000006</v>
      </c>
      <c r="K69" s="13">
        <v>9</v>
      </c>
      <c r="L69" s="13">
        <f>IF(J69&gt;68,K69+(J69-68)*0.2,K69-(68-J69)*0.2)</f>
        <v>10.080000000000002</v>
      </c>
      <c r="M69" s="13">
        <f>(C69-H69)/C69*100</f>
        <v>63.839999999999996</v>
      </c>
      <c r="N69" s="13">
        <f>100-(M69+O69)</f>
        <v>16</v>
      </c>
      <c r="O69" s="13">
        <f>L69/C69*100</f>
        <v>20.160000000000004</v>
      </c>
      <c r="P69" s="12" t="s">
        <v>3</v>
      </c>
      <c r="Q69" s="11">
        <v>409281.90890699998</v>
      </c>
      <c r="R69" s="11">
        <v>3659152.5846520001</v>
      </c>
      <c r="T69" s="14">
        <v>2011105</v>
      </c>
      <c r="U69" s="14" t="s">
        <v>276</v>
      </c>
      <c r="V69" s="14">
        <v>5.1619999999999999E-2</v>
      </c>
      <c r="W69" s="14">
        <v>0.38557000000000002</v>
      </c>
      <c r="X69" s="14">
        <v>2.7459999999999998E-2</v>
      </c>
      <c r="Y69" s="14">
        <v>1.3792500000000001</v>
      </c>
      <c r="Z69" s="14">
        <v>26.827380000000002</v>
      </c>
      <c r="AA69" s="14">
        <v>12.295809999999999</v>
      </c>
      <c r="AB69" s="14">
        <v>-1.1834</v>
      </c>
    </row>
    <row r="70" spans="1:28" x14ac:dyDescent="0.25">
      <c r="A70" s="19" t="s">
        <v>7</v>
      </c>
      <c r="B70" s="14" t="s">
        <v>6</v>
      </c>
      <c r="C70" s="15">
        <v>50</v>
      </c>
      <c r="D70" s="14">
        <v>20</v>
      </c>
      <c r="E70" s="13">
        <v>24</v>
      </c>
      <c r="F70" s="13">
        <f>1.8*E70+32</f>
        <v>75.2</v>
      </c>
      <c r="G70" s="13">
        <v>19</v>
      </c>
      <c r="H70" s="13">
        <f>IF(F70&gt;68,G70+(F70-68)*0.2,W275-(68-F70)*0.2)</f>
        <v>20.440000000000001</v>
      </c>
      <c r="I70" s="13">
        <v>22</v>
      </c>
      <c r="J70" s="13">
        <f>1.8*I70+32</f>
        <v>71.599999999999994</v>
      </c>
      <c r="K70" s="13">
        <v>10</v>
      </c>
      <c r="L70" s="13">
        <f>IF(J70&gt;68,K70+(J70-68)*0.2,K70-(68-J70)*0.2)</f>
        <v>10.719999999999999</v>
      </c>
      <c r="M70" s="13">
        <f>(C70-H70)/C70*100</f>
        <v>59.12</v>
      </c>
      <c r="N70" s="13">
        <f>100-(M70+O70)</f>
        <v>19.439999999999998</v>
      </c>
      <c r="O70" s="13">
        <f>L70/C70*100</f>
        <v>21.439999999999998</v>
      </c>
      <c r="P70" s="12" t="s">
        <v>3</v>
      </c>
      <c r="Q70" s="11">
        <v>409281.90890699998</v>
      </c>
      <c r="R70" s="11">
        <v>3659152.5846520001</v>
      </c>
      <c r="T70" s="14">
        <v>2011105</v>
      </c>
      <c r="U70" s="14" t="s">
        <v>275</v>
      </c>
      <c r="V70" s="14">
        <v>4.9349999999999998E-2</v>
      </c>
      <c r="W70" s="14">
        <v>0.38677</v>
      </c>
      <c r="X70" s="14">
        <v>2.5430000000000001E-2</v>
      </c>
      <c r="Y70" s="14">
        <v>1.38985</v>
      </c>
      <c r="Z70" s="14">
        <v>27.399899999999999</v>
      </c>
      <c r="AA70" s="14">
        <v>11.72099</v>
      </c>
      <c r="AB70" s="14">
        <v>-1.06569</v>
      </c>
    </row>
    <row r="71" spans="1:28" x14ac:dyDescent="0.25">
      <c r="A71" s="18">
        <v>41493</v>
      </c>
      <c r="B71" s="14" t="s">
        <v>5</v>
      </c>
      <c r="C71" s="15">
        <v>50</v>
      </c>
      <c r="D71" s="14">
        <v>20</v>
      </c>
      <c r="E71" s="13">
        <v>24</v>
      </c>
      <c r="F71" s="13">
        <f>1.8*E71+32</f>
        <v>75.2</v>
      </c>
      <c r="G71" s="13">
        <v>18</v>
      </c>
      <c r="H71" s="13">
        <f>IF(F71&gt;68,G71+(F71-68)*0.2,W276-(68-F71)*0.2)</f>
        <v>19.440000000000001</v>
      </c>
      <c r="I71" s="13">
        <v>22</v>
      </c>
      <c r="J71" s="13">
        <f>1.8*I71+32</f>
        <v>71.599999999999994</v>
      </c>
      <c r="K71" s="13">
        <v>11</v>
      </c>
      <c r="L71" s="13">
        <f>IF(J71&gt;68,K71+(J71-68)*0.2,K71-(68-J71)*0.2)</f>
        <v>11.719999999999999</v>
      </c>
      <c r="M71" s="13">
        <f>(C71-H71)/C71*100</f>
        <v>61.12</v>
      </c>
      <c r="N71" s="13">
        <f>100-(M71+O71)</f>
        <v>15.439999999999998</v>
      </c>
      <c r="O71" s="13">
        <f>L71/C71*100</f>
        <v>23.439999999999998</v>
      </c>
      <c r="P71" s="12" t="s">
        <v>3</v>
      </c>
      <c r="Q71" s="11">
        <v>409281.90890699998</v>
      </c>
      <c r="R71" s="11">
        <v>3659152.5846520001</v>
      </c>
      <c r="T71" s="14">
        <v>2011105</v>
      </c>
      <c r="U71" s="14" t="s">
        <v>274</v>
      </c>
      <c r="V71" s="14">
        <v>6.9269999999999998E-2</v>
      </c>
      <c r="W71" s="14">
        <v>0.39700000000000002</v>
      </c>
      <c r="X71" s="14">
        <v>2.2630000000000001E-2</v>
      </c>
      <c r="Y71" s="14">
        <v>1.3375699999999999</v>
      </c>
      <c r="Z71" s="14">
        <v>10.65099</v>
      </c>
      <c r="AA71" s="14">
        <v>7.3290499999999996</v>
      </c>
      <c r="AB71" s="14">
        <v>-1.32375</v>
      </c>
    </row>
    <row r="72" spans="1:28" x14ac:dyDescent="0.25">
      <c r="A72" s="17"/>
      <c r="B72" s="14" t="s">
        <v>4</v>
      </c>
      <c r="C72" s="15">
        <v>50</v>
      </c>
      <c r="D72" s="14">
        <v>20</v>
      </c>
      <c r="E72" s="13">
        <v>24</v>
      </c>
      <c r="F72" s="13">
        <f>1.8*E72+32</f>
        <v>75.2</v>
      </c>
      <c r="G72" s="13">
        <v>18</v>
      </c>
      <c r="H72" s="13">
        <f>IF(F72&gt;68,G72+(F72-68)*0.2,W277-(68-F72)*0.2)</f>
        <v>19.440000000000001</v>
      </c>
      <c r="I72" s="13">
        <v>22</v>
      </c>
      <c r="J72" s="13">
        <f>1.8*I72+32</f>
        <v>71.599999999999994</v>
      </c>
      <c r="K72" s="13">
        <v>8</v>
      </c>
      <c r="L72" s="13">
        <f>IF(J72&gt;68,K72+(J72-68)*0.2,K72-(68-J72)*0.2)</f>
        <v>8.7199999999999989</v>
      </c>
      <c r="M72" s="13">
        <f>(C72-H72)/C72*100</f>
        <v>61.12</v>
      </c>
      <c r="N72" s="13">
        <f>100-(M72+O72)</f>
        <v>21.439999999999998</v>
      </c>
      <c r="O72" s="13">
        <f>L72/C72*100</f>
        <v>17.439999999999998</v>
      </c>
      <c r="P72" s="12" t="s">
        <v>0</v>
      </c>
      <c r="Q72" s="11">
        <v>409281.90890699998</v>
      </c>
      <c r="R72" s="11">
        <v>3659152.5846520001</v>
      </c>
      <c r="T72" s="14">
        <v>2011105</v>
      </c>
      <c r="U72" s="14" t="s">
        <v>273</v>
      </c>
      <c r="V72" s="14">
        <v>5.935E-2</v>
      </c>
      <c r="W72" s="14">
        <v>0.38235999999999998</v>
      </c>
      <c r="X72" s="14">
        <v>2.8400000000000002E-2</v>
      </c>
      <c r="Y72" s="14">
        <v>1.34612</v>
      </c>
      <c r="Z72" s="14">
        <v>20.374829999999999</v>
      </c>
      <c r="AA72" s="14">
        <v>10.85848</v>
      </c>
      <c r="AB72" s="14">
        <v>-1.4228499999999999</v>
      </c>
    </row>
    <row r="73" spans="1:28" x14ac:dyDescent="0.25">
      <c r="A73" s="16"/>
      <c r="B73" s="14" t="s">
        <v>2</v>
      </c>
      <c r="C73" s="15">
        <v>50</v>
      </c>
      <c r="D73" s="14">
        <v>20</v>
      </c>
      <c r="E73" s="13">
        <v>24</v>
      </c>
      <c r="F73" s="13">
        <f>1.8*E73+32</f>
        <v>75.2</v>
      </c>
      <c r="G73" s="13">
        <v>17</v>
      </c>
      <c r="H73" s="13">
        <f>IF(F73&gt;68,G73+(F73-68)*0.2,W278-(68-F73)*0.2)</f>
        <v>18.440000000000001</v>
      </c>
      <c r="I73" s="13">
        <v>22</v>
      </c>
      <c r="J73" s="13">
        <f>1.8*I73+32</f>
        <v>71.599999999999994</v>
      </c>
      <c r="K73" s="13">
        <v>11</v>
      </c>
      <c r="L73" s="13">
        <f>IF(J73&gt;68,K73+(J73-68)*0.2,K73-(68-J73)*0.2)</f>
        <v>11.719999999999999</v>
      </c>
      <c r="M73" s="13">
        <f>(C73-H73)/C73*100</f>
        <v>63.12</v>
      </c>
      <c r="N73" s="13">
        <f>100-(M73+O73)</f>
        <v>13.439999999999998</v>
      </c>
      <c r="O73" s="13">
        <f>L73/C73*100</f>
        <v>23.439999999999998</v>
      </c>
      <c r="P73" s="12" t="s">
        <v>3</v>
      </c>
      <c r="Q73" s="11">
        <v>409281.90890699998</v>
      </c>
      <c r="R73" s="11">
        <v>3659152.5846520001</v>
      </c>
      <c r="T73" s="14">
        <v>2011105</v>
      </c>
      <c r="U73" s="14" t="s">
        <v>272</v>
      </c>
      <c r="V73" s="14">
        <v>6.6320000000000004E-2</v>
      </c>
      <c r="W73" s="14">
        <v>0.39378999999999997</v>
      </c>
      <c r="X73" s="14">
        <v>2.3210000000000001E-2</v>
      </c>
      <c r="Y73" s="14">
        <v>1.3451200000000001</v>
      </c>
      <c r="Z73" s="14">
        <v>12.559609999999999</v>
      </c>
      <c r="AA73" s="14">
        <v>7.8987600000000002</v>
      </c>
      <c r="AB73" s="14">
        <v>-1.2956399999999999</v>
      </c>
    </row>
    <row r="74" spans="1:28" x14ac:dyDescent="0.25">
      <c r="A74" s="16"/>
      <c r="B74" s="14" t="s">
        <v>1</v>
      </c>
      <c r="C74" s="15">
        <v>50</v>
      </c>
      <c r="D74" s="14">
        <v>20</v>
      </c>
      <c r="E74" s="13">
        <v>24</v>
      </c>
      <c r="F74" s="13">
        <f>1.8*E74+32</f>
        <v>75.2</v>
      </c>
      <c r="G74" s="13">
        <v>15</v>
      </c>
      <c r="H74" s="13">
        <f>IF(F74&gt;68,G74+(F74-68)*0.2,W279-(68-F74)*0.2)</f>
        <v>16.440000000000001</v>
      </c>
      <c r="I74" s="13">
        <v>22</v>
      </c>
      <c r="J74" s="13">
        <f>1.8*I74+32</f>
        <v>71.599999999999994</v>
      </c>
      <c r="K74" s="13">
        <v>9</v>
      </c>
      <c r="L74" s="13">
        <f>IF(J74&gt;68,K74+(J74-68)*0.2,K74-(68-J74)*0.2)</f>
        <v>9.7199999999999989</v>
      </c>
      <c r="M74" s="13">
        <f>(C74-H74)/C74*100</f>
        <v>67.12</v>
      </c>
      <c r="N74" s="13">
        <f>100-(M74+O74)</f>
        <v>13.439999999999998</v>
      </c>
      <c r="O74" s="13">
        <f>L74/C74*100</f>
        <v>19.439999999999998</v>
      </c>
      <c r="P74" s="12" t="s">
        <v>0</v>
      </c>
      <c r="Q74" s="11">
        <v>409281.90890699998</v>
      </c>
      <c r="R74" s="11">
        <v>3659152.5846520001</v>
      </c>
      <c r="T74" s="14">
        <v>2011105</v>
      </c>
      <c r="U74" s="14" t="s">
        <v>271</v>
      </c>
      <c r="V74" s="14">
        <v>6.4219999999999999E-2</v>
      </c>
      <c r="W74" s="14">
        <v>0.39662999999999998</v>
      </c>
      <c r="X74" s="14">
        <v>2.0119999999999999E-2</v>
      </c>
      <c r="Y74" s="14">
        <v>1.3780600000000001</v>
      </c>
      <c r="Z74" s="14">
        <v>12.79232</v>
      </c>
      <c r="AA74" s="14">
        <v>7.0671799999999996</v>
      </c>
      <c r="AB74" s="14">
        <v>-1.04111</v>
      </c>
    </row>
    <row r="75" spans="1:28" x14ac:dyDescent="0.25">
      <c r="A75" s="1"/>
      <c r="I75" t="s">
        <v>34</v>
      </c>
      <c r="T75" s="14">
        <v>2011105</v>
      </c>
      <c r="U75" s="14" t="s">
        <v>270</v>
      </c>
      <c r="V75" s="14">
        <v>6.6489999999999994E-2</v>
      </c>
      <c r="W75" s="14">
        <v>0.39477000000000001</v>
      </c>
      <c r="X75" s="14">
        <v>2.2679999999999999E-2</v>
      </c>
      <c r="Y75" s="14">
        <v>1.3488599999999999</v>
      </c>
      <c r="Z75" s="14">
        <v>12.27638</v>
      </c>
      <c r="AA75" s="14">
        <v>7.7036600000000002</v>
      </c>
      <c r="AB75" s="14">
        <v>-1.2606999999999999</v>
      </c>
    </row>
    <row r="76" spans="1:28" ht="51.75" x14ac:dyDescent="0.25">
      <c r="A76" s="19" t="s">
        <v>269</v>
      </c>
      <c r="B76" s="22" t="s">
        <v>26</v>
      </c>
      <c r="C76" s="26" t="s">
        <v>25</v>
      </c>
      <c r="D76" s="25" t="s">
        <v>24</v>
      </c>
      <c r="E76" s="24" t="s">
        <v>23</v>
      </c>
      <c r="F76" s="24" t="s">
        <v>22</v>
      </c>
      <c r="G76" s="24" t="s">
        <v>21</v>
      </c>
      <c r="H76" s="24" t="s">
        <v>20</v>
      </c>
      <c r="I76" s="24" t="s">
        <v>19</v>
      </c>
      <c r="J76" s="24" t="s">
        <v>18</v>
      </c>
      <c r="K76" s="24" t="s">
        <v>17</v>
      </c>
      <c r="L76" s="24" t="s">
        <v>16</v>
      </c>
      <c r="M76" s="23" t="s">
        <v>15</v>
      </c>
      <c r="N76" s="23" t="s">
        <v>14</v>
      </c>
      <c r="O76" s="23" t="s">
        <v>13</v>
      </c>
      <c r="P76" s="22" t="s">
        <v>12</v>
      </c>
      <c r="Q76" s="27" t="s">
        <v>11</v>
      </c>
      <c r="R76" s="27"/>
      <c r="T76" s="14">
        <v>2011105</v>
      </c>
      <c r="U76" s="14" t="s">
        <v>268</v>
      </c>
      <c r="V76" s="14">
        <v>7.5439999999999993E-2</v>
      </c>
      <c r="W76" s="14">
        <v>0.40948000000000001</v>
      </c>
      <c r="X76" s="14">
        <v>1.993E-2</v>
      </c>
      <c r="Y76" s="14">
        <v>1.3379099999999999</v>
      </c>
      <c r="Z76" s="14">
        <v>7.0929000000000002</v>
      </c>
      <c r="AA76" s="14">
        <v>5.8913599999999997</v>
      </c>
      <c r="AB76" s="14">
        <v>-1.2337100000000001</v>
      </c>
    </row>
    <row r="77" spans="1:28" x14ac:dyDescent="0.25">
      <c r="A77" s="20"/>
      <c r="B77" s="22"/>
      <c r="C77" s="26"/>
      <c r="D77" s="25"/>
      <c r="E77" s="24"/>
      <c r="F77" s="24"/>
      <c r="G77" s="24"/>
      <c r="H77" s="24"/>
      <c r="I77" s="24"/>
      <c r="J77" s="24"/>
      <c r="K77" s="24"/>
      <c r="L77" s="24"/>
      <c r="M77" s="23"/>
      <c r="N77" s="23"/>
      <c r="O77" s="23"/>
      <c r="P77" s="22"/>
      <c r="Q77" s="21" t="s">
        <v>10</v>
      </c>
      <c r="R77" s="21" t="s">
        <v>9</v>
      </c>
      <c r="T77" s="14">
        <v>2011105</v>
      </c>
      <c r="U77" s="14" t="s">
        <v>267</v>
      </c>
      <c r="V77" s="14">
        <v>5.0500000000000003E-2</v>
      </c>
      <c r="W77" s="14">
        <v>0.39208999999999999</v>
      </c>
      <c r="X77" s="14">
        <v>1.421E-2</v>
      </c>
      <c r="Y77" s="14">
        <v>1.45248</v>
      </c>
      <c r="Z77" s="14">
        <v>18.071010000000001</v>
      </c>
      <c r="AA77" s="14">
        <v>5.78714</v>
      </c>
      <c r="AB77" s="14">
        <v>-0.49109000000000003</v>
      </c>
    </row>
    <row r="78" spans="1:28" x14ac:dyDescent="0.25">
      <c r="A78" s="20"/>
      <c r="B78" s="14" t="s">
        <v>8</v>
      </c>
      <c r="C78" s="15">
        <v>50</v>
      </c>
      <c r="D78" s="14">
        <v>20</v>
      </c>
      <c r="E78" s="13">
        <v>25</v>
      </c>
      <c r="F78" s="13">
        <f>1.8*E78+32</f>
        <v>77</v>
      </c>
      <c r="G78" s="13">
        <v>18</v>
      </c>
      <c r="H78" s="13">
        <f>IF(F78&gt;68,G78+(F78-68)*0.2,#REF!-(68-F78)*0.2)</f>
        <v>19.8</v>
      </c>
      <c r="I78" s="13">
        <v>23</v>
      </c>
      <c r="J78" s="13">
        <f>1.8*I78+32</f>
        <v>73.400000000000006</v>
      </c>
      <c r="K78" s="13">
        <v>9</v>
      </c>
      <c r="L78" s="13">
        <f>IF(J78&gt;68,K78+(J78-68)*0.2,K78-(68-J78)*0.2)</f>
        <v>10.080000000000002</v>
      </c>
      <c r="M78" s="13">
        <f>(C78-H78)/C78*100</f>
        <v>60.4</v>
      </c>
      <c r="N78" s="13">
        <f>100-(M78+O78)</f>
        <v>19.439999999999998</v>
      </c>
      <c r="O78" s="13">
        <f>L78/C78*100</f>
        <v>20.160000000000004</v>
      </c>
      <c r="P78" s="12" t="s">
        <v>3</v>
      </c>
      <c r="Q78" s="11">
        <v>409281.95853300003</v>
      </c>
      <c r="R78" s="11">
        <v>3659138.8437259998</v>
      </c>
      <c r="T78" s="14">
        <v>2011105</v>
      </c>
      <c r="U78" s="14" t="s">
        <v>266</v>
      </c>
      <c r="V78" s="14">
        <v>6.2289999999999998E-2</v>
      </c>
      <c r="W78" s="14">
        <v>0.38379000000000002</v>
      </c>
      <c r="X78" s="14">
        <v>2.7470000000000001E-2</v>
      </c>
      <c r="Y78" s="14">
        <v>1.3330500000000001</v>
      </c>
      <c r="Z78" s="14">
        <v>17.135570000000001</v>
      </c>
      <c r="AA78" s="14">
        <v>9.86252</v>
      </c>
      <c r="AB78" s="14">
        <v>-1.47973</v>
      </c>
    </row>
    <row r="79" spans="1:28" x14ac:dyDescent="0.25">
      <c r="A79" s="19" t="s">
        <v>7</v>
      </c>
      <c r="B79" s="14" t="s">
        <v>6</v>
      </c>
      <c r="C79" s="15">
        <v>50</v>
      </c>
      <c r="D79" s="14">
        <v>20</v>
      </c>
      <c r="E79" s="13">
        <v>23</v>
      </c>
      <c r="F79" s="13">
        <f>1.8*E79+32</f>
        <v>73.400000000000006</v>
      </c>
      <c r="G79" s="13">
        <v>24</v>
      </c>
      <c r="H79" s="13">
        <f>IF(F79&gt;68,G79+(F79-68)*0.2,W282-(68-F79)*0.2)</f>
        <v>25.080000000000002</v>
      </c>
      <c r="I79" s="13">
        <v>23</v>
      </c>
      <c r="J79" s="13">
        <f>1.8*I79+32</f>
        <v>73.400000000000006</v>
      </c>
      <c r="K79" s="13">
        <v>14</v>
      </c>
      <c r="L79" s="13">
        <f>IF(J79&gt;68,K79+(J79-68)*0.2,K79-(68-J79)*0.2)</f>
        <v>15.080000000000002</v>
      </c>
      <c r="M79" s="13">
        <f>(C79-H79)/C79*100</f>
        <v>49.839999999999996</v>
      </c>
      <c r="N79" s="13">
        <f>100-(M79+O79)</f>
        <v>20</v>
      </c>
      <c r="O79" s="13">
        <f>L79/C79*100</f>
        <v>30.160000000000004</v>
      </c>
      <c r="P79" s="12" t="s">
        <v>3</v>
      </c>
      <c r="Q79" s="11">
        <v>409281.95853300003</v>
      </c>
      <c r="R79" s="11">
        <v>3659138.8437259998</v>
      </c>
      <c r="T79" s="14">
        <v>2011105</v>
      </c>
      <c r="U79" s="14" t="s">
        <v>265</v>
      </c>
      <c r="V79" s="14">
        <v>6.0199999999999997E-2</v>
      </c>
      <c r="W79" s="14">
        <v>0.39071</v>
      </c>
      <c r="X79" s="14">
        <v>2.3290000000000002E-2</v>
      </c>
      <c r="Y79" s="14">
        <v>1.3679300000000001</v>
      </c>
      <c r="Z79" s="14">
        <v>16.803609999999999</v>
      </c>
      <c r="AA79" s="14">
        <v>8.8185099999999998</v>
      </c>
      <c r="AB79" s="14">
        <v>-1.1654199999999999</v>
      </c>
    </row>
    <row r="80" spans="1:28" x14ac:dyDescent="0.25">
      <c r="A80" s="18">
        <v>41494</v>
      </c>
      <c r="B80" s="14" t="s">
        <v>5</v>
      </c>
      <c r="C80" s="15">
        <v>50</v>
      </c>
      <c r="D80" s="14">
        <v>20</v>
      </c>
      <c r="E80" s="13">
        <v>23</v>
      </c>
      <c r="F80" s="13">
        <f>1.8*E80+32</f>
        <v>73.400000000000006</v>
      </c>
      <c r="G80" s="13">
        <v>31</v>
      </c>
      <c r="H80" s="13">
        <f>IF(F80&gt;68,G80+(F80-68)*0.2,W283-(68-F80)*0.2)</f>
        <v>32.08</v>
      </c>
      <c r="I80" s="13">
        <v>23</v>
      </c>
      <c r="J80" s="13">
        <f>1.8*I80+32</f>
        <v>73.400000000000006</v>
      </c>
      <c r="K80" s="13">
        <v>19</v>
      </c>
      <c r="L80" s="13">
        <f>IF(J80&gt;68,K80+(J80-68)*0.2,K80-(68-J80)*0.2)</f>
        <v>20.080000000000002</v>
      </c>
      <c r="M80" s="13">
        <f>(C80-H80)/C80*100</f>
        <v>35.840000000000003</v>
      </c>
      <c r="N80" s="13">
        <f>100-(M80+O80)</f>
        <v>24</v>
      </c>
      <c r="O80" s="13">
        <f>L80/C80*100</f>
        <v>40.160000000000004</v>
      </c>
      <c r="P80" s="12" t="s">
        <v>37</v>
      </c>
      <c r="Q80" s="11">
        <v>409281.95853300003</v>
      </c>
      <c r="R80" s="11">
        <v>3659138.8437259998</v>
      </c>
      <c r="T80" s="14">
        <v>2011105</v>
      </c>
      <c r="U80" s="14" t="s">
        <v>264</v>
      </c>
      <c r="V80" s="14">
        <v>7.5219999999999995E-2</v>
      </c>
      <c r="W80" s="14">
        <v>0.40820000000000001</v>
      </c>
      <c r="X80" s="14">
        <v>2.0449999999999999E-2</v>
      </c>
      <c r="Y80" s="14">
        <v>1.3333299999999999</v>
      </c>
      <c r="Z80" s="14">
        <v>7.3093899999999996</v>
      </c>
      <c r="AA80" s="14">
        <v>6.0628099999999998</v>
      </c>
      <c r="AB80" s="14">
        <v>-1.2767299999999999</v>
      </c>
    </row>
    <row r="81" spans="1:28" x14ac:dyDescent="0.25">
      <c r="A81" s="17"/>
      <c r="B81" s="14" t="s">
        <v>4</v>
      </c>
      <c r="C81" s="15">
        <v>50</v>
      </c>
      <c r="D81" s="14">
        <v>20</v>
      </c>
      <c r="E81" s="13">
        <v>23</v>
      </c>
      <c r="F81" s="13">
        <f>1.8*E81+32</f>
        <v>73.400000000000006</v>
      </c>
      <c r="G81" s="13">
        <v>20</v>
      </c>
      <c r="H81" s="13">
        <f>IF(F81&gt;68,G81+(F81-68)*0.2,W284-(68-F81)*0.2)</f>
        <v>21.080000000000002</v>
      </c>
      <c r="I81" s="13">
        <v>23</v>
      </c>
      <c r="J81" s="13">
        <f>1.8*I81+32</f>
        <v>73.400000000000006</v>
      </c>
      <c r="K81" s="13">
        <v>12</v>
      </c>
      <c r="L81" s="13">
        <f>IF(J81&gt;68,K81+(J81-68)*0.2,K81-(68-J81)*0.2)</f>
        <v>13.080000000000002</v>
      </c>
      <c r="M81" s="13">
        <f>(C81-H81)/C81*100</f>
        <v>57.839999999999989</v>
      </c>
      <c r="N81" s="13">
        <f>100-(M81+O81)</f>
        <v>16</v>
      </c>
      <c r="O81" s="13">
        <f>L81/C81*100</f>
        <v>26.160000000000004</v>
      </c>
      <c r="P81" s="12" t="s">
        <v>3</v>
      </c>
      <c r="Q81" s="11">
        <v>409281.95853300003</v>
      </c>
      <c r="R81" s="11">
        <v>3659138.8437259998</v>
      </c>
      <c r="T81" s="14">
        <v>2011105</v>
      </c>
      <c r="U81" s="14" t="s">
        <v>263</v>
      </c>
      <c r="V81" s="14">
        <v>7.0930000000000007E-2</v>
      </c>
      <c r="W81" s="14">
        <v>0.39417999999999997</v>
      </c>
      <c r="X81" s="14">
        <v>2.4729999999999999E-2</v>
      </c>
      <c r="Y81" s="14">
        <v>1.3091999999999999</v>
      </c>
      <c r="Z81" s="14">
        <v>10.500780000000001</v>
      </c>
      <c r="AA81" s="14">
        <v>7.6637199999999996</v>
      </c>
      <c r="AB81" s="14">
        <v>-1.5672999999999999</v>
      </c>
    </row>
    <row r="82" spans="1:28" x14ac:dyDescent="0.25">
      <c r="A82" s="16"/>
      <c r="B82" s="14" t="s">
        <v>2</v>
      </c>
      <c r="C82" s="15">
        <v>50</v>
      </c>
      <c r="D82" s="14">
        <v>20</v>
      </c>
      <c r="E82" s="13">
        <v>23</v>
      </c>
      <c r="F82" s="13">
        <f>1.8*E82+32</f>
        <v>73.400000000000006</v>
      </c>
      <c r="G82" s="13">
        <v>16</v>
      </c>
      <c r="H82" s="13">
        <f>IF(F82&gt;68,G82+(F82-68)*0.2,W285-(68-F82)*0.2)</f>
        <v>17.080000000000002</v>
      </c>
      <c r="I82" s="13">
        <v>23</v>
      </c>
      <c r="J82" s="13">
        <f>1.8*I82+32</f>
        <v>73.400000000000006</v>
      </c>
      <c r="K82" s="13">
        <v>8</v>
      </c>
      <c r="L82" s="13">
        <f>IF(J82&gt;68,K82+(J82-68)*0.2,K82-(68-J82)*0.2)</f>
        <v>9.0800000000000018</v>
      </c>
      <c r="M82" s="13">
        <f>(C82-H82)/C82*100</f>
        <v>65.84</v>
      </c>
      <c r="N82" s="13">
        <f>100-(M82+O82)</f>
        <v>16</v>
      </c>
      <c r="O82" s="13">
        <f>L82/C82*100</f>
        <v>18.160000000000004</v>
      </c>
      <c r="P82" s="12" t="s">
        <v>0</v>
      </c>
      <c r="Q82" s="11">
        <v>409281.95853300003</v>
      </c>
      <c r="R82" s="11">
        <v>3659138.8437259998</v>
      </c>
      <c r="T82" s="14">
        <v>2011105</v>
      </c>
      <c r="U82" s="14" t="s">
        <v>262</v>
      </c>
      <c r="V82" s="14">
        <v>5.6250000000000001E-2</v>
      </c>
      <c r="W82" s="14">
        <v>0.38325999999999999</v>
      </c>
      <c r="X82" s="14">
        <v>2.87E-2</v>
      </c>
      <c r="Y82" s="14">
        <v>1.3606499999999999</v>
      </c>
      <c r="Z82" s="14">
        <v>23.54195</v>
      </c>
      <c r="AA82" s="14">
        <v>11.77164</v>
      </c>
      <c r="AB82" s="14">
        <v>-1.3377399999999999</v>
      </c>
    </row>
    <row r="83" spans="1:28" x14ac:dyDescent="0.25">
      <c r="A83" s="16"/>
      <c r="B83" s="14" t="s">
        <v>1</v>
      </c>
      <c r="C83" s="15">
        <v>50</v>
      </c>
      <c r="D83" s="14">
        <v>20</v>
      </c>
      <c r="E83" s="13">
        <v>23</v>
      </c>
      <c r="F83" s="13">
        <f>1.8*E83+32</f>
        <v>73.400000000000006</v>
      </c>
      <c r="G83" s="13">
        <v>17</v>
      </c>
      <c r="H83" s="13">
        <f>IF(F83&gt;68,G83+(F83-68)*0.2,W286-(68-F83)*0.2)</f>
        <v>18.080000000000002</v>
      </c>
      <c r="I83" s="13">
        <v>23</v>
      </c>
      <c r="J83" s="13">
        <f>1.8*I83+32</f>
        <v>73.400000000000006</v>
      </c>
      <c r="K83" s="13">
        <v>8</v>
      </c>
      <c r="L83" s="13">
        <f>IF(J83&gt;68,K83+(J83-68)*0.2,K83-(68-J83)*0.2)</f>
        <v>9.0800000000000018</v>
      </c>
      <c r="M83" s="13">
        <f>(C83-H83)/C83*100</f>
        <v>63.839999999999996</v>
      </c>
      <c r="N83" s="13">
        <f>100-(M83+O83)</f>
        <v>18</v>
      </c>
      <c r="O83" s="13">
        <f>L83/C83*100</f>
        <v>18.160000000000004</v>
      </c>
      <c r="P83" s="12" t="s">
        <v>0</v>
      </c>
      <c r="Q83" s="11">
        <v>409281.95853300003</v>
      </c>
      <c r="R83" s="11">
        <v>3659138.8437259998</v>
      </c>
      <c r="T83" s="14">
        <v>2011105</v>
      </c>
      <c r="U83" s="14" t="s">
        <v>261</v>
      </c>
      <c r="V83" s="14">
        <v>4.6030000000000001E-2</v>
      </c>
      <c r="W83" s="14">
        <v>0.38109999999999999</v>
      </c>
      <c r="X83" s="14">
        <v>3.5999999999999997E-2</v>
      </c>
      <c r="Y83" s="14">
        <v>1.5154300000000001</v>
      </c>
      <c r="Z83" s="14">
        <v>60.572510000000001</v>
      </c>
      <c r="AA83" s="14">
        <v>21.54392</v>
      </c>
      <c r="AB83" s="14">
        <v>-1.0571299999999999</v>
      </c>
    </row>
    <row r="84" spans="1:28" x14ac:dyDescent="0.25">
      <c r="A84" s="1"/>
      <c r="Q84" s="31"/>
      <c r="R84" s="31"/>
      <c r="T84" s="14">
        <v>2011105</v>
      </c>
      <c r="U84" s="14" t="s">
        <v>260</v>
      </c>
      <c r="V84" s="14">
        <v>5.6950000000000001E-2</v>
      </c>
      <c r="W84" s="14">
        <v>0.39016000000000001</v>
      </c>
      <c r="X84" s="14">
        <v>2.257E-2</v>
      </c>
      <c r="Y84" s="14">
        <v>1.3821399999999999</v>
      </c>
      <c r="Z84" s="14">
        <v>18.967639999999999</v>
      </c>
      <c r="AA84" s="14">
        <v>9.0074799999999993</v>
      </c>
      <c r="AB84" s="14">
        <v>-1.0662</v>
      </c>
    </row>
    <row r="85" spans="1:28" ht="51.75" x14ac:dyDescent="0.25">
      <c r="A85" s="19" t="s">
        <v>259</v>
      </c>
      <c r="B85" s="22" t="s">
        <v>26</v>
      </c>
      <c r="C85" s="26" t="s">
        <v>25</v>
      </c>
      <c r="D85" s="25" t="s">
        <v>24</v>
      </c>
      <c r="E85" s="24" t="s">
        <v>23</v>
      </c>
      <c r="F85" s="24" t="s">
        <v>22</v>
      </c>
      <c r="G85" s="24" t="s">
        <v>21</v>
      </c>
      <c r="H85" s="24" t="s">
        <v>20</v>
      </c>
      <c r="I85" s="24" t="s">
        <v>19</v>
      </c>
      <c r="J85" s="24" t="s">
        <v>18</v>
      </c>
      <c r="K85" s="24" t="s">
        <v>17</v>
      </c>
      <c r="L85" s="24" t="s">
        <v>16</v>
      </c>
      <c r="M85" s="23" t="s">
        <v>15</v>
      </c>
      <c r="N85" s="23" t="s">
        <v>14</v>
      </c>
      <c r="O85" s="23" t="s">
        <v>13</v>
      </c>
      <c r="P85" s="22" t="s">
        <v>12</v>
      </c>
      <c r="Q85" s="34" t="s">
        <v>11</v>
      </c>
      <c r="R85" s="33"/>
      <c r="T85" s="14">
        <v>2011105</v>
      </c>
      <c r="U85" s="14" t="s">
        <v>258</v>
      </c>
      <c r="V85" s="14">
        <v>6.9269999999999998E-2</v>
      </c>
      <c r="W85" s="14">
        <v>0.39700000000000002</v>
      </c>
      <c r="X85" s="14">
        <v>2.2630000000000001E-2</v>
      </c>
      <c r="Y85" s="14">
        <v>1.3375699999999999</v>
      </c>
      <c r="Z85" s="14">
        <v>10.65099</v>
      </c>
      <c r="AA85" s="14">
        <v>7.3290499999999996</v>
      </c>
      <c r="AB85" s="14">
        <v>-1.32375</v>
      </c>
    </row>
    <row r="86" spans="1:28" x14ac:dyDescent="0.25">
      <c r="A86" s="20"/>
      <c r="B86" s="22"/>
      <c r="C86" s="26"/>
      <c r="D86" s="25"/>
      <c r="E86" s="24"/>
      <c r="F86" s="24"/>
      <c r="G86" s="24"/>
      <c r="H86" s="24"/>
      <c r="I86" s="24"/>
      <c r="J86" s="24"/>
      <c r="K86" s="24"/>
      <c r="L86" s="24"/>
      <c r="M86" s="23"/>
      <c r="N86" s="23"/>
      <c r="O86" s="23"/>
      <c r="P86" s="22"/>
      <c r="Q86" s="21" t="s">
        <v>10</v>
      </c>
      <c r="R86" s="21" t="s">
        <v>9</v>
      </c>
      <c r="T86" s="14">
        <v>2011105</v>
      </c>
      <c r="U86" s="14" t="s">
        <v>257</v>
      </c>
      <c r="V86" s="14">
        <v>7.3200000000000001E-2</v>
      </c>
      <c r="W86" s="14">
        <v>0.40727999999999998</v>
      </c>
      <c r="X86" s="14">
        <v>1.925E-2</v>
      </c>
      <c r="Y86" s="14">
        <v>1.3544799999999999</v>
      </c>
      <c r="Z86" s="14">
        <v>7.8134800000000002</v>
      </c>
      <c r="AA86" s="14">
        <v>5.8772200000000003</v>
      </c>
      <c r="AB86" s="14">
        <v>-1.1299300000000001</v>
      </c>
    </row>
    <row r="87" spans="1:28" x14ac:dyDescent="0.25">
      <c r="A87" s="20"/>
      <c r="B87" s="14" t="s">
        <v>8</v>
      </c>
      <c r="C87" s="15">
        <v>50</v>
      </c>
      <c r="D87" s="14">
        <v>20</v>
      </c>
      <c r="E87" s="13">
        <v>23</v>
      </c>
      <c r="F87" s="13">
        <f>1.8*E87+32</f>
        <v>73.400000000000006</v>
      </c>
      <c r="G87" s="13">
        <v>19</v>
      </c>
      <c r="H87" s="13">
        <f>IF(F87&gt;68,G87+(F87-68)*0.2,W290-(68-F87)*0.2)</f>
        <v>20.080000000000002</v>
      </c>
      <c r="I87" s="13">
        <v>23</v>
      </c>
      <c r="J87" s="13">
        <f>1.8*I87+32</f>
        <v>73.400000000000006</v>
      </c>
      <c r="K87" s="13">
        <v>10</v>
      </c>
      <c r="L87" s="13">
        <f>IF(J87&gt;68,K87+(J87-68)*0.2,K87-(68-J87)*0.2)</f>
        <v>11.080000000000002</v>
      </c>
      <c r="M87" s="13">
        <f>(C87-H87)/C87*100</f>
        <v>59.839999999999996</v>
      </c>
      <c r="N87" s="13">
        <f>100-(M87+O87)</f>
        <v>18</v>
      </c>
      <c r="O87" s="13">
        <f>L87/C87*100</f>
        <v>22.160000000000004</v>
      </c>
      <c r="P87" s="12" t="s">
        <v>3</v>
      </c>
      <c r="Q87" s="11">
        <v>409281.928908</v>
      </c>
      <c r="R87" s="11">
        <v>3659129.8034930001</v>
      </c>
      <c r="T87" s="14">
        <v>2011105</v>
      </c>
      <c r="U87" s="14" t="s">
        <v>256</v>
      </c>
      <c r="V87" s="14">
        <v>6.8330000000000002E-2</v>
      </c>
      <c r="W87" s="14">
        <v>0.40468999999999999</v>
      </c>
      <c r="X87" s="14">
        <v>1.6820000000000002E-2</v>
      </c>
      <c r="Y87" s="14">
        <v>1.39628</v>
      </c>
      <c r="Z87" s="14">
        <v>9.2875599999999991</v>
      </c>
      <c r="AA87" s="14">
        <v>5.4534099999999999</v>
      </c>
      <c r="AB87" s="14">
        <v>-0.86819000000000002</v>
      </c>
    </row>
    <row r="88" spans="1:28" x14ac:dyDescent="0.25">
      <c r="A88" s="19" t="s">
        <v>7</v>
      </c>
      <c r="B88" s="14" t="s">
        <v>6</v>
      </c>
      <c r="C88" s="15">
        <v>50</v>
      </c>
      <c r="D88" s="14">
        <v>20</v>
      </c>
      <c r="E88" s="13">
        <v>23</v>
      </c>
      <c r="F88" s="13">
        <f>1.8*E88+32</f>
        <v>73.400000000000006</v>
      </c>
      <c r="G88" s="13">
        <v>23</v>
      </c>
      <c r="H88" s="13">
        <f>IF(F88&gt;68,G88+(F88-68)*0.2,#REF!-(68-F88)*0.2)</f>
        <v>24.080000000000002</v>
      </c>
      <c r="I88" s="13">
        <v>23</v>
      </c>
      <c r="J88" s="13">
        <f>1.8*I88+32</f>
        <v>73.400000000000006</v>
      </c>
      <c r="K88" s="13">
        <v>13</v>
      </c>
      <c r="L88" s="13">
        <f>IF(J88&gt;68,K88+(J88-68)*0.2,K88-(68-J88)*0.2)</f>
        <v>14.080000000000002</v>
      </c>
      <c r="M88" s="13">
        <f>(C88-H88)/C88*100</f>
        <v>51.839999999999996</v>
      </c>
      <c r="N88" s="13">
        <f>100-(M88+O88)</f>
        <v>20</v>
      </c>
      <c r="O88" s="13">
        <f>L88/C88*100</f>
        <v>28.16</v>
      </c>
      <c r="P88" s="12" t="s">
        <v>3</v>
      </c>
      <c r="Q88" s="11">
        <v>409281.928908</v>
      </c>
      <c r="R88" s="11">
        <v>3659129.8034930001</v>
      </c>
      <c r="T88" s="14">
        <v>2011105</v>
      </c>
      <c r="U88" s="14" t="s">
        <v>255</v>
      </c>
      <c r="V88" s="14">
        <v>6.8440000000000001E-2</v>
      </c>
      <c r="W88" s="14">
        <v>0.39211000000000001</v>
      </c>
      <c r="X88" s="14">
        <v>2.477E-2</v>
      </c>
      <c r="Y88" s="14">
        <v>1.3214300000000001</v>
      </c>
      <c r="Z88" s="14">
        <v>11.7898</v>
      </c>
      <c r="AA88" s="14">
        <v>8.0341500000000003</v>
      </c>
      <c r="AB88" s="14">
        <v>-1.4835799999999999</v>
      </c>
    </row>
    <row r="89" spans="1:28" x14ac:dyDescent="0.25">
      <c r="A89" s="18">
        <v>41494</v>
      </c>
      <c r="B89" s="14" t="s">
        <v>5</v>
      </c>
      <c r="C89" s="15">
        <v>50</v>
      </c>
      <c r="D89" s="14">
        <v>20</v>
      </c>
      <c r="E89" s="13">
        <v>23</v>
      </c>
      <c r="F89" s="13">
        <f>1.8*E89+32</f>
        <v>73.400000000000006</v>
      </c>
      <c r="G89" s="13">
        <v>23</v>
      </c>
      <c r="H89" s="13">
        <f>IF(F89&gt;68,G89+(F89-68)*0.2,#REF!-(68-F89)*0.2)</f>
        <v>24.080000000000002</v>
      </c>
      <c r="I89" s="13">
        <v>23</v>
      </c>
      <c r="J89" s="13">
        <f>1.8*I89+32</f>
        <v>73.400000000000006</v>
      </c>
      <c r="K89" s="13">
        <v>12</v>
      </c>
      <c r="L89" s="13">
        <f>IF(J89&gt;68,K89+(J89-68)*0.2,K89-(68-J89)*0.2)</f>
        <v>13.080000000000002</v>
      </c>
      <c r="M89" s="13">
        <f>(C89-H89)/C89*100</f>
        <v>51.839999999999996</v>
      </c>
      <c r="N89" s="13">
        <f>100-(M89+O89)</f>
        <v>22</v>
      </c>
      <c r="O89" s="13">
        <f>L89/C89*100</f>
        <v>26.160000000000004</v>
      </c>
      <c r="P89" s="12" t="s">
        <v>3</v>
      </c>
      <c r="Q89" s="11">
        <v>409281.928908</v>
      </c>
      <c r="R89" s="11">
        <v>3659129.8034930001</v>
      </c>
      <c r="T89" s="14">
        <v>2011105</v>
      </c>
      <c r="U89" s="14" t="s">
        <v>254</v>
      </c>
      <c r="V89" s="14">
        <v>7.1120000000000003E-2</v>
      </c>
      <c r="W89" s="14">
        <v>0.39532</v>
      </c>
      <c r="X89" s="14">
        <v>2.4320000000000001E-2</v>
      </c>
      <c r="Y89" s="14">
        <v>1.3125199999999999</v>
      </c>
      <c r="Z89" s="14">
        <v>10.246829999999999</v>
      </c>
      <c r="AA89" s="14">
        <v>7.5439600000000002</v>
      </c>
      <c r="AB89" s="14">
        <v>-1.5313300000000001</v>
      </c>
    </row>
    <row r="90" spans="1:28" x14ac:dyDescent="0.25">
      <c r="A90" s="17"/>
      <c r="B90" s="14" t="s">
        <v>4</v>
      </c>
      <c r="C90" s="15">
        <v>50</v>
      </c>
      <c r="D90" s="14">
        <v>20</v>
      </c>
      <c r="E90" s="13">
        <v>23</v>
      </c>
      <c r="F90" s="13">
        <f>1.8*E90+32</f>
        <v>73.400000000000006</v>
      </c>
      <c r="G90" s="13">
        <v>22</v>
      </c>
      <c r="H90" s="13">
        <f>IF(F90&gt;68,G90+(F90-68)*0.2,W291-(68-F90)*0.2)</f>
        <v>23.080000000000002</v>
      </c>
      <c r="I90" s="13">
        <v>23</v>
      </c>
      <c r="J90" s="13">
        <f>1.8*I90+32</f>
        <v>73.400000000000006</v>
      </c>
      <c r="K90" s="13">
        <v>12</v>
      </c>
      <c r="L90" s="13">
        <f>IF(J90&gt;68,K90+(J90-68)*0.2,K90-(68-J90)*0.2)</f>
        <v>13.080000000000002</v>
      </c>
      <c r="M90" s="13">
        <f>(C90-H90)/C90*100</f>
        <v>53.839999999999996</v>
      </c>
      <c r="N90" s="13">
        <f>100-(M90+O90)</f>
        <v>20</v>
      </c>
      <c r="O90" s="13">
        <f>L90/C90*100</f>
        <v>26.160000000000004</v>
      </c>
      <c r="P90" s="12" t="s">
        <v>3</v>
      </c>
      <c r="Q90" s="11">
        <v>409281.928908</v>
      </c>
      <c r="R90" s="11">
        <v>3659129.8034930001</v>
      </c>
      <c r="T90" s="14">
        <v>2011105</v>
      </c>
      <c r="U90" s="14" t="s">
        <v>253</v>
      </c>
      <c r="V90" s="14">
        <v>6.241E-2</v>
      </c>
      <c r="W90" s="14">
        <v>0.38533000000000001</v>
      </c>
      <c r="X90" s="14">
        <v>2.6919999999999999E-2</v>
      </c>
      <c r="Y90" s="14">
        <v>1.33578</v>
      </c>
      <c r="Z90" s="14">
        <v>16.763770000000001</v>
      </c>
      <c r="AA90" s="14">
        <v>9.6893600000000006</v>
      </c>
      <c r="AB90" s="14">
        <v>-1.44611</v>
      </c>
    </row>
    <row r="91" spans="1:28" x14ac:dyDescent="0.25">
      <c r="A91" s="16"/>
      <c r="B91" s="14" t="s">
        <v>2</v>
      </c>
      <c r="C91" s="15">
        <v>50</v>
      </c>
      <c r="D91" s="14">
        <v>20</v>
      </c>
      <c r="E91" s="13">
        <v>23</v>
      </c>
      <c r="F91" s="13">
        <f>1.8*E91+32</f>
        <v>73.400000000000006</v>
      </c>
      <c r="G91" s="13">
        <v>16</v>
      </c>
      <c r="H91" s="13">
        <f>IF(F91&gt;68,G91+(F91-68)*0.2,W292-(68-F91)*0.2)</f>
        <v>17.080000000000002</v>
      </c>
      <c r="I91" s="13">
        <v>23</v>
      </c>
      <c r="J91" s="13">
        <f>1.8*I91+32</f>
        <v>73.400000000000006</v>
      </c>
      <c r="K91" s="13">
        <v>9</v>
      </c>
      <c r="L91" s="13">
        <f>IF(J91&gt;68,K91+(J91-68)*0.2,K91-(68-J91)*0.2)</f>
        <v>10.080000000000002</v>
      </c>
      <c r="M91" s="13">
        <f>(C91-H91)/C91*100</f>
        <v>65.84</v>
      </c>
      <c r="N91" s="13">
        <f>100-(M91+O91)</f>
        <v>14</v>
      </c>
      <c r="O91" s="13">
        <f>L91/C91*100</f>
        <v>20.160000000000004</v>
      </c>
      <c r="P91" s="12" t="s">
        <v>3</v>
      </c>
      <c r="Q91" s="11">
        <v>409281.928908</v>
      </c>
      <c r="R91" s="11">
        <v>3659129.8034930001</v>
      </c>
      <c r="T91" s="14">
        <v>2011105</v>
      </c>
      <c r="U91" s="14" t="s">
        <v>252</v>
      </c>
      <c r="V91" s="14">
        <v>6.615E-2</v>
      </c>
      <c r="W91" s="14">
        <v>0.39280999999999999</v>
      </c>
      <c r="X91" s="14">
        <v>2.3730000000000001E-2</v>
      </c>
      <c r="Y91" s="14">
        <v>1.3415600000000001</v>
      </c>
      <c r="Z91" s="14">
        <v>12.83935</v>
      </c>
      <c r="AA91" s="14">
        <v>8.0844100000000001</v>
      </c>
      <c r="AB91" s="14">
        <v>-1.3295699999999999</v>
      </c>
    </row>
    <row r="92" spans="1:28" x14ac:dyDescent="0.25">
      <c r="A92" s="16"/>
      <c r="B92" s="14" t="s">
        <v>1</v>
      </c>
      <c r="C92" s="15">
        <v>50</v>
      </c>
      <c r="D92" s="14">
        <v>20</v>
      </c>
      <c r="E92" s="13">
        <v>23</v>
      </c>
      <c r="F92" s="13">
        <f>1.8*E92+32</f>
        <v>73.400000000000006</v>
      </c>
      <c r="G92" s="13">
        <v>11</v>
      </c>
      <c r="H92" s="13">
        <f>IF(F92&gt;68,G92+(F92-68)*0.2,W293-(68-F92)*0.2)</f>
        <v>12.080000000000002</v>
      </c>
      <c r="I92" s="13">
        <v>23</v>
      </c>
      <c r="J92" s="13">
        <f>1.8*I92+32</f>
        <v>73.400000000000006</v>
      </c>
      <c r="K92" s="13">
        <v>6</v>
      </c>
      <c r="L92" s="13">
        <f>IF(J92&gt;68,K92+(J92-68)*0.2,K92-(68-J92)*0.2)</f>
        <v>7.080000000000001</v>
      </c>
      <c r="M92" s="13">
        <f>(C92-H92)/C92*100</f>
        <v>75.84</v>
      </c>
      <c r="N92" s="13">
        <f>100-(M92+O92)</f>
        <v>10</v>
      </c>
      <c r="O92" s="13">
        <f>L92/C92*100</f>
        <v>14.160000000000004</v>
      </c>
      <c r="P92" s="12" t="s">
        <v>0</v>
      </c>
      <c r="Q92" s="11">
        <v>409281.928908</v>
      </c>
      <c r="R92" s="11">
        <v>3659129.8034930001</v>
      </c>
      <c r="T92" s="14">
        <v>2011105</v>
      </c>
      <c r="U92" s="14" t="s">
        <v>251</v>
      </c>
      <c r="V92" s="14">
        <v>7.9659999999999995E-2</v>
      </c>
      <c r="W92" s="14">
        <v>0.41637999999999997</v>
      </c>
      <c r="X92" s="14">
        <v>2.0660000000000001E-2</v>
      </c>
      <c r="Y92" s="14">
        <v>1.3111900000000001</v>
      </c>
      <c r="Z92" s="14">
        <v>6.0567799999999998</v>
      </c>
      <c r="AA92" s="14">
        <v>5.7577499999999997</v>
      </c>
      <c r="AB92" s="14">
        <v>-1.40679</v>
      </c>
    </row>
    <row r="93" spans="1:28" x14ac:dyDescent="0.25">
      <c r="A93" s="1"/>
      <c r="T93" s="14">
        <v>2011105</v>
      </c>
      <c r="U93" s="14" t="s">
        <v>250</v>
      </c>
      <c r="V93" s="14">
        <v>8.1119999999999998E-2</v>
      </c>
      <c r="W93" s="14">
        <v>0.41760999999999998</v>
      </c>
      <c r="X93" s="14">
        <v>2.2020000000000001E-2</v>
      </c>
      <c r="Y93" s="14">
        <v>1.29054</v>
      </c>
      <c r="Z93" s="14">
        <v>6.4326499999999998</v>
      </c>
      <c r="AA93" s="14">
        <v>6.0000499999999999</v>
      </c>
      <c r="AB93" s="14">
        <v>-1.60206</v>
      </c>
    </row>
    <row r="94" spans="1:28" ht="51.75" x14ac:dyDescent="0.25">
      <c r="A94" s="19" t="s">
        <v>249</v>
      </c>
      <c r="B94" s="22" t="s">
        <v>26</v>
      </c>
      <c r="C94" s="26" t="s">
        <v>25</v>
      </c>
      <c r="D94" s="25" t="s">
        <v>24</v>
      </c>
      <c r="E94" s="24" t="s">
        <v>23</v>
      </c>
      <c r="F94" s="24" t="s">
        <v>22</v>
      </c>
      <c r="G94" s="24" t="s">
        <v>21</v>
      </c>
      <c r="H94" s="24" t="s">
        <v>20</v>
      </c>
      <c r="I94" s="24" t="s">
        <v>19</v>
      </c>
      <c r="J94" s="24" t="s">
        <v>18</v>
      </c>
      <c r="K94" s="24" t="s">
        <v>17</v>
      </c>
      <c r="L94" s="24" t="s">
        <v>16</v>
      </c>
      <c r="M94" s="23" t="s">
        <v>15</v>
      </c>
      <c r="N94" s="23" t="s">
        <v>14</v>
      </c>
      <c r="O94" s="23" t="s">
        <v>13</v>
      </c>
      <c r="P94" s="22" t="s">
        <v>12</v>
      </c>
      <c r="Q94" s="36" t="s">
        <v>11</v>
      </c>
      <c r="R94" s="35"/>
      <c r="T94" s="14">
        <v>2011105</v>
      </c>
      <c r="U94" s="14" t="s">
        <v>248</v>
      </c>
      <c r="V94" s="14">
        <v>7.2209999999999996E-2</v>
      </c>
      <c r="W94" s="14">
        <v>0.40572999999999998</v>
      </c>
      <c r="X94" s="14">
        <v>1.9359999999999999E-2</v>
      </c>
      <c r="Y94" s="14">
        <v>1.35721</v>
      </c>
      <c r="Z94" s="14">
        <v>8.2827699999999993</v>
      </c>
      <c r="AA94" s="14">
        <v>6.0023600000000004</v>
      </c>
      <c r="AB94" s="14">
        <v>-1.1214500000000001</v>
      </c>
    </row>
    <row r="95" spans="1:28" x14ac:dyDescent="0.25">
      <c r="A95" s="20"/>
      <c r="B95" s="22"/>
      <c r="C95" s="26"/>
      <c r="D95" s="25"/>
      <c r="E95" s="24"/>
      <c r="F95" s="24"/>
      <c r="G95" s="24"/>
      <c r="H95" s="24"/>
      <c r="I95" s="24"/>
      <c r="J95" s="24"/>
      <c r="K95" s="24"/>
      <c r="L95" s="24"/>
      <c r="M95" s="23"/>
      <c r="N95" s="23"/>
      <c r="O95" s="23"/>
      <c r="P95" s="22"/>
      <c r="Q95" s="21" t="s">
        <v>10</v>
      </c>
      <c r="R95" s="21" t="s">
        <v>9</v>
      </c>
      <c r="T95" s="14">
        <v>2011105</v>
      </c>
      <c r="U95" s="14" t="s">
        <v>247</v>
      </c>
      <c r="V95" s="14">
        <v>6.8229999999999999E-2</v>
      </c>
      <c r="W95" s="14">
        <v>0.39579999999999999</v>
      </c>
      <c r="X95" s="14">
        <v>2.282E-2</v>
      </c>
      <c r="Y95" s="14">
        <v>1.34033</v>
      </c>
      <c r="Z95" s="14">
        <v>11.29041</v>
      </c>
      <c r="AA95" s="14">
        <v>7.5194799999999997</v>
      </c>
      <c r="AB95" s="14">
        <v>-1.31311</v>
      </c>
    </row>
    <row r="96" spans="1:28" x14ac:dyDescent="0.25">
      <c r="A96" s="20"/>
      <c r="B96" s="14" t="s">
        <v>8</v>
      </c>
      <c r="C96" s="15">
        <v>50</v>
      </c>
      <c r="D96" s="14">
        <v>20</v>
      </c>
      <c r="E96" s="13">
        <v>23</v>
      </c>
      <c r="F96" s="13">
        <f>1.8*E96+32</f>
        <v>73.400000000000006</v>
      </c>
      <c r="G96" s="13">
        <v>17</v>
      </c>
      <c r="H96" s="13">
        <f>IF(F96&gt;68,G96+(F96-68)*0.2,W304-(68-F96)*0.2)</f>
        <v>18.080000000000002</v>
      </c>
      <c r="I96" s="13">
        <v>22</v>
      </c>
      <c r="J96" s="13">
        <f>1.8*I96+32</f>
        <v>71.599999999999994</v>
      </c>
      <c r="K96" s="13">
        <v>8</v>
      </c>
      <c r="L96" s="13">
        <f>IF(J96&gt;68,K96+(J96-68)*0.2,K96-(68-J96)*0.2)</f>
        <v>8.7199999999999989</v>
      </c>
      <c r="M96" s="13">
        <f>(C96-H96)/C96*100</f>
        <v>63.839999999999996</v>
      </c>
      <c r="N96" s="13">
        <f>100-(M96+O96)</f>
        <v>18.72</v>
      </c>
      <c r="O96" s="13">
        <f>L96/C96*100</f>
        <v>17.439999999999998</v>
      </c>
      <c r="P96" s="12" t="s">
        <v>0</v>
      </c>
      <c r="Q96" s="11">
        <v>409290.04246199998</v>
      </c>
      <c r="R96" s="11">
        <v>3659130.1100639999</v>
      </c>
      <c r="T96" s="14">
        <v>2011105</v>
      </c>
      <c r="U96" s="14" t="s">
        <v>246</v>
      </c>
      <c r="V96" s="14">
        <v>5.9360000000000003E-2</v>
      </c>
      <c r="W96" s="14">
        <v>0.38158999999999998</v>
      </c>
      <c r="X96" s="14">
        <v>2.8629999999999999E-2</v>
      </c>
      <c r="Y96" s="14">
        <v>1.34588</v>
      </c>
      <c r="Z96" s="14">
        <v>20.59056</v>
      </c>
      <c r="AA96" s="14">
        <v>10.930350000000001</v>
      </c>
      <c r="AB96" s="14">
        <v>-1.43323</v>
      </c>
    </row>
    <row r="97" spans="1:28" x14ac:dyDescent="0.25">
      <c r="A97" s="19" t="s">
        <v>7</v>
      </c>
      <c r="B97" s="14" t="s">
        <v>6</v>
      </c>
      <c r="C97" s="15">
        <v>50</v>
      </c>
      <c r="D97" s="14">
        <v>20</v>
      </c>
      <c r="E97" s="13">
        <v>23</v>
      </c>
      <c r="F97" s="13">
        <f>1.8*E97+32</f>
        <v>73.400000000000006</v>
      </c>
      <c r="G97" s="13">
        <v>17</v>
      </c>
      <c r="H97" s="13">
        <f>IF(F97&gt;68,G97+(F97-68)*0.2,W305-(68-F97)*0.2)</f>
        <v>18.080000000000002</v>
      </c>
      <c r="I97" s="13">
        <v>22</v>
      </c>
      <c r="J97" s="13">
        <f>1.8*I97+32</f>
        <v>71.599999999999994</v>
      </c>
      <c r="K97" s="13">
        <v>9</v>
      </c>
      <c r="L97" s="13">
        <f>IF(J97&gt;68,K97+(J97-68)*0.2,K97-(68-J97)*0.2)</f>
        <v>9.7199999999999989</v>
      </c>
      <c r="M97" s="13">
        <f>(C97-H97)/C97*100</f>
        <v>63.839999999999996</v>
      </c>
      <c r="N97" s="13">
        <f>100-(M97+O97)</f>
        <v>16.72</v>
      </c>
      <c r="O97" s="13">
        <f>L97/C97*100</f>
        <v>19.439999999999998</v>
      </c>
      <c r="P97" s="12" t="s">
        <v>0</v>
      </c>
      <c r="Q97" s="11">
        <v>409290.04246199998</v>
      </c>
      <c r="R97" s="11">
        <v>3659130.1100639999</v>
      </c>
      <c r="T97" s="14">
        <v>2011105</v>
      </c>
      <c r="U97" s="14" t="s">
        <v>245</v>
      </c>
      <c r="V97" s="14">
        <v>5.6619999999999997E-2</v>
      </c>
      <c r="W97" s="14">
        <v>0.37951000000000001</v>
      </c>
      <c r="X97" s="14">
        <v>2.997E-2</v>
      </c>
      <c r="Y97" s="14">
        <v>1.36534</v>
      </c>
      <c r="Z97" s="14">
        <v>25.318960000000001</v>
      </c>
      <c r="AA97" s="14">
        <v>12.24277</v>
      </c>
      <c r="AB97" s="14">
        <v>-1.3716699999999999</v>
      </c>
    </row>
    <row r="98" spans="1:28" x14ac:dyDescent="0.25">
      <c r="A98" s="18">
        <v>41502</v>
      </c>
      <c r="B98" s="14" t="s">
        <v>5</v>
      </c>
      <c r="C98" s="15">
        <v>50</v>
      </c>
      <c r="D98" s="14">
        <v>20</v>
      </c>
      <c r="E98" s="13">
        <v>23</v>
      </c>
      <c r="F98" s="13">
        <f>1.8*E98+32</f>
        <v>73.400000000000006</v>
      </c>
      <c r="G98" s="13">
        <v>15</v>
      </c>
      <c r="H98" s="13">
        <f>IF(F98&gt;68,G98+(F98-68)*0.2,W306-(68-F98)*0.2)</f>
        <v>16.080000000000002</v>
      </c>
      <c r="I98" s="13">
        <v>22</v>
      </c>
      <c r="J98" s="13">
        <f>1.8*I98+32</f>
        <v>71.599999999999994</v>
      </c>
      <c r="K98" s="13">
        <v>7</v>
      </c>
      <c r="L98" s="13">
        <f>IF(J98&gt;68,K98+(J98-68)*0.2,K98-(68-J98)*0.2)</f>
        <v>7.7199999999999989</v>
      </c>
      <c r="M98" s="13">
        <f>(C98-H98)/C98*100</f>
        <v>67.84</v>
      </c>
      <c r="N98" s="13">
        <f>100-(M98+O98)</f>
        <v>16.72</v>
      </c>
      <c r="O98" s="13">
        <f>L98/C98*100</f>
        <v>15.439999999999998</v>
      </c>
      <c r="P98" s="12" t="s">
        <v>0</v>
      </c>
      <c r="Q98" s="11">
        <v>409290.04246199998</v>
      </c>
      <c r="R98" s="11">
        <v>3659130.1100639999</v>
      </c>
      <c r="T98" s="14">
        <v>2011105</v>
      </c>
      <c r="U98" s="14" t="s">
        <v>244</v>
      </c>
      <c r="V98" s="14">
        <v>5.6619999999999997E-2</v>
      </c>
      <c r="W98" s="14">
        <v>0.37951000000000001</v>
      </c>
      <c r="X98" s="14">
        <v>2.997E-2</v>
      </c>
      <c r="Y98" s="14">
        <v>1.36534</v>
      </c>
      <c r="Z98" s="14">
        <v>25.318960000000001</v>
      </c>
      <c r="AA98" s="14">
        <v>12.24277</v>
      </c>
      <c r="AB98" s="14">
        <v>-1.3716699999999999</v>
      </c>
    </row>
    <row r="99" spans="1:28" x14ac:dyDescent="0.25">
      <c r="A99" s="17"/>
      <c r="B99" s="14" t="s">
        <v>4</v>
      </c>
      <c r="C99" s="15">
        <v>50</v>
      </c>
      <c r="D99" s="14">
        <v>20</v>
      </c>
      <c r="E99" s="13">
        <v>25</v>
      </c>
      <c r="F99" s="13">
        <f>1.8*E99+32</f>
        <v>77</v>
      </c>
      <c r="G99" s="13">
        <v>17</v>
      </c>
      <c r="H99" s="13">
        <f>IF(F99&gt;68,G99+(F99-68)*0.2,W307-(68-F99)*0.2)</f>
        <v>18.8</v>
      </c>
      <c r="I99" s="13">
        <v>22</v>
      </c>
      <c r="J99" s="13">
        <f>1.8*I99+32</f>
        <v>71.599999999999994</v>
      </c>
      <c r="K99" s="13">
        <v>7</v>
      </c>
      <c r="L99" s="13">
        <f>IF(J99&gt;68,K99+(J99-68)*0.2,K99-(68-J99)*0.2)</f>
        <v>7.7199999999999989</v>
      </c>
      <c r="M99" s="13">
        <f>(C99-H99)/C99*100</f>
        <v>62.4</v>
      </c>
      <c r="N99" s="13">
        <f>100-(M99+O99)</f>
        <v>22.159999999999997</v>
      </c>
      <c r="O99" s="13">
        <f>L99/C99*100</f>
        <v>15.439999999999998</v>
      </c>
      <c r="P99" s="12" t="s">
        <v>0</v>
      </c>
      <c r="Q99" s="11">
        <v>409290.04246199998</v>
      </c>
      <c r="R99" s="11">
        <v>3659130.1100639999</v>
      </c>
      <c r="T99" s="14">
        <v>2011105</v>
      </c>
      <c r="U99" s="14" t="s">
        <v>243</v>
      </c>
      <c r="V99" s="14">
        <v>5.3339999999999999E-2</v>
      </c>
      <c r="W99" s="14">
        <v>0.38095000000000001</v>
      </c>
      <c r="X99" s="14">
        <v>3.0880000000000001E-2</v>
      </c>
      <c r="Y99" s="14">
        <v>1.38025</v>
      </c>
      <c r="Z99" s="14">
        <v>29.731680000000001</v>
      </c>
      <c r="AA99" s="14">
        <v>13.66996</v>
      </c>
      <c r="AB99" s="14">
        <v>-1.3033399999999999</v>
      </c>
    </row>
    <row r="100" spans="1:28" x14ac:dyDescent="0.25">
      <c r="A100" s="16"/>
      <c r="B100" s="14" t="s">
        <v>2</v>
      </c>
      <c r="C100" s="15">
        <v>50</v>
      </c>
      <c r="D100" s="14">
        <v>20</v>
      </c>
      <c r="E100" s="13">
        <v>25</v>
      </c>
      <c r="F100" s="13">
        <f>1.8*E100+32</f>
        <v>77</v>
      </c>
      <c r="G100" s="13">
        <v>18</v>
      </c>
      <c r="H100" s="13">
        <f>IF(F100&gt;68,G100+(F100-68)*0.2,W308-(68-F100)*0.2)</f>
        <v>19.8</v>
      </c>
      <c r="I100" s="13">
        <v>23</v>
      </c>
      <c r="J100" s="13">
        <f>1.8*I100+32</f>
        <v>73.400000000000006</v>
      </c>
      <c r="K100" s="13">
        <v>6</v>
      </c>
      <c r="L100" s="13">
        <f>IF(J100&gt;68,K100+(J100-68)*0.2,K100-(68-J100)*0.2)</f>
        <v>7.080000000000001</v>
      </c>
      <c r="M100" s="13">
        <f>(C100-H100)/C100*100</f>
        <v>60.4</v>
      </c>
      <c r="N100" s="13">
        <f>100-(M100+O100)</f>
        <v>25.439999999999998</v>
      </c>
      <c r="O100" s="13">
        <f>L100/C100*100</f>
        <v>14.160000000000004</v>
      </c>
      <c r="P100" s="12" t="s">
        <v>0</v>
      </c>
      <c r="Q100" s="11">
        <v>409290.04246199998</v>
      </c>
      <c r="R100" s="11">
        <v>3659130.1100639999</v>
      </c>
      <c r="T100" s="14">
        <v>2011105</v>
      </c>
      <c r="U100" s="14" t="s">
        <v>242</v>
      </c>
      <c r="V100" s="14">
        <v>6.5460000000000004E-2</v>
      </c>
      <c r="W100" s="14">
        <v>0.38839000000000001</v>
      </c>
      <c r="X100" s="14">
        <v>2.5780000000000001E-2</v>
      </c>
      <c r="Y100" s="14">
        <v>1.32778</v>
      </c>
      <c r="Z100" s="14">
        <v>14.015610000000001</v>
      </c>
      <c r="AA100" s="14">
        <v>8.7833400000000008</v>
      </c>
      <c r="AB100" s="14">
        <v>-1.4684600000000001</v>
      </c>
    </row>
    <row r="101" spans="1:28" x14ac:dyDescent="0.25">
      <c r="A101" s="16"/>
      <c r="B101" s="14" t="s">
        <v>1</v>
      </c>
      <c r="C101" s="15">
        <v>50</v>
      </c>
      <c r="D101" s="14">
        <v>20</v>
      </c>
      <c r="E101" s="13">
        <v>25</v>
      </c>
      <c r="F101" s="13">
        <f>1.8*E101+32</f>
        <v>77</v>
      </c>
      <c r="G101" s="13">
        <v>22</v>
      </c>
      <c r="H101" s="13">
        <f>IF(F101&gt;68,G101+(F101-68)*0.2,#REF!-(68-F101)*0.2)</f>
        <v>23.8</v>
      </c>
      <c r="I101" s="13">
        <v>23</v>
      </c>
      <c r="J101" s="13">
        <f>1.8*I101+32</f>
        <v>73.400000000000006</v>
      </c>
      <c r="K101" s="13">
        <v>12</v>
      </c>
      <c r="L101" s="13">
        <f>IF(J101&gt;68,K101+(J101-68)*0.2,K101-(68-J101)*0.2)</f>
        <v>13.080000000000002</v>
      </c>
      <c r="M101" s="13">
        <f>(C101-H101)/C101*100</f>
        <v>52.400000000000006</v>
      </c>
      <c r="N101" s="13">
        <f>100-(M101+O101)</f>
        <v>21.439999999999998</v>
      </c>
      <c r="O101" s="13">
        <f>L101/C101*100</f>
        <v>26.160000000000004</v>
      </c>
      <c r="P101" s="12" t="s">
        <v>3</v>
      </c>
      <c r="Q101" s="11">
        <v>409290.04246199998</v>
      </c>
      <c r="R101" s="11">
        <v>3659130.1100639999</v>
      </c>
      <c r="T101" s="14">
        <v>2011105</v>
      </c>
      <c r="U101" s="14" t="s">
        <v>241</v>
      </c>
      <c r="V101" s="14">
        <v>6.5240000000000006E-2</v>
      </c>
      <c r="W101" s="14">
        <v>0.37135000000000001</v>
      </c>
      <c r="X101" s="14">
        <v>2.605E-2</v>
      </c>
      <c r="Y101" s="14">
        <v>1.33138</v>
      </c>
      <c r="Z101" s="14">
        <v>16.849029999999999</v>
      </c>
      <c r="AA101" s="14">
        <v>8.4020499999999991</v>
      </c>
      <c r="AB101" s="14">
        <v>-1.51888</v>
      </c>
    </row>
    <row r="102" spans="1:28" x14ac:dyDescent="0.25">
      <c r="A102" s="1"/>
      <c r="Q102" s="31"/>
      <c r="R102" s="31"/>
      <c r="T102" s="14">
        <v>2011105</v>
      </c>
      <c r="U102" s="14" t="s">
        <v>240</v>
      </c>
      <c r="V102" s="14">
        <v>6.2210000000000001E-2</v>
      </c>
      <c r="W102" s="14">
        <v>0.38138</v>
      </c>
      <c r="X102" s="14">
        <v>2.8070000000000001E-2</v>
      </c>
      <c r="Y102" s="14">
        <v>1.33047</v>
      </c>
      <c r="Z102" s="14">
        <v>17.570250000000001</v>
      </c>
      <c r="AA102" s="14">
        <v>10.01214</v>
      </c>
      <c r="AB102" s="14">
        <v>-1.5175799999999999</v>
      </c>
    </row>
    <row r="103" spans="1:28" ht="51.75" x14ac:dyDescent="0.25">
      <c r="A103" s="19" t="s">
        <v>239</v>
      </c>
      <c r="B103" s="22" t="s">
        <v>26</v>
      </c>
      <c r="C103" s="26" t="s">
        <v>25</v>
      </c>
      <c r="D103" s="25" t="s">
        <v>24</v>
      </c>
      <c r="E103" s="24" t="s">
        <v>23</v>
      </c>
      <c r="F103" s="24" t="s">
        <v>22</v>
      </c>
      <c r="G103" s="24" t="s">
        <v>21</v>
      </c>
      <c r="H103" s="24" t="s">
        <v>20</v>
      </c>
      <c r="I103" s="24" t="s">
        <v>19</v>
      </c>
      <c r="J103" s="24" t="s">
        <v>18</v>
      </c>
      <c r="K103" s="24" t="s">
        <v>17</v>
      </c>
      <c r="L103" s="24" t="s">
        <v>16</v>
      </c>
      <c r="M103" s="23" t="s">
        <v>15</v>
      </c>
      <c r="N103" s="23" t="s">
        <v>14</v>
      </c>
      <c r="O103" s="23" t="s">
        <v>13</v>
      </c>
      <c r="P103" s="22" t="s">
        <v>12</v>
      </c>
      <c r="Q103" s="36" t="s">
        <v>11</v>
      </c>
      <c r="R103" s="35"/>
      <c r="T103" s="14">
        <v>2011105</v>
      </c>
      <c r="U103" s="14" t="s">
        <v>238</v>
      </c>
      <c r="V103" s="14">
        <v>6.5860000000000002E-2</v>
      </c>
      <c r="W103" s="14">
        <v>0.39107999999999998</v>
      </c>
      <c r="X103" s="14">
        <v>2.4590000000000001E-2</v>
      </c>
      <c r="Y103" s="14">
        <v>1.3357000000000001</v>
      </c>
      <c r="Z103" s="14">
        <v>13.32217</v>
      </c>
      <c r="AA103" s="14">
        <v>8.3879400000000004</v>
      </c>
      <c r="AB103" s="14">
        <v>-1.3870800000000001</v>
      </c>
    </row>
    <row r="104" spans="1:28" x14ac:dyDescent="0.25">
      <c r="A104" s="20"/>
      <c r="B104" s="22"/>
      <c r="C104" s="26"/>
      <c r="D104" s="25"/>
      <c r="E104" s="24"/>
      <c r="F104" s="24"/>
      <c r="G104" s="24"/>
      <c r="H104" s="24"/>
      <c r="I104" s="24"/>
      <c r="J104" s="24"/>
      <c r="K104" s="24"/>
      <c r="L104" s="24"/>
      <c r="M104" s="23"/>
      <c r="N104" s="23"/>
      <c r="O104" s="23"/>
      <c r="P104" s="22"/>
      <c r="Q104" s="21" t="s">
        <v>10</v>
      </c>
      <c r="R104" s="21" t="s">
        <v>9</v>
      </c>
      <c r="T104" s="14">
        <v>2011105</v>
      </c>
      <c r="U104" s="14" t="s">
        <v>237</v>
      </c>
      <c r="V104" s="14">
        <v>7.5789999999999996E-2</v>
      </c>
      <c r="W104" s="14">
        <v>0.40182000000000001</v>
      </c>
      <c r="X104" s="14">
        <v>2.427E-2</v>
      </c>
      <c r="Y104" s="14">
        <v>1.29112</v>
      </c>
      <c r="Z104" s="14">
        <v>8.6263500000000004</v>
      </c>
      <c r="AA104" s="14">
        <v>6.9784699999999997</v>
      </c>
      <c r="AB104" s="14">
        <v>-1.68926</v>
      </c>
    </row>
    <row r="105" spans="1:28" x14ac:dyDescent="0.25">
      <c r="A105" s="20"/>
      <c r="B105" s="14" t="s">
        <v>8</v>
      </c>
      <c r="C105" s="15">
        <v>50</v>
      </c>
      <c r="D105" s="14">
        <v>20</v>
      </c>
      <c r="E105" s="13">
        <v>25</v>
      </c>
      <c r="F105" s="13">
        <f>1.8*E105+32</f>
        <v>77</v>
      </c>
      <c r="G105" s="13">
        <v>16</v>
      </c>
      <c r="H105" s="13">
        <f>IF(F105&gt;68,G105+(F105-68)*0.2,W311-(68-F105)*0.2)</f>
        <v>17.8</v>
      </c>
      <c r="I105" s="13">
        <v>23</v>
      </c>
      <c r="J105" s="13">
        <f>1.8*I105+32</f>
        <v>73.400000000000006</v>
      </c>
      <c r="K105" s="13">
        <v>9</v>
      </c>
      <c r="L105" s="13">
        <f>IF(J105&gt;68,K105+(J105-68)*0.2,K105-(68-J105)*0.2)</f>
        <v>10.080000000000002</v>
      </c>
      <c r="M105" s="13">
        <f>(C105-H105)/C105*100</f>
        <v>64.400000000000006</v>
      </c>
      <c r="N105" s="13">
        <f>100-(M105+O105)</f>
        <v>15.439999999999998</v>
      </c>
      <c r="O105" s="13">
        <f>L105/C105*100</f>
        <v>20.160000000000004</v>
      </c>
      <c r="P105" s="12" t="s">
        <v>3</v>
      </c>
      <c r="Q105" s="11">
        <v>409290.09392999997</v>
      </c>
      <c r="R105" s="11">
        <v>3659139.243973</v>
      </c>
      <c r="T105" s="14">
        <v>2011105</v>
      </c>
      <c r="U105" s="14" t="s">
        <v>236</v>
      </c>
      <c r="V105" s="14">
        <v>7.0860000000000006E-2</v>
      </c>
      <c r="W105" s="14">
        <v>0.39812999999999998</v>
      </c>
      <c r="X105" s="14">
        <v>2.283E-2</v>
      </c>
      <c r="Y105" s="14">
        <v>1.3285499999999999</v>
      </c>
      <c r="Z105" s="14">
        <v>9.8807799999999997</v>
      </c>
      <c r="AA105" s="14">
        <v>7.1921600000000003</v>
      </c>
      <c r="AB105" s="14">
        <v>-1.3828100000000001</v>
      </c>
    </row>
    <row r="106" spans="1:28" x14ac:dyDescent="0.25">
      <c r="A106" s="19" t="s">
        <v>7</v>
      </c>
      <c r="B106" s="14" t="s">
        <v>6</v>
      </c>
      <c r="C106" s="15">
        <v>50</v>
      </c>
      <c r="D106" s="14">
        <v>20</v>
      </c>
      <c r="E106" s="13">
        <v>25</v>
      </c>
      <c r="F106" s="13">
        <f>1.8*E106+32</f>
        <v>77</v>
      </c>
      <c r="G106" s="13">
        <v>21</v>
      </c>
      <c r="H106" s="13">
        <f>IF(F106&gt;68,G106+(F106-68)*0.2,W312-(68-F106)*0.2)</f>
        <v>22.8</v>
      </c>
      <c r="I106" s="13">
        <v>23</v>
      </c>
      <c r="J106" s="13">
        <f>1.8*I106+32</f>
        <v>73.400000000000006</v>
      </c>
      <c r="K106" s="13">
        <v>11</v>
      </c>
      <c r="L106" s="13">
        <f>IF(J106&gt;68,K106+(J106-68)*0.2,K106-(68-J106)*0.2)</f>
        <v>12.080000000000002</v>
      </c>
      <c r="M106" s="13">
        <f>(C106-H106)/C106*100</f>
        <v>54.400000000000006</v>
      </c>
      <c r="N106" s="13">
        <f>100-(M106+O106)</f>
        <v>21.439999999999998</v>
      </c>
      <c r="O106" s="13">
        <f>L106/C106*100</f>
        <v>24.160000000000004</v>
      </c>
      <c r="P106" s="12" t="s">
        <v>3</v>
      </c>
      <c r="Q106" s="11">
        <v>409290.09392999997</v>
      </c>
      <c r="R106" s="11">
        <v>3659139.243973</v>
      </c>
      <c r="T106" s="14">
        <v>2011105</v>
      </c>
      <c r="U106" s="14" t="s">
        <v>235</v>
      </c>
      <c r="V106" s="14">
        <v>6.5049999999999997E-2</v>
      </c>
      <c r="W106" s="14">
        <v>0.39179999999999998</v>
      </c>
      <c r="X106" s="14">
        <v>2.3980000000000001E-2</v>
      </c>
      <c r="Y106" s="14">
        <v>1.34432</v>
      </c>
      <c r="Z106" s="14">
        <v>13.644310000000001</v>
      </c>
      <c r="AA106" s="14">
        <v>8.3285800000000005</v>
      </c>
      <c r="AB106" s="14">
        <v>-1.3194300000000001</v>
      </c>
    </row>
    <row r="107" spans="1:28" x14ac:dyDescent="0.25">
      <c r="A107" s="18">
        <v>41502</v>
      </c>
      <c r="B107" s="14" t="s">
        <v>5</v>
      </c>
      <c r="C107" s="15">
        <v>50</v>
      </c>
      <c r="D107" s="14">
        <v>20</v>
      </c>
      <c r="E107" s="13">
        <v>26</v>
      </c>
      <c r="F107" s="13">
        <f>1.8*E107+32</f>
        <v>78.800000000000011</v>
      </c>
      <c r="G107" s="13">
        <v>22</v>
      </c>
      <c r="H107" s="13">
        <f>IF(F107&gt;68,G107+(F107-68)*0.2,W313-(68-F107)*0.2)</f>
        <v>24.160000000000004</v>
      </c>
      <c r="I107" s="13">
        <v>23</v>
      </c>
      <c r="J107" s="13">
        <f>1.8*I107+32</f>
        <v>73.400000000000006</v>
      </c>
      <c r="K107" s="13">
        <v>10</v>
      </c>
      <c r="L107" s="13">
        <f>IF(J107&gt;68,K107+(J107-68)*0.2,K107-(68-J107)*0.2)</f>
        <v>11.080000000000002</v>
      </c>
      <c r="M107" s="13">
        <f>(C107-H107)/C107*100</f>
        <v>51.679999999999993</v>
      </c>
      <c r="N107" s="13">
        <f>100-(M107+O107)</f>
        <v>26.159999999999997</v>
      </c>
      <c r="O107" s="13">
        <f>L107/C107*100</f>
        <v>22.160000000000004</v>
      </c>
      <c r="P107" s="12" t="s">
        <v>3</v>
      </c>
      <c r="Q107" s="11">
        <v>409290.09392999997</v>
      </c>
      <c r="R107" s="11">
        <v>3659139.243973</v>
      </c>
      <c r="T107" s="14">
        <v>2011105</v>
      </c>
      <c r="U107" s="14" t="s">
        <v>234</v>
      </c>
      <c r="V107" s="14">
        <v>6.2480000000000001E-2</v>
      </c>
      <c r="W107" s="14">
        <v>0.37298999999999999</v>
      </c>
      <c r="X107" s="14">
        <v>2.7400000000000001E-2</v>
      </c>
      <c r="Y107" s="14">
        <v>1.35012</v>
      </c>
      <c r="Z107" s="14">
        <v>19.398019999999999</v>
      </c>
      <c r="AA107" s="14">
        <v>9.5874799999999993</v>
      </c>
      <c r="AB107" s="14">
        <v>-1.44486</v>
      </c>
    </row>
    <row r="108" spans="1:28" x14ac:dyDescent="0.25">
      <c r="A108" s="17"/>
      <c r="B108" s="14" t="s">
        <v>4</v>
      </c>
      <c r="C108" s="15">
        <v>50</v>
      </c>
      <c r="D108" s="14">
        <v>20</v>
      </c>
      <c r="E108" s="13">
        <v>26</v>
      </c>
      <c r="F108" s="13">
        <f>1.8*E108+32</f>
        <v>78.800000000000011</v>
      </c>
      <c r="G108" s="13">
        <v>21</v>
      </c>
      <c r="H108" s="13">
        <f>IF(F108&gt;68,G108+(F108-68)*0.2,W314-(68-F108)*0.2)</f>
        <v>23.160000000000004</v>
      </c>
      <c r="I108" s="13">
        <v>23</v>
      </c>
      <c r="J108" s="13">
        <f>1.8*I108+32</f>
        <v>73.400000000000006</v>
      </c>
      <c r="K108" s="13">
        <v>11</v>
      </c>
      <c r="L108" s="13">
        <f>IF(J108&gt;68,K108+(J108-68)*0.2,K108-(68-J108)*0.2)</f>
        <v>12.080000000000002</v>
      </c>
      <c r="M108" s="13">
        <f>(C108-H108)/C108*100</f>
        <v>53.679999999999993</v>
      </c>
      <c r="N108" s="13">
        <f>100-(M108+O108)</f>
        <v>22.159999999999997</v>
      </c>
      <c r="O108" s="13">
        <f>L108/C108*100</f>
        <v>24.160000000000004</v>
      </c>
      <c r="P108" s="12" t="s">
        <v>3</v>
      </c>
      <c r="Q108" s="11">
        <v>409290.09392999997</v>
      </c>
      <c r="R108" s="11">
        <v>3659139.243973</v>
      </c>
      <c r="T108" s="14">
        <v>2011105</v>
      </c>
      <c r="U108" s="14" t="s">
        <v>233</v>
      </c>
      <c r="V108" s="14">
        <v>6.25E-2</v>
      </c>
      <c r="W108" s="14">
        <v>0.38619999999999999</v>
      </c>
      <c r="X108" s="14">
        <v>2.6550000000000001E-2</v>
      </c>
      <c r="Y108" s="14">
        <v>1.3376600000000001</v>
      </c>
      <c r="Z108" s="14">
        <v>16.524799999999999</v>
      </c>
      <c r="AA108" s="14">
        <v>9.5672999999999995</v>
      </c>
      <c r="AB108" s="14">
        <v>-1.4242999999999999</v>
      </c>
    </row>
    <row r="109" spans="1:28" x14ac:dyDescent="0.25">
      <c r="A109" s="16"/>
      <c r="B109" s="14" t="s">
        <v>2</v>
      </c>
      <c r="C109" s="15">
        <v>50</v>
      </c>
      <c r="D109" s="14">
        <v>20</v>
      </c>
      <c r="E109" s="13">
        <v>26</v>
      </c>
      <c r="F109" s="13">
        <f>1.8*E109+32</f>
        <v>78.800000000000011</v>
      </c>
      <c r="G109" s="13">
        <v>25</v>
      </c>
      <c r="H109" s="13">
        <f>IF(F109&gt;68,G109+(F109-68)*0.2,W315-(68-F109)*0.2)</f>
        <v>27.160000000000004</v>
      </c>
      <c r="I109" s="13">
        <v>23</v>
      </c>
      <c r="J109" s="13">
        <f>1.8*I109+32</f>
        <v>73.400000000000006</v>
      </c>
      <c r="K109" s="13">
        <v>14</v>
      </c>
      <c r="L109" s="13">
        <f>IF(J109&gt;68,K109+(J109-68)*0.2,K109-(68-J109)*0.2)</f>
        <v>15.080000000000002</v>
      </c>
      <c r="M109" s="13">
        <f>(C109-H109)/C109*100</f>
        <v>45.679999999999993</v>
      </c>
      <c r="N109" s="13">
        <f>100-(M109+O109)</f>
        <v>24.159999999999997</v>
      </c>
      <c r="O109" s="13">
        <f>L109/C109*100</f>
        <v>30.160000000000004</v>
      </c>
      <c r="P109" s="12" t="s">
        <v>3</v>
      </c>
      <c r="Q109" s="11">
        <v>409290.09392999997</v>
      </c>
      <c r="R109" s="11">
        <v>3659139.243973</v>
      </c>
      <c r="T109" s="14">
        <v>2011105</v>
      </c>
      <c r="U109" s="14" t="s">
        <v>232</v>
      </c>
      <c r="V109" s="14">
        <v>7.0449999999999999E-2</v>
      </c>
      <c r="W109" s="14">
        <v>0.39104</v>
      </c>
      <c r="X109" s="14">
        <v>2.5739999999999999E-2</v>
      </c>
      <c r="Y109" s="14">
        <v>1.3008299999999999</v>
      </c>
      <c r="Z109" s="14">
        <v>11.22274</v>
      </c>
      <c r="AA109" s="14">
        <v>7.9351599999999998</v>
      </c>
      <c r="AB109" s="14">
        <v>-1.6610100000000001</v>
      </c>
    </row>
    <row r="110" spans="1:28" x14ac:dyDescent="0.25">
      <c r="A110" s="16"/>
      <c r="B110" s="14" t="s">
        <v>1</v>
      </c>
      <c r="C110" s="15">
        <v>50</v>
      </c>
      <c r="D110" s="14">
        <v>20</v>
      </c>
      <c r="E110" s="13">
        <v>26</v>
      </c>
      <c r="F110" s="13">
        <f>1.8*E110+32</f>
        <v>78.800000000000011</v>
      </c>
      <c r="G110" s="13">
        <v>23</v>
      </c>
      <c r="H110" s="13">
        <f>IF(F110&gt;68,G110+(F110-68)*0.2,W316-(68-F110)*0.2)</f>
        <v>25.160000000000004</v>
      </c>
      <c r="I110" s="13">
        <v>23</v>
      </c>
      <c r="J110" s="13">
        <f>1.8*I110+32</f>
        <v>73.400000000000006</v>
      </c>
      <c r="K110" s="13">
        <v>6</v>
      </c>
      <c r="L110" s="13">
        <f>IF(J110&gt;68,K110+(J110-68)*0.2,K110-(68-J110)*0.2)</f>
        <v>7.080000000000001</v>
      </c>
      <c r="M110" s="13">
        <f>(C110-H110)/C110*100</f>
        <v>49.679999999999993</v>
      </c>
      <c r="N110" s="13">
        <f>100-(M110+O110)</f>
        <v>36.160000000000004</v>
      </c>
      <c r="O110" s="13">
        <f>L110/C110*100</f>
        <v>14.160000000000004</v>
      </c>
      <c r="P110" s="12" t="s">
        <v>307</v>
      </c>
      <c r="Q110" s="11">
        <v>409290.09392999997</v>
      </c>
      <c r="R110" s="11">
        <v>3659139.243973</v>
      </c>
      <c r="T110" s="14">
        <v>2011105</v>
      </c>
      <c r="U110" s="14" t="s">
        <v>231</v>
      </c>
      <c r="V110" s="14">
        <v>7.8009999999999996E-2</v>
      </c>
      <c r="W110" s="14">
        <v>0.40629999999999999</v>
      </c>
      <c r="X110" s="14">
        <v>2.4199999999999999E-2</v>
      </c>
      <c r="Y110" s="14">
        <v>1.28217</v>
      </c>
      <c r="Z110" s="14">
        <v>8.1819299999999995</v>
      </c>
      <c r="AA110" s="14">
        <v>6.7507999999999999</v>
      </c>
      <c r="AB110" s="14">
        <v>-1.7610399999999999</v>
      </c>
    </row>
    <row r="111" spans="1:28" x14ac:dyDescent="0.25">
      <c r="A111" s="1"/>
      <c r="Q111" s="31"/>
      <c r="R111" s="31"/>
      <c r="T111" s="14">
        <v>2011105</v>
      </c>
      <c r="U111" s="14" t="s">
        <v>230</v>
      </c>
      <c r="V111" s="14">
        <v>8.0100000000000005E-2</v>
      </c>
      <c r="W111" s="14">
        <v>0.41117999999999999</v>
      </c>
      <c r="X111" s="14">
        <v>2.4209999999999999E-2</v>
      </c>
      <c r="Y111" s="14">
        <v>1.2733300000000001</v>
      </c>
      <c r="Z111" s="14">
        <v>8.0184200000000008</v>
      </c>
      <c r="AA111" s="14">
        <v>6.5777599999999996</v>
      </c>
      <c r="AB111" s="14">
        <v>-1.8402700000000001</v>
      </c>
    </row>
    <row r="112" spans="1:28" ht="51.75" x14ac:dyDescent="0.25">
      <c r="A112" s="19" t="s">
        <v>229</v>
      </c>
      <c r="B112" s="22" t="s">
        <v>26</v>
      </c>
      <c r="C112" s="26" t="s">
        <v>25</v>
      </c>
      <c r="D112" s="25" t="s">
        <v>24</v>
      </c>
      <c r="E112" s="24" t="s">
        <v>23</v>
      </c>
      <c r="F112" s="24" t="s">
        <v>22</v>
      </c>
      <c r="G112" s="24" t="s">
        <v>21</v>
      </c>
      <c r="H112" s="24" t="s">
        <v>20</v>
      </c>
      <c r="I112" s="24" t="s">
        <v>19</v>
      </c>
      <c r="J112" s="24" t="s">
        <v>18</v>
      </c>
      <c r="K112" s="24" t="s">
        <v>17</v>
      </c>
      <c r="L112" s="24" t="s">
        <v>16</v>
      </c>
      <c r="M112" s="23" t="s">
        <v>15</v>
      </c>
      <c r="N112" s="23" t="s">
        <v>14</v>
      </c>
      <c r="O112" s="23" t="s">
        <v>13</v>
      </c>
      <c r="P112" s="22" t="s">
        <v>12</v>
      </c>
      <c r="Q112" s="36" t="s">
        <v>11</v>
      </c>
      <c r="R112" s="35"/>
      <c r="T112" s="14">
        <v>2011105</v>
      </c>
      <c r="U112" s="14" t="s">
        <v>228</v>
      </c>
      <c r="V112" s="14">
        <v>6.2799999999999995E-2</v>
      </c>
      <c r="W112" s="14">
        <v>0.38861000000000001</v>
      </c>
      <c r="X112" s="14">
        <v>2.537E-2</v>
      </c>
      <c r="Y112" s="14">
        <v>1.3441399999999999</v>
      </c>
      <c r="Z112" s="14">
        <v>15.76939</v>
      </c>
      <c r="AA112" s="14">
        <v>9.1434599999999993</v>
      </c>
      <c r="AB112" s="14">
        <v>-1.35402</v>
      </c>
    </row>
    <row r="113" spans="1:28" x14ac:dyDescent="0.25">
      <c r="A113" s="20"/>
      <c r="B113" s="22"/>
      <c r="C113" s="26"/>
      <c r="D113" s="25"/>
      <c r="E113" s="24"/>
      <c r="F113" s="24"/>
      <c r="G113" s="24"/>
      <c r="H113" s="24"/>
      <c r="I113" s="24"/>
      <c r="J113" s="24"/>
      <c r="K113" s="24"/>
      <c r="L113" s="24"/>
      <c r="M113" s="23"/>
      <c r="N113" s="23"/>
      <c r="O113" s="23"/>
      <c r="P113" s="22"/>
      <c r="Q113" s="21" t="s">
        <v>10</v>
      </c>
      <c r="R113" s="21" t="s">
        <v>9</v>
      </c>
      <c r="T113" s="14">
        <v>2011105</v>
      </c>
      <c r="U113" s="14" t="s">
        <v>227</v>
      </c>
      <c r="V113" s="14">
        <v>5.6619999999999997E-2</v>
      </c>
      <c r="W113" s="14">
        <v>0.37951000000000001</v>
      </c>
      <c r="X113" s="14">
        <v>2.997E-2</v>
      </c>
      <c r="Y113" s="14">
        <v>1.36534</v>
      </c>
      <c r="Z113" s="14">
        <v>25.318960000000001</v>
      </c>
      <c r="AA113" s="14">
        <v>12.24277</v>
      </c>
      <c r="AB113" s="14">
        <v>-1.3716699999999999</v>
      </c>
    </row>
    <row r="114" spans="1:28" x14ac:dyDescent="0.25">
      <c r="A114" s="20"/>
      <c r="B114" s="14" t="s">
        <v>8</v>
      </c>
      <c r="C114" s="15">
        <v>50</v>
      </c>
      <c r="D114" s="14">
        <v>20</v>
      </c>
      <c r="E114" s="13">
        <v>25</v>
      </c>
      <c r="F114" s="13">
        <f>1.8*E114+32</f>
        <v>77</v>
      </c>
      <c r="G114" s="13">
        <v>17</v>
      </c>
      <c r="H114" s="13">
        <f>IF(F114&gt;68,G114+(F114-68)*0.2,W318-(68-F114)*0.2)</f>
        <v>18.8</v>
      </c>
      <c r="I114" s="13">
        <v>23</v>
      </c>
      <c r="J114" s="13">
        <f>1.8*I114+32</f>
        <v>73.400000000000006</v>
      </c>
      <c r="K114" s="13">
        <v>10</v>
      </c>
      <c r="L114" s="13">
        <f>IF(J114&gt;68,K114+(J114-68)*0.2,K114-(68-J114)*0.2)</f>
        <v>11.080000000000002</v>
      </c>
      <c r="M114" s="13">
        <f>(C114-H114)/C114*100</f>
        <v>62.4</v>
      </c>
      <c r="N114" s="13">
        <f>100-(M114+O114)</f>
        <v>15.439999999999998</v>
      </c>
      <c r="O114" s="13">
        <f>L114/C114*100</f>
        <v>22.160000000000004</v>
      </c>
      <c r="P114" s="12" t="s">
        <v>3</v>
      </c>
      <c r="Q114" s="11">
        <v>409290.01933400001</v>
      </c>
      <c r="R114" s="11">
        <v>3659152.771561</v>
      </c>
      <c r="T114" s="14">
        <v>2011105</v>
      </c>
      <c r="U114" s="14" t="s">
        <v>226</v>
      </c>
      <c r="V114" s="14">
        <v>6.25E-2</v>
      </c>
      <c r="W114" s="14">
        <v>0.38619999999999999</v>
      </c>
      <c r="X114" s="14">
        <v>2.6550000000000001E-2</v>
      </c>
      <c r="Y114" s="14">
        <v>1.3376600000000001</v>
      </c>
      <c r="Z114" s="14">
        <v>16.524799999999999</v>
      </c>
      <c r="AA114" s="14">
        <v>9.5672999999999995</v>
      </c>
      <c r="AB114" s="14">
        <v>-1.4242999999999999</v>
      </c>
    </row>
    <row r="115" spans="1:28" x14ac:dyDescent="0.25">
      <c r="A115" s="19" t="s">
        <v>7</v>
      </c>
      <c r="B115" s="14" t="s">
        <v>6</v>
      </c>
      <c r="C115" s="15">
        <v>50</v>
      </c>
      <c r="D115" s="14">
        <v>20</v>
      </c>
      <c r="E115" s="13">
        <v>25</v>
      </c>
      <c r="F115" s="13">
        <f>1.8*E115+32</f>
        <v>77</v>
      </c>
      <c r="G115" s="13">
        <v>20</v>
      </c>
      <c r="H115" s="13">
        <f>IF(F115&gt;68,G115+(F115-68)*0.2,W319-(68-F115)*0.2)</f>
        <v>21.8</v>
      </c>
      <c r="I115" s="13">
        <v>23</v>
      </c>
      <c r="J115" s="13">
        <f>1.8*I115+32</f>
        <v>73.400000000000006</v>
      </c>
      <c r="K115" s="13">
        <v>9</v>
      </c>
      <c r="L115" s="13">
        <f>IF(J115&gt;68,K115+(J115-68)*0.2,K115-(68-J115)*0.2)</f>
        <v>10.080000000000002</v>
      </c>
      <c r="M115" s="13">
        <f>(C115-H115)/C115*100</f>
        <v>56.399999999999991</v>
      </c>
      <c r="N115" s="13">
        <f>100-(M115+O115)</f>
        <v>23.439999999999998</v>
      </c>
      <c r="O115" s="13">
        <f>L115/C115*100</f>
        <v>20.160000000000004</v>
      </c>
      <c r="P115" s="12" t="s">
        <v>3</v>
      </c>
      <c r="Q115" s="11">
        <v>409290.01933400001</v>
      </c>
      <c r="R115" s="11">
        <v>3659152.771561</v>
      </c>
      <c r="T115" s="14">
        <v>2011105</v>
      </c>
      <c r="U115" s="14" t="s">
        <v>225</v>
      </c>
      <c r="V115" s="14">
        <v>7.1459999999999996E-2</v>
      </c>
      <c r="W115" s="14">
        <v>0.39737</v>
      </c>
      <c r="X115" s="14">
        <v>2.3529999999999999E-2</v>
      </c>
      <c r="Y115" s="14">
        <v>1.31881</v>
      </c>
      <c r="Z115" s="14">
        <v>9.8039400000000008</v>
      </c>
      <c r="AA115" s="14">
        <v>7.3053800000000004</v>
      </c>
      <c r="AB115" s="14">
        <v>-1.46505</v>
      </c>
    </row>
    <row r="116" spans="1:28" x14ac:dyDescent="0.25">
      <c r="A116" s="18">
        <v>41502</v>
      </c>
      <c r="B116" s="14" t="s">
        <v>5</v>
      </c>
      <c r="C116" s="15">
        <v>50</v>
      </c>
      <c r="D116" s="14">
        <v>20</v>
      </c>
      <c r="E116" s="13">
        <v>25</v>
      </c>
      <c r="F116" s="13">
        <f>1.8*E116+32</f>
        <v>77</v>
      </c>
      <c r="G116" s="13">
        <v>25</v>
      </c>
      <c r="H116" s="13">
        <f>IF(F116&gt;68,G116+(F116-68)*0.2,W320-(68-F116)*0.2)</f>
        <v>26.8</v>
      </c>
      <c r="I116" s="13">
        <v>23</v>
      </c>
      <c r="J116" s="13">
        <f>1.8*I116+32</f>
        <v>73.400000000000006</v>
      </c>
      <c r="K116" s="13">
        <v>14</v>
      </c>
      <c r="L116" s="13">
        <f>IF(J116&gt;68,K116+(J116-68)*0.2,K116-(68-J116)*0.2)</f>
        <v>15.080000000000002</v>
      </c>
      <c r="M116" s="13">
        <f>(C116-H116)/C116*100</f>
        <v>46.4</v>
      </c>
      <c r="N116" s="13">
        <f>100-(M116+O116)</f>
        <v>23.439999999999998</v>
      </c>
      <c r="O116" s="13">
        <f>L116/C116*100</f>
        <v>30.160000000000004</v>
      </c>
      <c r="P116" s="12" t="s">
        <v>3</v>
      </c>
      <c r="Q116" s="11">
        <v>409290.01933400001</v>
      </c>
      <c r="R116" s="11">
        <v>3659152.771561</v>
      </c>
      <c r="T116" s="14">
        <v>2011105</v>
      </c>
      <c r="U116" s="14" t="s">
        <v>224</v>
      </c>
      <c r="V116" s="14">
        <v>7.3200000000000001E-2</v>
      </c>
      <c r="W116" s="14">
        <v>0.40727999999999998</v>
      </c>
      <c r="X116" s="14">
        <v>1.925E-2</v>
      </c>
      <c r="Y116" s="14">
        <v>1.3544799999999999</v>
      </c>
      <c r="Z116" s="14">
        <v>7.8134800000000002</v>
      </c>
      <c r="AA116" s="14">
        <v>5.8772200000000003</v>
      </c>
      <c r="AB116" s="14">
        <v>-1.1299300000000001</v>
      </c>
    </row>
    <row r="117" spans="1:28" x14ac:dyDescent="0.25">
      <c r="A117" s="17"/>
      <c r="B117" s="14" t="s">
        <v>4</v>
      </c>
      <c r="C117" s="15">
        <v>50</v>
      </c>
      <c r="D117" s="14">
        <v>20</v>
      </c>
      <c r="E117" s="13">
        <v>25</v>
      </c>
      <c r="F117" s="13">
        <f>1.8*E117+32</f>
        <v>77</v>
      </c>
      <c r="G117" s="13">
        <v>21</v>
      </c>
      <c r="H117" s="13">
        <f>IF(F117&gt;68,G117+(F117-68)*0.2,W321-(68-F117)*0.2)</f>
        <v>22.8</v>
      </c>
      <c r="I117" s="13">
        <v>23</v>
      </c>
      <c r="J117" s="13">
        <f>1.8*I117+32</f>
        <v>73.400000000000006</v>
      </c>
      <c r="K117" s="13">
        <v>13</v>
      </c>
      <c r="L117" s="13">
        <f>IF(J117&gt;68,K117+(J117-68)*0.2,K117-(68-J117)*0.2)</f>
        <v>14.080000000000002</v>
      </c>
      <c r="M117" s="13">
        <f>(C117-H117)/C117*100</f>
        <v>54.400000000000006</v>
      </c>
      <c r="N117" s="13">
        <f>100-(M117+O117)</f>
        <v>17.439999999999998</v>
      </c>
      <c r="O117" s="13">
        <f>L117/C117*100</f>
        <v>28.16</v>
      </c>
      <c r="P117" s="12" t="s">
        <v>3</v>
      </c>
      <c r="Q117" s="11">
        <v>409290.01933400001</v>
      </c>
      <c r="R117" s="11">
        <v>3659152.771561</v>
      </c>
      <c r="T117" s="14">
        <v>2011105</v>
      </c>
      <c r="U117" s="14" t="s">
        <v>223</v>
      </c>
      <c r="V117" s="14">
        <v>8.0170000000000005E-2</v>
      </c>
      <c r="W117" s="14">
        <v>0.43197000000000002</v>
      </c>
      <c r="X117" s="14">
        <v>1.3469999999999999E-2</v>
      </c>
      <c r="Y117" s="14">
        <v>1.3948400000000001</v>
      </c>
      <c r="Z117" s="14">
        <v>6.2153299999999998</v>
      </c>
      <c r="AA117" s="14">
        <v>3.65082</v>
      </c>
      <c r="AB117" s="14">
        <v>-0.71265999999999996</v>
      </c>
    </row>
    <row r="118" spans="1:28" x14ac:dyDescent="0.25">
      <c r="A118" s="16"/>
      <c r="B118" s="14" t="s">
        <v>2</v>
      </c>
      <c r="C118" s="15">
        <v>50</v>
      </c>
      <c r="D118" s="14">
        <v>20</v>
      </c>
      <c r="E118" s="13">
        <v>25</v>
      </c>
      <c r="F118" s="13">
        <f>1.8*E118+32</f>
        <v>77</v>
      </c>
      <c r="G118" s="13">
        <v>16</v>
      </c>
      <c r="H118" s="13">
        <f>IF(F118&gt;68,G118+(F118-68)*0.2,W322-(68-F118)*0.2)</f>
        <v>17.8</v>
      </c>
      <c r="I118" s="13">
        <v>23</v>
      </c>
      <c r="J118" s="13">
        <f>1.8*I118+32</f>
        <v>73.400000000000006</v>
      </c>
      <c r="K118" s="13">
        <v>8</v>
      </c>
      <c r="L118" s="13">
        <f>IF(J118&gt;68,K118+(J118-68)*0.2,K118-(68-J118)*0.2)</f>
        <v>9.0800000000000018</v>
      </c>
      <c r="M118" s="13">
        <f>(C118-H118)/C118*100</f>
        <v>64.400000000000006</v>
      </c>
      <c r="N118" s="13">
        <f>100-(M118+O118)</f>
        <v>17.439999999999998</v>
      </c>
      <c r="O118" s="13">
        <f>L118/C118*100</f>
        <v>18.160000000000004</v>
      </c>
      <c r="P118" s="12" t="s">
        <v>0</v>
      </c>
      <c r="Q118" s="11">
        <v>409290.01933400001</v>
      </c>
      <c r="R118" s="11">
        <v>3659152.771561</v>
      </c>
      <c r="T118" s="14">
        <v>2011105</v>
      </c>
      <c r="U118" s="14" t="s">
        <v>222</v>
      </c>
      <c r="V118" s="14">
        <v>7.0370000000000002E-2</v>
      </c>
      <c r="W118" s="14">
        <v>0.40309</v>
      </c>
      <c r="X118" s="14">
        <v>1.9609999999999999E-2</v>
      </c>
      <c r="Y118" s="14">
        <v>1.36178</v>
      </c>
      <c r="Z118" s="14">
        <v>9.2214100000000006</v>
      </c>
      <c r="AA118" s="14">
        <v>6.2525399999999998</v>
      </c>
      <c r="AB118" s="14">
        <v>-1.1080399999999999</v>
      </c>
    </row>
    <row r="119" spans="1:28" x14ac:dyDescent="0.25">
      <c r="A119" s="16"/>
      <c r="B119" s="14" t="s">
        <v>1</v>
      </c>
      <c r="C119" s="15">
        <v>50</v>
      </c>
      <c r="D119" s="14">
        <v>20</v>
      </c>
      <c r="E119" s="13">
        <v>25</v>
      </c>
      <c r="F119" s="13">
        <f>1.8*E119+32</f>
        <v>77</v>
      </c>
      <c r="G119" s="13">
        <v>10</v>
      </c>
      <c r="H119" s="13">
        <f>IF(F119&gt;68,G119+(F119-68)*0.2,W323-(68-F119)*0.2)</f>
        <v>11.8</v>
      </c>
      <c r="I119" s="13">
        <v>23</v>
      </c>
      <c r="J119" s="13">
        <f>1.8*I119+32</f>
        <v>73.400000000000006</v>
      </c>
      <c r="K119" s="13">
        <v>4</v>
      </c>
      <c r="L119" s="13">
        <f>IF(J119&gt;68,K119+(J119-68)*0.2,K119-(68-J119)*0.2)</f>
        <v>5.080000000000001</v>
      </c>
      <c r="M119" s="13">
        <f>(C119-H119)/C119*100</f>
        <v>76.400000000000006</v>
      </c>
      <c r="N119" s="13">
        <f>100-(M119+O119)</f>
        <v>13.439999999999998</v>
      </c>
      <c r="O119" s="13">
        <f>L119/C119*100</f>
        <v>10.160000000000002</v>
      </c>
      <c r="P119" s="12" t="s">
        <v>0</v>
      </c>
      <c r="Q119" s="11">
        <v>409290.01933400001</v>
      </c>
      <c r="R119" s="11">
        <v>3659152.771561</v>
      </c>
      <c r="T119" s="14">
        <v>2011105</v>
      </c>
      <c r="U119" s="14" t="s">
        <v>221</v>
      </c>
      <c r="V119" s="14">
        <v>5.9429999999999997E-2</v>
      </c>
      <c r="W119" s="14">
        <v>0.38019999999999998</v>
      </c>
      <c r="X119" s="14">
        <v>2.8930000000000001E-2</v>
      </c>
      <c r="Y119" s="14">
        <v>1.3462799999999999</v>
      </c>
      <c r="Z119" s="14">
        <v>20.909970000000001</v>
      </c>
      <c r="AA119" s="14">
        <v>11.00189</v>
      </c>
      <c r="AB119" s="14">
        <v>-1.4453</v>
      </c>
    </row>
    <row r="120" spans="1:28" x14ac:dyDescent="0.25">
      <c r="A120" s="1"/>
      <c r="Q120" s="31"/>
      <c r="R120" s="31"/>
      <c r="T120" s="14">
        <v>2011105</v>
      </c>
      <c r="U120" s="14" t="s">
        <v>220</v>
      </c>
      <c r="V120" s="14">
        <v>5.96E-2</v>
      </c>
      <c r="W120" s="14">
        <v>0.38658999999999999</v>
      </c>
      <c r="X120" s="14">
        <v>2.6339999999999999E-2</v>
      </c>
      <c r="Y120" s="14">
        <v>1.35293</v>
      </c>
      <c r="Z120" s="14">
        <v>18.785160000000001</v>
      </c>
      <c r="AA120" s="14">
        <v>10.086880000000001</v>
      </c>
      <c r="AB120" s="14">
        <v>-1.3230200000000001</v>
      </c>
    </row>
    <row r="121" spans="1:28" ht="51.75" x14ac:dyDescent="0.25">
      <c r="A121" s="19" t="s">
        <v>219</v>
      </c>
      <c r="B121" s="22" t="s">
        <v>26</v>
      </c>
      <c r="C121" s="26" t="s">
        <v>25</v>
      </c>
      <c r="D121" s="25" t="s">
        <v>24</v>
      </c>
      <c r="E121" s="24" t="s">
        <v>23</v>
      </c>
      <c r="F121" s="24" t="s">
        <v>22</v>
      </c>
      <c r="G121" s="24" t="s">
        <v>21</v>
      </c>
      <c r="H121" s="24" t="s">
        <v>20</v>
      </c>
      <c r="I121" s="24" t="s">
        <v>19</v>
      </c>
      <c r="J121" s="24" t="s">
        <v>18</v>
      </c>
      <c r="K121" s="24" t="s">
        <v>17</v>
      </c>
      <c r="L121" s="24" t="s">
        <v>16</v>
      </c>
      <c r="M121" s="23" t="s">
        <v>15</v>
      </c>
      <c r="N121" s="23" t="s">
        <v>14</v>
      </c>
      <c r="O121" s="23" t="s">
        <v>13</v>
      </c>
      <c r="P121" s="22" t="s">
        <v>12</v>
      </c>
      <c r="Q121" s="36" t="s">
        <v>11</v>
      </c>
      <c r="R121" s="35"/>
      <c r="T121" s="14">
        <v>2011105</v>
      </c>
      <c r="U121" s="14" t="s">
        <v>218</v>
      </c>
      <c r="V121" s="14">
        <v>6.318E-2</v>
      </c>
      <c r="W121" s="14">
        <v>0.39101000000000002</v>
      </c>
      <c r="X121" s="14">
        <v>2.3970000000000002E-2</v>
      </c>
      <c r="Y121" s="14">
        <v>1.3523499999999999</v>
      </c>
      <c r="Z121" s="14">
        <v>14.921569999999999</v>
      </c>
      <c r="AA121" s="14">
        <v>8.6114700000000006</v>
      </c>
      <c r="AB121" s="14">
        <v>-1.2715099999999999</v>
      </c>
    </row>
    <row r="122" spans="1:28" x14ac:dyDescent="0.25">
      <c r="A122" s="20"/>
      <c r="B122" s="22"/>
      <c r="C122" s="26"/>
      <c r="D122" s="25"/>
      <c r="E122" s="24"/>
      <c r="F122" s="24"/>
      <c r="G122" s="24"/>
      <c r="H122" s="24"/>
      <c r="I122" s="24"/>
      <c r="J122" s="24"/>
      <c r="K122" s="24"/>
      <c r="L122" s="24"/>
      <c r="M122" s="23"/>
      <c r="N122" s="23"/>
      <c r="O122" s="23"/>
      <c r="P122" s="22"/>
      <c r="Q122" s="21" t="s">
        <v>10</v>
      </c>
      <c r="R122" s="21" t="s">
        <v>9</v>
      </c>
      <c r="T122" s="14">
        <v>2011105</v>
      </c>
      <c r="U122" s="14" t="s">
        <v>217</v>
      </c>
      <c r="V122" s="14">
        <v>6.4519999999999994E-2</v>
      </c>
      <c r="W122" s="14">
        <v>0.39815</v>
      </c>
      <c r="X122" s="14">
        <v>1.9019999999999999E-2</v>
      </c>
      <c r="Y122" s="14">
        <v>1.38646</v>
      </c>
      <c r="Z122" s="14">
        <v>12.200480000000001</v>
      </c>
      <c r="AA122" s="14">
        <v>6.6129300000000004</v>
      </c>
      <c r="AB122" s="14">
        <v>-0.97231999999999996</v>
      </c>
    </row>
    <row r="123" spans="1:28" x14ac:dyDescent="0.25">
      <c r="A123" s="20"/>
      <c r="B123" s="14" t="s">
        <v>8</v>
      </c>
      <c r="C123" s="15">
        <v>50</v>
      </c>
      <c r="D123" s="14">
        <v>20</v>
      </c>
      <c r="E123" s="13">
        <v>25</v>
      </c>
      <c r="F123" s="13">
        <f>1.8*E123+32</f>
        <v>77</v>
      </c>
      <c r="G123" s="13">
        <v>20</v>
      </c>
      <c r="H123" s="13">
        <f>IF(F123&gt;68,G123+(F123-68)*0.2,#REF!-(68-F123)*0.2)</f>
        <v>21.8</v>
      </c>
      <c r="I123" s="13">
        <v>23</v>
      </c>
      <c r="J123" s="13">
        <f>1.8*I123+32</f>
        <v>73.400000000000006</v>
      </c>
      <c r="K123" s="13">
        <v>8</v>
      </c>
      <c r="L123" s="13">
        <f>IF(J123&gt;68,K123+(J123-68)*0.2,K123-(68-J123)*0.2)</f>
        <v>9.0800000000000018</v>
      </c>
      <c r="M123" s="13">
        <f>(C123-H123)/C123*100</f>
        <v>56.399999999999991</v>
      </c>
      <c r="N123" s="13">
        <f>100-(M123+O123)</f>
        <v>25.439999999999998</v>
      </c>
      <c r="O123" s="13">
        <f>L123/C123*100</f>
        <v>18.160000000000004</v>
      </c>
      <c r="P123" s="12" t="s">
        <v>0</v>
      </c>
      <c r="Q123" s="11">
        <v>409289.90927</v>
      </c>
      <c r="R123" s="11">
        <v>3659161.8768600002</v>
      </c>
      <c r="T123" s="14">
        <v>2011105</v>
      </c>
      <c r="U123" s="14" t="s">
        <v>216</v>
      </c>
      <c r="V123" s="14">
        <v>6.5460000000000004E-2</v>
      </c>
      <c r="W123" s="14">
        <v>0.38839000000000001</v>
      </c>
      <c r="X123" s="14">
        <v>2.5780000000000001E-2</v>
      </c>
      <c r="Y123" s="14">
        <v>1.32778</v>
      </c>
      <c r="Z123" s="14">
        <v>14.015610000000001</v>
      </c>
      <c r="AA123" s="14">
        <v>8.7833400000000008</v>
      </c>
      <c r="AB123" s="14">
        <v>-1.4684600000000001</v>
      </c>
    </row>
    <row r="124" spans="1:28" x14ac:dyDescent="0.25">
      <c r="A124" s="19" t="s">
        <v>7</v>
      </c>
      <c r="B124" s="14" t="s">
        <v>6</v>
      </c>
      <c r="C124" s="15">
        <v>50</v>
      </c>
      <c r="D124" s="14">
        <v>20</v>
      </c>
      <c r="E124" s="13">
        <v>25</v>
      </c>
      <c r="F124" s="13">
        <f>1.8*E124+32</f>
        <v>77</v>
      </c>
      <c r="G124" s="13">
        <v>22</v>
      </c>
      <c r="H124" s="13">
        <f>IF(F124&gt;68,G124+(F124-68)*0.2,#REF!-(68-F124)*0.2)</f>
        <v>23.8</v>
      </c>
      <c r="I124" s="13">
        <v>23</v>
      </c>
      <c r="J124" s="13">
        <f>1.8*I124+32</f>
        <v>73.400000000000006</v>
      </c>
      <c r="K124" s="13">
        <v>12</v>
      </c>
      <c r="L124" s="13">
        <f>IF(J124&gt;68,K124+(J124-68)*0.2,K124-(68-J124)*0.2)</f>
        <v>13.080000000000002</v>
      </c>
      <c r="M124" s="13">
        <f>(C124-H124)/C124*100</f>
        <v>52.400000000000006</v>
      </c>
      <c r="N124" s="13">
        <f>100-(M124+O124)</f>
        <v>21.439999999999998</v>
      </c>
      <c r="O124" s="13">
        <f>L124/C124*100</f>
        <v>26.160000000000004</v>
      </c>
      <c r="P124" s="12" t="s">
        <v>3</v>
      </c>
      <c r="Q124" s="11">
        <v>409289.90927</v>
      </c>
      <c r="R124" s="11">
        <v>3659161.8768600002</v>
      </c>
      <c r="T124" s="14">
        <v>2011105</v>
      </c>
      <c r="U124" s="14" t="s">
        <v>215</v>
      </c>
      <c r="V124" s="14">
        <v>6.6320000000000004E-2</v>
      </c>
      <c r="W124" s="14">
        <v>0.39378999999999997</v>
      </c>
      <c r="X124" s="14">
        <v>2.3210000000000001E-2</v>
      </c>
      <c r="Y124" s="14">
        <v>1.3451200000000001</v>
      </c>
      <c r="Z124" s="14">
        <v>12.559609999999999</v>
      </c>
      <c r="AA124" s="14">
        <v>7.8987600000000002</v>
      </c>
      <c r="AB124" s="14">
        <v>-1.2956399999999999</v>
      </c>
    </row>
    <row r="125" spans="1:28" x14ac:dyDescent="0.25">
      <c r="A125" s="18">
        <v>41502</v>
      </c>
      <c r="B125" s="14" t="s">
        <v>5</v>
      </c>
      <c r="C125" s="15">
        <v>50</v>
      </c>
      <c r="D125" s="14">
        <v>20</v>
      </c>
      <c r="E125" s="13">
        <v>25</v>
      </c>
      <c r="F125" s="13">
        <f>1.8*E125+32</f>
        <v>77</v>
      </c>
      <c r="G125" s="13">
        <v>25</v>
      </c>
      <c r="H125" s="13">
        <f>IF(F125&gt;68,G125+(F125-68)*0.2,W327-(68-F125)*0.2)</f>
        <v>26.8</v>
      </c>
      <c r="I125" s="13">
        <v>23</v>
      </c>
      <c r="J125" s="13">
        <f>1.8*I125+32</f>
        <v>73.400000000000006</v>
      </c>
      <c r="K125" s="13">
        <v>13</v>
      </c>
      <c r="L125" s="13">
        <f>IF(J125&gt;68,K125+(J125-68)*0.2,K125-(68-J125)*0.2)</f>
        <v>14.080000000000002</v>
      </c>
      <c r="M125" s="13">
        <f>(C125-H125)/C125*100</f>
        <v>46.4</v>
      </c>
      <c r="N125" s="13">
        <f>100-(M125+O125)</f>
        <v>25.439999999999998</v>
      </c>
      <c r="O125" s="13">
        <f>L125/C125*100</f>
        <v>28.16</v>
      </c>
      <c r="P125" s="12" t="s">
        <v>3</v>
      </c>
      <c r="Q125" s="11">
        <v>409289.90927</v>
      </c>
      <c r="R125" s="11">
        <v>3659161.8768600002</v>
      </c>
      <c r="T125" s="14">
        <v>2011105</v>
      </c>
      <c r="U125" s="14" t="s">
        <v>214</v>
      </c>
      <c r="V125" s="14">
        <v>6.2799999999999995E-2</v>
      </c>
      <c r="W125" s="14">
        <v>0.38861000000000001</v>
      </c>
      <c r="X125" s="14">
        <v>2.537E-2</v>
      </c>
      <c r="Y125" s="14">
        <v>1.3441399999999999</v>
      </c>
      <c r="Z125" s="14">
        <v>15.76939</v>
      </c>
      <c r="AA125" s="14">
        <v>9.1434599999999993</v>
      </c>
      <c r="AB125" s="14">
        <v>-1.35402</v>
      </c>
    </row>
    <row r="126" spans="1:28" x14ac:dyDescent="0.25">
      <c r="A126" s="17"/>
      <c r="B126" s="14" t="s">
        <v>4</v>
      </c>
      <c r="C126" s="15">
        <v>50</v>
      </c>
      <c r="D126" s="14">
        <v>20</v>
      </c>
      <c r="E126" s="13">
        <v>25</v>
      </c>
      <c r="F126" s="13">
        <f>1.8*E126+32</f>
        <v>77</v>
      </c>
      <c r="G126" s="13">
        <v>25</v>
      </c>
      <c r="H126" s="13">
        <f>IF(F126&gt;68,G126+(F126-68)*0.2,W328-(68-F126)*0.2)</f>
        <v>26.8</v>
      </c>
      <c r="I126" s="13">
        <v>23</v>
      </c>
      <c r="J126" s="13">
        <f>1.8*I126+32</f>
        <v>73.400000000000006</v>
      </c>
      <c r="K126" s="13">
        <v>11</v>
      </c>
      <c r="L126" s="13">
        <f>IF(J126&gt;68,K126+(J126-68)*0.2,K126-(68-J126)*0.2)</f>
        <v>12.080000000000002</v>
      </c>
      <c r="M126" s="13">
        <f>(C126-H126)/C126*100</f>
        <v>46.4</v>
      </c>
      <c r="N126" s="13">
        <f>100-(M126+O126)</f>
        <v>29.439999999999998</v>
      </c>
      <c r="O126" s="13">
        <f>L126/C126*100</f>
        <v>24.160000000000004</v>
      </c>
      <c r="P126" s="12" t="s">
        <v>3</v>
      </c>
      <c r="Q126" s="11">
        <v>409289.90927</v>
      </c>
      <c r="R126" s="11">
        <v>3659161.8768600002</v>
      </c>
      <c r="T126" s="14">
        <v>2011105</v>
      </c>
      <c r="U126" s="14" t="s">
        <v>213</v>
      </c>
      <c r="V126" s="14">
        <v>5.6250000000000001E-2</v>
      </c>
      <c r="W126" s="14">
        <v>0.38325999999999999</v>
      </c>
      <c r="X126" s="14">
        <v>2.87E-2</v>
      </c>
      <c r="Y126" s="14">
        <v>1.3606499999999999</v>
      </c>
      <c r="Z126" s="14">
        <v>23.54195</v>
      </c>
      <c r="AA126" s="14">
        <v>11.77164</v>
      </c>
      <c r="AB126" s="14">
        <v>-1.3377399999999999</v>
      </c>
    </row>
    <row r="127" spans="1:28" x14ac:dyDescent="0.25">
      <c r="A127" s="16"/>
      <c r="B127" s="14" t="s">
        <v>2</v>
      </c>
      <c r="C127" s="15">
        <v>50</v>
      </c>
      <c r="D127" s="14">
        <v>20</v>
      </c>
      <c r="E127" s="13">
        <v>26</v>
      </c>
      <c r="F127" s="13">
        <f>1.8*E127+32</f>
        <v>78.800000000000011</v>
      </c>
      <c r="G127" s="13">
        <v>20</v>
      </c>
      <c r="H127" s="13">
        <f>IF(F127&gt;68,G127+(F127-68)*0.2,W329-(68-F127)*0.2)</f>
        <v>22.160000000000004</v>
      </c>
      <c r="I127" s="13">
        <v>23</v>
      </c>
      <c r="J127" s="13">
        <f>1.8*I127+32</f>
        <v>73.400000000000006</v>
      </c>
      <c r="K127" s="13">
        <v>12</v>
      </c>
      <c r="L127" s="13">
        <f>IF(J127&gt;68,K127+(J127-68)*0.2,K127-(68-J127)*0.2)</f>
        <v>13.080000000000002</v>
      </c>
      <c r="M127" s="13">
        <f>(C127-H127)/C127*100</f>
        <v>55.679999999999993</v>
      </c>
      <c r="N127" s="13">
        <f>100-(M127+O127)</f>
        <v>18.159999999999997</v>
      </c>
      <c r="O127" s="13">
        <f>L127/C127*100</f>
        <v>26.160000000000004</v>
      </c>
      <c r="P127" s="12" t="s">
        <v>3</v>
      </c>
      <c r="Q127" s="11">
        <v>409289.90927</v>
      </c>
      <c r="R127" s="11">
        <v>3659161.8768600002</v>
      </c>
      <c r="T127" s="14">
        <v>2011105</v>
      </c>
      <c r="U127" s="14" t="s">
        <v>212</v>
      </c>
      <c r="V127" s="14">
        <v>7.8259999999999996E-2</v>
      </c>
      <c r="W127" s="14">
        <v>0.41661999999999999</v>
      </c>
      <c r="X127" s="14">
        <v>1.882E-2</v>
      </c>
      <c r="Y127" s="14">
        <v>1.33754</v>
      </c>
      <c r="Z127" s="14">
        <v>5.9120999999999997</v>
      </c>
      <c r="AA127" s="14">
        <v>5.3491099999999996</v>
      </c>
      <c r="AB127" s="14">
        <v>-1.18991</v>
      </c>
    </row>
    <row r="128" spans="1:28" x14ac:dyDescent="0.25">
      <c r="A128" s="16"/>
      <c r="B128" s="14" t="s">
        <v>1</v>
      </c>
      <c r="C128" s="15">
        <v>50</v>
      </c>
      <c r="D128" s="14">
        <v>20</v>
      </c>
      <c r="E128" s="13">
        <v>26</v>
      </c>
      <c r="F128" s="13">
        <f>1.8*E128+32</f>
        <v>78.800000000000011</v>
      </c>
      <c r="G128" s="13">
        <v>21</v>
      </c>
      <c r="H128" s="13">
        <f>IF(F128&gt;68,G128+(F128-68)*0.2,W330-(68-F128)*0.2)</f>
        <v>23.160000000000004</v>
      </c>
      <c r="I128" s="13">
        <v>23</v>
      </c>
      <c r="J128" s="13">
        <f>1.8*I128+32</f>
        <v>73.400000000000006</v>
      </c>
      <c r="K128" s="13">
        <v>13</v>
      </c>
      <c r="L128" s="13">
        <f>IF(J128&gt;68,K128+(J128-68)*0.2,K128-(68-J128)*0.2)</f>
        <v>14.080000000000002</v>
      </c>
      <c r="M128" s="13">
        <f>(C128-H128)/C128*100</f>
        <v>53.679999999999993</v>
      </c>
      <c r="N128" s="13">
        <f>100-(M128+O128)</f>
        <v>18.160000000000011</v>
      </c>
      <c r="O128" s="13">
        <f>L128/C128*100</f>
        <v>28.16</v>
      </c>
      <c r="P128" s="12" t="s">
        <v>3</v>
      </c>
      <c r="Q128" s="11">
        <v>409289.90927</v>
      </c>
      <c r="R128" s="11">
        <v>3659161.8768600002</v>
      </c>
      <c r="T128" s="14">
        <v>2011105</v>
      </c>
      <c r="U128" s="14" t="s">
        <v>211</v>
      </c>
      <c r="V128" s="14">
        <v>7.6780000000000001E-2</v>
      </c>
      <c r="W128" s="14">
        <v>0.40775</v>
      </c>
      <c r="X128" s="14">
        <v>2.2169999999999999E-2</v>
      </c>
      <c r="Y128" s="14">
        <v>1.3084100000000001</v>
      </c>
      <c r="Z128" s="14">
        <v>7.3059700000000003</v>
      </c>
      <c r="AA128" s="14">
        <v>6.3878700000000004</v>
      </c>
      <c r="AB128" s="14">
        <v>-1.4859500000000001</v>
      </c>
    </row>
    <row r="129" spans="1:28" x14ac:dyDescent="0.25">
      <c r="A129" s="1"/>
      <c r="Q129" s="31"/>
      <c r="R129" s="31"/>
      <c r="T129" s="14">
        <v>2011105</v>
      </c>
      <c r="U129" s="14" t="s">
        <v>210</v>
      </c>
      <c r="V129" s="14">
        <v>7.4389999999999998E-2</v>
      </c>
      <c r="W129" s="14">
        <v>0.40339000000000003</v>
      </c>
      <c r="X129" s="14">
        <v>2.2370000000000001E-2</v>
      </c>
      <c r="Y129" s="14">
        <v>1.3171299999999999</v>
      </c>
      <c r="Z129" s="14">
        <v>8.1809100000000008</v>
      </c>
      <c r="AA129" s="14">
        <v>6.67239</v>
      </c>
      <c r="AB129" s="14">
        <v>-1.43794</v>
      </c>
    </row>
    <row r="130" spans="1:28" ht="51.75" x14ac:dyDescent="0.25">
      <c r="A130" s="19" t="s">
        <v>209</v>
      </c>
      <c r="B130" s="22" t="s">
        <v>26</v>
      </c>
      <c r="C130" s="26" t="s">
        <v>25</v>
      </c>
      <c r="D130" s="25" t="s">
        <v>24</v>
      </c>
      <c r="E130" s="24" t="s">
        <v>23</v>
      </c>
      <c r="F130" s="24" t="s">
        <v>22</v>
      </c>
      <c r="G130" s="24" t="s">
        <v>21</v>
      </c>
      <c r="H130" s="24" t="s">
        <v>20</v>
      </c>
      <c r="I130" s="24" t="s">
        <v>19</v>
      </c>
      <c r="J130" s="24" t="s">
        <v>18</v>
      </c>
      <c r="K130" s="24" t="s">
        <v>17</v>
      </c>
      <c r="L130" s="24" t="s">
        <v>16</v>
      </c>
      <c r="M130" s="23" t="s">
        <v>15</v>
      </c>
      <c r="N130" s="23" t="s">
        <v>14</v>
      </c>
      <c r="O130" s="23" t="s">
        <v>13</v>
      </c>
      <c r="P130" s="22" t="s">
        <v>12</v>
      </c>
      <c r="Q130" s="36" t="s">
        <v>11</v>
      </c>
      <c r="R130" s="35"/>
      <c r="T130" s="14">
        <v>2011105</v>
      </c>
      <c r="U130" s="14" t="s">
        <v>208</v>
      </c>
      <c r="V130" s="14">
        <v>5.0279999999999998E-2</v>
      </c>
      <c r="W130" s="14">
        <v>0.37805</v>
      </c>
      <c r="X130" s="14">
        <v>3.3410000000000002E-2</v>
      </c>
      <c r="Y130" s="14">
        <v>1.5081100000000001</v>
      </c>
      <c r="Z130" s="14">
        <v>55.081760000000003</v>
      </c>
      <c r="AA130" s="14">
        <v>17.913209999999999</v>
      </c>
      <c r="AB130" s="14">
        <v>-1.07934</v>
      </c>
    </row>
    <row r="131" spans="1:28" x14ac:dyDescent="0.25">
      <c r="A131" s="20"/>
      <c r="B131" s="22"/>
      <c r="C131" s="26"/>
      <c r="D131" s="25"/>
      <c r="E131" s="24"/>
      <c r="F131" s="24"/>
      <c r="G131" s="24"/>
      <c r="H131" s="24"/>
      <c r="I131" s="24"/>
      <c r="J131" s="24"/>
      <c r="K131" s="24"/>
      <c r="L131" s="24"/>
      <c r="M131" s="23"/>
      <c r="N131" s="23"/>
      <c r="O131" s="23"/>
      <c r="P131" s="22"/>
      <c r="Q131" s="21" t="s">
        <v>10</v>
      </c>
      <c r="R131" s="21" t="s">
        <v>9</v>
      </c>
      <c r="T131" s="14">
        <v>2011105</v>
      </c>
      <c r="U131" s="14" t="s">
        <v>207</v>
      </c>
      <c r="V131" s="14">
        <v>5.8110000000000002E-2</v>
      </c>
      <c r="W131" s="14">
        <v>0.37473000000000001</v>
      </c>
      <c r="X131" s="14">
        <v>2.9270000000000001E-2</v>
      </c>
      <c r="Y131" s="14">
        <v>1.38967</v>
      </c>
      <c r="Z131" s="14">
        <v>26.802209999999999</v>
      </c>
      <c r="AA131" s="14">
        <v>11.71363</v>
      </c>
      <c r="AB131" s="14">
        <v>-1.31114</v>
      </c>
    </row>
    <row r="132" spans="1:28" x14ac:dyDescent="0.25">
      <c r="A132" s="20"/>
      <c r="B132" s="14" t="s">
        <v>8</v>
      </c>
      <c r="C132" s="15">
        <v>50</v>
      </c>
      <c r="D132" s="14">
        <v>20</v>
      </c>
      <c r="E132" s="13">
        <v>24</v>
      </c>
      <c r="F132" s="13">
        <f>1.8*E132+32</f>
        <v>75.2</v>
      </c>
      <c r="G132" s="13">
        <v>18</v>
      </c>
      <c r="H132" s="13">
        <f>IF(F132&gt;68,G132+(F132-68)*0.2,W334-(68-F132)*0.2)</f>
        <v>19.440000000000001</v>
      </c>
      <c r="I132" s="13">
        <v>23</v>
      </c>
      <c r="J132" s="13">
        <f>1.8*I132+32</f>
        <v>73.400000000000006</v>
      </c>
      <c r="K132" s="13">
        <v>10</v>
      </c>
      <c r="L132" s="13">
        <f>IF(J132&gt;68,K132+(J132-68)*0.2,K132-(68-J132)*0.2)</f>
        <v>11.080000000000002</v>
      </c>
      <c r="M132" s="13">
        <f>(C132-H132)/C132*100</f>
        <v>61.12</v>
      </c>
      <c r="N132" s="13">
        <f>100-(M132+O132)</f>
        <v>16.72</v>
      </c>
      <c r="O132" s="13">
        <f>L132/C132*100</f>
        <v>22.160000000000004</v>
      </c>
      <c r="P132" s="12" t="s">
        <v>3</v>
      </c>
      <c r="Q132" s="11">
        <v>409289.895104</v>
      </c>
      <c r="R132" s="11">
        <v>3659171.1506130002</v>
      </c>
      <c r="T132" s="14">
        <v>2011105</v>
      </c>
      <c r="U132" s="14" t="s">
        <v>206</v>
      </c>
      <c r="V132" s="14">
        <v>6.4130000000000006E-2</v>
      </c>
      <c r="W132" s="14">
        <v>0.38496999999999998</v>
      </c>
      <c r="X132" s="14">
        <v>2.6970000000000001E-2</v>
      </c>
      <c r="Y132" s="14">
        <v>1.3254999999999999</v>
      </c>
      <c r="Z132" s="14">
        <v>15.441750000000001</v>
      </c>
      <c r="AA132" s="14">
        <v>9.3327799999999996</v>
      </c>
      <c r="AB132" s="14">
        <v>-1.5162800000000001</v>
      </c>
    </row>
    <row r="133" spans="1:28" x14ac:dyDescent="0.25">
      <c r="A133" s="19" t="s">
        <v>7</v>
      </c>
      <c r="B133" s="14" t="s">
        <v>6</v>
      </c>
      <c r="C133" s="15">
        <v>50</v>
      </c>
      <c r="D133" s="14">
        <v>20</v>
      </c>
      <c r="E133" s="13">
        <v>24</v>
      </c>
      <c r="F133" s="13">
        <f>1.8*E133+32</f>
        <v>75.2</v>
      </c>
      <c r="G133" s="13">
        <v>21</v>
      </c>
      <c r="H133" s="13">
        <f>IF(F133&gt;68,G133+(F133-68)*0.2,W335-(68-F133)*0.2)</f>
        <v>22.44</v>
      </c>
      <c r="I133" s="13">
        <v>23</v>
      </c>
      <c r="J133" s="13">
        <f>1.8*I133+32</f>
        <v>73.400000000000006</v>
      </c>
      <c r="K133" s="13">
        <v>11</v>
      </c>
      <c r="L133" s="13">
        <f>IF(J133&gt;68,K133+(J133-68)*0.2,K133-(68-J133)*0.2)</f>
        <v>12.080000000000002</v>
      </c>
      <c r="M133" s="13">
        <f>(C133-H133)/C133*100</f>
        <v>55.120000000000005</v>
      </c>
      <c r="N133" s="13">
        <f>100-(M133+O133)</f>
        <v>20.72</v>
      </c>
      <c r="O133" s="13">
        <f>L133/C133*100</f>
        <v>24.160000000000004</v>
      </c>
      <c r="P133" s="12" t="s">
        <v>3</v>
      </c>
      <c r="Q133" s="11">
        <v>409289.895104</v>
      </c>
      <c r="R133" s="11">
        <v>3659171.1506130002</v>
      </c>
      <c r="T133" s="14">
        <v>2011105</v>
      </c>
      <c r="U133" s="14" t="s">
        <v>205</v>
      </c>
      <c r="V133" s="14">
        <v>5.8290000000000002E-2</v>
      </c>
      <c r="W133" s="14">
        <v>0.38399</v>
      </c>
      <c r="X133" s="14">
        <v>2.792E-2</v>
      </c>
      <c r="Y133" s="14">
        <v>1.3526100000000001</v>
      </c>
      <c r="Z133" s="14">
        <v>20.955400000000001</v>
      </c>
      <c r="AA133" s="14">
        <v>10.95655</v>
      </c>
      <c r="AB133" s="14">
        <v>-1.3658300000000001</v>
      </c>
    </row>
    <row r="134" spans="1:28" x14ac:dyDescent="0.25">
      <c r="A134" s="18">
        <v>41493</v>
      </c>
      <c r="B134" s="14" t="s">
        <v>5</v>
      </c>
      <c r="C134" s="15">
        <v>50</v>
      </c>
      <c r="D134" s="14">
        <v>20</v>
      </c>
      <c r="E134" s="13">
        <v>24</v>
      </c>
      <c r="F134" s="13">
        <f>1.8*E134+32</f>
        <v>75.2</v>
      </c>
      <c r="G134" s="13">
        <v>27</v>
      </c>
      <c r="H134" s="13">
        <f>IF(F134&gt;68,G134+(F134-68)*0.2,#REF!-(68-F134)*0.2)</f>
        <v>28.44</v>
      </c>
      <c r="I134" s="13">
        <v>23</v>
      </c>
      <c r="J134" s="13">
        <f>1.8*I134+32</f>
        <v>73.400000000000006</v>
      </c>
      <c r="K134" s="13">
        <v>16</v>
      </c>
      <c r="L134" s="13">
        <f>IF(J134&gt;68,K134+(J134-68)*0.2,K134-(68-J134)*0.2)</f>
        <v>17.080000000000002</v>
      </c>
      <c r="M134" s="13">
        <f>(C134-H134)/C134*100</f>
        <v>43.12</v>
      </c>
      <c r="N134" s="13">
        <f>100-(M134+O134)</f>
        <v>22.72</v>
      </c>
      <c r="O134" s="13">
        <f>L134/C134*100</f>
        <v>34.160000000000004</v>
      </c>
      <c r="P134" s="12" t="s">
        <v>30</v>
      </c>
      <c r="Q134" s="11">
        <v>409289.895104</v>
      </c>
      <c r="R134" s="11">
        <v>3659171.1506130002</v>
      </c>
      <c r="T134" s="14">
        <v>2011105</v>
      </c>
      <c r="U134" s="14" t="s">
        <v>204</v>
      </c>
      <c r="V134" s="14">
        <v>6.9150000000000003E-2</v>
      </c>
      <c r="W134" s="14">
        <v>0.38694000000000001</v>
      </c>
      <c r="X134" s="14">
        <v>2.6630000000000001E-2</v>
      </c>
      <c r="Y134" s="14">
        <v>1.29766</v>
      </c>
      <c r="Z134" s="14">
        <v>12.358309999999999</v>
      </c>
      <c r="AA134" s="14">
        <v>8.2692399999999999</v>
      </c>
      <c r="AB134" s="14">
        <v>-1.7142200000000001</v>
      </c>
    </row>
    <row r="135" spans="1:28" x14ac:dyDescent="0.25">
      <c r="A135" s="17"/>
      <c r="B135" s="14" t="s">
        <v>4</v>
      </c>
      <c r="C135" s="15">
        <v>50</v>
      </c>
      <c r="D135" s="14">
        <v>20</v>
      </c>
      <c r="E135" s="13">
        <v>24</v>
      </c>
      <c r="F135" s="13">
        <f>1.8*E135+32</f>
        <v>75.2</v>
      </c>
      <c r="G135" s="13">
        <v>27</v>
      </c>
      <c r="H135" s="13">
        <f>IF(F135&gt;68,G135+(F135-68)*0.2,#REF!-(68-F135)*0.2)</f>
        <v>28.44</v>
      </c>
      <c r="I135" s="13">
        <v>23</v>
      </c>
      <c r="J135" s="13">
        <f>1.8*I135+32</f>
        <v>73.400000000000006</v>
      </c>
      <c r="K135" s="13">
        <v>17</v>
      </c>
      <c r="L135" s="13">
        <f>IF(J135&gt;68,K135+(J135-68)*0.2,K135-(68-J135)*0.2)</f>
        <v>18.080000000000002</v>
      </c>
      <c r="M135" s="13">
        <f>(C135-H135)/C135*100</f>
        <v>43.12</v>
      </c>
      <c r="N135" s="13">
        <f>100-(M135+O135)</f>
        <v>20.72</v>
      </c>
      <c r="O135" s="13">
        <f>L135/C135*100</f>
        <v>36.160000000000004</v>
      </c>
      <c r="P135" s="12" t="s">
        <v>30</v>
      </c>
      <c r="Q135" s="11">
        <v>409289.895104</v>
      </c>
      <c r="R135" s="11">
        <v>3659171.1506130002</v>
      </c>
      <c r="T135" s="14">
        <v>2011105</v>
      </c>
      <c r="U135" s="14" t="s">
        <v>203</v>
      </c>
      <c r="V135" s="14">
        <v>5.561E-2</v>
      </c>
      <c r="W135" s="14">
        <v>0.37938</v>
      </c>
      <c r="X135" s="14">
        <v>3.039E-2</v>
      </c>
      <c r="Y135" s="14">
        <v>1.37327</v>
      </c>
      <c r="Z135" s="14">
        <v>27.225200000000001</v>
      </c>
      <c r="AA135" s="14">
        <v>12.76347</v>
      </c>
      <c r="AB135" s="14">
        <v>-1.3446100000000001</v>
      </c>
    </row>
    <row r="136" spans="1:28" x14ac:dyDescent="0.25">
      <c r="A136" s="16"/>
      <c r="B136" s="14" t="s">
        <v>2</v>
      </c>
      <c r="C136" s="15">
        <v>50</v>
      </c>
      <c r="D136" s="14">
        <v>20</v>
      </c>
      <c r="E136" s="13">
        <v>24</v>
      </c>
      <c r="F136" s="13">
        <f>1.8*E136+32</f>
        <v>75.2</v>
      </c>
      <c r="G136" s="13">
        <v>25</v>
      </c>
      <c r="H136" s="13">
        <f>IF(F136&gt;68,G136+(F136-68)*0.2,W336-(68-F136)*0.2)</f>
        <v>26.44</v>
      </c>
      <c r="I136" s="13">
        <v>22</v>
      </c>
      <c r="J136" s="13">
        <f>1.8*I136+32</f>
        <v>71.599999999999994</v>
      </c>
      <c r="K136" s="13">
        <v>13</v>
      </c>
      <c r="L136" s="13">
        <f>IF(J136&gt;68,K136+(J136-68)*0.2,K136-(68-J136)*0.2)</f>
        <v>13.719999999999999</v>
      </c>
      <c r="M136" s="13">
        <f>(C136-H136)/C136*100</f>
        <v>47.12</v>
      </c>
      <c r="N136" s="13">
        <f>100-(M136+O136)</f>
        <v>25.439999999999998</v>
      </c>
      <c r="O136" s="13">
        <f>L136/C136*100</f>
        <v>27.439999999999998</v>
      </c>
      <c r="P136" s="12" t="s">
        <v>3</v>
      </c>
      <c r="Q136" s="11">
        <v>409289.895104</v>
      </c>
      <c r="R136" s="11">
        <v>3659171.1506130002</v>
      </c>
      <c r="T136" s="14">
        <v>2011105</v>
      </c>
      <c r="U136" s="14" t="s">
        <v>202</v>
      </c>
      <c r="V136" s="14">
        <v>5.432E-2</v>
      </c>
      <c r="W136" s="14">
        <v>0.37445000000000001</v>
      </c>
      <c r="X136" s="14">
        <v>3.0640000000000001E-2</v>
      </c>
      <c r="Y136" s="14">
        <v>1.53685</v>
      </c>
      <c r="Z136" s="14">
        <v>53.631259999999997</v>
      </c>
      <c r="AA136" s="14">
        <v>15.095599999999999</v>
      </c>
      <c r="AB136" s="14">
        <v>-1.05386</v>
      </c>
    </row>
    <row r="137" spans="1:28" x14ac:dyDescent="0.25">
      <c r="A137" s="16"/>
      <c r="B137" s="14" t="s">
        <v>1</v>
      </c>
      <c r="C137" s="15">
        <v>50</v>
      </c>
      <c r="D137" s="14">
        <v>20</v>
      </c>
      <c r="E137" s="13">
        <v>24</v>
      </c>
      <c r="F137" s="13">
        <f>1.8*E137+32</f>
        <v>75.2</v>
      </c>
      <c r="G137" s="13">
        <v>22</v>
      </c>
      <c r="H137" s="13">
        <f>IF(F137&gt;68,G137+(F137-68)*0.2,W337-(68-F137)*0.2)</f>
        <v>23.44</v>
      </c>
      <c r="I137" s="13">
        <v>22</v>
      </c>
      <c r="J137" s="13">
        <f>1.8*I137+32</f>
        <v>71.599999999999994</v>
      </c>
      <c r="K137" s="13">
        <v>12</v>
      </c>
      <c r="L137" s="13">
        <f>IF(J137&gt;68,K137+(J137-68)*0.2,K137-(68-J137)*0.2)</f>
        <v>12.719999999999999</v>
      </c>
      <c r="M137" s="13">
        <f>(C137-H137)/C137*100</f>
        <v>53.12</v>
      </c>
      <c r="N137" s="13">
        <f>100-(M137+O137)</f>
        <v>21.439999999999998</v>
      </c>
      <c r="O137" s="13">
        <f>L137/C137*100</f>
        <v>25.439999999999998</v>
      </c>
      <c r="P137" s="12" t="s">
        <v>3</v>
      </c>
      <c r="Q137" s="11">
        <v>409289.895104</v>
      </c>
      <c r="R137" s="11">
        <v>3659171.1506130002</v>
      </c>
      <c r="T137" s="14">
        <v>2011105</v>
      </c>
      <c r="U137" s="14" t="s">
        <v>201</v>
      </c>
      <c r="V137" s="14">
        <v>5.5559999999999998E-2</v>
      </c>
      <c r="W137" s="14">
        <v>0.37282999999999999</v>
      </c>
      <c r="X137" s="14">
        <v>2.954E-2</v>
      </c>
      <c r="Y137" s="14">
        <v>1.6657599999999999</v>
      </c>
      <c r="Z137" s="14">
        <v>75.015870000000007</v>
      </c>
      <c r="AA137" s="14">
        <v>15.196339999999999</v>
      </c>
      <c r="AB137" s="14">
        <v>-0.95787</v>
      </c>
    </row>
    <row r="138" spans="1:28" x14ac:dyDescent="0.25">
      <c r="A138" s="1"/>
      <c r="Q138" s="31"/>
      <c r="R138" s="31"/>
      <c r="T138" s="14">
        <v>2011105</v>
      </c>
      <c r="U138" s="14" t="s">
        <v>200</v>
      </c>
      <c r="V138" s="14">
        <v>5.382E-2</v>
      </c>
      <c r="W138" s="14">
        <v>0.37928000000000001</v>
      </c>
      <c r="X138" s="14">
        <v>3.1210000000000002E-2</v>
      </c>
      <c r="Y138" s="14">
        <v>1.38913</v>
      </c>
      <c r="Z138" s="14">
        <v>31.10783</v>
      </c>
      <c r="AA138" s="14">
        <v>13.80349</v>
      </c>
      <c r="AB138" s="14">
        <v>-1.2956700000000001</v>
      </c>
    </row>
    <row r="139" spans="1:28" ht="51.75" x14ac:dyDescent="0.25">
      <c r="A139" s="19" t="s">
        <v>199</v>
      </c>
      <c r="B139" s="22" t="s">
        <v>26</v>
      </c>
      <c r="C139" s="26" t="s">
        <v>25</v>
      </c>
      <c r="D139" s="25" t="s">
        <v>24</v>
      </c>
      <c r="E139" s="24" t="s">
        <v>23</v>
      </c>
      <c r="F139" s="24" t="s">
        <v>22</v>
      </c>
      <c r="G139" s="24" t="s">
        <v>21</v>
      </c>
      <c r="H139" s="24" t="s">
        <v>20</v>
      </c>
      <c r="I139" s="24" t="s">
        <v>19</v>
      </c>
      <c r="J139" s="24" t="s">
        <v>18</v>
      </c>
      <c r="K139" s="24" t="s">
        <v>17</v>
      </c>
      <c r="L139" s="24" t="s">
        <v>16</v>
      </c>
      <c r="M139" s="23" t="s">
        <v>15</v>
      </c>
      <c r="N139" s="23" t="s">
        <v>14</v>
      </c>
      <c r="O139" s="23" t="s">
        <v>13</v>
      </c>
      <c r="P139" s="22" t="s">
        <v>12</v>
      </c>
      <c r="Q139" s="36" t="s">
        <v>11</v>
      </c>
      <c r="R139" s="35"/>
      <c r="T139" s="14">
        <v>2011105</v>
      </c>
      <c r="U139" s="14" t="s">
        <v>198</v>
      </c>
      <c r="V139" s="14">
        <v>5.7090000000000002E-2</v>
      </c>
      <c r="W139" s="14">
        <v>0.37753999999999999</v>
      </c>
      <c r="X139" s="14">
        <v>2.998E-2</v>
      </c>
      <c r="Y139" s="14">
        <v>1.37276</v>
      </c>
      <c r="Z139" s="14">
        <v>25.99484</v>
      </c>
      <c r="AA139" s="14">
        <v>12.16854</v>
      </c>
      <c r="AB139" s="14">
        <v>-1.3587</v>
      </c>
    </row>
    <row r="140" spans="1:28" x14ac:dyDescent="0.25">
      <c r="A140" s="20"/>
      <c r="B140" s="22"/>
      <c r="C140" s="26"/>
      <c r="D140" s="25"/>
      <c r="E140" s="24"/>
      <c r="F140" s="24"/>
      <c r="G140" s="24"/>
      <c r="H140" s="24"/>
      <c r="I140" s="24"/>
      <c r="J140" s="24"/>
      <c r="K140" s="24"/>
      <c r="L140" s="24"/>
      <c r="M140" s="23"/>
      <c r="N140" s="23"/>
      <c r="O140" s="23"/>
      <c r="P140" s="22"/>
      <c r="Q140" s="21" t="s">
        <v>10</v>
      </c>
      <c r="R140" s="21" t="s">
        <v>9</v>
      </c>
      <c r="T140" s="14">
        <v>2011105</v>
      </c>
      <c r="U140" s="14" t="s">
        <v>197</v>
      </c>
      <c r="V140" s="14">
        <v>7.0930000000000007E-2</v>
      </c>
      <c r="W140" s="14">
        <v>0.39417999999999997</v>
      </c>
      <c r="X140" s="14">
        <v>2.4729999999999999E-2</v>
      </c>
      <c r="Y140" s="14">
        <v>1.3091999999999999</v>
      </c>
      <c r="Z140" s="14">
        <v>10.500780000000001</v>
      </c>
      <c r="AA140" s="14">
        <v>7.6637199999999996</v>
      </c>
      <c r="AB140" s="14">
        <v>-1.5672999999999999</v>
      </c>
    </row>
    <row r="141" spans="1:28" x14ac:dyDescent="0.25">
      <c r="A141" s="20"/>
      <c r="B141" s="14" t="s">
        <v>8</v>
      </c>
      <c r="C141" s="15">
        <v>50</v>
      </c>
      <c r="D141" s="14">
        <v>20</v>
      </c>
      <c r="E141" s="13">
        <v>24</v>
      </c>
      <c r="F141" s="13">
        <f>1.8*E141+32</f>
        <v>75.2</v>
      </c>
      <c r="G141" s="13">
        <v>16</v>
      </c>
      <c r="H141" s="13">
        <f>IF(F141&gt;68,G141+(F141-68)*0.2,W341-(68-F141)*0.2)</f>
        <v>17.440000000000001</v>
      </c>
      <c r="I141" s="13">
        <v>23</v>
      </c>
      <c r="J141" s="13">
        <f>1.8*I141+32</f>
        <v>73.400000000000006</v>
      </c>
      <c r="K141" s="13">
        <v>9</v>
      </c>
      <c r="L141" s="13">
        <f>IF(J141&gt;68,K141+(J141-68)*0.2,K141-(68-J141)*0.2)</f>
        <v>10.080000000000002</v>
      </c>
      <c r="M141" s="13">
        <f>(C141-H141)/C141*100</f>
        <v>65.12</v>
      </c>
      <c r="N141" s="13">
        <f>100-(M141+O141)</f>
        <v>14.719999999999999</v>
      </c>
      <c r="O141" s="13">
        <f>L141/C141*100</f>
        <v>20.160000000000004</v>
      </c>
      <c r="P141" s="12" t="s">
        <v>3</v>
      </c>
      <c r="Q141" s="11">
        <v>409294.07238000003</v>
      </c>
      <c r="R141" s="11">
        <v>3659171.2837879998</v>
      </c>
      <c r="T141" s="14">
        <v>2011105</v>
      </c>
      <c r="U141" s="14" t="s">
        <v>196</v>
      </c>
      <c r="V141" s="14">
        <v>7.2029999999999997E-2</v>
      </c>
      <c r="W141" s="14">
        <v>0.40061999999999998</v>
      </c>
      <c r="X141" s="14">
        <v>2.2190000000000001E-2</v>
      </c>
      <c r="Y141" s="14">
        <v>1.32961</v>
      </c>
      <c r="Z141" s="14">
        <v>9.1287400000000005</v>
      </c>
      <c r="AA141" s="14">
        <v>6.8758800000000004</v>
      </c>
      <c r="AB141" s="14">
        <v>-1.3568100000000001</v>
      </c>
    </row>
    <row r="142" spans="1:28" x14ac:dyDescent="0.25">
      <c r="A142" s="19" t="s">
        <v>7</v>
      </c>
      <c r="B142" s="14" t="s">
        <v>6</v>
      </c>
      <c r="C142" s="15">
        <v>50</v>
      </c>
      <c r="D142" s="14">
        <v>20</v>
      </c>
      <c r="E142" s="13">
        <v>25</v>
      </c>
      <c r="F142" s="13">
        <f>1.8*E142+32</f>
        <v>77</v>
      </c>
      <c r="G142" s="13">
        <v>14</v>
      </c>
      <c r="H142" s="13">
        <f>IF(F142&gt;68,G142+(F142-68)*0.2,W342-(68-F142)*0.2)</f>
        <v>15.8</v>
      </c>
      <c r="I142" s="13">
        <v>23</v>
      </c>
      <c r="J142" s="13">
        <f>1.8*I142+32</f>
        <v>73.400000000000006</v>
      </c>
      <c r="K142" s="13">
        <v>8</v>
      </c>
      <c r="L142" s="13">
        <f>IF(J142&gt;68,K142+(J142-68)*0.2,K142-(68-J142)*0.2)</f>
        <v>9.0800000000000018</v>
      </c>
      <c r="M142" s="13">
        <f>(C142-H142)/C142*100</f>
        <v>68.400000000000006</v>
      </c>
      <c r="N142" s="13">
        <f>100-(M142+O142)</f>
        <v>13.439999999999998</v>
      </c>
      <c r="O142" s="13">
        <f>L142/C142*100</f>
        <v>18.160000000000004</v>
      </c>
      <c r="P142" s="12" t="s">
        <v>0</v>
      </c>
      <c r="Q142" s="11">
        <v>409294.07238000003</v>
      </c>
      <c r="R142" s="11">
        <v>3659171.2837879998</v>
      </c>
      <c r="T142" s="14">
        <v>2011105</v>
      </c>
      <c r="U142" s="14" t="s">
        <v>195</v>
      </c>
      <c r="V142" s="14">
        <v>6.5460000000000004E-2</v>
      </c>
      <c r="W142" s="14">
        <v>0.38839000000000001</v>
      </c>
      <c r="X142" s="14">
        <v>2.5780000000000001E-2</v>
      </c>
      <c r="Y142" s="14">
        <v>1.32778</v>
      </c>
      <c r="Z142" s="14">
        <v>14.015610000000001</v>
      </c>
      <c r="AA142" s="14">
        <v>8.7833400000000008</v>
      </c>
      <c r="AB142" s="14">
        <v>-1.4684600000000001</v>
      </c>
    </row>
    <row r="143" spans="1:28" x14ac:dyDescent="0.25">
      <c r="A143" s="18">
        <v>41492</v>
      </c>
      <c r="B143" s="14" t="s">
        <v>5</v>
      </c>
      <c r="C143" s="15">
        <v>50</v>
      </c>
      <c r="D143" s="14">
        <v>20</v>
      </c>
      <c r="E143" s="13">
        <v>25</v>
      </c>
      <c r="F143" s="13">
        <f>1.8*E143+32</f>
        <v>77</v>
      </c>
      <c r="G143" s="13">
        <v>14</v>
      </c>
      <c r="H143" s="13">
        <f>IF(F143&gt;68,G143+(F143-68)*0.2,W343-(68-F143)*0.2)</f>
        <v>15.8</v>
      </c>
      <c r="I143" s="13">
        <v>23</v>
      </c>
      <c r="J143" s="13">
        <f>1.8*I143+32</f>
        <v>73.400000000000006</v>
      </c>
      <c r="K143" s="13">
        <v>8</v>
      </c>
      <c r="L143" s="13">
        <f>IF(J143&gt;68,K143+(J143-68)*0.2,K143-(68-J143)*0.2)</f>
        <v>9.0800000000000018</v>
      </c>
      <c r="M143" s="13">
        <f>(C143-H143)/C143*100</f>
        <v>68.400000000000006</v>
      </c>
      <c r="N143" s="13">
        <f>100-(M143+O143)</f>
        <v>13.439999999999998</v>
      </c>
      <c r="O143" s="13">
        <f>L143/C143*100</f>
        <v>18.160000000000004</v>
      </c>
      <c r="P143" s="12" t="s">
        <v>0</v>
      </c>
      <c r="Q143" s="11">
        <v>409294.07238000003</v>
      </c>
      <c r="R143" s="11">
        <v>3659171.2837879998</v>
      </c>
      <c r="T143" s="14">
        <v>2011105</v>
      </c>
      <c r="U143" s="14" t="s">
        <v>194</v>
      </c>
      <c r="V143" s="14">
        <v>5.382E-2</v>
      </c>
      <c r="W143" s="14">
        <v>0.37928000000000001</v>
      </c>
      <c r="X143" s="14">
        <v>3.1210000000000002E-2</v>
      </c>
      <c r="Y143" s="14">
        <v>1.38913</v>
      </c>
      <c r="Z143" s="14">
        <v>31.10783</v>
      </c>
      <c r="AA143" s="14">
        <v>13.80349</v>
      </c>
      <c r="AB143" s="14">
        <v>-1.2956700000000001</v>
      </c>
    </row>
    <row r="144" spans="1:28" x14ac:dyDescent="0.25">
      <c r="A144" s="17"/>
      <c r="B144" s="14" t="s">
        <v>4</v>
      </c>
      <c r="C144" s="15">
        <v>50</v>
      </c>
      <c r="D144" s="14">
        <v>20</v>
      </c>
      <c r="E144" s="13">
        <v>25</v>
      </c>
      <c r="F144" s="13">
        <f>1.8*E144+32</f>
        <v>77</v>
      </c>
      <c r="G144" s="13">
        <v>14</v>
      </c>
      <c r="H144" s="13">
        <f>IF(F144&gt;68,G144+(F144-68)*0.2,W344-(68-F144)*0.2)</f>
        <v>15.8</v>
      </c>
      <c r="I144" s="13">
        <v>23</v>
      </c>
      <c r="J144" s="13">
        <f>1.8*I144+32</f>
        <v>73.400000000000006</v>
      </c>
      <c r="K144" s="13">
        <v>7</v>
      </c>
      <c r="L144" s="13">
        <f>IF(J144&gt;68,K144+(J144-68)*0.2,K144-(68-J144)*0.2)</f>
        <v>8.0800000000000018</v>
      </c>
      <c r="M144" s="13">
        <f>(C144-H144)/C144*100</f>
        <v>68.400000000000006</v>
      </c>
      <c r="N144" s="13">
        <f>100-(M144+O144)</f>
        <v>15.439999999999998</v>
      </c>
      <c r="O144" s="13">
        <f>L144/C144*100</f>
        <v>16.160000000000004</v>
      </c>
      <c r="P144" s="12" t="s">
        <v>0</v>
      </c>
      <c r="Q144" s="11">
        <v>409294.07238000003</v>
      </c>
      <c r="R144" s="11">
        <v>3659171.2837879998</v>
      </c>
      <c r="T144" s="14">
        <v>2011105</v>
      </c>
      <c r="U144" s="14" t="s">
        <v>193</v>
      </c>
      <c r="V144" s="14">
        <v>6.4920000000000005E-2</v>
      </c>
      <c r="W144" s="14">
        <v>0.38307000000000002</v>
      </c>
      <c r="X144" s="14">
        <v>2.7380000000000002E-2</v>
      </c>
      <c r="Y144" s="14">
        <v>1.31687</v>
      </c>
      <c r="Z144" s="14">
        <v>15.07053</v>
      </c>
      <c r="AA144" s="14">
        <v>9.2232400000000005</v>
      </c>
      <c r="AB144" s="14">
        <v>-1.59006</v>
      </c>
    </row>
    <row r="145" spans="1:28" x14ac:dyDescent="0.25">
      <c r="A145" s="16"/>
      <c r="B145" s="14" t="s">
        <v>2</v>
      </c>
      <c r="C145" s="15">
        <v>50</v>
      </c>
      <c r="D145" s="14">
        <v>20</v>
      </c>
      <c r="E145" s="13">
        <v>25</v>
      </c>
      <c r="F145" s="13">
        <f>1.8*E145+32</f>
        <v>77</v>
      </c>
      <c r="G145" s="13">
        <v>19</v>
      </c>
      <c r="H145" s="13">
        <f>IF(F145&gt;68,G145+(F145-68)*0.2,#REF!-(68-F145)*0.2)</f>
        <v>20.8</v>
      </c>
      <c r="I145" s="13">
        <v>23</v>
      </c>
      <c r="J145" s="13">
        <f>1.8*I145+32</f>
        <v>73.400000000000006</v>
      </c>
      <c r="K145" s="13">
        <v>11</v>
      </c>
      <c r="L145" s="13">
        <f>IF(J145&gt;68,K145+(J145-68)*0.2,K145-(68-J145)*0.2)</f>
        <v>12.080000000000002</v>
      </c>
      <c r="M145" s="13">
        <f>(C145-H145)/C145*100</f>
        <v>58.4</v>
      </c>
      <c r="N145" s="13">
        <f>100-(M145+O145)</f>
        <v>17.439999999999998</v>
      </c>
      <c r="O145" s="13">
        <f>L145/C145*100</f>
        <v>24.160000000000004</v>
      </c>
      <c r="P145" s="12" t="s">
        <v>3</v>
      </c>
      <c r="Q145" s="11">
        <v>409294.07238000003</v>
      </c>
      <c r="R145" s="11">
        <v>3659171.2837879998</v>
      </c>
      <c r="T145" s="14">
        <v>2011105</v>
      </c>
      <c r="U145" s="14" t="s">
        <v>192</v>
      </c>
      <c r="V145" s="14">
        <v>7.3429999999999995E-2</v>
      </c>
      <c r="W145" s="14">
        <v>0.39777000000000001</v>
      </c>
      <c r="X145" s="14">
        <v>2.444E-2</v>
      </c>
      <c r="Y145" s="14">
        <v>1.30013</v>
      </c>
      <c r="Z145" s="14">
        <v>9.3836099999999991</v>
      </c>
      <c r="AA145" s="14">
        <v>7.2769599999999999</v>
      </c>
      <c r="AB145" s="14">
        <v>-1.62486</v>
      </c>
    </row>
    <row r="146" spans="1:28" x14ac:dyDescent="0.25">
      <c r="A146" s="16"/>
      <c r="B146" s="14" t="s">
        <v>1</v>
      </c>
      <c r="C146" s="15">
        <v>50</v>
      </c>
      <c r="D146" s="14">
        <v>20</v>
      </c>
      <c r="E146" s="13">
        <v>23</v>
      </c>
      <c r="F146" s="13">
        <f>1.8*E146+32</f>
        <v>73.400000000000006</v>
      </c>
      <c r="G146" s="13">
        <v>13</v>
      </c>
      <c r="H146" s="13">
        <f>IF(F146&gt;68,G146+(F146-68)*0.2,#REF!-(68-F146)*0.2)</f>
        <v>14.080000000000002</v>
      </c>
      <c r="I146" s="13">
        <v>22</v>
      </c>
      <c r="J146" s="13">
        <f>1.8*I146+32</f>
        <v>71.599999999999994</v>
      </c>
      <c r="K146" s="13">
        <v>11</v>
      </c>
      <c r="L146" s="13">
        <f>IF(J146&gt;68,K146+(J146-68)*0.2,K146-(68-J146)*0.2)</f>
        <v>11.719999999999999</v>
      </c>
      <c r="M146" s="13">
        <f>(C146-H146)/C146*100</f>
        <v>71.84</v>
      </c>
      <c r="N146" s="13">
        <f>100-(M146+O146)</f>
        <v>4.7199999999999989</v>
      </c>
      <c r="O146" s="13">
        <f>L146/C146*100</f>
        <v>23.439999999999998</v>
      </c>
      <c r="P146" s="12" t="s">
        <v>3</v>
      </c>
      <c r="Q146" s="11">
        <v>409294.07238000003</v>
      </c>
      <c r="R146" s="11">
        <v>3659171.2837879998</v>
      </c>
      <c r="T146" s="14">
        <v>2011105</v>
      </c>
      <c r="U146" s="14" t="s">
        <v>191</v>
      </c>
      <c r="V146" s="14">
        <v>8.072E-2</v>
      </c>
      <c r="W146" s="14">
        <v>0.41508</v>
      </c>
      <c r="X146" s="14">
        <v>2.29E-2</v>
      </c>
      <c r="Y146" s="14">
        <v>1.2835700000000001</v>
      </c>
      <c r="Z146" s="14">
        <v>6.9900700000000002</v>
      </c>
      <c r="AA146" s="14">
        <v>6.2405400000000002</v>
      </c>
      <c r="AB146" s="14">
        <v>-1.6946600000000001</v>
      </c>
    </row>
    <row r="147" spans="1:28" x14ac:dyDescent="0.25">
      <c r="A147" s="1"/>
      <c r="Q147" s="31"/>
      <c r="R147" s="31"/>
      <c r="T147" s="14">
        <v>2011105</v>
      </c>
      <c r="U147" s="14" t="s">
        <v>190</v>
      </c>
      <c r="V147" s="14">
        <v>7.639E-2</v>
      </c>
      <c r="W147" s="14">
        <v>0.40540999999999999</v>
      </c>
      <c r="X147" s="14">
        <v>2.3019999999999999E-2</v>
      </c>
      <c r="Y147" s="14">
        <v>1.30135</v>
      </c>
      <c r="Z147" s="14">
        <v>7.7822300000000002</v>
      </c>
      <c r="AA147" s="14">
        <v>6.6367799999999999</v>
      </c>
      <c r="AB147" s="14">
        <v>-1.5661</v>
      </c>
    </row>
    <row r="148" spans="1:28" ht="51.75" x14ac:dyDescent="0.25">
      <c r="A148" s="19" t="s">
        <v>189</v>
      </c>
      <c r="B148" s="22" t="s">
        <v>26</v>
      </c>
      <c r="C148" s="26" t="s">
        <v>25</v>
      </c>
      <c r="D148" s="25" t="s">
        <v>24</v>
      </c>
      <c r="E148" s="24" t="s">
        <v>23</v>
      </c>
      <c r="F148" s="24" t="s">
        <v>22</v>
      </c>
      <c r="G148" s="24" t="s">
        <v>21</v>
      </c>
      <c r="H148" s="24" t="s">
        <v>20</v>
      </c>
      <c r="I148" s="24" t="s">
        <v>19</v>
      </c>
      <c r="J148" s="24" t="s">
        <v>18</v>
      </c>
      <c r="K148" s="24" t="s">
        <v>17</v>
      </c>
      <c r="L148" s="24" t="s">
        <v>16</v>
      </c>
      <c r="M148" s="23" t="s">
        <v>15</v>
      </c>
      <c r="N148" s="23" t="s">
        <v>14</v>
      </c>
      <c r="O148" s="23" t="s">
        <v>13</v>
      </c>
      <c r="P148" s="22" t="s">
        <v>12</v>
      </c>
      <c r="Q148" s="36" t="s">
        <v>11</v>
      </c>
      <c r="R148" s="35"/>
      <c r="T148" s="14">
        <v>2011105</v>
      </c>
      <c r="U148" s="14" t="s">
        <v>188</v>
      </c>
      <c r="V148" s="14">
        <v>7.0449999999999999E-2</v>
      </c>
      <c r="W148" s="14">
        <v>0.39104</v>
      </c>
      <c r="X148" s="14">
        <v>2.5739999999999999E-2</v>
      </c>
      <c r="Y148" s="14">
        <v>1.3008299999999999</v>
      </c>
      <c r="Z148" s="14">
        <v>11.22274</v>
      </c>
      <c r="AA148" s="14">
        <v>7.9351599999999998</v>
      </c>
      <c r="AB148" s="14">
        <v>-1.6610100000000001</v>
      </c>
    </row>
    <row r="149" spans="1:28" x14ac:dyDescent="0.25">
      <c r="A149" s="20"/>
      <c r="B149" s="22"/>
      <c r="C149" s="26"/>
      <c r="D149" s="25"/>
      <c r="E149" s="24"/>
      <c r="F149" s="24"/>
      <c r="G149" s="24"/>
      <c r="H149" s="24"/>
      <c r="I149" s="24"/>
      <c r="J149" s="24"/>
      <c r="K149" s="24"/>
      <c r="L149" s="24"/>
      <c r="M149" s="23"/>
      <c r="N149" s="23"/>
      <c r="O149" s="23"/>
      <c r="P149" s="22"/>
      <c r="Q149" s="21" t="s">
        <v>10</v>
      </c>
      <c r="R149" s="21" t="s">
        <v>9</v>
      </c>
      <c r="T149" s="14">
        <v>2011105</v>
      </c>
      <c r="U149" s="14" t="s">
        <v>187</v>
      </c>
      <c r="V149" s="14">
        <v>5.7790000000000001E-2</v>
      </c>
      <c r="W149" s="14">
        <v>0.37548999999999999</v>
      </c>
      <c r="X149" s="14">
        <v>2.954E-2</v>
      </c>
      <c r="Y149" s="14">
        <v>1.3843399999999999</v>
      </c>
      <c r="Z149" s="14">
        <v>26.58379</v>
      </c>
      <c r="AA149" s="14">
        <v>11.873699999999999</v>
      </c>
      <c r="AB149" s="14">
        <v>-1.3267899999999999</v>
      </c>
    </row>
    <row r="150" spans="1:28" x14ac:dyDescent="0.25">
      <c r="A150" s="20"/>
      <c r="B150" s="14" t="s">
        <v>8</v>
      </c>
      <c r="C150" s="15">
        <v>50</v>
      </c>
      <c r="D150" s="14">
        <v>20</v>
      </c>
      <c r="E150" s="13">
        <v>25</v>
      </c>
      <c r="F150" s="13">
        <f>1.8*E150+32</f>
        <v>77</v>
      </c>
      <c r="G150" s="13">
        <v>16</v>
      </c>
      <c r="H150" s="13">
        <f>IF(F150&gt;68,G150+(F150-68)*0.2,W348-(68-F150)*0.2)</f>
        <v>17.8</v>
      </c>
      <c r="I150" s="13">
        <v>23</v>
      </c>
      <c r="J150" s="13">
        <f>1.8*I150+32</f>
        <v>73.400000000000006</v>
      </c>
      <c r="K150" s="13">
        <v>10</v>
      </c>
      <c r="L150" s="13">
        <f>IF(J150&gt;68,K150+(J150-68)*0.2,K150-(68-J150)*0.2)</f>
        <v>11.080000000000002</v>
      </c>
      <c r="M150" s="13">
        <f>(C150-H150)/C150*100</f>
        <v>64.400000000000006</v>
      </c>
      <c r="N150" s="13">
        <f>100-(M150+O150)</f>
        <v>13.439999999999998</v>
      </c>
      <c r="O150" s="13">
        <f>L150/C150*100</f>
        <v>22.160000000000004</v>
      </c>
      <c r="P150" s="12" t="s">
        <v>3</v>
      </c>
      <c r="Q150" s="11">
        <v>409293.937493</v>
      </c>
      <c r="R150" s="11">
        <v>3659162.0635199999</v>
      </c>
      <c r="T150" s="14">
        <v>2011105</v>
      </c>
      <c r="U150" s="14" t="s">
        <v>186</v>
      </c>
      <c r="V150" s="14">
        <v>6.318E-2</v>
      </c>
      <c r="W150" s="14">
        <v>0.39101000000000002</v>
      </c>
      <c r="X150" s="14">
        <v>2.3970000000000002E-2</v>
      </c>
      <c r="Y150" s="14">
        <v>1.3523499999999999</v>
      </c>
      <c r="Z150" s="14">
        <v>14.921569999999999</v>
      </c>
      <c r="AA150" s="14">
        <v>8.6114700000000006</v>
      </c>
      <c r="AB150" s="14">
        <v>-1.2715099999999999</v>
      </c>
    </row>
    <row r="151" spans="1:28" x14ac:dyDescent="0.25">
      <c r="A151" s="19" t="s">
        <v>7</v>
      </c>
      <c r="B151" s="14" t="s">
        <v>6</v>
      </c>
      <c r="C151" s="15">
        <v>50</v>
      </c>
      <c r="D151" s="14">
        <v>20</v>
      </c>
      <c r="E151" s="13">
        <v>25</v>
      </c>
      <c r="F151" s="13">
        <f>1.8*E151+32</f>
        <v>77</v>
      </c>
      <c r="G151" s="13">
        <v>20</v>
      </c>
      <c r="H151" s="13">
        <f>IF(F151&gt;68,G151+(F151-68)*0.2,W349-(68-F151)*0.2)</f>
        <v>21.8</v>
      </c>
      <c r="I151" s="13">
        <v>23</v>
      </c>
      <c r="J151" s="13">
        <f>1.8*I151+32</f>
        <v>73.400000000000006</v>
      </c>
      <c r="K151" s="13">
        <v>11</v>
      </c>
      <c r="L151" s="13">
        <f>IF(J151&gt;68,K151+(J151-68)*0.2,K151-(68-J151)*0.2)</f>
        <v>12.080000000000002</v>
      </c>
      <c r="M151" s="13">
        <f>(C151-H151)/C151*100</f>
        <v>56.399999999999991</v>
      </c>
      <c r="N151" s="13">
        <f>100-(M151+O151)</f>
        <v>19.439999999999998</v>
      </c>
      <c r="O151" s="13">
        <f>L151/C151*100</f>
        <v>24.160000000000004</v>
      </c>
      <c r="P151" s="12" t="s">
        <v>3</v>
      </c>
      <c r="Q151" s="11">
        <v>409293.937493</v>
      </c>
      <c r="R151" s="11">
        <v>3659162.0635199999</v>
      </c>
      <c r="T151" s="14">
        <v>2011105</v>
      </c>
      <c r="U151" s="14" t="s">
        <v>185</v>
      </c>
      <c r="V151" s="14">
        <v>6.5460000000000004E-2</v>
      </c>
      <c r="W151" s="14">
        <v>0.38839000000000001</v>
      </c>
      <c r="X151" s="14">
        <v>2.5780000000000001E-2</v>
      </c>
      <c r="Y151" s="14">
        <v>1.32778</v>
      </c>
      <c r="Z151" s="14">
        <v>14.015610000000001</v>
      </c>
      <c r="AA151" s="14">
        <v>8.7833400000000008</v>
      </c>
      <c r="AB151" s="14">
        <v>-1.4684600000000001</v>
      </c>
    </row>
    <row r="152" spans="1:28" x14ac:dyDescent="0.25">
      <c r="A152" s="18">
        <v>41493</v>
      </c>
      <c r="B152" s="14" t="s">
        <v>5</v>
      </c>
      <c r="C152" s="15">
        <v>50</v>
      </c>
      <c r="D152" s="14">
        <v>20</v>
      </c>
      <c r="E152" s="13">
        <v>25</v>
      </c>
      <c r="F152" s="13">
        <f>1.8*E152+32</f>
        <v>77</v>
      </c>
      <c r="G152" s="13">
        <v>23</v>
      </c>
      <c r="H152" s="13">
        <f>IF(F152&gt;68,G152+(F152-68)*0.2,W350-(68-F152)*0.2)</f>
        <v>24.8</v>
      </c>
      <c r="I152" s="13">
        <v>23</v>
      </c>
      <c r="J152" s="13">
        <f>1.8*I152+32</f>
        <v>73.400000000000006</v>
      </c>
      <c r="K152" s="13">
        <v>15</v>
      </c>
      <c r="L152" s="13">
        <f>IF(J152&gt;68,K152+(J152-68)*0.2,K152-(68-J152)*0.2)</f>
        <v>16.080000000000002</v>
      </c>
      <c r="M152" s="13">
        <f>(C152-H152)/C152*100</f>
        <v>50.4</v>
      </c>
      <c r="N152" s="13">
        <f>100-(M152+O152)</f>
        <v>17.439999999999998</v>
      </c>
      <c r="O152" s="13">
        <f>L152/C152*100</f>
        <v>32.160000000000004</v>
      </c>
      <c r="P152" s="12" t="s">
        <v>3</v>
      </c>
      <c r="Q152" s="11">
        <v>409293.937493</v>
      </c>
      <c r="R152" s="11">
        <v>3659162.0635199999</v>
      </c>
      <c r="T152" s="14">
        <v>2011105</v>
      </c>
      <c r="U152" s="14" t="s">
        <v>184</v>
      </c>
      <c r="V152" s="14">
        <v>7.9250000000000001E-2</v>
      </c>
      <c r="W152" s="14">
        <v>0.41388999999999998</v>
      </c>
      <c r="X152" s="14">
        <v>2.1559999999999999E-2</v>
      </c>
      <c r="Y152" s="14">
        <v>1.30362</v>
      </c>
      <c r="Z152" s="14">
        <v>6.47058</v>
      </c>
      <c r="AA152" s="14">
        <v>6.0241300000000004</v>
      </c>
      <c r="AB152" s="14">
        <v>-1.4922899999999999</v>
      </c>
    </row>
    <row r="153" spans="1:28" x14ac:dyDescent="0.25">
      <c r="A153" s="17"/>
      <c r="B153" s="14" t="s">
        <v>4</v>
      </c>
      <c r="C153" s="15">
        <v>50</v>
      </c>
      <c r="D153" s="14">
        <v>20</v>
      </c>
      <c r="E153" s="13">
        <v>23</v>
      </c>
      <c r="F153" s="13">
        <f>1.8*E153+32</f>
        <v>73.400000000000006</v>
      </c>
      <c r="G153" s="13">
        <v>23</v>
      </c>
      <c r="H153" s="13">
        <f>IF(F153&gt;68,G153+(F153-68)*0.2,W351-(68-F153)*0.2)</f>
        <v>24.080000000000002</v>
      </c>
      <c r="I153" s="13">
        <v>22</v>
      </c>
      <c r="J153" s="13">
        <f>1.8*I153+32</f>
        <v>71.599999999999994</v>
      </c>
      <c r="K153" s="13">
        <v>13</v>
      </c>
      <c r="L153" s="13">
        <f>IF(J153&gt;68,K153+(J153-68)*0.2,K153-(68-J153)*0.2)</f>
        <v>13.719999999999999</v>
      </c>
      <c r="M153" s="13">
        <f>(C153-H153)/C153*100</f>
        <v>51.839999999999996</v>
      </c>
      <c r="N153" s="13">
        <f>100-(M153+O153)</f>
        <v>20.72</v>
      </c>
      <c r="O153" s="13">
        <f>L153/C153*100</f>
        <v>27.439999999999998</v>
      </c>
      <c r="P153" s="12" t="s">
        <v>3</v>
      </c>
      <c r="Q153" s="11">
        <v>409293.937493</v>
      </c>
      <c r="R153" s="11">
        <v>3659162.0635199999</v>
      </c>
      <c r="T153" s="14">
        <v>2011105</v>
      </c>
      <c r="U153" s="14" t="s">
        <v>183</v>
      </c>
      <c r="V153" s="14">
        <v>8.2699999999999996E-2</v>
      </c>
      <c r="W153" s="14">
        <v>0.42043999999999998</v>
      </c>
      <c r="X153" s="14">
        <v>2.2929999999999999E-2</v>
      </c>
      <c r="Y153" s="14">
        <v>1.27478</v>
      </c>
      <c r="Z153" s="14">
        <v>6.9960199999999997</v>
      </c>
      <c r="AA153" s="14">
        <v>6.1071400000000002</v>
      </c>
      <c r="AB153" s="14">
        <v>-1.76894</v>
      </c>
    </row>
    <row r="154" spans="1:28" x14ac:dyDescent="0.25">
      <c r="A154" s="16"/>
      <c r="B154" s="14" t="s">
        <v>2</v>
      </c>
      <c r="C154" s="15">
        <v>50</v>
      </c>
      <c r="D154" s="14">
        <v>20</v>
      </c>
      <c r="E154" s="13">
        <v>23</v>
      </c>
      <c r="F154" s="13">
        <f>1.8*E154+32</f>
        <v>73.400000000000006</v>
      </c>
      <c r="G154" s="13">
        <v>21</v>
      </c>
      <c r="H154" s="13">
        <f>IF(F154&gt;68,G154+(F154-68)*0.2,W352-(68-F154)*0.2)</f>
        <v>22.080000000000002</v>
      </c>
      <c r="I154" s="13">
        <v>22</v>
      </c>
      <c r="J154" s="13">
        <f>1.8*I154+32</f>
        <v>71.599999999999994</v>
      </c>
      <c r="K154" s="13">
        <v>11</v>
      </c>
      <c r="L154" s="13">
        <f>IF(J154&gt;68,K154+(J154-68)*0.2,K154-(68-J154)*0.2)</f>
        <v>11.719999999999999</v>
      </c>
      <c r="M154" s="13">
        <f>(C154-H154)/C154*100</f>
        <v>55.84</v>
      </c>
      <c r="N154" s="13">
        <f>100-(M154+O154)</f>
        <v>20.72</v>
      </c>
      <c r="O154" s="13">
        <f>L154/C154*100</f>
        <v>23.439999999999998</v>
      </c>
      <c r="P154" s="12" t="s">
        <v>3</v>
      </c>
      <c r="Q154" s="11">
        <v>409293.937493</v>
      </c>
      <c r="R154" s="11">
        <v>3659162.0635199999</v>
      </c>
      <c r="T154" s="14">
        <v>2011105</v>
      </c>
      <c r="U154" s="14" t="s">
        <v>182</v>
      </c>
      <c r="V154" s="14">
        <v>5.6430000000000001E-2</v>
      </c>
      <c r="W154" s="14">
        <v>0.38679999999999998</v>
      </c>
      <c r="X154" s="14">
        <v>2.606E-2</v>
      </c>
      <c r="Y154" s="14">
        <v>1.3668800000000001</v>
      </c>
      <c r="Z154" s="14">
        <v>21.36843</v>
      </c>
      <c r="AA154" s="14">
        <v>10.61609</v>
      </c>
      <c r="AB154" s="14">
        <v>-1.2305900000000001</v>
      </c>
    </row>
    <row r="155" spans="1:28" x14ac:dyDescent="0.25">
      <c r="A155" s="16"/>
      <c r="B155" s="14" t="s">
        <v>1</v>
      </c>
      <c r="C155" s="15">
        <v>50</v>
      </c>
      <c r="D155" s="14">
        <v>20</v>
      </c>
      <c r="E155" s="13">
        <v>23</v>
      </c>
      <c r="F155" s="13">
        <f>1.8*E155+32</f>
        <v>73.400000000000006</v>
      </c>
      <c r="G155" s="13">
        <v>13</v>
      </c>
      <c r="H155" s="13">
        <f>IF(F155&gt;68,G155+(F155-68)*0.2,W353-(68-F155)*0.2)</f>
        <v>14.080000000000002</v>
      </c>
      <c r="I155" s="13">
        <v>22</v>
      </c>
      <c r="J155" s="13">
        <f>1.8*I155+32</f>
        <v>71.599999999999994</v>
      </c>
      <c r="K155" s="13">
        <v>10</v>
      </c>
      <c r="L155" s="13">
        <f>IF(J155&gt;68,K155+(J155-68)*0.2,K155-(68-J155)*0.2)</f>
        <v>10.719999999999999</v>
      </c>
      <c r="M155" s="13">
        <f>(C155-H155)/C155*100</f>
        <v>71.84</v>
      </c>
      <c r="N155" s="13">
        <f>100-(M155+O155)</f>
        <v>6.7199999999999989</v>
      </c>
      <c r="O155" s="13">
        <f>L155/C155*100</f>
        <v>21.439999999999998</v>
      </c>
      <c r="P155" s="12" t="s">
        <v>3</v>
      </c>
      <c r="Q155" s="11">
        <v>409293.937493</v>
      </c>
      <c r="R155" s="11">
        <v>3659162.0635199999</v>
      </c>
      <c r="T155" s="14">
        <v>2011105</v>
      </c>
      <c r="U155" s="14" t="s">
        <v>181</v>
      </c>
      <c r="V155" s="14">
        <v>5.2069999999999998E-2</v>
      </c>
      <c r="W155" s="14">
        <v>0.37789</v>
      </c>
      <c r="X155" s="14">
        <v>3.2320000000000002E-2</v>
      </c>
      <c r="Y155" s="14">
        <v>1.4416199999999999</v>
      </c>
      <c r="Z155" s="14">
        <v>41.304810000000003</v>
      </c>
      <c r="AA155" s="14">
        <v>15.617319999999999</v>
      </c>
      <c r="AB155" s="14">
        <v>-1.1817299999999999</v>
      </c>
    </row>
    <row r="156" spans="1:28" x14ac:dyDescent="0.25">
      <c r="A156" s="1"/>
      <c r="Q156" s="31"/>
      <c r="R156" s="31"/>
      <c r="T156" s="14">
        <v>2011105</v>
      </c>
      <c r="U156" s="14" t="s">
        <v>180</v>
      </c>
      <c r="V156" s="14">
        <v>6.4750000000000002E-2</v>
      </c>
      <c r="W156" s="14">
        <v>0.36918000000000001</v>
      </c>
      <c r="X156" s="14">
        <v>2.528E-2</v>
      </c>
      <c r="Y156" s="14">
        <v>1.35873</v>
      </c>
      <c r="Z156" s="14">
        <v>18.7668</v>
      </c>
      <c r="AA156" s="14">
        <v>8.3372499999999992</v>
      </c>
      <c r="AB156" s="14">
        <v>-1.3864799999999999</v>
      </c>
    </row>
    <row r="157" spans="1:28" ht="51.75" x14ac:dyDescent="0.25">
      <c r="A157" s="19" t="s">
        <v>179</v>
      </c>
      <c r="B157" s="22" t="s">
        <v>26</v>
      </c>
      <c r="C157" s="26" t="s">
        <v>25</v>
      </c>
      <c r="D157" s="25" t="s">
        <v>24</v>
      </c>
      <c r="E157" s="24" t="s">
        <v>23</v>
      </c>
      <c r="F157" s="24" t="s">
        <v>22</v>
      </c>
      <c r="G157" s="24" t="s">
        <v>21</v>
      </c>
      <c r="H157" s="24" t="s">
        <v>20</v>
      </c>
      <c r="I157" s="24" t="s">
        <v>19</v>
      </c>
      <c r="J157" s="24" t="s">
        <v>18</v>
      </c>
      <c r="K157" s="24" t="s">
        <v>17</v>
      </c>
      <c r="L157" s="24" t="s">
        <v>16</v>
      </c>
      <c r="M157" s="23" t="s">
        <v>15</v>
      </c>
      <c r="N157" s="23" t="s">
        <v>14</v>
      </c>
      <c r="O157" s="23" t="s">
        <v>13</v>
      </c>
      <c r="P157" s="22" t="s">
        <v>12</v>
      </c>
      <c r="Q157" s="36" t="s">
        <v>11</v>
      </c>
      <c r="R157" s="35"/>
      <c r="T157" s="14">
        <v>2011105</v>
      </c>
      <c r="U157" s="14" t="s">
        <v>178</v>
      </c>
      <c r="V157" s="14">
        <v>6.5460000000000004E-2</v>
      </c>
      <c r="W157" s="14">
        <v>0.38839000000000001</v>
      </c>
      <c r="X157" s="14">
        <v>2.5780000000000001E-2</v>
      </c>
      <c r="Y157" s="14">
        <v>1.32778</v>
      </c>
      <c r="Z157" s="14">
        <v>14.015610000000001</v>
      </c>
      <c r="AA157" s="14">
        <v>8.7833400000000008</v>
      </c>
      <c r="AB157" s="14">
        <v>-1.4684600000000001</v>
      </c>
    </row>
    <row r="158" spans="1:28" x14ac:dyDescent="0.25">
      <c r="A158" s="20"/>
      <c r="B158" s="22"/>
      <c r="C158" s="26"/>
      <c r="D158" s="25"/>
      <c r="E158" s="24"/>
      <c r="F158" s="24"/>
      <c r="G158" s="24"/>
      <c r="H158" s="24"/>
      <c r="I158" s="24"/>
      <c r="J158" s="24"/>
      <c r="K158" s="24"/>
      <c r="L158" s="24"/>
      <c r="M158" s="23"/>
      <c r="N158" s="23"/>
      <c r="O158" s="23"/>
      <c r="P158" s="22"/>
      <c r="Q158" s="21" t="s">
        <v>10</v>
      </c>
      <c r="R158" s="21" t="s">
        <v>9</v>
      </c>
      <c r="T158" s="14">
        <v>2011105</v>
      </c>
      <c r="U158" s="14" t="s">
        <v>177</v>
      </c>
      <c r="V158" s="14">
        <v>8.2070000000000004E-2</v>
      </c>
      <c r="W158" s="14">
        <v>0.41641</v>
      </c>
      <c r="X158" s="14">
        <v>2.4279999999999999E-2</v>
      </c>
      <c r="Y158" s="14">
        <v>1.2646500000000001</v>
      </c>
      <c r="Z158" s="14">
        <v>8.1196300000000008</v>
      </c>
      <c r="AA158" s="14">
        <v>6.4441499999999996</v>
      </c>
      <c r="AB158" s="14">
        <v>-1.9265300000000001</v>
      </c>
    </row>
    <row r="159" spans="1:28" x14ac:dyDescent="0.25">
      <c r="A159" s="20"/>
      <c r="B159" s="14" t="s">
        <v>8</v>
      </c>
      <c r="C159" s="15">
        <v>50</v>
      </c>
      <c r="D159" s="14">
        <v>20</v>
      </c>
      <c r="E159" s="13">
        <v>25</v>
      </c>
      <c r="F159" s="13">
        <f>1.8*E159+32</f>
        <v>77</v>
      </c>
      <c r="G159" s="13">
        <v>18</v>
      </c>
      <c r="H159" s="13">
        <f>IF(F159&gt;68,G159+(F159-68)*0.2,W355-(68-F159)*0.2)</f>
        <v>19.8</v>
      </c>
      <c r="I159" s="13">
        <v>23</v>
      </c>
      <c r="J159" s="13">
        <f>1.8*I159+32</f>
        <v>73.400000000000006</v>
      </c>
      <c r="K159" s="13">
        <v>10</v>
      </c>
      <c r="L159" s="13">
        <f>IF(J159&gt;68,K159+(J159-68)*0.2,K159-(68-J159)*0.2)</f>
        <v>11.080000000000002</v>
      </c>
      <c r="M159" s="13">
        <f>(C159-H159)/C159*100</f>
        <v>60.4</v>
      </c>
      <c r="N159" s="13">
        <f>100-(M159+O159)</f>
        <v>17.439999999999998</v>
      </c>
      <c r="O159" s="13">
        <f>L159/C159*100</f>
        <v>22.160000000000004</v>
      </c>
      <c r="P159" s="12" t="s">
        <v>3</v>
      </c>
      <c r="Q159" s="11">
        <v>409294.03147599997</v>
      </c>
      <c r="R159" s="11">
        <v>3659152.8663750002</v>
      </c>
      <c r="T159" s="14">
        <v>2011105</v>
      </c>
      <c r="U159" s="14" t="s">
        <v>176</v>
      </c>
      <c r="V159" s="14">
        <v>6.5860000000000002E-2</v>
      </c>
      <c r="W159" s="14">
        <v>0.39107999999999998</v>
      </c>
      <c r="X159" s="14">
        <v>2.4590000000000001E-2</v>
      </c>
      <c r="Y159" s="14">
        <v>1.3357000000000001</v>
      </c>
      <c r="Z159" s="14">
        <v>13.32217</v>
      </c>
      <c r="AA159" s="14">
        <v>8.3879400000000004</v>
      </c>
      <c r="AB159" s="14">
        <v>-1.3870800000000001</v>
      </c>
    </row>
    <row r="160" spans="1:28" x14ac:dyDescent="0.25">
      <c r="A160" s="19" t="s">
        <v>7</v>
      </c>
      <c r="B160" s="14" t="s">
        <v>6</v>
      </c>
      <c r="C160" s="15">
        <v>50</v>
      </c>
      <c r="D160" s="14">
        <v>20</v>
      </c>
      <c r="E160" s="13">
        <v>25</v>
      </c>
      <c r="F160" s="13">
        <f>1.8*E160+32</f>
        <v>77</v>
      </c>
      <c r="G160" s="13">
        <v>20</v>
      </c>
      <c r="H160" s="13">
        <f>IF(F160&gt;68,G160+(F160-68)*0.2,W356-(68-F160)*0.2)</f>
        <v>21.8</v>
      </c>
      <c r="I160" s="13">
        <v>23</v>
      </c>
      <c r="J160" s="13">
        <f>1.8*I160+32</f>
        <v>73.400000000000006</v>
      </c>
      <c r="K160" s="13">
        <v>13</v>
      </c>
      <c r="L160" s="13">
        <f>IF(J160&gt;68,K160+(J160-68)*0.2,K160-(68-J160)*0.2)</f>
        <v>14.080000000000002</v>
      </c>
      <c r="M160" s="13">
        <f>(C160-H160)/C160*100</f>
        <v>56.399999999999991</v>
      </c>
      <c r="N160" s="13">
        <f>100-(M160+O160)</f>
        <v>15.440000000000012</v>
      </c>
      <c r="O160" s="13">
        <f>L160/C160*100</f>
        <v>28.16</v>
      </c>
      <c r="P160" s="12" t="s">
        <v>3</v>
      </c>
      <c r="Q160" s="11">
        <v>409294.03147599997</v>
      </c>
      <c r="R160" s="11">
        <v>3659152.8663750002</v>
      </c>
      <c r="T160" s="14">
        <v>2011105</v>
      </c>
      <c r="U160" s="14" t="s">
        <v>175</v>
      </c>
      <c r="V160" s="14">
        <v>5.935E-2</v>
      </c>
      <c r="W160" s="14">
        <v>0.38235999999999998</v>
      </c>
      <c r="X160" s="14">
        <v>2.8400000000000002E-2</v>
      </c>
      <c r="Y160" s="14">
        <v>1.34612</v>
      </c>
      <c r="Z160" s="14">
        <v>20.374829999999999</v>
      </c>
      <c r="AA160" s="14">
        <v>10.85848</v>
      </c>
      <c r="AB160" s="14">
        <v>-1.4228499999999999</v>
      </c>
    </row>
    <row r="161" spans="1:28" x14ac:dyDescent="0.25">
      <c r="A161" s="18">
        <v>41493</v>
      </c>
      <c r="B161" s="14" t="s">
        <v>5</v>
      </c>
      <c r="C161" s="15">
        <v>50</v>
      </c>
      <c r="D161" s="14">
        <v>20</v>
      </c>
      <c r="E161" s="13">
        <v>25</v>
      </c>
      <c r="F161" s="13">
        <f>1.8*E161+32</f>
        <v>77</v>
      </c>
      <c r="G161" s="13">
        <v>24</v>
      </c>
      <c r="H161" s="13">
        <f>IF(F161&gt;68,G161+(F161-68)*0.2,W357-(68-F161)*0.2)</f>
        <v>25.8</v>
      </c>
      <c r="I161" s="13">
        <v>23</v>
      </c>
      <c r="J161" s="13">
        <f>1.8*I161+32</f>
        <v>73.400000000000006</v>
      </c>
      <c r="K161" s="13">
        <v>16</v>
      </c>
      <c r="L161" s="13">
        <f>IF(J161&gt;68,K161+(J161-68)*0.2,K161-(68-J161)*0.2)</f>
        <v>17.080000000000002</v>
      </c>
      <c r="M161" s="13">
        <f>(C161-H161)/C161*100</f>
        <v>48.4</v>
      </c>
      <c r="N161" s="13">
        <f>100-(M161+O161)</f>
        <v>17.439999999999998</v>
      </c>
      <c r="O161" s="13">
        <f>L161/C161*100</f>
        <v>34.160000000000004</v>
      </c>
      <c r="P161" s="12" t="s">
        <v>3</v>
      </c>
      <c r="Q161" s="11">
        <v>409294.03147599997</v>
      </c>
      <c r="R161" s="11">
        <v>3659152.8663750002</v>
      </c>
      <c r="T161" s="14">
        <v>2011105</v>
      </c>
      <c r="U161" s="14" t="s">
        <v>174</v>
      </c>
      <c r="V161" s="14">
        <v>5.5509999999999997E-2</v>
      </c>
      <c r="W161" s="14">
        <v>0.37563000000000002</v>
      </c>
      <c r="X161" s="14">
        <v>3.0460000000000001E-2</v>
      </c>
      <c r="Y161" s="14">
        <v>1.4216599999999999</v>
      </c>
      <c r="Z161" s="14">
        <v>33.909280000000003</v>
      </c>
      <c r="AA161" s="14">
        <v>13.315860000000001</v>
      </c>
      <c r="AB161" s="14">
        <v>-1.22906</v>
      </c>
    </row>
    <row r="162" spans="1:28" x14ac:dyDescent="0.25">
      <c r="A162" s="17"/>
      <c r="B162" s="14" t="s">
        <v>4</v>
      </c>
      <c r="C162" s="15">
        <v>50</v>
      </c>
      <c r="D162" s="14">
        <v>20</v>
      </c>
      <c r="E162" s="13">
        <v>25</v>
      </c>
      <c r="F162" s="13">
        <f>1.8*E162+32</f>
        <v>77</v>
      </c>
      <c r="G162" s="13">
        <v>25</v>
      </c>
      <c r="H162" s="13">
        <f>IF(F162&gt;68,G162+(F162-68)*0.2,W358-(68-F162)*0.2)</f>
        <v>26.8</v>
      </c>
      <c r="I162" s="13">
        <v>23</v>
      </c>
      <c r="J162" s="13">
        <f>1.8*I162+32</f>
        <v>73.400000000000006</v>
      </c>
      <c r="K162" s="13">
        <v>17</v>
      </c>
      <c r="L162" s="13">
        <f>IF(J162&gt;68,K162+(J162-68)*0.2,K162-(68-J162)*0.2)</f>
        <v>18.080000000000002</v>
      </c>
      <c r="M162" s="13">
        <f>(C162-H162)/C162*100</f>
        <v>46.4</v>
      </c>
      <c r="N162" s="13">
        <f>100-(M162+O162)</f>
        <v>17.439999999999998</v>
      </c>
      <c r="O162" s="13">
        <f>L162/C162*100</f>
        <v>36.160000000000004</v>
      </c>
      <c r="P162" s="12" t="s">
        <v>36</v>
      </c>
      <c r="Q162" s="11">
        <v>409294.03147599997</v>
      </c>
      <c r="R162" s="11">
        <v>3659152.8663750002</v>
      </c>
      <c r="T162" s="14">
        <v>2011105</v>
      </c>
      <c r="U162" s="14" t="s">
        <v>173</v>
      </c>
      <c r="V162" s="14">
        <v>6.5460000000000004E-2</v>
      </c>
      <c r="W162" s="14">
        <v>0.38839000000000001</v>
      </c>
      <c r="X162" s="14">
        <v>2.5780000000000001E-2</v>
      </c>
      <c r="Y162" s="14">
        <v>1.32778</v>
      </c>
      <c r="Z162" s="14">
        <v>14.015610000000001</v>
      </c>
      <c r="AA162" s="14">
        <v>8.7833400000000008</v>
      </c>
      <c r="AB162" s="14">
        <v>-1.4684600000000001</v>
      </c>
    </row>
    <row r="163" spans="1:28" x14ac:dyDescent="0.25">
      <c r="A163" s="16"/>
      <c r="B163" s="14" t="s">
        <v>2</v>
      </c>
      <c r="C163" s="15">
        <v>50</v>
      </c>
      <c r="D163" s="14">
        <v>20</v>
      </c>
      <c r="E163" s="13">
        <v>25</v>
      </c>
      <c r="F163" s="13">
        <f>1.8*E163+32</f>
        <v>77</v>
      </c>
      <c r="G163" s="13">
        <v>19</v>
      </c>
      <c r="H163" s="13">
        <f>IF(F163&gt;68,G163+(F163-68)*0.2,W359-(68-F163)*0.2)</f>
        <v>20.8</v>
      </c>
      <c r="I163" s="13">
        <v>23</v>
      </c>
      <c r="J163" s="13">
        <f>1.8*I163+32</f>
        <v>73.400000000000006</v>
      </c>
      <c r="K163" s="13">
        <v>10</v>
      </c>
      <c r="L163" s="13">
        <f>IF(J163&gt;68,K163+(J163-68)*0.2,K163-(68-J163)*0.2)</f>
        <v>11.080000000000002</v>
      </c>
      <c r="M163" s="13">
        <f>(C163-H163)/C163*100</f>
        <v>58.4</v>
      </c>
      <c r="N163" s="13">
        <f>100-(M163+O163)</f>
        <v>19.439999999999998</v>
      </c>
      <c r="O163" s="13">
        <f>L163/C163*100</f>
        <v>22.160000000000004</v>
      </c>
      <c r="P163" s="12" t="s">
        <v>3</v>
      </c>
      <c r="Q163" s="11">
        <v>409294.03147599997</v>
      </c>
      <c r="R163" s="11">
        <v>3659152.8663750002</v>
      </c>
      <c r="T163" s="14">
        <v>2011105</v>
      </c>
      <c r="U163" s="14" t="s">
        <v>172</v>
      </c>
      <c r="V163" s="14">
        <v>6.5460000000000004E-2</v>
      </c>
      <c r="W163" s="14">
        <v>0.38839000000000001</v>
      </c>
      <c r="X163" s="14">
        <v>2.5780000000000001E-2</v>
      </c>
      <c r="Y163" s="14">
        <v>1.32778</v>
      </c>
      <c r="Z163" s="14">
        <v>14.015610000000001</v>
      </c>
      <c r="AA163" s="14">
        <v>8.7833400000000008</v>
      </c>
      <c r="AB163" s="14">
        <v>-1.4684600000000001</v>
      </c>
    </row>
    <row r="164" spans="1:28" x14ac:dyDescent="0.25">
      <c r="A164" s="16"/>
      <c r="B164" s="14" t="s">
        <v>1</v>
      </c>
      <c r="C164" s="15">
        <v>50</v>
      </c>
      <c r="D164" s="14">
        <v>20</v>
      </c>
      <c r="E164" s="13">
        <v>25</v>
      </c>
      <c r="F164" s="13">
        <f>1.8*E164+32</f>
        <v>77</v>
      </c>
      <c r="G164" s="13">
        <v>14</v>
      </c>
      <c r="H164" s="13">
        <f>IF(F164&gt;68,G164+(F164-68)*0.2,W360-(68-F164)*0.2)</f>
        <v>15.8</v>
      </c>
      <c r="I164" s="13">
        <v>23</v>
      </c>
      <c r="J164" s="13">
        <f>1.8*I164+32</f>
        <v>73.400000000000006</v>
      </c>
      <c r="K164" s="13">
        <v>8</v>
      </c>
      <c r="L164" s="13">
        <f>IF(J164&gt;68,K164+(J164-68)*0.2,K164-(68-J164)*0.2)</f>
        <v>9.0800000000000018</v>
      </c>
      <c r="M164" s="13">
        <f>(C164-H164)/C164*100</f>
        <v>68.400000000000006</v>
      </c>
      <c r="N164" s="13">
        <f>100-(M164+O164)</f>
        <v>13.439999999999998</v>
      </c>
      <c r="O164" s="13">
        <f>L164/C164*100</f>
        <v>18.160000000000004</v>
      </c>
      <c r="P164" s="12" t="s">
        <v>0</v>
      </c>
      <c r="Q164" s="11">
        <v>409294.03147599997</v>
      </c>
      <c r="R164" s="11">
        <v>3659152.8663750002</v>
      </c>
      <c r="T164" s="14">
        <v>2011105</v>
      </c>
      <c r="U164" s="14" t="s">
        <v>171</v>
      </c>
      <c r="V164" s="14">
        <v>8.1350000000000006E-2</v>
      </c>
      <c r="W164" s="14">
        <v>0.41904999999999998</v>
      </c>
      <c r="X164" s="14">
        <v>2.1520000000000001E-2</v>
      </c>
      <c r="Y164" s="14">
        <v>1.2946</v>
      </c>
      <c r="Z164" s="14">
        <v>6.15245</v>
      </c>
      <c r="AA164" s="14">
        <v>5.8584899999999998</v>
      </c>
      <c r="AB164" s="14">
        <v>-1.55044</v>
      </c>
    </row>
    <row r="165" spans="1:28" x14ac:dyDescent="0.25">
      <c r="A165" s="1"/>
      <c r="Q165" s="31"/>
      <c r="R165" s="31"/>
      <c r="T165" s="14">
        <v>2011105</v>
      </c>
      <c r="U165" s="14" t="s">
        <v>170</v>
      </c>
      <c r="V165" s="14">
        <v>7.7640000000000001E-2</v>
      </c>
      <c r="W165" s="14">
        <v>0.41282000000000002</v>
      </c>
      <c r="X165" s="14">
        <v>2.026E-2</v>
      </c>
      <c r="Y165" s="14">
        <v>1.32463</v>
      </c>
      <c r="Z165" s="14">
        <v>6.4449699999999996</v>
      </c>
      <c r="AA165" s="14">
        <v>5.8042299999999996</v>
      </c>
      <c r="AB165" s="14">
        <v>-1.3148299999999999</v>
      </c>
    </row>
    <row r="166" spans="1:28" ht="51.75" x14ac:dyDescent="0.25">
      <c r="A166" s="19" t="s">
        <v>169</v>
      </c>
      <c r="B166" s="22" t="s">
        <v>26</v>
      </c>
      <c r="C166" s="26" t="s">
        <v>25</v>
      </c>
      <c r="D166" s="25" t="s">
        <v>24</v>
      </c>
      <c r="E166" s="24" t="s">
        <v>23</v>
      </c>
      <c r="F166" s="24" t="s">
        <v>22</v>
      </c>
      <c r="G166" s="24" t="s">
        <v>21</v>
      </c>
      <c r="H166" s="24" t="s">
        <v>20</v>
      </c>
      <c r="I166" s="24" t="s">
        <v>19</v>
      </c>
      <c r="J166" s="24" t="s">
        <v>18</v>
      </c>
      <c r="K166" s="24" t="s">
        <v>17</v>
      </c>
      <c r="L166" s="24" t="s">
        <v>16</v>
      </c>
      <c r="M166" s="23" t="s">
        <v>15</v>
      </c>
      <c r="N166" s="23" t="s">
        <v>14</v>
      </c>
      <c r="O166" s="23" t="s">
        <v>13</v>
      </c>
      <c r="P166" s="22" t="s">
        <v>12</v>
      </c>
      <c r="Q166" s="36" t="s">
        <v>11</v>
      </c>
      <c r="R166" s="35"/>
      <c r="T166" s="14">
        <v>2011105</v>
      </c>
      <c r="U166" s="14" t="s">
        <v>168</v>
      </c>
      <c r="V166" s="14">
        <v>6.4899999999999999E-2</v>
      </c>
      <c r="W166" s="14">
        <v>0.37785000000000002</v>
      </c>
      <c r="X166" s="14">
        <v>2.7660000000000001E-2</v>
      </c>
      <c r="Y166" s="14">
        <v>1.31355</v>
      </c>
      <c r="Z166" s="14">
        <v>15.69797</v>
      </c>
      <c r="AA166" s="14">
        <v>9.1112599999999997</v>
      </c>
      <c r="AB166" s="14">
        <v>-1.63645</v>
      </c>
    </row>
    <row r="167" spans="1:28" x14ac:dyDescent="0.25">
      <c r="A167" s="20"/>
      <c r="B167" s="22"/>
      <c r="C167" s="26"/>
      <c r="D167" s="25"/>
      <c r="E167" s="24"/>
      <c r="F167" s="24"/>
      <c r="G167" s="24"/>
      <c r="H167" s="24"/>
      <c r="I167" s="24"/>
      <c r="J167" s="24"/>
      <c r="K167" s="24"/>
      <c r="L167" s="24"/>
      <c r="M167" s="23"/>
      <c r="N167" s="23"/>
      <c r="O167" s="23"/>
      <c r="P167" s="22"/>
      <c r="Q167" s="21" t="s">
        <v>10</v>
      </c>
      <c r="R167" s="21" t="s">
        <v>9</v>
      </c>
      <c r="T167" s="14">
        <v>2011105</v>
      </c>
      <c r="U167" s="14" t="s">
        <v>167</v>
      </c>
      <c r="V167" s="14">
        <v>5.2069999999999998E-2</v>
      </c>
      <c r="W167" s="14">
        <v>0.37789</v>
      </c>
      <c r="X167" s="14">
        <v>3.2320000000000002E-2</v>
      </c>
      <c r="Y167" s="14">
        <v>1.4416199999999999</v>
      </c>
      <c r="Z167" s="14">
        <v>41.304810000000003</v>
      </c>
      <c r="AA167" s="14">
        <v>15.617319999999999</v>
      </c>
      <c r="AB167" s="14">
        <v>-1.1817299999999999</v>
      </c>
    </row>
    <row r="168" spans="1:28" x14ac:dyDescent="0.25">
      <c r="A168" s="20"/>
      <c r="B168" s="14" t="s">
        <v>8</v>
      </c>
      <c r="C168" s="15">
        <v>50</v>
      </c>
      <c r="D168" s="14">
        <v>20</v>
      </c>
      <c r="E168" s="13">
        <v>25</v>
      </c>
      <c r="F168" s="13">
        <f>1.8*E168+32</f>
        <v>77</v>
      </c>
      <c r="G168" s="13">
        <v>18</v>
      </c>
      <c r="H168" s="13">
        <f>IF(F168&gt;68,G168+(F168-68)*0.2,#REF!-(68-F168)*0.2)</f>
        <v>19.8</v>
      </c>
      <c r="I168" s="13">
        <v>23</v>
      </c>
      <c r="J168" s="13">
        <f>1.8*I168+32</f>
        <v>73.400000000000006</v>
      </c>
      <c r="K168" s="13">
        <v>10</v>
      </c>
      <c r="L168" s="13">
        <f>IF(J168&gt;68,K168+(J168-68)*0.2,K168-(68-J168)*0.2)</f>
        <v>11.080000000000002</v>
      </c>
      <c r="M168" s="13">
        <f>(C168-H168)/C168*100</f>
        <v>60.4</v>
      </c>
      <c r="N168" s="13">
        <f>100-(M168+O168)</f>
        <v>17.439999999999998</v>
      </c>
      <c r="O168" s="13">
        <f>L168/C168*100</f>
        <v>22.160000000000004</v>
      </c>
      <c r="P168" s="12" t="s">
        <v>3</v>
      </c>
      <c r="Q168" s="11">
        <v>409293.99475399998</v>
      </c>
      <c r="R168" s="11">
        <v>3659139.1196480002</v>
      </c>
      <c r="T168" s="14">
        <v>2011105</v>
      </c>
      <c r="U168" s="14" t="s">
        <v>166</v>
      </c>
      <c r="V168" s="14">
        <v>5.5509999999999997E-2</v>
      </c>
      <c r="W168" s="14">
        <v>0.37563000000000002</v>
      </c>
      <c r="X168" s="14">
        <v>3.0460000000000001E-2</v>
      </c>
      <c r="Y168" s="14">
        <v>1.4216599999999999</v>
      </c>
      <c r="Z168" s="14">
        <v>33.909280000000003</v>
      </c>
      <c r="AA168" s="14">
        <v>13.315860000000001</v>
      </c>
      <c r="AB168" s="14">
        <v>-1.22906</v>
      </c>
    </row>
    <row r="169" spans="1:28" x14ac:dyDescent="0.25">
      <c r="A169" s="19" t="s">
        <v>7</v>
      </c>
      <c r="B169" s="14" t="s">
        <v>6</v>
      </c>
      <c r="C169" s="15">
        <v>50</v>
      </c>
      <c r="D169" s="14">
        <v>20</v>
      </c>
      <c r="E169" s="13">
        <v>25</v>
      </c>
      <c r="F169" s="13">
        <f>1.8*E169+32</f>
        <v>77</v>
      </c>
      <c r="G169" s="13">
        <v>22</v>
      </c>
      <c r="H169" s="13">
        <f>IF(F169&gt;68,G169+(F169-68)*0.2,W363-(68-F169)*0.2)</f>
        <v>23.8</v>
      </c>
      <c r="I169" s="13">
        <v>23</v>
      </c>
      <c r="J169" s="13">
        <f>1.8*I169+32</f>
        <v>73.400000000000006</v>
      </c>
      <c r="K169" s="13">
        <v>13</v>
      </c>
      <c r="L169" s="13">
        <f>IF(J169&gt;68,K169+(J169-68)*0.2,K169-(68-J169)*0.2)</f>
        <v>14.080000000000002</v>
      </c>
      <c r="M169" s="13">
        <f>(C169-H169)/C169*100</f>
        <v>52.400000000000006</v>
      </c>
      <c r="N169" s="13">
        <f>100-(M169+O169)</f>
        <v>19.439999999999998</v>
      </c>
      <c r="O169" s="13">
        <f>L169/C169*100</f>
        <v>28.16</v>
      </c>
      <c r="P169" s="12" t="s">
        <v>3</v>
      </c>
      <c r="Q169" s="11">
        <v>409293.99475399998</v>
      </c>
      <c r="R169" s="11">
        <v>3659139.1196480002</v>
      </c>
      <c r="T169" s="14">
        <v>2011105</v>
      </c>
      <c r="U169" s="14" t="s">
        <v>165</v>
      </c>
      <c r="V169" s="14">
        <v>5.6779999999999997E-2</v>
      </c>
      <c r="W169" s="14">
        <v>0.37359999999999999</v>
      </c>
      <c r="X169" s="14">
        <v>2.9420000000000002E-2</v>
      </c>
      <c r="Y169" s="14">
        <v>1.44737</v>
      </c>
      <c r="Z169" s="14">
        <v>35.507379999999998</v>
      </c>
      <c r="AA169" s="14">
        <v>12.688599999999999</v>
      </c>
      <c r="AB169" s="14">
        <v>-1.1770700000000001</v>
      </c>
    </row>
    <row r="170" spans="1:28" x14ac:dyDescent="0.25">
      <c r="A170" s="18">
        <v>41493</v>
      </c>
      <c r="B170" s="14" t="s">
        <v>5</v>
      </c>
      <c r="C170" s="15">
        <v>50</v>
      </c>
      <c r="D170" s="14">
        <v>20</v>
      </c>
      <c r="E170" s="13">
        <v>25</v>
      </c>
      <c r="F170" s="13">
        <f>1.8*E170+32</f>
        <v>77</v>
      </c>
      <c r="G170" s="13">
        <v>25</v>
      </c>
      <c r="H170" s="13">
        <f>IF(F170&gt;68,G170+(F170-68)*0.2,W364-(68-F170)*0.2)</f>
        <v>26.8</v>
      </c>
      <c r="I170" s="13">
        <v>23</v>
      </c>
      <c r="J170" s="13">
        <f>1.8*I170+32</f>
        <v>73.400000000000006</v>
      </c>
      <c r="K170" s="13">
        <v>13</v>
      </c>
      <c r="L170" s="13">
        <f>IF(J170&gt;68,K170+(J170-68)*0.2,K170-(68-J170)*0.2)</f>
        <v>14.080000000000002</v>
      </c>
      <c r="M170" s="13">
        <f>(C170-H170)/C170*100</f>
        <v>46.4</v>
      </c>
      <c r="N170" s="13">
        <f>100-(M170+O170)</f>
        <v>25.439999999999998</v>
      </c>
      <c r="O170" s="13">
        <f>L170/C170*100</f>
        <v>28.16</v>
      </c>
      <c r="P170" s="12" t="s">
        <v>3</v>
      </c>
      <c r="Q170" s="11">
        <v>409293.99475399998</v>
      </c>
      <c r="R170" s="11">
        <v>3659139.1196480002</v>
      </c>
      <c r="T170" s="14">
        <v>2011105</v>
      </c>
      <c r="U170" s="14" t="s">
        <v>164</v>
      </c>
      <c r="V170" s="14">
        <v>6.7530000000000007E-2</v>
      </c>
      <c r="W170" s="14">
        <v>0.38525999999999999</v>
      </c>
      <c r="X170" s="14">
        <v>2.6870000000000002E-2</v>
      </c>
      <c r="Y170" s="14">
        <v>1.3048</v>
      </c>
      <c r="Z170" s="14">
        <v>13.240399999999999</v>
      </c>
      <c r="AA170" s="14">
        <v>8.5976400000000002</v>
      </c>
      <c r="AB170" s="14">
        <v>-1.66459</v>
      </c>
    </row>
    <row r="171" spans="1:28" x14ac:dyDescent="0.25">
      <c r="A171" s="17"/>
      <c r="B171" s="14" t="s">
        <v>4</v>
      </c>
      <c r="C171" s="15">
        <v>50</v>
      </c>
      <c r="D171" s="14">
        <v>20</v>
      </c>
      <c r="E171" s="13">
        <v>25</v>
      </c>
      <c r="F171" s="13">
        <f>1.8*E171+32</f>
        <v>77</v>
      </c>
      <c r="G171" s="13">
        <v>31</v>
      </c>
      <c r="H171" s="13">
        <f>IF(F171&gt;68,G171+(F171-68)*0.2,W365-(68-F171)*0.2)</f>
        <v>32.799999999999997</v>
      </c>
      <c r="I171" s="13">
        <v>23</v>
      </c>
      <c r="J171" s="13">
        <f>1.8*I171+32</f>
        <v>73.400000000000006</v>
      </c>
      <c r="K171" s="13">
        <v>15</v>
      </c>
      <c r="L171" s="13">
        <f>IF(J171&gt;68,K171+(J171-68)*0.2,K171-(68-J171)*0.2)</f>
        <v>16.080000000000002</v>
      </c>
      <c r="M171" s="13">
        <f>(C171-H171)/C171*100</f>
        <v>34.400000000000006</v>
      </c>
      <c r="N171" s="13">
        <f>100-(M171+O171)</f>
        <v>33.44</v>
      </c>
      <c r="O171" s="13">
        <f>L171/C171*100</f>
        <v>32.160000000000004</v>
      </c>
      <c r="P171" s="12" t="s">
        <v>30</v>
      </c>
      <c r="Q171" s="11">
        <v>409293.99475399998</v>
      </c>
      <c r="R171" s="11">
        <v>3659139.1196480002</v>
      </c>
      <c r="T171" s="14">
        <v>2011105</v>
      </c>
      <c r="U171" s="14" t="s">
        <v>163</v>
      </c>
      <c r="V171" s="14">
        <v>7.0040000000000005E-2</v>
      </c>
      <c r="W171" s="14">
        <v>0.38796999999999998</v>
      </c>
      <c r="X171" s="14">
        <v>2.6519999999999998E-2</v>
      </c>
      <c r="Y171" s="14">
        <v>1.29379</v>
      </c>
      <c r="Z171" s="14">
        <v>11.9481</v>
      </c>
      <c r="AA171" s="14">
        <v>8.1061899999999998</v>
      </c>
      <c r="AB171" s="14">
        <v>-1.74302</v>
      </c>
    </row>
    <row r="172" spans="1:28" x14ac:dyDescent="0.25">
      <c r="A172" s="16"/>
      <c r="B172" s="14" t="s">
        <v>2</v>
      </c>
      <c r="C172" s="15">
        <v>50</v>
      </c>
      <c r="D172" s="14">
        <v>20</v>
      </c>
      <c r="E172" s="13">
        <v>25</v>
      </c>
      <c r="F172" s="13">
        <f>1.8*E172+32</f>
        <v>77</v>
      </c>
      <c r="G172" s="13">
        <v>24</v>
      </c>
      <c r="H172" s="13">
        <f>IF(F172&gt;68,G172+(F172-68)*0.2,W366-(68-F172)*0.2)</f>
        <v>25.8</v>
      </c>
      <c r="I172" s="13">
        <v>23</v>
      </c>
      <c r="J172" s="13">
        <f>1.8*I172+32</f>
        <v>73.400000000000006</v>
      </c>
      <c r="K172" s="13">
        <v>12</v>
      </c>
      <c r="L172" s="13">
        <f>IF(J172&gt;68,K172+(J172-68)*0.2,K172-(68-J172)*0.2)</f>
        <v>13.080000000000002</v>
      </c>
      <c r="M172" s="13">
        <f>(C172-H172)/C172*100</f>
        <v>48.4</v>
      </c>
      <c r="N172" s="13">
        <f>100-(M172+O172)</f>
        <v>25.439999999999998</v>
      </c>
      <c r="O172" s="13">
        <f>L172/C172*100</f>
        <v>26.160000000000004</v>
      </c>
      <c r="P172" s="12" t="s">
        <v>3</v>
      </c>
      <c r="Q172" s="11">
        <v>409293.99475399998</v>
      </c>
      <c r="R172" s="11">
        <v>3659139.1196480002</v>
      </c>
      <c r="T172" s="14">
        <v>2011105</v>
      </c>
      <c r="U172" s="14" t="s">
        <v>162</v>
      </c>
      <c r="V172" s="14">
        <v>5.7790000000000001E-2</v>
      </c>
      <c r="W172" s="14">
        <v>0.37548999999999999</v>
      </c>
      <c r="X172" s="14">
        <v>2.954E-2</v>
      </c>
      <c r="Y172" s="14">
        <v>1.3843399999999999</v>
      </c>
      <c r="Z172" s="14">
        <v>26.58379</v>
      </c>
      <c r="AA172" s="14">
        <v>11.873699999999999</v>
      </c>
      <c r="AB172" s="14">
        <v>-1.3267899999999999</v>
      </c>
    </row>
    <row r="173" spans="1:28" x14ac:dyDescent="0.25">
      <c r="A173" s="16"/>
      <c r="B173" s="14" t="s">
        <v>1</v>
      </c>
      <c r="C173" s="15">
        <v>50</v>
      </c>
      <c r="D173" s="14">
        <v>20</v>
      </c>
      <c r="E173" s="13">
        <v>25</v>
      </c>
      <c r="F173" s="13">
        <f>1.8*E173+32</f>
        <v>77</v>
      </c>
      <c r="G173" s="13">
        <v>15</v>
      </c>
      <c r="H173" s="13">
        <f>IF(F173&gt;68,G173+(F173-68)*0.2,W367-(68-F173)*0.2)</f>
        <v>16.8</v>
      </c>
      <c r="I173" s="13">
        <v>23</v>
      </c>
      <c r="J173" s="13">
        <f>1.8*I173+32</f>
        <v>73.400000000000006</v>
      </c>
      <c r="K173" s="13">
        <v>9</v>
      </c>
      <c r="L173" s="13">
        <f>IF(J173&gt;68,K173+(J173-68)*0.2,K173-(68-J173)*0.2)</f>
        <v>10.080000000000002</v>
      </c>
      <c r="M173" s="13">
        <f>(C173-H173)/C173*100</f>
        <v>66.400000000000006</v>
      </c>
      <c r="N173" s="13">
        <f>100-(M173+O173)</f>
        <v>13.439999999999998</v>
      </c>
      <c r="O173" s="13">
        <f>L173/C173*100</f>
        <v>20.160000000000004</v>
      </c>
      <c r="P173" s="12" t="s">
        <v>3</v>
      </c>
      <c r="Q173" s="11">
        <v>409293.99475399998</v>
      </c>
      <c r="R173" s="11">
        <v>3659139.1196480002</v>
      </c>
      <c r="T173" s="14">
        <v>2011105</v>
      </c>
      <c r="U173" s="14" t="s">
        <v>161</v>
      </c>
      <c r="V173" s="14">
        <v>5.6419999999999998E-2</v>
      </c>
      <c r="W173" s="14">
        <v>0.37678</v>
      </c>
      <c r="X173" s="14">
        <v>3.023E-2</v>
      </c>
      <c r="Y173" s="14">
        <v>1.3871199999999999</v>
      </c>
      <c r="Z173" s="14">
        <v>28.39967</v>
      </c>
      <c r="AA173" s="14">
        <v>12.586639999999999</v>
      </c>
      <c r="AB173" s="14">
        <v>-1.31586</v>
      </c>
    </row>
    <row r="174" spans="1:28" x14ac:dyDescent="0.25">
      <c r="A174" s="1"/>
      <c r="C174" s="30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8"/>
      <c r="T174" s="14">
        <v>2011105</v>
      </c>
      <c r="U174" s="14" t="s">
        <v>160</v>
      </c>
      <c r="V174" s="14">
        <v>6.1219999999999997E-2</v>
      </c>
      <c r="W174" s="14">
        <v>0.38239000000000001</v>
      </c>
      <c r="X174" s="14">
        <v>2.8029999999999999E-2</v>
      </c>
      <c r="Y174" s="14">
        <v>1.3366800000000001</v>
      </c>
      <c r="Z174" s="14">
        <v>18.397819999999999</v>
      </c>
      <c r="AA174" s="14">
        <v>10.26718</v>
      </c>
      <c r="AB174" s="14">
        <v>-1.47316</v>
      </c>
    </row>
    <row r="175" spans="1:28" ht="51.75" x14ac:dyDescent="0.25">
      <c r="A175" s="19" t="s">
        <v>159</v>
      </c>
      <c r="B175" s="22" t="s">
        <v>26</v>
      </c>
      <c r="C175" s="26" t="s">
        <v>25</v>
      </c>
      <c r="D175" s="25" t="s">
        <v>24</v>
      </c>
      <c r="E175" s="24" t="s">
        <v>23</v>
      </c>
      <c r="F175" s="24" t="s">
        <v>22</v>
      </c>
      <c r="G175" s="24" t="s">
        <v>21</v>
      </c>
      <c r="H175" s="24" t="s">
        <v>20</v>
      </c>
      <c r="I175" s="24" t="s">
        <v>19</v>
      </c>
      <c r="J175" s="24" t="s">
        <v>18</v>
      </c>
      <c r="K175" s="24" t="s">
        <v>17</v>
      </c>
      <c r="L175" s="24" t="s">
        <v>16</v>
      </c>
      <c r="M175" s="23" t="s">
        <v>15</v>
      </c>
      <c r="N175" s="23" t="s">
        <v>14</v>
      </c>
      <c r="O175" s="23" t="s">
        <v>13</v>
      </c>
      <c r="P175" s="22" t="s">
        <v>12</v>
      </c>
      <c r="Q175" s="36" t="s">
        <v>11</v>
      </c>
      <c r="R175" s="35"/>
      <c r="T175" s="14">
        <v>2011105</v>
      </c>
      <c r="U175" s="14" t="s">
        <v>158</v>
      </c>
      <c r="V175" s="14">
        <v>6.4780000000000004E-2</v>
      </c>
      <c r="W175" s="14">
        <v>0.39013999999999999</v>
      </c>
      <c r="X175" s="14">
        <v>2.4850000000000001E-2</v>
      </c>
      <c r="Y175" s="14">
        <v>1.3387199999999999</v>
      </c>
      <c r="Z175" s="14">
        <v>14.14404</v>
      </c>
      <c r="AA175" s="14">
        <v>8.6407600000000002</v>
      </c>
      <c r="AB175" s="14">
        <v>-1.3748400000000001</v>
      </c>
    </row>
    <row r="176" spans="1:28" x14ac:dyDescent="0.25">
      <c r="A176" s="20"/>
      <c r="B176" s="22"/>
      <c r="C176" s="26"/>
      <c r="D176" s="25"/>
      <c r="E176" s="24"/>
      <c r="F176" s="24"/>
      <c r="G176" s="24"/>
      <c r="H176" s="24"/>
      <c r="I176" s="24"/>
      <c r="J176" s="24"/>
      <c r="K176" s="24"/>
      <c r="L176" s="24"/>
      <c r="M176" s="23"/>
      <c r="N176" s="23"/>
      <c r="O176" s="23"/>
      <c r="P176" s="22"/>
      <c r="Q176" s="21" t="s">
        <v>10</v>
      </c>
      <c r="R176" s="21" t="s">
        <v>9</v>
      </c>
      <c r="T176" s="14">
        <v>2011105</v>
      </c>
      <c r="U176" s="14" t="s">
        <v>157</v>
      </c>
      <c r="V176" s="14">
        <v>7.8060000000000004E-2</v>
      </c>
      <c r="W176" s="14">
        <v>0.40969</v>
      </c>
      <c r="X176" s="14">
        <v>2.247E-2</v>
      </c>
      <c r="Y176" s="14">
        <v>1.29959</v>
      </c>
      <c r="Z176" s="14">
        <v>7.1142700000000003</v>
      </c>
      <c r="AA176" s="14">
        <v>6.3505900000000004</v>
      </c>
      <c r="AB176" s="14">
        <v>-1.5569599999999999</v>
      </c>
    </row>
    <row r="177" spans="1:28" x14ac:dyDescent="0.25">
      <c r="A177" s="20"/>
      <c r="B177" s="14" t="s">
        <v>8</v>
      </c>
      <c r="C177" s="15">
        <v>50</v>
      </c>
      <c r="D177" s="14">
        <v>20</v>
      </c>
      <c r="E177" s="13">
        <v>25</v>
      </c>
      <c r="F177" s="13">
        <f>1.8*E177+32</f>
        <v>77</v>
      </c>
      <c r="G177" s="13">
        <v>18</v>
      </c>
      <c r="H177" s="13">
        <f>IF(F177&gt;68,G177+(F177-68)*0.2,#REF!-(68-F177)*0.2)</f>
        <v>19.8</v>
      </c>
      <c r="I177" s="13">
        <v>23</v>
      </c>
      <c r="J177" s="13">
        <f>1.8*I177+32</f>
        <v>73.400000000000006</v>
      </c>
      <c r="K177" s="13">
        <v>9</v>
      </c>
      <c r="L177" s="13">
        <f>IF(J177&gt;68,K177+(J177-68)*0.2,K177-(68-J177)*0.2)</f>
        <v>10.080000000000002</v>
      </c>
      <c r="M177" s="13">
        <f>(C177-H177)/C177*100</f>
        <v>60.4</v>
      </c>
      <c r="N177" s="13">
        <f>100-(M177+O177)</f>
        <v>19.439999999999998</v>
      </c>
      <c r="O177" s="13">
        <f>L177/C177*100</f>
        <v>20.160000000000004</v>
      </c>
      <c r="P177" s="12" t="s">
        <v>3</v>
      </c>
      <c r="Q177" s="11">
        <v>409294.03271699999</v>
      </c>
      <c r="R177" s="11">
        <v>3659130.0550170001</v>
      </c>
      <c r="T177" s="14">
        <v>2011105</v>
      </c>
      <c r="U177" s="14" t="s">
        <v>156</v>
      </c>
      <c r="V177" s="14">
        <v>6.8750000000000006E-2</v>
      </c>
      <c r="W177" s="14">
        <v>0.39400000000000002</v>
      </c>
      <c r="X177" s="14">
        <v>2.3990000000000001E-2</v>
      </c>
      <c r="Y177" s="14">
        <v>1.32731</v>
      </c>
      <c r="Z177" s="14">
        <v>11.35406</v>
      </c>
      <c r="AA177" s="14">
        <v>7.7843999999999998</v>
      </c>
      <c r="AB177" s="14">
        <v>-1.4236599999999999</v>
      </c>
    </row>
    <row r="178" spans="1:28" x14ac:dyDescent="0.25">
      <c r="A178" s="19" t="s">
        <v>7</v>
      </c>
      <c r="B178" s="14" t="s">
        <v>6</v>
      </c>
      <c r="C178" s="15">
        <v>50</v>
      </c>
      <c r="D178" s="14">
        <v>20</v>
      </c>
      <c r="E178" s="13">
        <v>25</v>
      </c>
      <c r="F178" s="13">
        <f>1.8*E178+32</f>
        <v>77</v>
      </c>
      <c r="G178" s="13">
        <v>20</v>
      </c>
      <c r="H178" s="13">
        <f>IF(F178&gt;68,G178+(F178-68)*0.2,W372-(68-F178)*0.2)</f>
        <v>21.8</v>
      </c>
      <c r="I178" s="13">
        <v>23</v>
      </c>
      <c r="J178" s="13">
        <f>1.8*I178+32</f>
        <v>73.400000000000006</v>
      </c>
      <c r="K178" s="13">
        <v>10</v>
      </c>
      <c r="L178" s="13">
        <f>IF(J178&gt;68,K178+(J178-68)*0.2,K178-(68-J178)*0.2)</f>
        <v>11.080000000000002</v>
      </c>
      <c r="M178" s="13">
        <f>(C178-H178)/C178*100</f>
        <v>56.399999999999991</v>
      </c>
      <c r="N178" s="13">
        <f>100-(M178+O178)</f>
        <v>21.439999999999998</v>
      </c>
      <c r="O178" s="13">
        <f>L178/C178*100</f>
        <v>22.160000000000004</v>
      </c>
      <c r="P178" s="12" t="s">
        <v>3</v>
      </c>
      <c r="Q178" s="11">
        <v>409294.03271699999</v>
      </c>
      <c r="R178" s="11">
        <v>3659130.0550170001</v>
      </c>
      <c r="T178" s="14">
        <v>2011105</v>
      </c>
      <c r="U178" s="14" t="s">
        <v>155</v>
      </c>
      <c r="V178" s="14">
        <v>7.5789999999999996E-2</v>
      </c>
      <c r="W178" s="14">
        <v>0.40182000000000001</v>
      </c>
      <c r="X178" s="14">
        <v>2.427E-2</v>
      </c>
      <c r="Y178" s="14">
        <v>1.29112</v>
      </c>
      <c r="Z178" s="14">
        <v>8.6263500000000004</v>
      </c>
      <c r="AA178" s="14">
        <v>6.9784699999999997</v>
      </c>
      <c r="AB178" s="14">
        <v>-1.68926</v>
      </c>
    </row>
    <row r="179" spans="1:28" x14ac:dyDescent="0.25">
      <c r="A179" s="18">
        <v>41493</v>
      </c>
      <c r="B179" s="14" t="s">
        <v>5</v>
      </c>
      <c r="C179" s="15">
        <v>50</v>
      </c>
      <c r="D179" s="14">
        <v>20</v>
      </c>
      <c r="E179" s="13">
        <v>25</v>
      </c>
      <c r="F179" s="13">
        <f>1.8*E179+32</f>
        <v>77</v>
      </c>
      <c r="G179" s="13">
        <v>23</v>
      </c>
      <c r="H179" s="13">
        <f>IF(F179&gt;68,G179+(F179-68)*0.2,W373-(68-F179)*0.2)</f>
        <v>24.8</v>
      </c>
      <c r="I179" s="13">
        <v>23</v>
      </c>
      <c r="J179" s="13">
        <f>1.8*I179+32</f>
        <v>73.400000000000006</v>
      </c>
      <c r="K179" s="13">
        <v>10</v>
      </c>
      <c r="L179" s="13">
        <f>IF(J179&gt;68,K179+(J179-68)*0.2,K179-(68-J179)*0.2)</f>
        <v>11.080000000000002</v>
      </c>
      <c r="M179" s="13">
        <f>(C179-H179)/C179*100</f>
        <v>50.4</v>
      </c>
      <c r="N179" s="13">
        <f>100-(M179+O179)</f>
        <v>27.439999999999998</v>
      </c>
      <c r="O179" s="13">
        <f>L179/C179*100</f>
        <v>22.160000000000004</v>
      </c>
      <c r="P179" s="12" t="s">
        <v>3</v>
      </c>
      <c r="Q179" s="11">
        <v>409294.03271699999</v>
      </c>
      <c r="R179" s="11">
        <v>3659130.0550170001</v>
      </c>
      <c r="T179" s="14">
        <v>2011105</v>
      </c>
      <c r="U179" s="14" t="s">
        <v>154</v>
      </c>
      <c r="V179" s="14">
        <v>7.0449999999999999E-2</v>
      </c>
      <c r="W179" s="14">
        <v>0.39104</v>
      </c>
      <c r="X179" s="14">
        <v>2.5739999999999999E-2</v>
      </c>
      <c r="Y179" s="14">
        <v>1.3008299999999999</v>
      </c>
      <c r="Z179" s="14">
        <v>11.22274</v>
      </c>
      <c r="AA179" s="14">
        <v>7.9351599999999998</v>
      </c>
      <c r="AB179" s="14">
        <v>-1.6610100000000001</v>
      </c>
    </row>
    <row r="180" spans="1:28" x14ac:dyDescent="0.25">
      <c r="A180" s="17"/>
      <c r="B180" s="14" t="s">
        <v>4</v>
      </c>
      <c r="C180" s="15">
        <v>50</v>
      </c>
      <c r="D180" s="14">
        <v>20</v>
      </c>
      <c r="E180" s="13">
        <v>25</v>
      </c>
      <c r="F180" s="13">
        <f>1.8*E180+32</f>
        <v>77</v>
      </c>
      <c r="G180" s="13">
        <v>19</v>
      </c>
      <c r="H180" s="13">
        <f>IF(F180&gt;68,G180+(F180-68)*0.2,W374-(68-F180)*0.2)</f>
        <v>20.8</v>
      </c>
      <c r="I180" s="13">
        <v>23</v>
      </c>
      <c r="J180" s="13">
        <f>1.8*I180+32</f>
        <v>73.400000000000006</v>
      </c>
      <c r="K180" s="13">
        <v>11</v>
      </c>
      <c r="L180" s="13">
        <f>IF(J180&gt;68,K180+(J180-68)*0.2,K180-(68-J180)*0.2)</f>
        <v>12.080000000000002</v>
      </c>
      <c r="M180" s="13">
        <f>(C180-H180)/C180*100</f>
        <v>58.4</v>
      </c>
      <c r="N180" s="13">
        <f>100-(M180+O180)</f>
        <v>17.439999999999998</v>
      </c>
      <c r="O180" s="13">
        <f>L180/C180*100</f>
        <v>24.160000000000004</v>
      </c>
      <c r="P180" s="12" t="s">
        <v>3</v>
      </c>
      <c r="Q180" s="11">
        <v>409294.03271699999</v>
      </c>
      <c r="R180" s="11">
        <v>3659130.0550170001</v>
      </c>
      <c r="T180" s="14">
        <v>2011105</v>
      </c>
      <c r="U180" s="14" t="s">
        <v>153</v>
      </c>
      <c r="V180" s="14">
        <v>6.5460000000000004E-2</v>
      </c>
      <c r="W180" s="14">
        <v>0.38839000000000001</v>
      </c>
      <c r="X180" s="14">
        <v>2.5780000000000001E-2</v>
      </c>
      <c r="Y180" s="14">
        <v>1.32778</v>
      </c>
      <c r="Z180" s="14">
        <v>14.015610000000001</v>
      </c>
      <c r="AA180" s="14">
        <v>8.7833400000000008</v>
      </c>
      <c r="AB180" s="14">
        <v>-1.4684600000000001</v>
      </c>
    </row>
    <row r="181" spans="1:28" x14ac:dyDescent="0.25">
      <c r="A181" s="16"/>
      <c r="B181" s="14" t="s">
        <v>2</v>
      </c>
      <c r="C181" s="15">
        <v>50</v>
      </c>
      <c r="D181" s="14">
        <v>20</v>
      </c>
      <c r="E181" s="13">
        <v>25</v>
      </c>
      <c r="F181" s="13">
        <f>1.8*E181+32</f>
        <v>77</v>
      </c>
      <c r="G181" s="13">
        <v>21</v>
      </c>
      <c r="H181" s="13">
        <f>IF(F181&gt;68,G181+(F181-68)*0.2,W375-(68-F181)*0.2)</f>
        <v>22.8</v>
      </c>
      <c r="I181" s="13">
        <v>23</v>
      </c>
      <c r="J181" s="13">
        <f>1.8*I181+32</f>
        <v>73.400000000000006</v>
      </c>
      <c r="K181" s="13">
        <v>11</v>
      </c>
      <c r="L181" s="13">
        <f>IF(J181&gt;68,K181+(J181-68)*0.2,K181-(68-J181)*0.2)</f>
        <v>12.080000000000002</v>
      </c>
      <c r="M181" s="13">
        <f>(C181-H181)/C181*100</f>
        <v>54.400000000000006</v>
      </c>
      <c r="N181" s="13">
        <f>100-(M181+O181)</f>
        <v>21.439999999999998</v>
      </c>
      <c r="O181" s="13">
        <f>L181/C181*100</f>
        <v>24.160000000000004</v>
      </c>
      <c r="P181" s="12" t="s">
        <v>3</v>
      </c>
      <c r="Q181" s="11">
        <v>409294.03271699999</v>
      </c>
      <c r="R181" s="11">
        <v>3659130.0550170001</v>
      </c>
      <c r="T181" s="14">
        <v>2011105</v>
      </c>
      <c r="U181" s="14" t="s">
        <v>152</v>
      </c>
      <c r="V181" s="14">
        <v>7.2429999999999994E-2</v>
      </c>
      <c r="W181" s="14">
        <v>0.39118000000000003</v>
      </c>
      <c r="X181" s="14">
        <v>2.631E-2</v>
      </c>
      <c r="Y181" s="14">
        <v>1.2835099999999999</v>
      </c>
      <c r="Z181" s="14">
        <v>11.093909999999999</v>
      </c>
      <c r="AA181" s="14">
        <v>7.7251300000000001</v>
      </c>
      <c r="AB181" s="14">
        <v>-1.82707</v>
      </c>
    </row>
    <row r="182" spans="1:28" x14ac:dyDescent="0.25">
      <c r="A182" s="16"/>
      <c r="B182" s="14" t="s">
        <v>1</v>
      </c>
      <c r="C182" s="15">
        <v>50</v>
      </c>
      <c r="D182" s="14">
        <v>20</v>
      </c>
      <c r="E182" s="13">
        <v>25</v>
      </c>
      <c r="F182" s="13">
        <f>1.8*E182+32</f>
        <v>77</v>
      </c>
      <c r="G182" s="13">
        <v>19</v>
      </c>
      <c r="H182" s="13">
        <f>IF(F182&gt;68,G182+(F182-68)*0.2,W376-(68-F182)*0.2)</f>
        <v>20.8</v>
      </c>
      <c r="I182" s="13">
        <v>23</v>
      </c>
      <c r="J182" s="13">
        <f>1.8*I182+32</f>
        <v>73.400000000000006</v>
      </c>
      <c r="K182" s="13">
        <v>10</v>
      </c>
      <c r="L182" s="13">
        <f>IF(J182&gt;68,K182+(J182-68)*0.2,K182-(68-J182)*0.2)</f>
        <v>11.080000000000002</v>
      </c>
      <c r="M182" s="13">
        <f>(C182-H182)/C182*100</f>
        <v>58.4</v>
      </c>
      <c r="N182" s="13">
        <f>100-(M182+O182)</f>
        <v>19.439999999999998</v>
      </c>
      <c r="O182" s="13">
        <f>L182/C182*100</f>
        <v>22.160000000000004</v>
      </c>
      <c r="P182" s="12" t="s">
        <v>3</v>
      </c>
      <c r="Q182" s="11">
        <v>409294.03271699999</v>
      </c>
      <c r="R182" s="11">
        <v>3659130.0550170001</v>
      </c>
      <c r="T182" s="14">
        <v>2011105</v>
      </c>
      <c r="U182" s="14" t="s">
        <v>151</v>
      </c>
      <c r="V182" s="14">
        <v>7.5789999999999996E-2</v>
      </c>
      <c r="W182" s="14">
        <v>0.40182000000000001</v>
      </c>
      <c r="X182" s="14">
        <v>2.427E-2</v>
      </c>
      <c r="Y182" s="14">
        <v>1.29112</v>
      </c>
      <c r="Z182" s="14">
        <v>8.6263500000000004</v>
      </c>
      <c r="AA182" s="14">
        <v>6.9784699999999997</v>
      </c>
      <c r="AB182" s="14">
        <v>-1.68926</v>
      </c>
    </row>
    <row r="183" spans="1:28" x14ac:dyDescent="0.25">
      <c r="A183" s="1"/>
      <c r="C183" s="30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8"/>
      <c r="T183" s="14">
        <v>2011105</v>
      </c>
      <c r="U183" s="14" t="s">
        <v>150</v>
      </c>
      <c r="V183" s="14">
        <v>8.2699999999999996E-2</v>
      </c>
      <c r="W183" s="14">
        <v>0.42043999999999998</v>
      </c>
      <c r="X183" s="14">
        <v>2.2929999999999999E-2</v>
      </c>
      <c r="Y183" s="14">
        <v>1.27478</v>
      </c>
      <c r="Z183" s="14">
        <v>6.9960199999999997</v>
      </c>
      <c r="AA183" s="14">
        <v>6.1071400000000002</v>
      </c>
      <c r="AB183" s="14">
        <v>-1.76894</v>
      </c>
    </row>
    <row r="184" spans="1:28" ht="51.75" x14ac:dyDescent="0.25">
      <c r="A184" s="19" t="s">
        <v>149</v>
      </c>
      <c r="B184" s="22" t="s">
        <v>26</v>
      </c>
      <c r="C184" s="26" t="s">
        <v>25</v>
      </c>
      <c r="D184" s="25" t="s">
        <v>24</v>
      </c>
      <c r="E184" s="24" t="s">
        <v>23</v>
      </c>
      <c r="F184" s="24" t="s">
        <v>22</v>
      </c>
      <c r="G184" s="24" t="s">
        <v>21</v>
      </c>
      <c r="H184" s="24" t="s">
        <v>20</v>
      </c>
      <c r="I184" s="24" t="s">
        <v>19</v>
      </c>
      <c r="J184" s="24" t="s">
        <v>18</v>
      </c>
      <c r="K184" s="24" t="s">
        <v>17</v>
      </c>
      <c r="L184" s="24" t="s">
        <v>16</v>
      </c>
      <c r="M184" s="23" t="s">
        <v>15</v>
      </c>
      <c r="N184" s="23" t="s">
        <v>14</v>
      </c>
      <c r="O184" s="23" t="s">
        <v>13</v>
      </c>
      <c r="P184" s="22" t="s">
        <v>12</v>
      </c>
      <c r="Q184" s="36" t="s">
        <v>11</v>
      </c>
      <c r="R184" s="35"/>
      <c r="T184" s="14">
        <v>2011105</v>
      </c>
      <c r="U184" s="14" t="s">
        <v>148</v>
      </c>
      <c r="V184" s="14">
        <v>7.7009999999999995E-2</v>
      </c>
      <c r="W184" s="14">
        <v>0.40908</v>
      </c>
      <c r="X184" s="14">
        <v>2.1669999999999998E-2</v>
      </c>
      <c r="Y184" s="14">
        <v>1.31254</v>
      </c>
      <c r="Z184" s="14">
        <v>7.0593000000000004</v>
      </c>
      <c r="AA184" s="14">
        <v>6.2395399999999999</v>
      </c>
      <c r="AB184" s="14">
        <v>-1.44065</v>
      </c>
    </row>
    <row r="185" spans="1:28" x14ac:dyDescent="0.25">
      <c r="A185" s="20"/>
      <c r="B185" s="22"/>
      <c r="C185" s="26"/>
      <c r="D185" s="25"/>
      <c r="E185" s="24"/>
      <c r="F185" s="24"/>
      <c r="G185" s="24"/>
      <c r="H185" s="24"/>
      <c r="I185" s="24"/>
      <c r="J185" s="24"/>
      <c r="K185" s="24"/>
      <c r="L185" s="24"/>
      <c r="M185" s="23"/>
      <c r="N185" s="23"/>
      <c r="O185" s="23"/>
      <c r="P185" s="22"/>
      <c r="Q185" s="21" t="s">
        <v>10</v>
      </c>
      <c r="R185" s="21" t="s">
        <v>9</v>
      </c>
      <c r="T185" s="14">
        <v>2011105</v>
      </c>
      <c r="U185" s="14" t="s">
        <v>147</v>
      </c>
      <c r="V185" s="14">
        <v>5.6619999999999997E-2</v>
      </c>
      <c r="W185" s="14">
        <v>0.37951000000000001</v>
      </c>
      <c r="X185" s="14">
        <v>2.997E-2</v>
      </c>
      <c r="Y185" s="14">
        <v>1.36534</v>
      </c>
      <c r="Z185" s="14">
        <v>25.318960000000001</v>
      </c>
      <c r="AA185" s="14">
        <v>12.24277</v>
      </c>
      <c r="AB185" s="14">
        <v>-1.3716699999999999</v>
      </c>
    </row>
    <row r="186" spans="1:28" x14ac:dyDescent="0.25">
      <c r="A186" s="20"/>
      <c r="B186" s="14" t="s">
        <v>8</v>
      </c>
      <c r="C186" s="15">
        <v>50</v>
      </c>
      <c r="D186" s="14">
        <v>20</v>
      </c>
      <c r="E186" s="13">
        <v>25</v>
      </c>
      <c r="F186" s="13">
        <f>1.8*E186+32</f>
        <v>77</v>
      </c>
      <c r="G186" s="13">
        <v>16</v>
      </c>
      <c r="H186" s="13">
        <f>IF(F186&gt;68,G186+(F186-68)*0.2,#REF!-(68-F186)*0.2)</f>
        <v>17.8</v>
      </c>
      <c r="I186" s="13">
        <v>23</v>
      </c>
      <c r="J186" s="13">
        <f>1.8*I186+32</f>
        <v>73.400000000000006</v>
      </c>
      <c r="K186" s="13">
        <v>8</v>
      </c>
      <c r="L186" s="13">
        <f>IF(J186&gt;68,K186+(J186-68)*0.2,K186-(68-J186)*0.2)</f>
        <v>9.0800000000000018</v>
      </c>
      <c r="M186" s="13">
        <f>(C186-H186)/C186*100</f>
        <v>64.400000000000006</v>
      </c>
      <c r="N186" s="13">
        <f>100-(M186+O186)</f>
        <v>17.439999999999998</v>
      </c>
      <c r="O186" s="13">
        <f>L186/C186*100</f>
        <v>18.160000000000004</v>
      </c>
      <c r="P186" s="12" t="s">
        <v>0</v>
      </c>
      <c r="Q186" s="11">
        <v>409302.45746200002</v>
      </c>
      <c r="R186" s="11">
        <v>3659130.063263</v>
      </c>
      <c r="T186" s="14">
        <v>2011105</v>
      </c>
      <c r="U186" s="14" t="s">
        <v>146</v>
      </c>
      <c r="V186" s="14">
        <v>6.2289999999999998E-2</v>
      </c>
      <c r="W186" s="14">
        <v>0.38379000000000002</v>
      </c>
      <c r="X186" s="14">
        <v>2.7470000000000001E-2</v>
      </c>
      <c r="Y186" s="14">
        <v>1.3330500000000001</v>
      </c>
      <c r="Z186" s="14">
        <v>17.135570000000001</v>
      </c>
      <c r="AA186" s="14">
        <v>9.86252</v>
      </c>
      <c r="AB186" s="14">
        <v>-1.47973</v>
      </c>
    </row>
    <row r="187" spans="1:28" x14ac:dyDescent="0.25">
      <c r="A187" s="19" t="s">
        <v>7</v>
      </c>
      <c r="B187" s="14" t="s">
        <v>6</v>
      </c>
      <c r="C187" s="15">
        <v>50</v>
      </c>
      <c r="D187" s="14">
        <v>20</v>
      </c>
      <c r="E187" s="13">
        <v>25</v>
      </c>
      <c r="F187" s="13">
        <f>1.8*E187+32</f>
        <v>77</v>
      </c>
      <c r="G187" s="13">
        <v>27</v>
      </c>
      <c r="H187" s="13">
        <f>IF(F187&gt;68,G187+(F187-68)*0.2,W381-(68-F187)*0.2)</f>
        <v>28.8</v>
      </c>
      <c r="I187" s="13">
        <v>23</v>
      </c>
      <c r="J187" s="13">
        <f>1.8*I187+32</f>
        <v>73.400000000000006</v>
      </c>
      <c r="K187" s="13">
        <v>15</v>
      </c>
      <c r="L187" s="13">
        <f>IF(J187&gt;68,K187+(J187-68)*0.2,K187-(68-J187)*0.2)</f>
        <v>16.080000000000002</v>
      </c>
      <c r="M187" s="13">
        <f>(C187-H187)/C187*100</f>
        <v>42.4</v>
      </c>
      <c r="N187" s="13">
        <f>100-(M187+O187)</f>
        <v>25.439999999999998</v>
      </c>
      <c r="O187" s="13">
        <f>L187/C187*100</f>
        <v>32.160000000000004</v>
      </c>
      <c r="P187" s="12" t="s">
        <v>30</v>
      </c>
      <c r="Q187" s="11">
        <v>409302.45746200002</v>
      </c>
      <c r="R187" s="11">
        <v>3659130.063263</v>
      </c>
      <c r="T187" s="14">
        <v>2011105</v>
      </c>
      <c r="U187" s="14" t="s">
        <v>145</v>
      </c>
      <c r="V187" s="14">
        <v>5.935E-2</v>
      </c>
      <c r="W187" s="14">
        <v>0.38235999999999998</v>
      </c>
      <c r="X187" s="14">
        <v>2.8400000000000002E-2</v>
      </c>
      <c r="Y187" s="14">
        <v>1.34612</v>
      </c>
      <c r="Z187" s="14">
        <v>20.374829999999999</v>
      </c>
      <c r="AA187" s="14">
        <v>10.85848</v>
      </c>
      <c r="AB187" s="14">
        <v>-1.4228499999999999</v>
      </c>
    </row>
    <row r="188" spans="1:28" x14ac:dyDescent="0.25">
      <c r="A188" s="18">
        <v>41493</v>
      </c>
      <c r="B188" s="14" t="s">
        <v>5</v>
      </c>
      <c r="C188" s="15">
        <v>50</v>
      </c>
      <c r="D188" s="14">
        <v>20</v>
      </c>
      <c r="E188" s="13">
        <v>24</v>
      </c>
      <c r="F188" s="13">
        <f>1.8*E188+32</f>
        <v>75.2</v>
      </c>
      <c r="G188" s="13">
        <v>25</v>
      </c>
      <c r="H188" s="13">
        <f>IF(F188&gt;68,G188+(F188-68)*0.2,W382-(68-F188)*0.2)</f>
        <v>26.44</v>
      </c>
      <c r="I188" s="13">
        <v>23</v>
      </c>
      <c r="J188" s="13">
        <f>1.8*I188+32</f>
        <v>73.400000000000006</v>
      </c>
      <c r="K188" s="13">
        <v>15</v>
      </c>
      <c r="L188" s="13">
        <f>IF(J188&gt;68,K188+(J188-68)*0.2,K188-(68-J188)*0.2)</f>
        <v>16.080000000000002</v>
      </c>
      <c r="M188" s="13">
        <f>(C188-H188)/C188*100</f>
        <v>47.12</v>
      </c>
      <c r="N188" s="13">
        <f>100-(M188+O188)</f>
        <v>20.72</v>
      </c>
      <c r="O188" s="13">
        <f>L188/C188*100</f>
        <v>32.160000000000004</v>
      </c>
      <c r="P188" s="12" t="s">
        <v>3</v>
      </c>
      <c r="Q188" s="11">
        <v>409302.45746200002</v>
      </c>
      <c r="R188" s="11">
        <v>3659130.063263</v>
      </c>
      <c r="T188" s="14">
        <v>2011105</v>
      </c>
      <c r="U188" s="14" t="s">
        <v>144</v>
      </c>
      <c r="V188" s="14">
        <v>5.6619999999999997E-2</v>
      </c>
      <c r="W188" s="14">
        <v>0.37951000000000001</v>
      </c>
      <c r="X188" s="14">
        <v>2.997E-2</v>
      </c>
      <c r="Y188" s="14">
        <v>1.36534</v>
      </c>
      <c r="Z188" s="14">
        <v>25.318960000000001</v>
      </c>
      <c r="AA188" s="14">
        <v>12.24277</v>
      </c>
      <c r="AB188" s="14">
        <v>-1.3716699999999999</v>
      </c>
    </row>
    <row r="189" spans="1:28" x14ac:dyDescent="0.25">
      <c r="A189" s="17"/>
      <c r="B189" s="14" t="s">
        <v>4</v>
      </c>
      <c r="C189" s="15">
        <v>50</v>
      </c>
      <c r="D189" s="14">
        <v>20</v>
      </c>
      <c r="E189" s="13">
        <v>24</v>
      </c>
      <c r="F189" s="13">
        <f>1.8*E189+32</f>
        <v>75.2</v>
      </c>
      <c r="G189" s="13">
        <v>24</v>
      </c>
      <c r="H189" s="13">
        <f>IF(F189&gt;68,G189+(F189-68)*0.2,W383-(68-F189)*0.2)</f>
        <v>25.44</v>
      </c>
      <c r="I189" s="13">
        <v>23</v>
      </c>
      <c r="J189" s="13">
        <f>1.8*I189+32</f>
        <v>73.400000000000006</v>
      </c>
      <c r="K189" s="13">
        <v>14</v>
      </c>
      <c r="L189" s="13">
        <f>IF(J189&gt;68,K189+(J189-68)*0.2,K189-(68-J189)*0.2)</f>
        <v>15.080000000000002</v>
      </c>
      <c r="M189" s="13">
        <f>(C189-H189)/C189*100</f>
        <v>49.12</v>
      </c>
      <c r="N189" s="13">
        <f>100-(M189+O189)</f>
        <v>20.72</v>
      </c>
      <c r="O189" s="13">
        <f>L189/C189*100</f>
        <v>30.160000000000004</v>
      </c>
      <c r="P189" s="12" t="s">
        <v>3</v>
      </c>
      <c r="Q189" s="11">
        <v>409302.45746200002</v>
      </c>
      <c r="R189" s="11">
        <v>3659130.063263</v>
      </c>
      <c r="T189" s="14">
        <v>2011105</v>
      </c>
      <c r="U189" s="14" t="s">
        <v>143</v>
      </c>
      <c r="V189" s="14">
        <v>6.4920000000000005E-2</v>
      </c>
      <c r="W189" s="14">
        <v>0.38307000000000002</v>
      </c>
      <c r="X189" s="14">
        <v>2.7380000000000002E-2</v>
      </c>
      <c r="Y189" s="14">
        <v>1.31687</v>
      </c>
      <c r="Z189" s="14">
        <v>15.07053</v>
      </c>
      <c r="AA189" s="14">
        <v>9.2232400000000005</v>
      </c>
      <c r="AB189" s="14">
        <v>-1.59006</v>
      </c>
    </row>
    <row r="190" spans="1:28" x14ac:dyDescent="0.25">
      <c r="A190" s="16"/>
      <c r="B190" s="14" t="s">
        <v>2</v>
      </c>
      <c r="C190" s="15">
        <v>50</v>
      </c>
      <c r="D190" s="14">
        <v>20</v>
      </c>
      <c r="E190" s="13">
        <v>24</v>
      </c>
      <c r="F190" s="13">
        <f>1.8*E190+32</f>
        <v>75.2</v>
      </c>
      <c r="G190" s="13">
        <v>10</v>
      </c>
      <c r="H190" s="13">
        <f>IF(F190&gt;68,G190+(F190-68)*0.2,W384-(68-F190)*0.2)</f>
        <v>11.440000000000001</v>
      </c>
      <c r="I190" s="13">
        <v>23</v>
      </c>
      <c r="J190" s="13">
        <f>1.8*I190+32</f>
        <v>73.400000000000006</v>
      </c>
      <c r="K190" s="13">
        <v>5</v>
      </c>
      <c r="L190" s="13">
        <f>IF(J190&gt;68,K190+(J190-68)*0.2,K190-(68-J190)*0.2)</f>
        <v>6.080000000000001</v>
      </c>
      <c r="M190" s="13">
        <f>(C190-H190)/C190*100</f>
        <v>77.12</v>
      </c>
      <c r="N190" s="13">
        <f>100-(M190+O190)</f>
        <v>10.719999999999999</v>
      </c>
      <c r="O190" s="13">
        <f>L190/C190*100</f>
        <v>12.160000000000002</v>
      </c>
      <c r="P190" s="12" t="s">
        <v>0</v>
      </c>
      <c r="Q190" s="11">
        <v>409302.45746200002</v>
      </c>
      <c r="R190" s="11">
        <v>3659130.063263</v>
      </c>
      <c r="T190" s="14">
        <v>2011105</v>
      </c>
      <c r="U190" s="14" t="s">
        <v>142</v>
      </c>
      <c r="V190" s="14">
        <v>4.9750000000000003E-2</v>
      </c>
      <c r="W190" s="14">
        <v>0.37863000000000002</v>
      </c>
      <c r="X190" s="14">
        <v>3.372E-2</v>
      </c>
      <c r="Y190" s="14">
        <v>1.4937</v>
      </c>
      <c r="Z190" s="14">
        <v>53.11806</v>
      </c>
      <c r="AA190" s="14">
        <v>18.082180000000001</v>
      </c>
      <c r="AB190" s="14">
        <v>-1.09568</v>
      </c>
    </row>
    <row r="191" spans="1:28" x14ac:dyDescent="0.25">
      <c r="A191" s="16"/>
      <c r="B191" s="14" t="s">
        <v>1</v>
      </c>
      <c r="C191" s="15">
        <v>50</v>
      </c>
      <c r="D191" s="14">
        <v>20</v>
      </c>
      <c r="E191" s="13">
        <v>24</v>
      </c>
      <c r="F191" s="13">
        <f>1.8*E191+32</f>
        <v>75.2</v>
      </c>
      <c r="G191" s="13">
        <v>12</v>
      </c>
      <c r="H191" s="13">
        <f>IF(F191&gt;68,G191+(F191-68)*0.2,W385-(68-F191)*0.2)</f>
        <v>13.440000000000001</v>
      </c>
      <c r="I191" s="13">
        <v>23</v>
      </c>
      <c r="J191" s="13">
        <f>1.8*I191+32</f>
        <v>73.400000000000006</v>
      </c>
      <c r="K191" s="13">
        <v>8</v>
      </c>
      <c r="L191" s="13">
        <f>IF(J191&gt;68,K191+(J191-68)*0.2,K191-(68-J191)*0.2)</f>
        <v>9.0800000000000018</v>
      </c>
      <c r="M191" s="13">
        <f>(C191-H191)/C191*100</f>
        <v>73.12</v>
      </c>
      <c r="N191" s="13">
        <f>100-(M191+O191)</f>
        <v>8.7199999999999989</v>
      </c>
      <c r="O191" s="13">
        <f>L191/C191*100</f>
        <v>18.160000000000004</v>
      </c>
      <c r="P191" s="12" t="s">
        <v>0</v>
      </c>
      <c r="Q191" s="11">
        <v>409302.45746200002</v>
      </c>
      <c r="R191" s="11">
        <v>3659130.063263</v>
      </c>
      <c r="T191" s="14">
        <v>2011105</v>
      </c>
      <c r="U191" s="14" t="s">
        <v>141</v>
      </c>
      <c r="V191" s="14">
        <v>5.96E-2</v>
      </c>
      <c r="W191" s="14">
        <v>0.38658999999999999</v>
      </c>
      <c r="X191" s="14">
        <v>2.6339999999999999E-2</v>
      </c>
      <c r="Y191" s="14">
        <v>1.35293</v>
      </c>
      <c r="Z191" s="14">
        <v>18.785160000000001</v>
      </c>
      <c r="AA191" s="14">
        <v>10.086880000000001</v>
      </c>
      <c r="AB191" s="14">
        <v>-1.3230200000000001</v>
      </c>
    </row>
    <row r="192" spans="1:28" x14ac:dyDescent="0.25">
      <c r="A192" s="1"/>
      <c r="C192" s="30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8"/>
      <c r="T192" s="14">
        <v>2011105</v>
      </c>
      <c r="U192" s="14" t="s">
        <v>140</v>
      </c>
      <c r="V192" s="14">
        <v>6.4920000000000005E-2</v>
      </c>
      <c r="W192" s="14">
        <v>0.38307000000000002</v>
      </c>
      <c r="X192" s="14">
        <v>2.7380000000000002E-2</v>
      </c>
      <c r="Y192" s="14">
        <v>1.31687</v>
      </c>
      <c r="Z192" s="14">
        <v>15.07053</v>
      </c>
      <c r="AA192" s="14">
        <v>9.2232400000000005</v>
      </c>
      <c r="AB192" s="14">
        <v>-1.59006</v>
      </c>
    </row>
    <row r="193" spans="1:28" ht="51.75" x14ac:dyDescent="0.25">
      <c r="A193" s="19" t="s">
        <v>139</v>
      </c>
      <c r="B193" s="22" t="s">
        <v>26</v>
      </c>
      <c r="C193" s="26" t="s">
        <v>25</v>
      </c>
      <c r="D193" s="25" t="s">
        <v>24</v>
      </c>
      <c r="E193" s="24" t="s">
        <v>23</v>
      </c>
      <c r="F193" s="24" t="s">
        <v>22</v>
      </c>
      <c r="G193" s="24" t="s">
        <v>21</v>
      </c>
      <c r="H193" s="24" t="s">
        <v>20</v>
      </c>
      <c r="I193" s="24" t="s">
        <v>19</v>
      </c>
      <c r="J193" s="24" t="s">
        <v>18</v>
      </c>
      <c r="K193" s="24" t="s">
        <v>17</v>
      </c>
      <c r="L193" s="24" t="s">
        <v>16</v>
      </c>
      <c r="M193" s="23" t="s">
        <v>15</v>
      </c>
      <c r="N193" s="23" t="s">
        <v>14</v>
      </c>
      <c r="O193" s="23" t="s">
        <v>13</v>
      </c>
      <c r="P193" s="22" t="s">
        <v>12</v>
      </c>
      <c r="Q193" s="36" t="s">
        <v>11</v>
      </c>
      <c r="R193" s="35"/>
      <c r="T193" s="14">
        <v>2011105</v>
      </c>
      <c r="U193" s="14" t="s">
        <v>138</v>
      </c>
      <c r="V193" s="14">
        <v>7.1459999999999996E-2</v>
      </c>
      <c r="W193" s="14">
        <v>0.39737</v>
      </c>
      <c r="X193" s="14">
        <v>2.3529999999999999E-2</v>
      </c>
      <c r="Y193" s="14">
        <v>1.31881</v>
      </c>
      <c r="Z193" s="14">
        <v>9.8039400000000008</v>
      </c>
      <c r="AA193" s="14">
        <v>7.3053800000000004</v>
      </c>
      <c r="AB193" s="14">
        <v>-1.46505</v>
      </c>
    </row>
    <row r="194" spans="1:28" x14ac:dyDescent="0.25">
      <c r="A194" s="20"/>
      <c r="B194" s="22"/>
      <c r="C194" s="26"/>
      <c r="D194" s="25"/>
      <c r="E194" s="24"/>
      <c r="F194" s="24"/>
      <c r="G194" s="24"/>
      <c r="H194" s="24"/>
      <c r="I194" s="24"/>
      <c r="J194" s="24"/>
      <c r="K194" s="24"/>
      <c r="L194" s="24"/>
      <c r="M194" s="23"/>
      <c r="N194" s="23"/>
      <c r="O194" s="23"/>
      <c r="P194" s="22"/>
      <c r="Q194" s="21" t="s">
        <v>10</v>
      </c>
      <c r="R194" s="21" t="s">
        <v>9</v>
      </c>
      <c r="T194" s="14">
        <v>2011105</v>
      </c>
      <c r="U194" s="14" t="s">
        <v>137</v>
      </c>
      <c r="V194" s="14">
        <v>7.1429999999999993E-2</v>
      </c>
      <c r="W194" s="14">
        <v>0.40921999999999997</v>
      </c>
      <c r="X194" s="14">
        <v>1.6480000000000002E-2</v>
      </c>
      <c r="Y194" s="14">
        <v>1.39039</v>
      </c>
      <c r="Z194" s="14">
        <v>7.7397799999999997</v>
      </c>
      <c r="AA194" s="14">
        <v>5.1010600000000004</v>
      </c>
      <c r="AB194" s="14">
        <v>-0.88007000000000002</v>
      </c>
    </row>
    <row r="195" spans="1:28" x14ac:dyDescent="0.25">
      <c r="A195" s="20"/>
      <c r="B195" s="14" t="s">
        <v>8</v>
      </c>
      <c r="C195" s="15">
        <v>50</v>
      </c>
      <c r="D195" s="14">
        <v>20</v>
      </c>
      <c r="E195" s="13">
        <v>24</v>
      </c>
      <c r="F195" s="13">
        <f>1.8*E195+32</f>
        <v>75.2</v>
      </c>
      <c r="G195" s="13">
        <v>18</v>
      </c>
      <c r="H195" s="13">
        <f>IF(F195&gt;68,G195+(F195-68)*0.2,#REF!-(68-F195)*0.2)</f>
        <v>19.440000000000001</v>
      </c>
      <c r="I195" s="13">
        <v>22</v>
      </c>
      <c r="J195" s="13">
        <f>1.8*I195+32</f>
        <v>71.599999999999994</v>
      </c>
      <c r="K195" s="13">
        <v>11</v>
      </c>
      <c r="L195" s="13">
        <f>IF(J195&gt;68,K195+(J195-68)*0.2,K195-(68-J195)*0.2)</f>
        <v>11.719999999999999</v>
      </c>
      <c r="M195" s="13">
        <f>(C195-H195)/C195*100</f>
        <v>61.12</v>
      </c>
      <c r="N195" s="13">
        <f>100-(M195+O195)</f>
        <v>15.439999999999998</v>
      </c>
      <c r="O195" s="13">
        <f>L195/C195*100</f>
        <v>23.439999999999998</v>
      </c>
      <c r="P195" s="12" t="s">
        <v>3</v>
      </c>
      <c r="Q195" s="11">
        <v>409302.55649400002</v>
      </c>
      <c r="R195" s="11">
        <v>3659139.0507109999</v>
      </c>
      <c r="T195" s="14">
        <v>2011105</v>
      </c>
      <c r="U195" s="14" t="s">
        <v>136</v>
      </c>
      <c r="V195" s="14">
        <v>7.4010000000000006E-2</v>
      </c>
      <c r="W195" s="14">
        <v>0.40117999999999998</v>
      </c>
      <c r="X195" s="14">
        <v>2.3220000000000001E-2</v>
      </c>
      <c r="Y195" s="14">
        <v>1.3101499999999999</v>
      </c>
      <c r="Z195" s="14">
        <v>8.6261899999999994</v>
      </c>
      <c r="AA195" s="14">
        <v>6.9289899999999998</v>
      </c>
      <c r="AB195" s="14">
        <v>-1.5122800000000001</v>
      </c>
    </row>
    <row r="196" spans="1:28" x14ac:dyDescent="0.25">
      <c r="A196" s="19" t="s">
        <v>7</v>
      </c>
      <c r="B196" s="14" t="s">
        <v>6</v>
      </c>
      <c r="C196" s="15">
        <v>50</v>
      </c>
      <c r="D196" s="14">
        <v>20</v>
      </c>
      <c r="E196" s="13">
        <v>24</v>
      </c>
      <c r="F196" s="13">
        <f>1.8*E196+32</f>
        <v>75.2</v>
      </c>
      <c r="G196" s="13">
        <v>17</v>
      </c>
      <c r="H196" s="13">
        <f>IF(F196&gt;68,G196+(F196-68)*0.2,W390-(68-F196)*0.2)</f>
        <v>18.440000000000001</v>
      </c>
      <c r="I196" s="13">
        <v>22</v>
      </c>
      <c r="J196" s="13">
        <f>1.8*I196+32</f>
        <v>71.599999999999994</v>
      </c>
      <c r="K196" s="13">
        <v>9</v>
      </c>
      <c r="L196" s="13">
        <f>IF(J196&gt;68,K196+(J196-68)*0.2,K196-(68-J196)*0.2)</f>
        <v>9.7199999999999989</v>
      </c>
      <c r="M196" s="13">
        <f>(C196-H196)/C196*100</f>
        <v>63.12</v>
      </c>
      <c r="N196" s="13">
        <f>100-(M196+O196)</f>
        <v>17.439999999999998</v>
      </c>
      <c r="O196" s="13">
        <f>L196/C196*100</f>
        <v>19.439999999999998</v>
      </c>
      <c r="P196" s="12" t="s">
        <v>0</v>
      </c>
      <c r="Q196" s="11">
        <v>409302.55649400002</v>
      </c>
      <c r="R196" s="11">
        <v>3659139.0507109999</v>
      </c>
      <c r="T196" s="14">
        <v>2011105</v>
      </c>
      <c r="U196" s="14" t="s">
        <v>135</v>
      </c>
      <c r="V196" s="14">
        <v>6.2210000000000001E-2</v>
      </c>
      <c r="W196" s="14">
        <v>0.38138</v>
      </c>
      <c r="X196" s="14">
        <v>2.8070000000000001E-2</v>
      </c>
      <c r="Y196" s="14">
        <v>1.33047</v>
      </c>
      <c r="Z196" s="14">
        <v>17.570250000000001</v>
      </c>
      <c r="AA196" s="14">
        <v>10.01214</v>
      </c>
      <c r="AB196" s="14">
        <v>-1.5175799999999999</v>
      </c>
    </row>
    <row r="197" spans="1:28" x14ac:dyDescent="0.25">
      <c r="A197" s="18">
        <v>41492</v>
      </c>
      <c r="B197" s="14" t="s">
        <v>5</v>
      </c>
      <c r="C197" s="15">
        <v>50</v>
      </c>
      <c r="D197" s="14">
        <v>20</v>
      </c>
      <c r="E197" s="13">
        <v>24</v>
      </c>
      <c r="F197" s="13">
        <f>1.8*E197+32</f>
        <v>75.2</v>
      </c>
      <c r="G197" s="13">
        <v>19</v>
      </c>
      <c r="H197" s="13">
        <f>IF(F197&gt;68,G197+(F197-68)*0.2,W391-(68-F197)*0.2)</f>
        <v>20.440000000000001</v>
      </c>
      <c r="I197" s="13">
        <v>22</v>
      </c>
      <c r="J197" s="13">
        <f>1.8*I197+32</f>
        <v>71.599999999999994</v>
      </c>
      <c r="K197" s="13">
        <v>13</v>
      </c>
      <c r="L197" s="13">
        <f>IF(J197&gt;68,K197+(J197-68)*0.2,K197-(68-J197)*0.2)</f>
        <v>13.719999999999999</v>
      </c>
      <c r="M197" s="13">
        <f>(C197-H197)/C197*100</f>
        <v>59.12</v>
      </c>
      <c r="N197" s="13">
        <f>100-(M197+O197)</f>
        <v>13.439999999999998</v>
      </c>
      <c r="O197" s="13">
        <f>L197/C197*100</f>
        <v>27.439999999999998</v>
      </c>
      <c r="P197" s="12" t="s">
        <v>3</v>
      </c>
      <c r="Q197" s="11">
        <v>409302.55649400002</v>
      </c>
      <c r="R197" s="11">
        <v>3659139.0507109999</v>
      </c>
      <c r="T197" s="14">
        <v>2011105</v>
      </c>
      <c r="U197" s="14" t="s">
        <v>134</v>
      </c>
      <c r="V197" s="14">
        <v>5.4850000000000003E-2</v>
      </c>
      <c r="W197" s="14">
        <v>0.37685000000000002</v>
      </c>
      <c r="X197" s="14">
        <v>3.091E-2</v>
      </c>
      <c r="Y197" s="14">
        <v>1.40879</v>
      </c>
      <c r="Z197" s="14">
        <v>32.991410000000002</v>
      </c>
      <c r="AA197" s="14">
        <v>13.584350000000001</v>
      </c>
      <c r="AB197" s="14">
        <v>-1.2567900000000001</v>
      </c>
    </row>
    <row r="198" spans="1:28" x14ac:dyDescent="0.25">
      <c r="A198" s="17"/>
      <c r="B198" s="14" t="s">
        <v>4</v>
      </c>
      <c r="C198" s="15">
        <v>50</v>
      </c>
      <c r="D198" s="14">
        <v>20</v>
      </c>
      <c r="E198" s="13">
        <v>24</v>
      </c>
      <c r="F198" s="13">
        <f>1.8*E198+32</f>
        <v>75.2</v>
      </c>
      <c r="G198" s="13">
        <v>14</v>
      </c>
      <c r="H198" s="13">
        <f>IF(F198&gt;68,G198+(F198-68)*0.2,W392-(68-F198)*0.2)</f>
        <v>15.440000000000001</v>
      </c>
      <c r="I198" s="13">
        <v>22</v>
      </c>
      <c r="J198" s="13">
        <f>1.8*I198+32</f>
        <v>71.599999999999994</v>
      </c>
      <c r="K198" s="13">
        <v>8</v>
      </c>
      <c r="L198" s="13">
        <f>IF(J198&gt;68,K198+(J198-68)*0.2,K198-(68-J198)*0.2)</f>
        <v>8.7199999999999989</v>
      </c>
      <c r="M198" s="13">
        <f>(C198-H198)/C198*100</f>
        <v>69.12</v>
      </c>
      <c r="N198" s="13">
        <f>100-(M198+O198)</f>
        <v>13.439999999999998</v>
      </c>
      <c r="O198" s="13">
        <f>L198/C198*100</f>
        <v>17.439999999999998</v>
      </c>
      <c r="P198" s="12" t="s">
        <v>0</v>
      </c>
      <c r="Q198" s="11">
        <v>409302.55649400002</v>
      </c>
      <c r="R198" s="11">
        <v>3659139.0507109999</v>
      </c>
      <c r="T198" s="14">
        <v>2011105</v>
      </c>
      <c r="U198" s="14" t="s">
        <v>133</v>
      </c>
      <c r="V198" s="14">
        <v>6.225E-2</v>
      </c>
      <c r="W198" s="14">
        <v>0.38292999999999999</v>
      </c>
      <c r="X198" s="14">
        <v>2.7720000000000002E-2</v>
      </c>
      <c r="Y198" s="14">
        <v>1.3318700000000001</v>
      </c>
      <c r="Z198" s="14">
        <v>17.312639999999998</v>
      </c>
      <c r="AA198" s="14">
        <v>9.9339200000000005</v>
      </c>
      <c r="AB198" s="14">
        <v>-1.49552</v>
      </c>
    </row>
    <row r="199" spans="1:28" x14ac:dyDescent="0.25">
      <c r="A199" s="16"/>
      <c r="B199" s="14" t="s">
        <v>2</v>
      </c>
      <c r="C199" s="15">
        <v>50</v>
      </c>
      <c r="D199" s="14">
        <v>20</v>
      </c>
      <c r="E199" s="13">
        <v>24</v>
      </c>
      <c r="F199" s="13">
        <f>1.8*E199+32</f>
        <v>75.2</v>
      </c>
      <c r="G199" s="13">
        <v>9</v>
      </c>
      <c r="H199" s="13">
        <f>IF(F199&gt;68,G199+(F199-68)*0.2,W393-(68-F199)*0.2)</f>
        <v>10.440000000000001</v>
      </c>
      <c r="I199" s="13">
        <v>22</v>
      </c>
      <c r="J199" s="13">
        <f>1.8*I199+32</f>
        <v>71.599999999999994</v>
      </c>
      <c r="K199" s="13">
        <v>6</v>
      </c>
      <c r="L199" s="13">
        <f>IF(J199&gt;68,K199+(J199-68)*0.2,K199-(68-J199)*0.2)</f>
        <v>6.7199999999999989</v>
      </c>
      <c r="M199" s="13">
        <f>(C199-H199)/C199*100</f>
        <v>79.12</v>
      </c>
      <c r="N199" s="13">
        <f>100-(M199+O199)</f>
        <v>7.4399999999999977</v>
      </c>
      <c r="O199" s="13">
        <f>L199/C199*100</f>
        <v>13.439999999999996</v>
      </c>
      <c r="P199" s="12" t="s">
        <v>0</v>
      </c>
      <c r="Q199" s="11">
        <v>409302.55649400002</v>
      </c>
      <c r="R199" s="11">
        <v>3659139.0507109999</v>
      </c>
      <c r="T199" s="14">
        <v>2011105</v>
      </c>
      <c r="U199" s="14" t="s">
        <v>132</v>
      </c>
      <c r="V199" s="14">
        <v>6.2689999999999996E-2</v>
      </c>
      <c r="W199" s="14">
        <v>0.38773999999999997</v>
      </c>
      <c r="X199" s="14">
        <v>2.5819999999999999E-2</v>
      </c>
      <c r="Y199" s="14">
        <v>1.3415999999999999</v>
      </c>
      <c r="Z199" s="14">
        <v>16.0548</v>
      </c>
      <c r="AA199" s="14">
        <v>9.3096399999999999</v>
      </c>
      <c r="AB199" s="14">
        <v>-1.38086</v>
      </c>
    </row>
    <row r="200" spans="1:28" x14ac:dyDescent="0.25">
      <c r="A200" s="16"/>
      <c r="B200" s="14" t="s">
        <v>1</v>
      </c>
      <c r="C200" s="15">
        <v>50</v>
      </c>
      <c r="D200" s="14">
        <v>20</v>
      </c>
      <c r="E200" s="13">
        <v>25</v>
      </c>
      <c r="F200" s="13">
        <f>1.8*E200+32</f>
        <v>77</v>
      </c>
      <c r="G200" s="13">
        <v>7</v>
      </c>
      <c r="H200" s="13">
        <f>IF(F200&gt;68,G200+(F200-68)*0.2,W394-(68-F200)*0.2)</f>
        <v>8.8000000000000007</v>
      </c>
      <c r="I200" s="13">
        <v>23</v>
      </c>
      <c r="J200" s="13">
        <f>1.8*I200+32</f>
        <v>73.400000000000006</v>
      </c>
      <c r="K200" s="13">
        <v>5</v>
      </c>
      <c r="L200" s="13">
        <f>IF(J200&gt;68,K200+(J200-68)*0.2,K200-(68-J200)*0.2)</f>
        <v>6.080000000000001</v>
      </c>
      <c r="M200" s="13">
        <f>(C200-H200)/C200*100</f>
        <v>82.4</v>
      </c>
      <c r="N200" s="13">
        <f>100-(M200+O200)</f>
        <v>5.4399999999999977</v>
      </c>
      <c r="O200" s="13">
        <f>L200/C200*100</f>
        <v>12.160000000000002</v>
      </c>
      <c r="P200" s="12" t="s">
        <v>365</v>
      </c>
      <c r="Q200" s="11">
        <v>409302.55649400002</v>
      </c>
      <c r="R200" s="11">
        <v>3659139.0507109999</v>
      </c>
      <c r="T200" s="14">
        <v>2011105</v>
      </c>
      <c r="U200" s="14" t="s">
        <v>131</v>
      </c>
      <c r="V200" s="14">
        <v>8.0490000000000006E-2</v>
      </c>
      <c r="W200" s="14">
        <v>0.41366999999999998</v>
      </c>
      <c r="X200" s="14">
        <v>2.3390000000000001E-2</v>
      </c>
      <c r="Y200" s="14">
        <v>1.27979</v>
      </c>
      <c r="Z200" s="14">
        <v>7.3378300000000003</v>
      </c>
      <c r="AA200" s="14">
        <v>6.3680399999999997</v>
      </c>
      <c r="AB200" s="14">
        <v>-1.7470399999999999</v>
      </c>
    </row>
    <row r="201" spans="1:28" x14ac:dyDescent="0.25">
      <c r="A201" s="1"/>
      <c r="T201" s="14">
        <v>2011105</v>
      </c>
      <c r="U201" s="14" t="s">
        <v>130</v>
      </c>
      <c r="V201" s="14">
        <v>6.6809999999999994E-2</v>
      </c>
      <c r="W201" s="14">
        <v>0.39651999999999998</v>
      </c>
      <c r="X201" s="14">
        <v>2.1700000000000001E-2</v>
      </c>
      <c r="Y201" s="14">
        <v>1.3559600000000001</v>
      </c>
      <c r="Z201" s="14">
        <v>11.76867</v>
      </c>
      <c r="AA201" s="14">
        <v>7.3367699999999996</v>
      </c>
      <c r="AB201" s="14">
        <v>-1.19638</v>
      </c>
    </row>
    <row r="202" spans="1:28" ht="51.75" x14ac:dyDescent="0.25">
      <c r="A202" s="19" t="s">
        <v>129</v>
      </c>
      <c r="B202" s="22" t="s">
        <v>26</v>
      </c>
      <c r="C202" s="26" t="s">
        <v>25</v>
      </c>
      <c r="D202" s="25" t="s">
        <v>24</v>
      </c>
      <c r="E202" s="24" t="s">
        <v>23</v>
      </c>
      <c r="F202" s="24" t="s">
        <v>22</v>
      </c>
      <c r="G202" s="24" t="s">
        <v>21</v>
      </c>
      <c r="H202" s="24" t="s">
        <v>20</v>
      </c>
      <c r="I202" s="24" t="s">
        <v>19</v>
      </c>
      <c r="J202" s="24" t="s">
        <v>18</v>
      </c>
      <c r="K202" s="24" t="s">
        <v>17</v>
      </c>
      <c r="L202" s="24" t="s">
        <v>16</v>
      </c>
      <c r="M202" s="23" t="s">
        <v>15</v>
      </c>
      <c r="N202" s="23" t="s">
        <v>14</v>
      </c>
      <c r="O202" s="23" t="s">
        <v>13</v>
      </c>
      <c r="P202" s="22" t="s">
        <v>12</v>
      </c>
      <c r="Q202" s="36" t="s">
        <v>11</v>
      </c>
      <c r="R202" s="35"/>
      <c r="T202" s="14">
        <v>2011105</v>
      </c>
      <c r="U202" s="14" t="s">
        <v>128</v>
      </c>
      <c r="V202" s="14">
        <v>7.0930000000000007E-2</v>
      </c>
      <c r="W202" s="14">
        <v>0.39417999999999997</v>
      </c>
      <c r="X202" s="14">
        <v>2.4729999999999999E-2</v>
      </c>
      <c r="Y202" s="14">
        <v>1.3091999999999999</v>
      </c>
      <c r="Z202" s="14">
        <v>10.500780000000001</v>
      </c>
      <c r="AA202" s="14">
        <v>7.6637199999999996</v>
      </c>
      <c r="AB202" s="14">
        <v>-1.5672999999999999</v>
      </c>
    </row>
    <row r="203" spans="1:28" x14ac:dyDescent="0.25">
      <c r="A203" s="20"/>
      <c r="B203" s="22"/>
      <c r="C203" s="26"/>
      <c r="D203" s="25"/>
      <c r="E203" s="24"/>
      <c r="F203" s="24"/>
      <c r="G203" s="24"/>
      <c r="H203" s="24"/>
      <c r="I203" s="24"/>
      <c r="J203" s="24"/>
      <c r="K203" s="24"/>
      <c r="L203" s="24"/>
      <c r="M203" s="23"/>
      <c r="N203" s="23"/>
      <c r="O203" s="23"/>
      <c r="P203" s="22"/>
      <c r="Q203" s="21" t="s">
        <v>10</v>
      </c>
      <c r="R203" s="21" t="s">
        <v>9</v>
      </c>
      <c r="T203" s="14">
        <v>2011105</v>
      </c>
      <c r="U203" s="14" t="s">
        <v>127</v>
      </c>
      <c r="V203" s="14">
        <v>5.935E-2</v>
      </c>
      <c r="W203" s="14">
        <v>0.38235999999999998</v>
      </c>
      <c r="X203" s="14">
        <v>2.8400000000000002E-2</v>
      </c>
      <c r="Y203" s="14">
        <v>1.34612</v>
      </c>
      <c r="Z203" s="14">
        <v>20.374829999999999</v>
      </c>
      <c r="AA203" s="14">
        <v>10.85848</v>
      </c>
      <c r="AB203" s="14">
        <v>-1.4228499999999999</v>
      </c>
    </row>
    <row r="204" spans="1:28" x14ac:dyDescent="0.25">
      <c r="A204" s="20"/>
      <c r="B204" s="14" t="s">
        <v>8</v>
      </c>
      <c r="C204" s="15">
        <v>50</v>
      </c>
      <c r="D204" s="14">
        <v>20</v>
      </c>
      <c r="E204" s="13">
        <v>25</v>
      </c>
      <c r="F204" s="13">
        <f>1.8*E204+32</f>
        <v>77</v>
      </c>
      <c r="G204" s="13">
        <v>13</v>
      </c>
      <c r="H204" s="13">
        <f>IF(F204&gt;68,G204+(F204-68)*0.2,#REF!-(68-F204)*0.2)</f>
        <v>14.8</v>
      </c>
      <c r="I204" s="13">
        <v>23</v>
      </c>
      <c r="J204" s="13">
        <f>1.8*I204+32</f>
        <v>73.400000000000006</v>
      </c>
      <c r="K204" s="13">
        <v>7</v>
      </c>
      <c r="L204" s="13">
        <f>IF(J204&gt;68,K204+(J204-68)*0.2,K204-(68-J204)*0.2)</f>
        <v>8.0800000000000018</v>
      </c>
      <c r="M204" s="13">
        <f>(C204-H204)/C204*100</f>
        <v>70.400000000000006</v>
      </c>
      <c r="N204" s="13">
        <f>100-(M204+O204)</f>
        <v>13.439999999999998</v>
      </c>
      <c r="O204" s="13">
        <f>L204/C204*100</f>
        <v>16.160000000000004</v>
      </c>
      <c r="P204" s="12" t="s">
        <v>0</v>
      </c>
      <c r="Q204" s="11">
        <v>409302.48111200001</v>
      </c>
      <c r="R204" s="11">
        <v>3659152.8213340002</v>
      </c>
      <c r="T204" s="14">
        <v>2011105</v>
      </c>
      <c r="U204" s="14" t="s">
        <v>126</v>
      </c>
      <c r="V204" s="14">
        <v>6.5460000000000004E-2</v>
      </c>
      <c r="W204" s="14">
        <v>0.38839000000000001</v>
      </c>
      <c r="X204" s="14">
        <v>2.5780000000000001E-2</v>
      </c>
      <c r="Y204" s="14">
        <v>1.32778</v>
      </c>
      <c r="Z204" s="14">
        <v>14.015610000000001</v>
      </c>
      <c r="AA204" s="14">
        <v>8.7833400000000008</v>
      </c>
      <c r="AB204" s="14">
        <v>-1.4684600000000001</v>
      </c>
    </row>
    <row r="205" spans="1:28" x14ac:dyDescent="0.25">
      <c r="A205" s="19" t="s">
        <v>7</v>
      </c>
      <c r="B205" s="14" t="s">
        <v>6</v>
      </c>
      <c r="C205" s="15">
        <v>50</v>
      </c>
      <c r="D205" s="14">
        <v>20</v>
      </c>
      <c r="E205" s="13">
        <v>25</v>
      </c>
      <c r="F205" s="13">
        <f>1.8*E205+32</f>
        <v>77</v>
      </c>
      <c r="G205" s="13">
        <v>13</v>
      </c>
      <c r="H205" s="13">
        <f>IF(F205&gt;68,G205+(F205-68)*0.2,W399-(68-F205)*0.2)</f>
        <v>14.8</v>
      </c>
      <c r="I205" s="13">
        <v>23</v>
      </c>
      <c r="J205" s="13">
        <f>1.8*I205+32</f>
        <v>73.400000000000006</v>
      </c>
      <c r="K205" s="13">
        <v>8</v>
      </c>
      <c r="L205" s="13">
        <f>IF(J205&gt;68,K205+(J205-68)*0.2,K205-(68-J205)*0.2)</f>
        <v>9.0800000000000018</v>
      </c>
      <c r="M205" s="13">
        <f>(C205-H205)/C205*100</f>
        <v>70.400000000000006</v>
      </c>
      <c r="N205" s="13">
        <f>100-(M205+O205)</f>
        <v>11.439999999999998</v>
      </c>
      <c r="O205" s="13">
        <f>L205/C205*100</f>
        <v>18.160000000000004</v>
      </c>
      <c r="P205" s="12" t="s">
        <v>0</v>
      </c>
      <c r="Q205" s="11">
        <v>409302.48111200001</v>
      </c>
      <c r="R205" s="11">
        <v>3659152.8213340002</v>
      </c>
      <c r="T205" s="14">
        <v>2011105</v>
      </c>
      <c r="U205" s="14" t="s">
        <v>125</v>
      </c>
      <c r="V205" s="14">
        <v>6.0080000000000001E-2</v>
      </c>
      <c r="W205" s="14">
        <v>0.38997999999999999</v>
      </c>
      <c r="X205" s="14">
        <v>2.3890000000000002E-2</v>
      </c>
      <c r="Y205" s="14">
        <v>1.3646799999999999</v>
      </c>
      <c r="Z205" s="14">
        <v>17.175149999999999</v>
      </c>
      <c r="AA205" s="14">
        <v>9.0740300000000005</v>
      </c>
      <c r="AB205" s="14">
        <v>-1.1972100000000001</v>
      </c>
    </row>
    <row r="206" spans="1:28" x14ac:dyDescent="0.25">
      <c r="A206" s="18">
        <v>41492</v>
      </c>
      <c r="B206" s="14" t="s">
        <v>5</v>
      </c>
      <c r="C206" s="15">
        <v>50</v>
      </c>
      <c r="D206" s="14">
        <v>20</v>
      </c>
      <c r="E206" s="13">
        <v>25</v>
      </c>
      <c r="F206" s="13">
        <f>1.8*E206+32</f>
        <v>77</v>
      </c>
      <c r="G206" s="13">
        <v>21</v>
      </c>
      <c r="H206" s="13">
        <f>IF(F206&gt;68,G206+(F206-68)*0.2,W400-(68-F206)*0.2)</f>
        <v>22.8</v>
      </c>
      <c r="I206" s="13">
        <v>23</v>
      </c>
      <c r="J206" s="13">
        <f>1.8*I206+32</f>
        <v>73.400000000000006</v>
      </c>
      <c r="K206" s="13">
        <v>13</v>
      </c>
      <c r="L206" s="13">
        <f>IF(J206&gt;68,K206+(J206-68)*0.2,K206-(68-J206)*0.2)</f>
        <v>14.080000000000002</v>
      </c>
      <c r="M206" s="13">
        <f>(C206-H206)/C206*100</f>
        <v>54.400000000000006</v>
      </c>
      <c r="N206" s="13">
        <f>100-(M206+O206)</f>
        <v>17.439999999999998</v>
      </c>
      <c r="O206" s="13">
        <f>L206/C206*100</f>
        <v>28.16</v>
      </c>
      <c r="P206" s="12" t="s">
        <v>3</v>
      </c>
      <c r="Q206" s="11">
        <v>409302.48111200001</v>
      </c>
      <c r="R206" s="11">
        <v>3659152.8213340002</v>
      </c>
      <c r="T206" s="14">
        <v>2011105</v>
      </c>
      <c r="U206" s="14" t="s">
        <v>124</v>
      </c>
      <c r="V206" s="14">
        <v>7.4999999999999997E-2</v>
      </c>
      <c r="W206" s="14">
        <v>0.40690999999999999</v>
      </c>
      <c r="X206" s="14">
        <v>2.0969999999999999E-2</v>
      </c>
      <c r="Y206" s="14">
        <v>1.32887</v>
      </c>
      <c r="Z206" s="14">
        <v>7.5315899999999996</v>
      </c>
      <c r="AA206" s="14">
        <v>6.2308599999999998</v>
      </c>
      <c r="AB206" s="14">
        <v>-1.3196699999999999</v>
      </c>
    </row>
    <row r="207" spans="1:28" x14ac:dyDescent="0.25">
      <c r="A207" s="17"/>
      <c r="B207" s="14" t="s">
        <v>4</v>
      </c>
      <c r="C207" s="15">
        <v>50</v>
      </c>
      <c r="D207" s="14">
        <v>20</v>
      </c>
      <c r="E207" s="13">
        <v>25</v>
      </c>
      <c r="F207" s="13">
        <f>1.8*E207+32</f>
        <v>77</v>
      </c>
      <c r="G207" s="13">
        <v>23</v>
      </c>
      <c r="H207" s="13">
        <f>IF(F207&gt;68,G207+(F207-68)*0.2,W401-(68-F207)*0.2)</f>
        <v>24.8</v>
      </c>
      <c r="I207" s="13">
        <v>23</v>
      </c>
      <c r="J207" s="13">
        <f>1.8*I207+32</f>
        <v>73.400000000000006</v>
      </c>
      <c r="K207" s="13">
        <v>13</v>
      </c>
      <c r="L207" s="13">
        <f>IF(J207&gt;68,K207+(J207-68)*0.2,K207-(68-J207)*0.2)</f>
        <v>14.080000000000002</v>
      </c>
      <c r="M207" s="13">
        <f>(C207-H207)/C207*100</f>
        <v>50.4</v>
      </c>
      <c r="N207" s="13">
        <f>100-(M207+O207)</f>
        <v>21.439999999999998</v>
      </c>
      <c r="O207" s="13">
        <f>L207/C207*100</f>
        <v>28.16</v>
      </c>
      <c r="P207" s="12" t="s">
        <v>3</v>
      </c>
      <c r="Q207" s="11">
        <v>409302.48111200001</v>
      </c>
      <c r="R207" s="11">
        <v>3659152.8213340002</v>
      </c>
      <c r="T207" s="14">
        <v>2011105</v>
      </c>
      <c r="U207" s="14" t="s">
        <v>123</v>
      </c>
      <c r="V207" s="14">
        <v>7.4999999999999997E-2</v>
      </c>
      <c r="W207" s="14">
        <v>0.40690999999999999</v>
      </c>
      <c r="X207" s="14">
        <v>2.0969999999999999E-2</v>
      </c>
      <c r="Y207" s="14">
        <v>1.32887</v>
      </c>
      <c r="Z207" s="14">
        <v>7.5315899999999996</v>
      </c>
      <c r="AA207" s="14">
        <v>6.2308599999999998</v>
      </c>
      <c r="AB207" s="14">
        <v>-1.3196699999999999</v>
      </c>
    </row>
    <row r="208" spans="1:28" x14ac:dyDescent="0.25">
      <c r="A208" s="16"/>
      <c r="B208" s="14" t="s">
        <v>2</v>
      </c>
      <c r="C208" s="15">
        <v>50</v>
      </c>
      <c r="D208" s="14">
        <v>20</v>
      </c>
      <c r="E208" s="13">
        <v>25</v>
      </c>
      <c r="F208" s="13">
        <f>1.8*E208+32</f>
        <v>77</v>
      </c>
      <c r="G208" s="13">
        <v>19</v>
      </c>
      <c r="H208" s="13">
        <f>IF(F208&gt;68,G208+(F208-68)*0.2,W402-(68-F208)*0.2)</f>
        <v>20.8</v>
      </c>
      <c r="I208" s="13">
        <v>23</v>
      </c>
      <c r="J208" s="13">
        <f>1.8*I208+32</f>
        <v>73.400000000000006</v>
      </c>
      <c r="K208" s="13">
        <v>11</v>
      </c>
      <c r="L208" s="13">
        <f>IF(J208&gt;68,K208+(J208-68)*0.2,K208-(68-J208)*0.2)</f>
        <v>12.080000000000002</v>
      </c>
      <c r="M208" s="13">
        <f>(C208-H208)/C208*100</f>
        <v>58.4</v>
      </c>
      <c r="N208" s="13">
        <f>100-(M208+O208)</f>
        <v>17.439999999999998</v>
      </c>
      <c r="O208" s="13">
        <f>L208/C208*100</f>
        <v>24.160000000000004</v>
      </c>
      <c r="P208" s="12" t="s">
        <v>3</v>
      </c>
      <c r="Q208" s="11">
        <v>409302.48111200001</v>
      </c>
      <c r="R208" s="11">
        <v>3659152.8213340002</v>
      </c>
      <c r="T208" s="14">
        <v>2011105</v>
      </c>
      <c r="U208" s="14" t="s">
        <v>122</v>
      </c>
      <c r="V208" s="14">
        <v>7.4389999999999998E-2</v>
      </c>
      <c r="W208" s="14">
        <v>0.40339000000000003</v>
      </c>
      <c r="X208" s="14">
        <v>2.2370000000000001E-2</v>
      </c>
      <c r="Y208" s="14">
        <v>1.3171299999999999</v>
      </c>
      <c r="Z208" s="14">
        <v>8.1809100000000008</v>
      </c>
      <c r="AA208" s="14">
        <v>6.67239</v>
      </c>
      <c r="AB208" s="14">
        <v>-1.43794</v>
      </c>
    </row>
    <row r="209" spans="1:28" x14ac:dyDescent="0.25">
      <c r="A209" s="16"/>
      <c r="B209" s="14" t="s">
        <v>1</v>
      </c>
      <c r="C209" s="15">
        <v>50</v>
      </c>
      <c r="D209" s="14">
        <v>20</v>
      </c>
      <c r="E209" s="13">
        <v>25</v>
      </c>
      <c r="F209" s="13">
        <f>1.8*E209+32</f>
        <v>77</v>
      </c>
      <c r="G209" s="13">
        <v>13</v>
      </c>
      <c r="H209" s="13">
        <f>IF(F209&gt;68,G209+(F209-68)*0.2,W403-(68-F209)*0.2)</f>
        <v>14.8</v>
      </c>
      <c r="I209" s="13">
        <v>23</v>
      </c>
      <c r="J209" s="13">
        <f>1.8*I209+32</f>
        <v>73.400000000000006</v>
      </c>
      <c r="K209" s="13">
        <v>7</v>
      </c>
      <c r="L209" s="13">
        <f>IF(J209&gt;68,K209+(J209-68)*0.2,K209-(68-J209)*0.2)</f>
        <v>8.0800000000000018</v>
      </c>
      <c r="M209" s="13">
        <f>(C209-H209)/C209*100</f>
        <v>70.400000000000006</v>
      </c>
      <c r="N209" s="13">
        <f>100-(M209+O209)</f>
        <v>13.439999999999998</v>
      </c>
      <c r="O209" s="13">
        <f>L209/C209*100</f>
        <v>16.160000000000004</v>
      </c>
      <c r="P209" s="12" t="s">
        <v>0</v>
      </c>
      <c r="Q209" s="11">
        <v>409302.48111200001</v>
      </c>
      <c r="R209" s="11">
        <v>3659152.8213340002</v>
      </c>
      <c r="T209" s="14">
        <v>2011105</v>
      </c>
      <c r="U209" s="14" t="s">
        <v>121</v>
      </c>
      <c r="V209" s="14">
        <v>6.241E-2</v>
      </c>
      <c r="W209" s="14">
        <v>0.38533000000000001</v>
      </c>
      <c r="X209" s="14">
        <v>2.6919999999999999E-2</v>
      </c>
      <c r="Y209" s="14">
        <v>1.33578</v>
      </c>
      <c r="Z209" s="14">
        <v>16.763770000000001</v>
      </c>
      <c r="AA209" s="14">
        <v>9.6893600000000006</v>
      </c>
      <c r="AB209" s="14">
        <v>-1.44611</v>
      </c>
    </row>
    <row r="210" spans="1:28" x14ac:dyDescent="0.25">
      <c r="A210" s="1"/>
      <c r="T210" s="14">
        <v>2011105</v>
      </c>
      <c r="U210" s="14" t="s">
        <v>120</v>
      </c>
      <c r="V210" s="14">
        <v>6.5329999999999999E-2</v>
      </c>
      <c r="W210" s="14">
        <v>0.38741999999999999</v>
      </c>
      <c r="X210" s="14">
        <v>2.615E-2</v>
      </c>
      <c r="Y210" s="14">
        <v>1.3253200000000001</v>
      </c>
      <c r="Z210" s="14">
        <v>14.24067</v>
      </c>
      <c r="AA210" s="14">
        <v>8.8991500000000006</v>
      </c>
      <c r="AB210" s="14">
        <v>-1.4947999999999999</v>
      </c>
    </row>
    <row r="211" spans="1:28" ht="51.75" x14ac:dyDescent="0.25">
      <c r="A211" s="19" t="s">
        <v>119</v>
      </c>
      <c r="B211" s="22" t="s">
        <v>26</v>
      </c>
      <c r="C211" s="26" t="s">
        <v>25</v>
      </c>
      <c r="D211" s="25" t="s">
        <v>24</v>
      </c>
      <c r="E211" s="24" t="s">
        <v>23</v>
      </c>
      <c r="F211" s="24" t="s">
        <v>22</v>
      </c>
      <c r="G211" s="24" t="s">
        <v>21</v>
      </c>
      <c r="H211" s="24" t="s">
        <v>20</v>
      </c>
      <c r="I211" s="24" t="s">
        <v>19</v>
      </c>
      <c r="J211" s="24" t="s">
        <v>18</v>
      </c>
      <c r="K211" s="24" t="s">
        <v>17</v>
      </c>
      <c r="L211" s="24" t="s">
        <v>16</v>
      </c>
      <c r="M211" s="23" t="s">
        <v>15</v>
      </c>
      <c r="N211" s="23" t="s">
        <v>14</v>
      </c>
      <c r="O211" s="23" t="s">
        <v>13</v>
      </c>
      <c r="P211" s="22" t="s">
        <v>12</v>
      </c>
      <c r="Q211" s="36" t="s">
        <v>11</v>
      </c>
      <c r="R211" s="35"/>
      <c r="T211" s="14">
        <v>2011105</v>
      </c>
      <c r="U211" s="14" t="s">
        <v>118</v>
      </c>
      <c r="V211" s="14">
        <v>5.9520000000000003E-2</v>
      </c>
      <c r="W211" s="14">
        <v>0.38584000000000002</v>
      </c>
      <c r="X211" s="14">
        <v>2.6800000000000001E-2</v>
      </c>
      <c r="Y211" s="14">
        <v>1.3510599999999999</v>
      </c>
      <c r="Z211" s="14">
        <v>19.110520000000001</v>
      </c>
      <c r="AA211" s="14">
        <v>10.26821</v>
      </c>
      <c r="AB211" s="14">
        <v>-1.34581</v>
      </c>
    </row>
    <row r="212" spans="1:28" x14ac:dyDescent="0.25">
      <c r="A212" s="20"/>
      <c r="B212" s="22"/>
      <c r="C212" s="26"/>
      <c r="D212" s="25"/>
      <c r="E212" s="24"/>
      <c r="F212" s="24"/>
      <c r="G212" s="24"/>
      <c r="H212" s="24"/>
      <c r="I212" s="24"/>
      <c r="J212" s="24"/>
      <c r="K212" s="24"/>
      <c r="L212" s="24"/>
      <c r="M212" s="23"/>
      <c r="N212" s="23"/>
      <c r="O212" s="23"/>
      <c r="P212" s="22"/>
      <c r="Q212" s="21" t="s">
        <v>10</v>
      </c>
      <c r="R212" s="21" t="s">
        <v>9</v>
      </c>
      <c r="T212" s="14">
        <v>2011105</v>
      </c>
      <c r="U212" s="14" t="s">
        <v>117</v>
      </c>
      <c r="V212" s="14">
        <v>5.9499999999999997E-2</v>
      </c>
      <c r="W212" s="14">
        <v>0.37941999999999998</v>
      </c>
      <c r="X212" s="14">
        <v>2.9020000000000001E-2</v>
      </c>
      <c r="Y212" s="14">
        <v>1.34701</v>
      </c>
      <c r="Z212" s="14">
        <v>21.054559999999999</v>
      </c>
      <c r="AA212" s="14">
        <v>11.00939</v>
      </c>
      <c r="AB212" s="14">
        <v>-1.4483900000000001</v>
      </c>
    </row>
    <row r="213" spans="1:28" x14ac:dyDescent="0.25">
      <c r="A213" s="20"/>
      <c r="B213" s="14" t="s">
        <v>8</v>
      </c>
      <c r="C213" s="15">
        <v>50</v>
      </c>
      <c r="D213" s="14">
        <v>20</v>
      </c>
      <c r="E213" s="13">
        <v>25</v>
      </c>
      <c r="F213" s="13">
        <f>1.8*E213+32</f>
        <v>77</v>
      </c>
      <c r="G213" s="13">
        <v>17</v>
      </c>
      <c r="H213" s="13">
        <f>IF(F213&gt;68,G213+(F213-68)*0.2,Y408-(68-F213)*0.2)</f>
        <v>18.8</v>
      </c>
      <c r="I213" s="13">
        <v>23</v>
      </c>
      <c r="J213" s="13">
        <f>1.8*I213+32</f>
        <v>73.400000000000006</v>
      </c>
      <c r="K213" s="13">
        <v>11</v>
      </c>
      <c r="L213" s="13">
        <f>IF(J213&gt;68,K213+(J213-68)*0.2,K213-(68-J213)*0.2)</f>
        <v>12.080000000000002</v>
      </c>
      <c r="M213" s="13">
        <f>(C213-H213)/C213*100</f>
        <v>62.4</v>
      </c>
      <c r="N213" s="13">
        <f>100-(M213+O213)</f>
        <v>13.439999999999998</v>
      </c>
      <c r="O213" s="13">
        <f>L213/C213*100</f>
        <v>24.160000000000004</v>
      </c>
      <c r="P213" s="12" t="s">
        <v>3</v>
      </c>
      <c r="Q213" s="11">
        <v>409302.43996300001</v>
      </c>
      <c r="R213" s="11">
        <v>3659162.1902640001</v>
      </c>
      <c r="T213" s="14">
        <v>2011105</v>
      </c>
      <c r="U213" s="14" t="s">
        <v>116</v>
      </c>
      <c r="V213" s="14">
        <v>5.9520000000000003E-2</v>
      </c>
      <c r="W213" s="14">
        <v>0.38584000000000002</v>
      </c>
      <c r="X213" s="14">
        <v>2.6800000000000001E-2</v>
      </c>
      <c r="Y213" s="14">
        <v>1.3510599999999999</v>
      </c>
      <c r="Z213" s="14">
        <v>19.110520000000001</v>
      </c>
      <c r="AA213" s="14">
        <v>10.26821</v>
      </c>
      <c r="AB213" s="14">
        <v>-1.34581</v>
      </c>
    </row>
    <row r="214" spans="1:28" x14ac:dyDescent="0.25">
      <c r="A214" s="19" t="s">
        <v>7</v>
      </c>
      <c r="B214" s="14" t="s">
        <v>6</v>
      </c>
      <c r="C214" s="15">
        <v>50</v>
      </c>
      <c r="D214" s="14">
        <v>20</v>
      </c>
      <c r="E214" s="13">
        <v>25</v>
      </c>
      <c r="F214" s="13">
        <f>1.8*E214+32</f>
        <v>77</v>
      </c>
      <c r="G214" s="13">
        <v>22</v>
      </c>
      <c r="H214" s="13">
        <f>IF(F214&gt;68,G214+(F214-68)*0.2,I409-(68-F214)*0.2)</f>
        <v>23.8</v>
      </c>
      <c r="I214" s="13">
        <v>23</v>
      </c>
      <c r="J214" s="13">
        <f>1.8*I214+32</f>
        <v>73.400000000000006</v>
      </c>
      <c r="K214" s="13">
        <v>14</v>
      </c>
      <c r="L214" s="13">
        <f>IF(J214&gt;68,K214+(J214-68)*0.2,K214-(68-J214)*0.2)</f>
        <v>15.080000000000002</v>
      </c>
      <c r="M214" s="13">
        <f>(C214-H214)/C214*100</f>
        <v>52.400000000000006</v>
      </c>
      <c r="N214" s="13">
        <f>100-(M214+O214)</f>
        <v>17.439999999999998</v>
      </c>
      <c r="O214" s="13">
        <f>L214/C214*100</f>
        <v>30.160000000000004</v>
      </c>
      <c r="P214" s="12" t="s">
        <v>3</v>
      </c>
      <c r="Q214" s="11">
        <v>409302.43996300001</v>
      </c>
      <c r="R214" s="11">
        <v>3659162.1902640001</v>
      </c>
      <c r="T214" s="14">
        <v>2011105</v>
      </c>
      <c r="U214" s="14" t="s">
        <v>115</v>
      </c>
      <c r="V214" s="14">
        <v>6.2689999999999996E-2</v>
      </c>
      <c r="W214" s="14">
        <v>0.38773999999999997</v>
      </c>
      <c r="X214" s="14">
        <v>2.5819999999999999E-2</v>
      </c>
      <c r="Y214" s="14">
        <v>1.3415999999999999</v>
      </c>
      <c r="Z214" s="14">
        <v>16.0548</v>
      </c>
      <c r="AA214" s="14">
        <v>9.3096399999999999</v>
      </c>
      <c r="AB214" s="14">
        <v>-1.38086</v>
      </c>
    </row>
    <row r="215" spans="1:28" x14ac:dyDescent="0.25">
      <c r="A215" s="18">
        <v>41492</v>
      </c>
      <c r="B215" s="14" t="s">
        <v>5</v>
      </c>
      <c r="C215" s="15">
        <v>50</v>
      </c>
      <c r="D215" s="14">
        <v>20</v>
      </c>
      <c r="E215" s="13">
        <v>25</v>
      </c>
      <c r="F215" s="13">
        <f>1.8*E215+32</f>
        <v>77</v>
      </c>
      <c r="G215" s="13">
        <v>26</v>
      </c>
      <c r="H215" s="13">
        <f>IF(F215&gt;68,G215+(F215-68)*0.2,I410-(68-F215)*0.2)</f>
        <v>27.8</v>
      </c>
      <c r="I215" s="13">
        <v>23</v>
      </c>
      <c r="J215" s="13">
        <f>1.8*I215+32</f>
        <v>73.400000000000006</v>
      </c>
      <c r="K215" s="13">
        <v>17</v>
      </c>
      <c r="L215" s="13">
        <f>IF(J215&gt;68,K215+(J215-68)*0.2,K215-(68-J215)*0.2)</f>
        <v>18.080000000000002</v>
      </c>
      <c r="M215" s="13">
        <f>(C215-H215)/C215*100</f>
        <v>44.4</v>
      </c>
      <c r="N215" s="13">
        <f>100-(M215+O215)</f>
        <v>19.439999999999998</v>
      </c>
      <c r="O215" s="13">
        <f>L215/C215*100</f>
        <v>36.160000000000004</v>
      </c>
      <c r="P215" s="12" t="s">
        <v>30</v>
      </c>
      <c r="Q215" s="11">
        <v>409302.43996300001</v>
      </c>
      <c r="R215" s="11">
        <v>3659162.1902640001</v>
      </c>
      <c r="T215" s="14">
        <v>2011105</v>
      </c>
      <c r="U215" s="14" t="s">
        <v>114</v>
      </c>
      <c r="V215" s="14">
        <v>6.5710000000000005E-2</v>
      </c>
      <c r="W215" s="14">
        <v>0.39011000000000001</v>
      </c>
      <c r="X215" s="14">
        <v>2.504E-2</v>
      </c>
      <c r="Y215" s="14">
        <v>1.33267</v>
      </c>
      <c r="Z215" s="14">
        <v>13.58201</v>
      </c>
      <c r="AA215" s="14">
        <v>8.54209</v>
      </c>
      <c r="AB215" s="14">
        <v>-1.41767</v>
      </c>
    </row>
    <row r="216" spans="1:28" x14ac:dyDescent="0.25">
      <c r="A216" s="17"/>
      <c r="B216" s="14" t="s">
        <v>4</v>
      </c>
      <c r="C216" s="15">
        <v>50</v>
      </c>
      <c r="D216" s="14">
        <v>20</v>
      </c>
      <c r="E216" s="13">
        <v>25</v>
      </c>
      <c r="F216" s="13">
        <f>1.8*E216+32</f>
        <v>77</v>
      </c>
      <c r="G216" s="13">
        <v>24</v>
      </c>
      <c r="H216" s="13">
        <f>IF(F216&gt;68,G216+(F216-68)*0.2,I411-(68-F216)*0.2)</f>
        <v>25.8</v>
      </c>
      <c r="I216" s="13">
        <v>23</v>
      </c>
      <c r="J216" s="13">
        <f>1.8*I216+32</f>
        <v>73.400000000000006</v>
      </c>
      <c r="K216" s="13">
        <v>15</v>
      </c>
      <c r="L216" s="13">
        <f>IF(J216&gt;68,K216+(J216-68)*0.2,K216-(68-J216)*0.2)</f>
        <v>16.080000000000002</v>
      </c>
      <c r="M216" s="13">
        <f>(C216-H216)/C216*100</f>
        <v>48.4</v>
      </c>
      <c r="N216" s="13">
        <f>100-(M216+O216)</f>
        <v>19.439999999999998</v>
      </c>
      <c r="O216" s="13">
        <f>L216/C216*100</f>
        <v>32.160000000000004</v>
      </c>
      <c r="P216" s="12" t="s">
        <v>3</v>
      </c>
      <c r="Q216" s="11">
        <v>409302.43996300001</v>
      </c>
      <c r="R216" s="11">
        <v>3659162.1902640001</v>
      </c>
      <c r="T216" s="14">
        <v>2011105</v>
      </c>
      <c r="U216" s="14" t="s">
        <v>113</v>
      </c>
      <c r="V216" s="14">
        <v>6.1469999999999997E-2</v>
      </c>
      <c r="W216" s="14">
        <v>0.38617000000000001</v>
      </c>
      <c r="X216" s="14">
        <v>2.657E-2</v>
      </c>
      <c r="Y216" s="14">
        <v>1.3428500000000001</v>
      </c>
      <c r="Z216" s="14">
        <v>17.36469</v>
      </c>
      <c r="AA216" s="14">
        <v>9.7858900000000002</v>
      </c>
      <c r="AB216" s="14">
        <v>-1.39175</v>
      </c>
    </row>
    <row r="217" spans="1:28" x14ac:dyDescent="0.25">
      <c r="A217" s="16"/>
      <c r="B217" s="14" t="s">
        <v>2</v>
      </c>
      <c r="C217" s="15">
        <v>50</v>
      </c>
      <c r="D217" s="14">
        <v>20</v>
      </c>
      <c r="E217" s="13">
        <v>25</v>
      </c>
      <c r="F217" s="13">
        <f>1.8*E217+32</f>
        <v>77</v>
      </c>
      <c r="G217" s="13">
        <v>20</v>
      </c>
      <c r="H217" s="13">
        <f>IF(F217&gt;68,G217+(F217-68)*0.2,I412-(68-F217)*0.2)</f>
        <v>21.8</v>
      </c>
      <c r="I217" s="13">
        <v>23</v>
      </c>
      <c r="J217" s="13">
        <f>1.8*I217+32</f>
        <v>73.400000000000006</v>
      </c>
      <c r="K217" s="13">
        <v>13</v>
      </c>
      <c r="L217" s="13">
        <f>IF(J217&gt;68,K217+(J217-68)*0.2,K217-(68-J217)*0.2)</f>
        <v>14.080000000000002</v>
      </c>
      <c r="M217" s="13">
        <f>(C217-H217)/C217*100</f>
        <v>56.399999999999991</v>
      </c>
      <c r="N217" s="13">
        <f>100-(M217+O217)</f>
        <v>15.440000000000012</v>
      </c>
      <c r="O217" s="13">
        <f>L217/C217*100</f>
        <v>28.16</v>
      </c>
      <c r="P217" s="12" t="s">
        <v>3</v>
      </c>
      <c r="Q217" s="11">
        <v>409302.43996300001</v>
      </c>
      <c r="R217" s="11">
        <v>3659162.1902640001</v>
      </c>
      <c r="T217" s="14">
        <v>2011105</v>
      </c>
      <c r="U217" s="14" t="s">
        <v>112</v>
      </c>
      <c r="V217" s="14">
        <v>7.3910000000000003E-2</v>
      </c>
      <c r="W217" s="14">
        <v>0.40439999999999998</v>
      </c>
      <c r="X217" s="14">
        <v>2.147E-2</v>
      </c>
      <c r="Y217" s="14">
        <v>1.3285199999999999</v>
      </c>
      <c r="Z217" s="14">
        <v>8.0982800000000008</v>
      </c>
      <c r="AA217" s="14">
        <v>6.4745499999999998</v>
      </c>
      <c r="AB217" s="14">
        <v>-1.3392500000000001</v>
      </c>
    </row>
    <row r="218" spans="1:28" ht="16.5" customHeight="1" x14ac:dyDescent="0.25">
      <c r="A218" s="16"/>
      <c r="B218" s="14" t="s">
        <v>1</v>
      </c>
      <c r="C218" s="15">
        <v>50</v>
      </c>
      <c r="D218" s="14">
        <v>20</v>
      </c>
      <c r="E218" s="13">
        <v>25</v>
      </c>
      <c r="F218" s="13">
        <f>1.8*E218+32</f>
        <v>77</v>
      </c>
      <c r="G218" s="13">
        <v>12</v>
      </c>
      <c r="H218" s="13">
        <f>IF(F218&gt;68,G218+(F218-68)*0.2,I413-(68-F218)*0.2)</f>
        <v>13.8</v>
      </c>
      <c r="I218" s="13">
        <v>23</v>
      </c>
      <c r="J218" s="13">
        <f>1.8*I218+32</f>
        <v>73.400000000000006</v>
      </c>
      <c r="K218" s="13">
        <v>8</v>
      </c>
      <c r="L218" s="13">
        <f>IF(J218&gt;68,K218+(J218-68)*0.2,K218-(68-J218)*0.2)</f>
        <v>9.0800000000000018</v>
      </c>
      <c r="M218" s="13">
        <f>(C218-H218)/C218*100</f>
        <v>72.400000000000006</v>
      </c>
      <c r="N218" s="13">
        <f>100-(M218+O218)</f>
        <v>9.4399999999999977</v>
      </c>
      <c r="O218" s="13">
        <f>L218/C218*100</f>
        <v>18.160000000000004</v>
      </c>
      <c r="P218" s="12" t="s">
        <v>0</v>
      </c>
      <c r="Q218" s="11">
        <v>409302.43996300001</v>
      </c>
      <c r="R218" s="11">
        <v>3659162.1902640001</v>
      </c>
      <c r="T218" s="14">
        <v>2011105</v>
      </c>
      <c r="U218" s="14" t="s">
        <v>111</v>
      </c>
      <c r="V218" s="14">
        <v>7.6780000000000001E-2</v>
      </c>
      <c r="W218" s="14">
        <v>0.41110999999999998</v>
      </c>
      <c r="X218" s="14">
        <v>2.0320000000000001E-2</v>
      </c>
      <c r="Y218" s="14">
        <v>1.3278099999999999</v>
      </c>
      <c r="Z218" s="14">
        <v>6.7239199999999997</v>
      </c>
      <c r="AA218" s="14">
        <v>5.8899400000000002</v>
      </c>
      <c r="AB218" s="14">
        <v>-1.3004100000000001</v>
      </c>
    </row>
    <row r="219" spans="1:28" x14ac:dyDescent="0.25">
      <c r="A219" s="1"/>
      <c r="T219" s="14">
        <v>2011105</v>
      </c>
      <c r="U219" s="14" t="s">
        <v>110</v>
      </c>
      <c r="V219" s="14">
        <v>8.0610000000000001E-2</v>
      </c>
      <c r="W219" s="14">
        <v>0.41715000000000002</v>
      </c>
      <c r="X219" s="14">
        <v>2.1530000000000001E-2</v>
      </c>
      <c r="Y219" s="14">
        <v>1.2978499999999999</v>
      </c>
      <c r="Z219" s="14">
        <v>6.2376399999999999</v>
      </c>
      <c r="AA219" s="14">
        <v>5.9132100000000003</v>
      </c>
      <c r="AB219" s="14">
        <v>-1.52877</v>
      </c>
    </row>
    <row r="220" spans="1:28" ht="51.75" x14ac:dyDescent="0.25">
      <c r="A220" s="19" t="s">
        <v>109</v>
      </c>
      <c r="B220" s="22" t="s">
        <v>26</v>
      </c>
      <c r="C220" s="26" t="s">
        <v>25</v>
      </c>
      <c r="D220" s="25" t="s">
        <v>24</v>
      </c>
      <c r="E220" s="24" t="s">
        <v>23</v>
      </c>
      <c r="F220" s="24" t="s">
        <v>22</v>
      </c>
      <c r="G220" s="24" t="s">
        <v>21</v>
      </c>
      <c r="H220" s="24" t="s">
        <v>20</v>
      </c>
      <c r="I220" s="24" t="s">
        <v>19</v>
      </c>
      <c r="J220" s="24" t="s">
        <v>18</v>
      </c>
      <c r="K220" s="24" t="s">
        <v>17</v>
      </c>
      <c r="L220" s="24" t="s">
        <v>16</v>
      </c>
      <c r="M220" s="23" t="s">
        <v>15</v>
      </c>
      <c r="N220" s="23" t="s">
        <v>14</v>
      </c>
      <c r="O220" s="23" t="s">
        <v>13</v>
      </c>
      <c r="P220" s="22" t="s">
        <v>12</v>
      </c>
      <c r="Q220" s="27" t="s">
        <v>11</v>
      </c>
      <c r="R220" s="27"/>
      <c r="T220" s="14">
        <v>2011105</v>
      </c>
      <c r="U220" s="14" t="s">
        <v>108</v>
      </c>
      <c r="V220" s="14">
        <v>6.3950000000000007E-2</v>
      </c>
      <c r="W220" s="14">
        <v>0.38240000000000002</v>
      </c>
      <c r="X220" s="14">
        <v>2.7609999999999999E-2</v>
      </c>
      <c r="Y220" s="14">
        <v>1.3215600000000001</v>
      </c>
      <c r="Z220" s="14">
        <v>15.88536</v>
      </c>
      <c r="AA220" s="14">
        <v>9.4866899999999994</v>
      </c>
      <c r="AB220" s="14">
        <v>-1.5638300000000001</v>
      </c>
    </row>
    <row r="221" spans="1:28" x14ac:dyDescent="0.25">
      <c r="A221" s="20"/>
      <c r="B221" s="22"/>
      <c r="C221" s="26"/>
      <c r="D221" s="25"/>
      <c r="E221" s="24"/>
      <c r="F221" s="24"/>
      <c r="G221" s="24"/>
      <c r="H221" s="24"/>
      <c r="I221" s="24"/>
      <c r="J221" s="24"/>
      <c r="K221" s="24"/>
      <c r="L221" s="24"/>
      <c r="M221" s="23"/>
      <c r="N221" s="23"/>
      <c r="O221" s="23"/>
      <c r="P221" s="22"/>
      <c r="Q221" s="21" t="s">
        <v>10</v>
      </c>
      <c r="R221" s="21" t="s">
        <v>9</v>
      </c>
      <c r="T221" s="14">
        <v>2011105</v>
      </c>
      <c r="U221" s="14" t="s">
        <v>107</v>
      </c>
      <c r="V221" s="14">
        <v>6.9529999999999995E-2</v>
      </c>
      <c r="W221" s="14">
        <v>0.38994000000000001</v>
      </c>
      <c r="X221" s="14">
        <v>2.5870000000000001E-2</v>
      </c>
      <c r="Y221" s="14">
        <v>1.3043800000000001</v>
      </c>
      <c r="Z221" s="14">
        <v>11.686909999999999</v>
      </c>
      <c r="AA221" s="14">
        <v>8.1008800000000001</v>
      </c>
      <c r="AB221" s="14">
        <v>-1.6373599999999999</v>
      </c>
    </row>
    <row r="222" spans="1:28" x14ac:dyDescent="0.25">
      <c r="A222" s="20"/>
      <c r="B222" s="14" t="s">
        <v>8</v>
      </c>
      <c r="C222" s="15">
        <v>50</v>
      </c>
      <c r="D222" s="14">
        <v>20</v>
      </c>
      <c r="E222" s="13">
        <v>25</v>
      </c>
      <c r="F222" s="13">
        <f>1.8*E222+32</f>
        <v>77</v>
      </c>
      <c r="G222" s="13">
        <v>20</v>
      </c>
      <c r="H222" s="13">
        <f>IF(F222&gt;68,G222+(F222-68)*0.2,V419-(68-F222)*0.2)</f>
        <v>21.8</v>
      </c>
      <c r="I222" s="13">
        <v>23</v>
      </c>
      <c r="J222" s="13">
        <f>1.8*I222+32</f>
        <v>73.400000000000006</v>
      </c>
      <c r="K222" s="13">
        <v>10</v>
      </c>
      <c r="L222" s="13">
        <f>IF(J222&gt;68,K222+(J222-68)*0.2,K222-(68-J222)*0.2)</f>
        <v>11.080000000000002</v>
      </c>
      <c r="M222" s="13">
        <f>(C222-H222)/C222*100</f>
        <v>56.399999999999991</v>
      </c>
      <c r="N222" s="13">
        <f>100-(M222+O222)</f>
        <v>21.439999999999998</v>
      </c>
      <c r="O222" s="13">
        <f>L222/C222*100</f>
        <v>22.160000000000004</v>
      </c>
      <c r="P222" s="12" t="s">
        <v>3</v>
      </c>
      <c r="Q222" s="11">
        <v>409302.39537699998</v>
      </c>
      <c r="R222" s="11">
        <v>3659171.2402880001</v>
      </c>
      <c r="T222" s="14">
        <v>2011105</v>
      </c>
      <c r="U222" s="14" t="s">
        <v>106</v>
      </c>
      <c r="V222" s="14">
        <v>5.7439999999999998E-2</v>
      </c>
      <c r="W222" s="14">
        <v>0.38486999999999999</v>
      </c>
      <c r="X222" s="14">
        <v>2.7529999999999999E-2</v>
      </c>
      <c r="Y222" s="14">
        <v>1.35762</v>
      </c>
      <c r="Z222" s="14">
        <v>21.43111</v>
      </c>
      <c r="AA222" s="14">
        <v>11.00371</v>
      </c>
      <c r="AB222" s="14">
        <v>-1.3234900000000001</v>
      </c>
    </row>
    <row r="223" spans="1:28" x14ac:dyDescent="0.25">
      <c r="A223" s="19" t="s">
        <v>7</v>
      </c>
      <c r="B223" s="14" t="s">
        <v>6</v>
      </c>
      <c r="C223" s="15">
        <v>50</v>
      </c>
      <c r="D223" s="14">
        <v>20</v>
      </c>
      <c r="E223" s="13">
        <v>25</v>
      </c>
      <c r="F223" s="13">
        <f>1.8*E223+32</f>
        <v>77</v>
      </c>
      <c r="G223" s="13">
        <v>19</v>
      </c>
      <c r="H223" s="13">
        <f>IF(F223&gt;68,G223+(F223-68)*0.2,V420-(68-F223)*0.2)</f>
        <v>20.8</v>
      </c>
      <c r="I223" s="13">
        <v>23</v>
      </c>
      <c r="J223" s="13">
        <f>1.8*I223+32</f>
        <v>73.400000000000006</v>
      </c>
      <c r="K223" s="13">
        <v>11</v>
      </c>
      <c r="L223" s="13">
        <f>IF(J223&gt;68,K223+(J223-68)*0.2,K223-(68-J223)*0.2)</f>
        <v>12.080000000000002</v>
      </c>
      <c r="M223" s="13">
        <f>(C223-H223)/C223*100</f>
        <v>58.4</v>
      </c>
      <c r="N223" s="13">
        <f>100-(M223+O223)</f>
        <v>17.439999999999998</v>
      </c>
      <c r="O223" s="13">
        <f>L223/C223*100</f>
        <v>24.160000000000004</v>
      </c>
      <c r="P223" s="12" t="s">
        <v>3</v>
      </c>
      <c r="Q223" s="11">
        <v>409302.39537699998</v>
      </c>
      <c r="R223" s="11">
        <v>3659171.2402880001</v>
      </c>
      <c r="T223" s="14">
        <v>2011105</v>
      </c>
      <c r="U223" s="14" t="s">
        <v>105</v>
      </c>
      <c r="V223" s="14">
        <v>7.3959999999999998E-2</v>
      </c>
      <c r="W223" s="14">
        <v>0.40761999999999998</v>
      </c>
      <c r="X223" s="14">
        <v>1.968E-2</v>
      </c>
      <c r="Y223" s="14">
        <v>1.3468500000000001</v>
      </c>
      <c r="Z223" s="14">
        <v>7.6091499999999996</v>
      </c>
      <c r="AA223" s="14">
        <v>5.9455499999999999</v>
      </c>
      <c r="AB223" s="14">
        <v>-1.18113</v>
      </c>
    </row>
    <row r="224" spans="1:28" x14ac:dyDescent="0.25">
      <c r="A224" s="18">
        <v>41491</v>
      </c>
      <c r="B224" s="14" t="s">
        <v>5</v>
      </c>
      <c r="C224" s="15">
        <v>50</v>
      </c>
      <c r="D224" s="14">
        <v>20</v>
      </c>
      <c r="E224" s="13">
        <v>25</v>
      </c>
      <c r="F224" s="13">
        <f>1.8*E224+32</f>
        <v>77</v>
      </c>
      <c r="G224" s="13">
        <v>26</v>
      </c>
      <c r="H224" s="13">
        <f>IF(F224&gt;68,G224+(F224-68)*0.2,V421-(68-F224)*0.2)</f>
        <v>27.8</v>
      </c>
      <c r="I224" s="13">
        <v>23</v>
      </c>
      <c r="J224" s="13">
        <f>1.8*I224+32</f>
        <v>73.400000000000006</v>
      </c>
      <c r="K224" s="13">
        <v>16</v>
      </c>
      <c r="L224" s="13">
        <f>IF(J224&gt;68,K224+(J224-68)*0.2,K224-(68-J224)*0.2)</f>
        <v>17.080000000000002</v>
      </c>
      <c r="M224" s="13">
        <f>(C224-H224)/C224*100</f>
        <v>44.4</v>
      </c>
      <c r="N224" s="13">
        <f>100-(M224+O224)</f>
        <v>21.439999999999998</v>
      </c>
      <c r="O224" s="13">
        <f>L224/C224*100</f>
        <v>34.160000000000004</v>
      </c>
      <c r="P224" s="12" t="s">
        <v>30</v>
      </c>
      <c r="Q224" s="11">
        <v>409302.39537699998</v>
      </c>
      <c r="R224" s="11">
        <v>3659171.2402880001</v>
      </c>
      <c r="T224" s="14">
        <v>2011105</v>
      </c>
      <c r="U224" s="14" t="s">
        <v>104</v>
      </c>
      <c r="V224" s="14">
        <v>7.8240000000000004E-2</v>
      </c>
      <c r="W224" s="14">
        <v>0.41319</v>
      </c>
      <c r="X224" s="14">
        <v>2.0719999999999999E-2</v>
      </c>
      <c r="Y224" s="14">
        <v>1.31697</v>
      </c>
      <c r="Z224" s="14">
        <v>6.4092099999999999</v>
      </c>
      <c r="AA224" s="14">
        <v>5.88361</v>
      </c>
      <c r="AB224" s="14">
        <v>-1.37616</v>
      </c>
    </row>
    <row r="225" spans="1:28" x14ac:dyDescent="0.25">
      <c r="A225" s="17"/>
      <c r="B225" s="14" t="s">
        <v>4</v>
      </c>
      <c r="C225" s="15">
        <v>50</v>
      </c>
      <c r="D225" s="14">
        <v>20</v>
      </c>
      <c r="E225" s="13">
        <v>25</v>
      </c>
      <c r="F225" s="13">
        <f>1.8*E225+32</f>
        <v>77</v>
      </c>
      <c r="G225" s="13">
        <v>27</v>
      </c>
      <c r="H225" s="13">
        <f>IF(F225&gt;68,G225+(F225-68)*0.2,V422-(68-F225)*0.2)</f>
        <v>28.8</v>
      </c>
      <c r="I225" s="13">
        <v>23</v>
      </c>
      <c r="J225" s="13">
        <f>1.8*I225+32</f>
        <v>73.400000000000006</v>
      </c>
      <c r="K225" s="13">
        <v>18</v>
      </c>
      <c r="L225" s="13">
        <f>IF(J225&gt;68,K225+(J225-68)*0.2,K225-(68-J225)*0.2)</f>
        <v>19.080000000000002</v>
      </c>
      <c r="M225" s="13">
        <f>(C225-H225)/C225*100</f>
        <v>42.4</v>
      </c>
      <c r="N225" s="13">
        <f>100-(M225+O225)</f>
        <v>19.439999999999998</v>
      </c>
      <c r="O225" s="13">
        <f>L225/C225*100</f>
        <v>38.160000000000004</v>
      </c>
      <c r="P225" s="12" t="s">
        <v>30</v>
      </c>
      <c r="Q225" s="11">
        <v>409302.39537699998</v>
      </c>
      <c r="R225" s="11">
        <v>3659171.2402880001</v>
      </c>
      <c r="T225" s="14">
        <v>2011105</v>
      </c>
      <c r="U225" s="14" t="s">
        <v>103</v>
      </c>
      <c r="V225" s="14">
        <v>7.5270000000000004E-2</v>
      </c>
      <c r="W225" s="14">
        <v>0.40490999999999999</v>
      </c>
      <c r="X225" s="14">
        <v>2.2280000000000001E-2</v>
      </c>
      <c r="Y225" s="14">
        <v>1.31402</v>
      </c>
      <c r="Z225" s="14">
        <v>7.8308499999999999</v>
      </c>
      <c r="AA225" s="14">
        <v>6.5615100000000002</v>
      </c>
      <c r="AB225" s="14">
        <v>-1.4544600000000001</v>
      </c>
    </row>
    <row r="226" spans="1:28" x14ac:dyDescent="0.25">
      <c r="A226" s="16"/>
      <c r="B226" s="14" t="s">
        <v>2</v>
      </c>
      <c r="C226" s="15">
        <v>50</v>
      </c>
      <c r="D226" s="14">
        <v>20</v>
      </c>
      <c r="E226" s="13">
        <v>25</v>
      </c>
      <c r="F226" s="13">
        <f>1.8*E226+32</f>
        <v>77</v>
      </c>
      <c r="G226" s="13">
        <v>18</v>
      </c>
      <c r="H226" s="13">
        <f>IF(F226&gt;68,G226+(F226-68)*0.2,V423-(68-F226)*0.2)</f>
        <v>19.8</v>
      </c>
      <c r="I226" s="13">
        <v>23</v>
      </c>
      <c r="J226" s="13">
        <f>1.8*I226+32</f>
        <v>73.400000000000006</v>
      </c>
      <c r="K226" s="13">
        <v>8</v>
      </c>
      <c r="L226" s="13">
        <f>IF(J226&gt;68,K226+(J226-68)*0.2,K226-(68-J226)*0.2)</f>
        <v>9.0800000000000018</v>
      </c>
      <c r="M226" s="13">
        <f>(C226-H226)/C226*100</f>
        <v>60.4</v>
      </c>
      <c r="N226" s="13">
        <f>100-(M226+O226)</f>
        <v>21.439999999999998</v>
      </c>
      <c r="O226" s="13">
        <f>L226/C226*100</f>
        <v>18.160000000000004</v>
      </c>
      <c r="P226" s="12" t="s">
        <v>0</v>
      </c>
      <c r="Q226" s="11">
        <v>409302.39537699998</v>
      </c>
      <c r="R226" s="11">
        <v>3659171.2402880001</v>
      </c>
      <c r="T226" s="14">
        <v>2011105</v>
      </c>
      <c r="U226" s="14" t="s">
        <v>102</v>
      </c>
      <c r="V226" s="14">
        <v>5.8630000000000002E-2</v>
      </c>
      <c r="W226" s="14">
        <v>0.37837999999999999</v>
      </c>
      <c r="X226" s="14">
        <v>2.9389999999999999E-2</v>
      </c>
      <c r="Y226" s="14">
        <v>1.35555</v>
      </c>
      <c r="Z226" s="14">
        <v>22.6861</v>
      </c>
      <c r="AA226" s="14">
        <v>11.399699999999999</v>
      </c>
      <c r="AB226" s="14">
        <v>-1.4184699999999999</v>
      </c>
    </row>
    <row r="227" spans="1:28" x14ac:dyDescent="0.25">
      <c r="A227" s="16"/>
      <c r="B227" s="14" t="s">
        <v>1</v>
      </c>
      <c r="C227" s="15">
        <v>50</v>
      </c>
      <c r="D227" s="14">
        <v>20</v>
      </c>
      <c r="E227" s="13">
        <v>25</v>
      </c>
      <c r="F227" s="13">
        <f>1.8*E227+32</f>
        <v>77</v>
      </c>
      <c r="G227" s="13">
        <v>11</v>
      </c>
      <c r="H227" s="13">
        <f>IF(F227&gt;68,G227+(F227-68)*0.2,V424-(68-F227)*0.2)</f>
        <v>12.8</v>
      </c>
      <c r="I227" s="13">
        <v>23</v>
      </c>
      <c r="J227" s="13">
        <f>1.8*I227+32</f>
        <v>73.400000000000006</v>
      </c>
      <c r="K227" s="13">
        <v>6</v>
      </c>
      <c r="L227" s="13">
        <f>IF(J227&gt;68,K227+(J227-68)*0.2,K227-(68-J227)*0.2)</f>
        <v>7.080000000000001</v>
      </c>
      <c r="M227" s="13">
        <f>(C227-H227)/C227*100</f>
        <v>74.400000000000006</v>
      </c>
      <c r="N227" s="13">
        <f>100-(M227+O227)</f>
        <v>11.439999999999998</v>
      </c>
      <c r="O227" s="13">
        <f>L227/C227*100</f>
        <v>14.160000000000004</v>
      </c>
      <c r="P227" s="12" t="s">
        <v>0</v>
      </c>
      <c r="Q227" s="11">
        <v>409302.39537699998</v>
      </c>
      <c r="R227" s="11">
        <v>3659171.2402880001</v>
      </c>
      <c r="T227" s="14">
        <v>2011105</v>
      </c>
      <c r="U227" s="14" t="s">
        <v>101</v>
      </c>
      <c r="V227" s="14">
        <v>6.2399999999999997E-2</v>
      </c>
      <c r="W227" s="14">
        <v>0.39238000000000001</v>
      </c>
      <c r="X227" s="14">
        <v>2.2700000000000001E-2</v>
      </c>
      <c r="Y227" s="14">
        <v>1.3643099999999999</v>
      </c>
      <c r="Z227" s="14">
        <v>14.963469999999999</v>
      </c>
      <c r="AA227" s="14">
        <v>8.2702000000000009</v>
      </c>
      <c r="AB227" s="14">
        <v>-1.17381</v>
      </c>
    </row>
    <row r="228" spans="1:28" x14ac:dyDescent="0.25">
      <c r="A228" s="1"/>
      <c r="T228" s="14">
        <v>2011105</v>
      </c>
      <c r="U228" s="14" t="s">
        <v>100</v>
      </c>
      <c r="V228" s="14">
        <v>6.0490000000000002E-2</v>
      </c>
      <c r="W228" s="14">
        <v>0.38424999999999998</v>
      </c>
      <c r="X228" s="14">
        <v>2.751E-2</v>
      </c>
      <c r="Y228" s="14">
        <v>1.343</v>
      </c>
      <c r="Z228" s="14">
        <v>18.708269999999999</v>
      </c>
      <c r="AA228" s="14">
        <v>10.29607</v>
      </c>
      <c r="AB228" s="14">
        <v>-1.4155599999999999</v>
      </c>
    </row>
    <row r="229" spans="1:28" ht="51.75" x14ac:dyDescent="0.25">
      <c r="A229" s="19" t="s">
        <v>99</v>
      </c>
      <c r="B229" s="22" t="s">
        <v>26</v>
      </c>
      <c r="C229" s="26" t="s">
        <v>25</v>
      </c>
      <c r="D229" s="25" t="s">
        <v>24</v>
      </c>
      <c r="E229" s="24" t="s">
        <v>23</v>
      </c>
      <c r="F229" s="24" t="s">
        <v>22</v>
      </c>
      <c r="G229" s="24" t="s">
        <v>21</v>
      </c>
      <c r="H229" s="24" t="s">
        <v>20</v>
      </c>
      <c r="I229" s="24" t="s">
        <v>19</v>
      </c>
      <c r="J229" s="24" t="s">
        <v>18</v>
      </c>
      <c r="K229" s="24" t="s">
        <v>17</v>
      </c>
      <c r="L229" s="24" t="s">
        <v>16</v>
      </c>
      <c r="M229" s="23" t="s">
        <v>15</v>
      </c>
      <c r="N229" s="23" t="s">
        <v>14</v>
      </c>
      <c r="O229" s="23" t="s">
        <v>13</v>
      </c>
      <c r="P229" s="22" t="s">
        <v>12</v>
      </c>
      <c r="Q229" s="36" t="s">
        <v>11</v>
      </c>
      <c r="R229" s="35"/>
      <c r="T229" s="14">
        <v>2011105</v>
      </c>
      <c r="U229" s="14" t="s">
        <v>98</v>
      </c>
      <c r="V229" s="14">
        <v>8.0430000000000001E-2</v>
      </c>
      <c r="W229" s="14">
        <v>0.41822999999999999</v>
      </c>
      <c r="X229" s="14">
        <v>2.0639999999999999E-2</v>
      </c>
      <c r="Y229" s="14">
        <v>1.3079000000000001</v>
      </c>
      <c r="Z229" s="14">
        <v>5.9048699999999998</v>
      </c>
      <c r="AA229" s="14">
        <v>5.6957100000000001</v>
      </c>
      <c r="AB229" s="14">
        <v>-1.4251499999999999</v>
      </c>
    </row>
    <row r="230" spans="1:28" x14ac:dyDescent="0.25">
      <c r="A230" s="20"/>
      <c r="B230" s="22"/>
      <c r="C230" s="26"/>
      <c r="D230" s="25"/>
      <c r="E230" s="24"/>
      <c r="F230" s="24"/>
      <c r="G230" s="24"/>
      <c r="H230" s="24"/>
      <c r="I230" s="24"/>
      <c r="J230" s="24"/>
      <c r="K230" s="24"/>
      <c r="L230" s="24"/>
      <c r="M230" s="23"/>
      <c r="N230" s="23"/>
      <c r="O230" s="23"/>
      <c r="P230" s="22"/>
      <c r="Q230" s="21" t="s">
        <v>10</v>
      </c>
      <c r="R230" s="21" t="s">
        <v>9</v>
      </c>
      <c r="T230" s="14">
        <v>2011105</v>
      </c>
      <c r="U230" s="14" t="s">
        <v>97</v>
      </c>
      <c r="V230" s="14">
        <v>8.5819999999999994E-2</v>
      </c>
      <c r="W230" s="14">
        <v>0.44174999999999998</v>
      </c>
      <c r="X230" s="14">
        <v>1.651E-2</v>
      </c>
      <c r="Y230" s="14">
        <v>1.3256600000000001</v>
      </c>
      <c r="Z230" s="14">
        <v>6.1291200000000003</v>
      </c>
      <c r="AA230" s="14">
        <v>4.2666300000000001</v>
      </c>
      <c r="AB230" s="14">
        <v>-1.1123700000000001</v>
      </c>
    </row>
    <row r="231" spans="1:28" x14ac:dyDescent="0.25">
      <c r="A231" s="20"/>
      <c r="B231" s="14" t="s">
        <v>8</v>
      </c>
      <c r="C231" s="15">
        <v>50</v>
      </c>
      <c r="D231" s="14">
        <v>20</v>
      </c>
      <c r="E231" s="13">
        <v>25</v>
      </c>
      <c r="F231" s="13">
        <f>1.8*E231+32</f>
        <v>77</v>
      </c>
      <c r="G231" s="13">
        <v>11</v>
      </c>
      <c r="H231" s="13">
        <f>IF(F231&gt;68,G231+(F231-68)*0.2,Y430-(68-F231)*0.2)</f>
        <v>12.8</v>
      </c>
      <c r="I231" s="13">
        <v>23</v>
      </c>
      <c r="J231" s="13">
        <f>1.8*I231+32</f>
        <v>73.400000000000006</v>
      </c>
      <c r="K231" s="13">
        <v>10</v>
      </c>
      <c r="L231" s="13">
        <f>IF(J231&gt;68,K231+(J231-68)*0.2,K231-(68-J231)*0.2)</f>
        <v>11.080000000000002</v>
      </c>
      <c r="M231" s="13">
        <f>(C231-H231)/C231*100</f>
        <v>74.400000000000006</v>
      </c>
      <c r="N231" s="13">
        <f>100-(M231+O231)</f>
        <v>3.4399999999999977</v>
      </c>
      <c r="O231" s="13">
        <f>L231/C231*100</f>
        <v>22.160000000000004</v>
      </c>
      <c r="P231" s="12" t="s">
        <v>3</v>
      </c>
      <c r="Q231" s="11">
        <v>409306.46500800003</v>
      </c>
      <c r="R231" s="11">
        <v>3659171.2012479999</v>
      </c>
      <c r="T231" s="14">
        <v>2011105</v>
      </c>
      <c r="U231" s="14" t="s">
        <v>96</v>
      </c>
      <c r="V231" s="14">
        <v>8.2479999999999998E-2</v>
      </c>
      <c r="W231" s="14">
        <v>0.42358000000000001</v>
      </c>
      <c r="X231" s="14">
        <v>2.061E-2</v>
      </c>
      <c r="Y231" s="14">
        <v>1.2987299999999999</v>
      </c>
      <c r="Z231" s="14">
        <v>5.6605699999999999</v>
      </c>
      <c r="AA231" s="14">
        <v>5.5509899999999996</v>
      </c>
      <c r="AB231" s="14">
        <v>-1.4802599999999999</v>
      </c>
    </row>
    <row r="232" spans="1:28" x14ac:dyDescent="0.25">
      <c r="A232" s="19" t="s">
        <v>7</v>
      </c>
      <c r="B232" s="14" t="s">
        <v>6</v>
      </c>
      <c r="C232" s="15">
        <v>50</v>
      </c>
      <c r="D232" s="14">
        <v>20</v>
      </c>
      <c r="E232" s="13">
        <v>25</v>
      </c>
      <c r="F232" s="13">
        <f>1.8*E232+32</f>
        <v>77</v>
      </c>
      <c r="G232" s="13">
        <v>19</v>
      </c>
      <c r="H232" s="13">
        <f>IF(F232&gt;68,G232+(F232-68)*0.2,Y431-(68-F232)*0.2)</f>
        <v>20.8</v>
      </c>
      <c r="I232" s="13">
        <v>23</v>
      </c>
      <c r="J232" s="13">
        <f>1.8*I232+32</f>
        <v>73.400000000000006</v>
      </c>
      <c r="K232" s="13">
        <v>11</v>
      </c>
      <c r="L232" s="13">
        <f>IF(J232&gt;68,K232+(J232-68)*0.2,K232-(68-J232)*0.2)</f>
        <v>12.080000000000002</v>
      </c>
      <c r="M232" s="13">
        <f>(C232-H232)/C232*100</f>
        <v>58.4</v>
      </c>
      <c r="N232" s="13">
        <f>100-(M232+O232)</f>
        <v>17.439999999999998</v>
      </c>
      <c r="O232" s="13">
        <f>L232/C232*100</f>
        <v>24.160000000000004</v>
      </c>
      <c r="P232" s="12" t="s">
        <v>3</v>
      </c>
      <c r="Q232" s="11">
        <v>409306.46500800003</v>
      </c>
      <c r="R232" s="11">
        <v>3659171.2012479999</v>
      </c>
      <c r="T232" s="14">
        <v>2011105</v>
      </c>
      <c r="U232" s="14" t="s">
        <v>95</v>
      </c>
      <c r="V232" s="14">
        <v>6.9559999999999997E-2</v>
      </c>
      <c r="W232" s="14">
        <v>0.39406000000000002</v>
      </c>
      <c r="X232" s="14">
        <v>2.426E-2</v>
      </c>
      <c r="Y232" s="14">
        <v>1.3208</v>
      </c>
      <c r="Z232" s="14">
        <v>10.99597</v>
      </c>
      <c r="AA232" s="14">
        <v>7.7410199999999998</v>
      </c>
      <c r="AB232" s="14">
        <v>-1.4733499999999999</v>
      </c>
    </row>
    <row r="233" spans="1:28" x14ac:dyDescent="0.25">
      <c r="A233" s="18">
        <v>41491</v>
      </c>
      <c r="B233" s="14" t="s">
        <v>5</v>
      </c>
      <c r="C233" s="15">
        <v>50</v>
      </c>
      <c r="D233" s="14">
        <v>20</v>
      </c>
      <c r="E233" s="13">
        <v>25</v>
      </c>
      <c r="F233" s="13">
        <f>1.8*E233+32</f>
        <v>77</v>
      </c>
      <c r="G233" s="13">
        <v>26</v>
      </c>
      <c r="H233" s="13">
        <f>IF(F233&gt;68,G233+(F233-68)*0.2,Y432-(68-F233)*0.2)</f>
        <v>27.8</v>
      </c>
      <c r="I233" s="13">
        <v>23</v>
      </c>
      <c r="J233" s="13">
        <f>1.8*I233+32</f>
        <v>73.400000000000006</v>
      </c>
      <c r="K233" s="13">
        <v>18</v>
      </c>
      <c r="L233" s="13">
        <f>IF(J233&gt;68,K233+(J233-68)*0.2,K233-(68-J233)*0.2)</f>
        <v>19.080000000000002</v>
      </c>
      <c r="M233" s="13">
        <f>(C233-H233)/C233*100</f>
        <v>44.4</v>
      </c>
      <c r="N233" s="13">
        <f>100-(M233+O233)</f>
        <v>17.439999999999998</v>
      </c>
      <c r="O233" s="13">
        <f>L233/C233*100</f>
        <v>38.160000000000004</v>
      </c>
      <c r="P233" s="12" t="s">
        <v>30</v>
      </c>
      <c r="Q233" s="11">
        <v>409306.46500800003</v>
      </c>
      <c r="R233" s="11">
        <v>3659171.2012479999</v>
      </c>
      <c r="T233" s="14">
        <v>2011105</v>
      </c>
      <c r="U233" s="14" t="s">
        <v>94</v>
      </c>
      <c r="V233" s="14">
        <v>6.6019999999999995E-2</v>
      </c>
      <c r="W233" s="14">
        <v>0.38553999999999999</v>
      </c>
      <c r="X233" s="14">
        <v>2.6780000000000002E-2</v>
      </c>
      <c r="Y233" s="14">
        <v>1.31549</v>
      </c>
      <c r="Z233" s="14">
        <v>14.03234</v>
      </c>
      <c r="AA233" s="14">
        <v>8.8937899999999992</v>
      </c>
      <c r="AB233" s="14">
        <v>-1.5811599999999999</v>
      </c>
    </row>
    <row r="234" spans="1:28" x14ac:dyDescent="0.25">
      <c r="A234" s="17"/>
      <c r="B234" s="14" t="s">
        <v>4</v>
      </c>
      <c r="C234" s="15">
        <v>50</v>
      </c>
      <c r="D234" s="14">
        <v>20</v>
      </c>
      <c r="E234" s="13">
        <v>25</v>
      </c>
      <c r="F234" s="13">
        <f>1.8*E234+32</f>
        <v>77</v>
      </c>
      <c r="G234" s="13">
        <v>20</v>
      </c>
      <c r="H234" s="13">
        <f>IF(F234&gt;68,G234+(F234-68)*0.2,Y433-(68-F234)*0.2)</f>
        <v>21.8</v>
      </c>
      <c r="I234" s="13">
        <v>23</v>
      </c>
      <c r="J234" s="13">
        <f>1.8*I234+32</f>
        <v>73.400000000000006</v>
      </c>
      <c r="K234" s="13">
        <v>11</v>
      </c>
      <c r="L234" s="13">
        <f>IF(J234&gt;68,K234+(J234-68)*0.2,K234-(68-J234)*0.2)</f>
        <v>12.080000000000002</v>
      </c>
      <c r="M234" s="13">
        <f>(C234-H234)/C234*100</f>
        <v>56.399999999999991</v>
      </c>
      <c r="N234" s="13">
        <f>100-(M234+O234)</f>
        <v>19.439999999999998</v>
      </c>
      <c r="O234" s="13">
        <f>L234/C234*100</f>
        <v>24.160000000000004</v>
      </c>
      <c r="P234" s="12" t="s">
        <v>3</v>
      </c>
      <c r="Q234" s="11">
        <v>409306.46500800003</v>
      </c>
      <c r="R234" s="11">
        <v>3659171.2012479999</v>
      </c>
      <c r="T234" s="14">
        <v>2011105</v>
      </c>
      <c r="U234" s="14" t="s">
        <v>92</v>
      </c>
      <c r="V234" s="14">
        <v>6.4909999999999995E-2</v>
      </c>
      <c r="W234" s="14">
        <v>0.39517999999999998</v>
      </c>
      <c r="X234" s="14">
        <v>2.1680000000000001E-2</v>
      </c>
      <c r="Y234" s="14">
        <v>1.3631599999999999</v>
      </c>
      <c r="Z234" s="14">
        <v>12.919320000000001</v>
      </c>
      <c r="AA234" s="14">
        <v>7.5629200000000001</v>
      </c>
      <c r="AB234" s="14">
        <v>-1.15693</v>
      </c>
    </row>
    <row r="235" spans="1:28" x14ac:dyDescent="0.25">
      <c r="A235" s="16"/>
      <c r="B235" s="14" t="s">
        <v>2</v>
      </c>
      <c r="C235" s="15">
        <v>50</v>
      </c>
      <c r="D235" s="14">
        <v>20</v>
      </c>
      <c r="E235" s="13">
        <v>25</v>
      </c>
      <c r="F235" s="13">
        <f>1.8*E235+32</f>
        <v>77</v>
      </c>
      <c r="G235" s="13">
        <v>16</v>
      </c>
      <c r="H235" s="13">
        <f>IF(F235&gt;68,G235+(F235-68)*0.2,Y434-(68-F235)*0.2)</f>
        <v>17.8</v>
      </c>
      <c r="I235" s="13">
        <v>23</v>
      </c>
      <c r="J235" s="13">
        <f>1.8*I235+32</f>
        <v>73.400000000000006</v>
      </c>
      <c r="K235" s="13">
        <v>9</v>
      </c>
      <c r="L235" s="13">
        <f>IF(J235&gt;68,K235+(J235-68)*0.2,K235-(68-J235)*0.2)</f>
        <v>10.080000000000002</v>
      </c>
      <c r="M235" s="13">
        <f>(C235-H235)/C235*100</f>
        <v>64.400000000000006</v>
      </c>
      <c r="N235" s="13">
        <f>100-(M235+O235)</f>
        <v>15.439999999999998</v>
      </c>
      <c r="O235" s="13">
        <f>L235/C235*100</f>
        <v>20.160000000000004</v>
      </c>
      <c r="P235" s="12" t="s">
        <v>3</v>
      </c>
      <c r="Q235" s="11">
        <v>409306.46500800003</v>
      </c>
      <c r="R235" s="11">
        <v>3659171.2012479999</v>
      </c>
      <c r="T235" s="14">
        <v>2011105</v>
      </c>
      <c r="U235" s="14" t="s">
        <v>91</v>
      </c>
      <c r="V235" s="14">
        <v>7.4340000000000003E-2</v>
      </c>
      <c r="W235" s="14">
        <v>0.40983999999999998</v>
      </c>
      <c r="X235" s="14">
        <v>1.873E-2</v>
      </c>
      <c r="Y235" s="14">
        <v>1.35545</v>
      </c>
      <c r="Z235" s="14">
        <v>7.2129500000000002</v>
      </c>
      <c r="AA235" s="14">
        <v>5.6187300000000002</v>
      </c>
      <c r="AB235" s="14">
        <v>-1.10632</v>
      </c>
    </row>
    <row r="236" spans="1:28" x14ac:dyDescent="0.25">
      <c r="A236" s="16"/>
      <c r="B236" s="14" t="s">
        <v>1</v>
      </c>
      <c r="C236" s="15">
        <v>50</v>
      </c>
      <c r="D236" s="14">
        <v>20</v>
      </c>
      <c r="E236" s="13">
        <v>25</v>
      </c>
      <c r="F236" s="13">
        <f>1.8*E236+32</f>
        <v>77</v>
      </c>
      <c r="G236" s="13">
        <v>11</v>
      </c>
      <c r="H236" s="13">
        <f>IF(F236&gt;68,G236+(F236-68)*0.2,Y435-(68-F236)*0.2)</f>
        <v>12.8</v>
      </c>
      <c r="I236" s="13">
        <v>23</v>
      </c>
      <c r="J236" s="13">
        <f>1.8*I236+32</f>
        <v>73.400000000000006</v>
      </c>
      <c r="K236" s="13">
        <v>7</v>
      </c>
      <c r="L236" s="13">
        <f>IF(J236&gt;68,K236+(J236-68)*0.2,K236-(68-J236)*0.2)</f>
        <v>8.0800000000000018</v>
      </c>
      <c r="M236" s="13">
        <f>(C236-H236)/C236*100</f>
        <v>74.400000000000006</v>
      </c>
      <c r="N236" s="13">
        <f>100-(M236+O236)</f>
        <v>9.4399999999999977</v>
      </c>
      <c r="O236" s="13">
        <f>L236/C236*100</f>
        <v>16.160000000000004</v>
      </c>
      <c r="P236" s="12" t="s">
        <v>0</v>
      </c>
      <c r="Q236" s="11">
        <v>409306.46500800003</v>
      </c>
      <c r="R236" s="11">
        <v>3659171.2012479999</v>
      </c>
      <c r="T236" s="14">
        <v>2011105</v>
      </c>
      <c r="U236" s="14" t="s">
        <v>90</v>
      </c>
      <c r="V236" s="14">
        <v>7.374E-2</v>
      </c>
      <c r="W236" s="14">
        <v>0.40638000000000002</v>
      </c>
      <c r="X236" s="14">
        <v>2.0209999999999999E-2</v>
      </c>
      <c r="Y236" s="14">
        <v>1.3421799999999999</v>
      </c>
      <c r="Z236" s="14">
        <v>7.8361299999999998</v>
      </c>
      <c r="AA236" s="14">
        <v>6.1265099999999997</v>
      </c>
      <c r="AB236" s="14">
        <v>-1.2230300000000001</v>
      </c>
    </row>
    <row r="237" spans="1:28" x14ac:dyDescent="0.25">
      <c r="A237" s="1"/>
      <c r="T237" s="14">
        <v>2011105</v>
      </c>
      <c r="U237" s="14" t="s">
        <v>89</v>
      </c>
      <c r="V237" s="14">
        <v>7.5660000000000005E-2</v>
      </c>
      <c r="W237" s="14">
        <v>0.40721000000000002</v>
      </c>
      <c r="X237" s="14">
        <v>2.1399999999999999E-2</v>
      </c>
      <c r="Y237" s="14">
        <v>1.3214399999999999</v>
      </c>
      <c r="Z237" s="14">
        <v>7.4080899999999996</v>
      </c>
      <c r="AA237" s="14">
        <v>6.2879699999999996</v>
      </c>
      <c r="AB237" s="14">
        <v>-1.3771800000000001</v>
      </c>
    </row>
    <row r="238" spans="1:28" ht="51.75" x14ac:dyDescent="0.25">
      <c r="A238" s="19" t="s">
        <v>88</v>
      </c>
      <c r="B238" s="22" t="s">
        <v>26</v>
      </c>
      <c r="C238" s="26" t="s">
        <v>25</v>
      </c>
      <c r="D238" s="25" t="s">
        <v>24</v>
      </c>
      <c r="E238" s="24" t="s">
        <v>23</v>
      </c>
      <c r="F238" s="24" t="s">
        <v>22</v>
      </c>
      <c r="G238" s="24" t="s">
        <v>21</v>
      </c>
      <c r="H238" s="24" t="s">
        <v>20</v>
      </c>
      <c r="I238" s="24" t="s">
        <v>19</v>
      </c>
      <c r="J238" s="24" t="s">
        <v>18</v>
      </c>
      <c r="K238" s="24" t="s">
        <v>17</v>
      </c>
      <c r="L238" s="24" t="s">
        <v>16</v>
      </c>
      <c r="M238" s="23" t="s">
        <v>15</v>
      </c>
      <c r="N238" s="23" t="s">
        <v>14</v>
      </c>
      <c r="O238" s="23" t="s">
        <v>13</v>
      </c>
      <c r="P238" s="22" t="s">
        <v>12</v>
      </c>
      <c r="Q238" s="36" t="s">
        <v>11</v>
      </c>
      <c r="R238" s="35"/>
      <c r="T238" s="14">
        <v>2011105</v>
      </c>
      <c r="U238" s="14" t="s">
        <v>87</v>
      </c>
      <c r="V238" s="14">
        <v>7.0639999999999994E-2</v>
      </c>
      <c r="W238" s="14">
        <v>0.40026</v>
      </c>
      <c r="X238" s="14">
        <v>2.1530000000000001E-2</v>
      </c>
      <c r="Y238" s="14">
        <v>1.34209</v>
      </c>
      <c r="Z238" s="14">
        <v>9.6182099999999995</v>
      </c>
      <c r="AA238" s="14">
        <v>6.8365499999999999</v>
      </c>
      <c r="AB238" s="14">
        <v>-1.2663500000000001</v>
      </c>
    </row>
    <row r="239" spans="1:28" x14ac:dyDescent="0.25">
      <c r="A239" s="20"/>
      <c r="B239" s="22"/>
      <c r="C239" s="26"/>
      <c r="D239" s="25"/>
      <c r="E239" s="24"/>
      <c r="F239" s="24"/>
      <c r="G239" s="24"/>
      <c r="H239" s="24"/>
      <c r="I239" s="24"/>
      <c r="J239" s="24"/>
      <c r="K239" s="24"/>
      <c r="L239" s="24"/>
      <c r="M239" s="23"/>
      <c r="N239" s="23"/>
      <c r="O239" s="23"/>
      <c r="P239" s="22"/>
      <c r="Q239" s="21" t="s">
        <v>10</v>
      </c>
      <c r="R239" s="21" t="s">
        <v>9</v>
      </c>
      <c r="T239" s="14">
        <v>2011105</v>
      </c>
      <c r="U239" s="14" t="s">
        <v>86</v>
      </c>
      <c r="V239" s="14">
        <v>6.7220000000000002E-2</v>
      </c>
      <c r="W239" s="14">
        <v>0.39388000000000001</v>
      </c>
      <c r="X239" s="14">
        <v>2.35E-2</v>
      </c>
      <c r="Y239" s="14">
        <v>1.33877</v>
      </c>
      <c r="Z239" s="14">
        <v>12.09402</v>
      </c>
      <c r="AA239" s="14">
        <v>7.8591300000000004</v>
      </c>
      <c r="AB239" s="14">
        <v>-1.3402000000000001</v>
      </c>
    </row>
    <row r="240" spans="1:28" x14ac:dyDescent="0.25">
      <c r="A240" s="20"/>
      <c r="B240" s="14" t="s">
        <v>8</v>
      </c>
      <c r="C240" s="15">
        <v>50</v>
      </c>
      <c r="D240" s="14">
        <v>20</v>
      </c>
      <c r="E240" s="13">
        <v>25</v>
      </c>
      <c r="F240" s="13">
        <f>1.8*E240+32</f>
        <v>77</v>
      </c>
      <c r="G240" s="13">
        <v>19</v>
      </c>
      <c r="H240" s="13">
        <f>IF(F240&gt;68,G240+(F240-68)*0.2,Y441-(68-F240)*0.2)</f>
        <v>20.8</v>
      </c>
      <c r="I240" s="13">
        <v>23</v>
      </c>
      <c r="J240" s="13">
        <f>1.8*I240+32</f>
        <v>73.400000000000006</v>
      </c>
      <c r="K240" s="13">
        <v>11</v>
      </c>
      <c r="L240" s="13">
        <f>IF(J240&gt;68,K240+(J240-68)*0.2,K240-(68-J240)*0.2)</f>
        <v>12.080000000000002</v>
      </c>
      <c r="M240" s="13">
        <f>(C240-H240)/C240*100</f>
        <v>58.4</v>
      </c>
      <c r="N240" s="13">
        <f>100-(M240+O240)</f>
        <v>17.439999999999998</v>
      </c>
      <c r="O240" s="13">
        <f>L240/C240*100</f>
        <v>24.160000000000004</v>
      </c>
      <c r="P240" s="12" t="s">
        <v>3</v>
      </c>
      <c r="Q240" s="11">
        <v>409306.45970100001</v>
      </c>
      <c r="R240" s="11">
        <v>3659161.9817349999</v>
      </c>
      <c r="T240" s="14">
        <v>2011105</v>
      </c>
      <c r="U240" s="14" t="s">
        <v>85</v>
      </c>
      <c r="V240" s="14">
        <v>5.815E-2</v>
      </c>
      <c r="W240" s="14">
        <v>0.39039000000000001</v>
      </c>
      <c r="X240" s="14">
        <v>2.283E-2</v>
      </c>
      <c r="Y240" s="14">
        <v>1.3772</v>
      </c>
      <c r="Z240" s="14">
        <v>18.158100000000001</v>
      </c>
      <c r="AA240" s="14">
        <v>8.9411400000000008</v>
      </c>
      <c r="AB240" s="14">
        <v>-1.1012500000000001</v>
      </c>
    </row>
    <row r="241" spans="1:28" x14ac:dyDescent="0.25">
      <c r="A241" s="19" t="s">
        <v>7</v>
      </c>
      <c r="B241" s="14" t="s">
        <v>6</v>
      </c>
      <c r="C241" s="15">
        <v>50</v>
      </c>
      <c r="D241" s="14">
        <v>20</v>
      </c>
      <c r="E241" s="13">
        <v>25</v>
      </c>
      <c r="F241" s="13">
        <f>1.8*E241+32</f>
        <v>77</v>
      </c>
      <c r="G241" s="13">
        <v>19</v>
      </c>
      <c r="H241" s="13">
        <f>IF(F241&gt;68,G241+(F241-68)*0.2,Y442-(68-F241)*0.2)</f>
        <v>20.8</v>
      </c>
      <c r="I241" s="13">
        <v>23</v>
      </c>
      <c r="J241" s="13">
        <f>1.8*I241+32</f>
        <v>73.400000000000006</v>
      </c>
      <c r="K241" s="13">
        <v>11</v>
      </c>
      <c r="L241" s="13">
        <f>IF(J241&gt;68,K241+(J241-68)*0.2,K241-(68-J241)*0.2)</f>
        <v>12.080000000000002</v>
      </c>
      <c r="M241" s="13">
        <f>(C241-H241)/C241*100</f>
        <v>58.4</v>
      </c>
      <c r="N241" s="13">
        <f>100-(M241+O241)</f>
        <v>17.439999999999998</v>
      </c>
      <c r="O241" s="13">
        <f>L241/C241*100</f>
        <v>24.160000000000004</v>
      </c>
      <c r="P241" s="12" t="s">
        <v>3</v>
      </c>
      <c r="Q241" s="11">
        <v>409306.45970100001</v>
      </c>
      <c r="R241" s="11">
        <v>3659161.9817349999</v>
      </c>
      <c r="T241" s="14">
        <v>2011105</v>
      </c>
      <c r="U241" s="14" t="s">
        <v>84</v>
      </c>
      <c r="V241" s="14">
        <v>5.7439999999999998E-2</v>
      </c>
      <c r="W241" s="14">
        <v>0.38486999999999999</v>
      </c>
      <c r="X241" s="14">
        <v>2.7529999999999999E-2</v>
      </c>
      <c r="Y241" s="14">
        <v>1.35762</v>
      </c>
      <c r="Z241" s="14">
        <v>21.43111</v>
      </c>
      <c r="AA241" s="14">
        <v>11.00371</v>
      </c>
      <c r="AB241" s="14">
        <v>-1.3234900000000001</v>
      </c>
    </row>
    <row r="242" spans="1:28" x14ac:dyDescent="0.25">
      <c r="A242" s="18">
        <v>41491</v>
      </c>
      <c r="B242" s="14" t="s">
        <v>5</v>
      </c>
      <c r="C242" s="15">
        <v>50</v>
      </c>
      <c r="D242" s="14">
        <v>20</v>
      </c>
      <c r="E242" s="13">
        <v>25</v>
      </c>
      <c r="F242" s="13">
        <f>1.8*E242+32</f>
        <v>77</v>
      </c>
      <c r="G242" s="13">
        <v>27</v>
      </c>
      <c r="H242" s="13">
        <f>IF(F242&gt;68,G242+(F242-68)*0.2,Y443-(68-F242)*0.2)</f>
        <v>28.8</v>
      </c>
      <c r="I242" s="13">
        <v>23</v>
      </c>
      <c r="J242" s="13">
        <f>1.8*I242+32</f>
        <v>73.400000000000006</v>
      </c>
      <c r="K242" s="13">
        <v>17</v>
      </c>
      <c r="L242" s="13">
        <f>IF(J242&gt;68,K242+(J242-68)*0.2,K242-(68-J242)*0.2)</f>
        <v>18.080000000000002</v>
      </c>
      <c r="M242" s="13">
        <f>(C242-H242)/C242*100</f>
        <v>42.4</v>
      </c>
      <c r="N242" s="13">
        <f>100-(M242+O242)</f>
        <v>21.439999999999998</v>
      </c>
      <c r="O242" s="13">
        <f>L242/C242*100</f>
        <v>36.160000000000004</v>
      </c>
      <c r="P242" s="12" t="s">
        <v>30</v>
      </c>
      <c r="Q242" s="11">
        <v>409306.45970100001</v>
      </c>
      <c r="R242" s="11">
        <v>3659161.9817349999</v>
      </c>
      <c r="T242" s="14">
        <v>2011105</v>
      </c>
      <c r="U242" s="14" t="s">
        <v>83</v>
      </c>
      <c r="V242" s="14">
        <v>5.7439999999999998E-2</v>
      </c>
      <c r="W242" s="14">
        <v>0.38486999999999999</v>
      </c>
      <c r="X242" s="14">
        <v>2.7529999999999999E-2</v>
      </c>
      <c r="Y242" s="14">
        <v>1.35762</v>
      </c>
      <c r="Z242" s="14">
        <v>21.43111</v>
      </c>
      <c r="AA242" s="14">
        <v>11.00371</v>
      </c>
      <c r="AB242" s="14">
        <v>-1.3234900000000001</v>
      </c>
    </row>
    <row r="243" spans="1:28" x14ac:dyDescent="0.25">
      <c r="A243" s="17"/>
      <c r="B243" s="14" t="s">
        <v>4</v>
      </c>
      <c r="C243" s="15">
        <v>50</v>
      </c>
      <c r="D243" s="14">
        <v>20</v>
      </c>
      <c r="E243" s="13">
        <v>25</v>
      </c>
      <c r="F243" s="13">
        <f>1.8*E243+32</f>
        <v>77</v>
      </c>
      <c r="G243" s="13">
        <v>26</v>
      </c>
      <c r="H243" s="13">
        <f>IF(F243&gt;68,G243+(F243-68)*0.2,Y444-(68-F243)*0.2)</f>
        <v>27.8</v>
      </c>
      <c r="I243" s="13">
        <v>23</v>
      </c>
      <c r="J243" s="13">
        <f>1.8*I243+32</f>
        <v>73.400000000000006</v>
      </c>
      <c r="K243" s="13">
        <v>15</v>
      </c>
      <c r="L243" s="13">
        <f>IF(J243&gt;68,K243+(J243-68)*0.2,K243-(68-J243)*0.2)</f>
        <v>16.080000000000002</v>
      </c>
      <c r="M243" s="13">
        <f>(C243-H243)/C243*100</f>
        <v>44.4</v>
      </c>
      <c r="N243" s="13">
        <f>100-(M243+O243)</f>
        <v>23.439999999999998</v>
      </c>
      <c r="O243" s="13">
        <f>L243/C243*100</f>
        <v>32.160000000000004</v>
      </c>
      <c r="P243" s="12" t="s">
        <v>30</v>
      </c>
      <c r="Q243" s="11">
        <v>409306.45970100001</v>
      </c>
      <c r="R243" s="11">
        <v>3659161.9817349999</v>
      </c>
      <c r="T243" s="14">
        <v>2011105</v>
      </c>
      <c r="U243" s="14" t="s">
        <v>82</v>
      </c>
      <c r="V243" s="14">
        <v>5.7439999999999998E-2</v>
      </c>
      <c r="W243" s="14">
        <v>0.38486999999999999</v>
      </c>
      <c r="X243" s="14">
        <v>2.7529999999999999E-2</v>
      </c>
      <c r="Y243" s="14">
        <v>1.35762</v>
      </c>
      <c r="Z243" s="14">
        <v>21.43111</v>
      </c>
      <c r="AA243" s="14">
        <v>11.00371</v>
      </c>
      <c r="AB243" s="14">
        <v>-1.3234900000000001</v>
      </c>
    </row>
    <row r="244" spans="1:28" x14ac:dyDescent="0.25">
      <c r="A244" s="16"/>
      <c r="B244" s="14" t="s">
        <v>2</v>
      </c>
      <c r="C244" s="15">
        <v>50</v>
      </c>
      <c r="D244" s="14">
        <v>20</v>
      </c>
      <c r="E244" s="13">
        <v>25</v>
      </c>
      <c r="F244" s="13">
        <f>1.8*E244+32</f>
        <v>77</v>
      </c>
      <c r="G244" s="13">
        <v>15</v>
      </c>
      <c r="H244" s="13">
        <f>IF(F244&gt;68,G244+(F244-68)*0.2,Y445-(68-F244)*0.2)</f>
        <v>16.8</v>
      </c>
      <c r="I244" s="13">
        <v>23</v>
      </c>
      <c r="J244" s="13">
        <f>1.8*I244+32</f>
        <v>73.400000000000006</v>
      </c>
      <c r="K244" s="13">
        <v>11</v>
      </c>
      <c r="L244" s="13">
        <f>IF(J244&gt;68,K244+(J244-68)*0.2,K244-(68-J244)*0.2)</f>
        <v>12.080000000000002</v>
      </c>
      <c r="M244" s="13">
        <f>(C244-H244)/C244*100</f>
        <v>66.400000000000006</v>
      </c>
      <c r="N244" s="13">
        <f>100-(M244+O244)</f>
        <v>9.4399999999999977</v>
      </c>
      <c r="O244" s="13">
        <f>L244/C244*100</f>
        <v>24.160000000000004</v>
      </c>
      <c r="P244" s="12" t="s">
        <v>3</v>
      </c>
      <c r="Q244" s="11">
        <v>409306.45970100001</v>
      </c>
      <c r="R244" s="11">
        <v>3659161.9817349999</v>
      </c>
      <c r="T244" s="14">
        <v>2011105</v>
      </c>
      <c r="U244" s="14" t="s">
        <v>81</v>
      </c>
      <c r="V244" s="14">
        <v>5.534E-2</v>
      </c>
      <c r="W244" s="14">
        <v>0.38472000000000001</v>
      </c>
      <c r="X244" s="14">
        <v>2.7900000000000001E-2</v>
      </c>
      <c r="Y244" s="14">
        <v>1.36548</v>
      </c>
      <c r="Z244" s="14">
        <v>23.671479999999999</v>
      </c>
      <c r="AA244" s="14">
        <v>11.647030000000001</v>
      </c>
      <c r="AB244" s="14">
        <v>-1.2837000000000001</v>
      </c>
    </row>
    <row r="245" spans="1:28" x14ac:dyDescent="0.25">
      <c r="A245" s="16"/>
      <c r="B245" s="14" t="s">
        <v>1</v>
      </c>
      <c r="C245" s="15">
        <v>50</v>
      </c>
      <c r="D245" s="14">
        <v>20</v>
      </c>
      <c r="E245" s="13">
        <v>25</v>
      </c>
      <c r="F245" s="13">
        <f>1.8*E245+32</f>
        <v>77</v>
      </c>
      <c r="G245" s="13">
        <v>11</v>
      </c>
      <c r="H245" s="13">
        <f>IF(F245&gt;68,G245+(F245-68)*0.2,Y446-(68-F245)*0.2)</f>
        <v>12.8</v>
      </c>
      <c r="I245" s="13">
        <v>23</v>
      </c>
      <c r="J245" s="13">
        <f>1.8*I245+32</f>
        <v>73.400000000000006</v>
      </c>
      <c r="K245" s="13">
        <v>6</v>
      </c>
      <c r="L245" s="13">
        <f>IF(J245&gt;68,K245+(J245-68)*0.2,K245-(68-J245)*0.2)</f>
        <v>7.080000000000001</v>
      </c>
      <c r="M245" s="13">
        <f>(C245-H245)/C245*100</f>
        <v>74.400000000000006</v>
      </c>
      <c r="N245" s="13">
        <f>100-(M245+O245)</f>
        <v>11.439999999999998</v>
      </c>
      <c r="O245" s="13">
        <f>L245/C245*100</f>
        <v>14.160000000000004</v>
      </c>
      <c r="P245" s="12" t="s">
        <v>0</v>
      </c>
      <c r="Q245" s="11">
        <v>409306.45970100001</v>
      </c>
      <c r="R245" s="11">
        <v>3659161.9817349999</v>
      </c>
      <c r="T245" s="14">
        <v>2011105</v>
      </c>
      <c r="U245" s="14" t="s">
        <v>80</v>
      </c>
      <c r="V245" s="14">
        <v>6.9349999999999995E-2</v>
      </c>
      <c r="W245" s="14">
        <v>0.38716</v>
      </c>
      <c r="X245" s="14">
        <v>2.6599999999999999E-2</v>
      </c>
      <c r="Y245" s="14">
        <v>1.2967900000000001</v>
      </c>
      <c r="Z245" s="14">
        <v>12.26207</v>
      </c>
      <c r="AA245" s="14">
        <v>8.2317199999999993</v>
      </c>
      <c r="AB245" s="14">
        <v>-1.7205600000000001</v>
      </c>
    </row>
    <row r="246" spans="1:28" x14ac:dyDescent="0.25">
      <c r="A246" s="1"/>
      <c r="T246" s="14">
        <v>2011105</v>
      </c>
      <c r="U246" s="14" t="s">
        <v>79</v>
      </c>
      <c r="V246" s="14">
        <v>6.4170000000000005E-2</v>
      </c>
      <c r="W246" s="14">
        <v>0.38255</v>
      </c>
      <c r="X246" s="14">
        <v>2.7560000000000001E-2</v>
      </c>
      <c r="Y246" s="14">
        <v>1.3205</v>
      </c>
      <c r="Z246" s="14">
        <v>15.69645</v>
      </c>
      <c r="AA246" s="14">
        <v>9.42624</v>
      </c>
      <c r="AB246" s="14">
        <v>-1.5696399999999999</v>
      </c>
    </row>
    <row r="247" spans="1:28" ht="51.75" x14ac:dyDescent="0.25">
      <c r="A247" s="19" t="s">
        <v>78</v>
      </c>
      <c r="B247" s="22" t="s">
        <v>26</v>
      </c>
      <c r="C247" s="26" t="s">
        <v>25</v>
      </c>
      <c r="D247" s="25" t="s">
        <v>24</v>
      </c>
      <c r="E247" s="24" t="s">
        <v>23</v>
      </c>
      <c r="F247" s="24" t="s">
        <v>22</v>
      </c>
      <c r="G247" s="24" t="s">
        <v>21</v>
      </c>
      <c r="H247" s="24" t="s">
        <v>20</v>
      </c>
      <c r="I247" s="24" t="s">
        <v>19</v>
      </c>
      <c r="J247" s="24" t="s">
        <v>18</v>
      </c>
      <c r="K247" s="24" t="s">
        <v>17</v>
      </c>
      <c r="L247" s="24" t="s">
        <v>16</v>
      </c>
      <c r="M247" s="23" t="s">
        <v>15</v>
      </c>
      <c r="N247" s="23" t="s">
        <v>14</v>
      </c>
      <c r="O247" s="23" t="s">
        <v>13</v>
      </c>
      <c r="P247" s="22" t="s">
        <v>12</v>
      </c>
      <c r="Q247" s="27" t="s">
        <v>11</v>
      </c>
      <c r="R247" s="27"/>
      <c r="T247" s="14">
        <v>2011105</v>
      </c>
      <c r="U247" s="14" t="s">
        <v>77</v>
      </c>
      <c r="V247" s="14">
        <v>7.893E-2</v>
      </c>
      <c r="W247" s="14">
        <v>0.40599000000000002</v>
      </c>
      <c r="X247" s="14">
        <v>2.537E-2</v>
      </c>
      <c r="Y247" s="14">
        <v>1.2663899999999999</v>
      </c>
      <c r="Z247" s="14">
        <v>9.2101299999999995</v>
      </c>
      <c r="AA247" s="14">
        <v>6.8958599999999999</v>
      </c>
      <c r="AB247" s="14">
        <v>-1.9579599999999999</v>
      </c>
    </row>
    <row r="248" spans="1:28" x14ac:dyDescent="0.25">
      <c r="A248" s="20"/>
      <c r="B248" s="22"/>
      <c r="C248" s="26"/>
      <c r="D248" s="25"/>
      <c r="E248" s="24"/>
      <c r="F248" s="24"/>
      <c r="G248" s="24"/>
      <c r="H248" s="24"/>
      <c r="I248" s="24"/>
      <c r="J248" s="24"/>
      <c r="K248" s="24"/>
      <c r="L248" s="24"/>
      <c r="M248" s="23"/>
      <c r="N248" s="23"/>
      <c r="O248" s="23"/>
      <c r="P248" s="22"/>
      <c r="Q248" s="21" t="s">
        <v>10</v>
      </c>
      <c r="R248" s="21" t="s">
        <v>9</v>
      </c>
      <c r="T248" s="14">
        <v>2011105</v>
      </c>
      <c r="U248" s="14" t="s">
        <v>76</v>
      </c>
      <c r="V248" s="14">
        <v>7.5520000000000004E-2</v>
      </c>
      <c r="W248" s="14">
        <v>0.40289999999999998</v>
      </c>
      <c r="X248" s="14">
        <v>2.3529999999999999E-2</v>
      </c>
      <c r="Y248" s="14">
        <v>1.3000400000000001</v>
      </c>
      <c r="Z248" s="14">
        <v>8.2685700000000004</v>
      </c>
      <c r="AA248" s="14">
        <v>6.8420800000000002</v>
      </c>
      <c r="AB248" s="14">
        <v>-1.5940300000000001</v>
      </c>
    </row>
    <row r="249" spans="1:28" x14ac:dyDescent="0.25">
      <c r="A249" s="20"/>
      <c r="B249" s="14" t="s">
        <v>8</v>
      </c>
      <c r="C249" s="15">
        <v>50</v>
      </c>
      <c r="D249" s="14">
        <v>20</v>
      </c>
      <c r="E249" s="13">
        <v>25</v>
      </c>
      <c r="F249" s="13">
        <f>1.8*E249+32</f>
        <v>77</v>
      </c>
      <c r="G249" s="13">
        <v>11</v>
      </c>
      <c r="H249" s="13">
        <f>IF(F249&gt;68,G249+(F249-68)*0.2,Y452-(68-F249)*0.2)</f>
        <v>12.8</v>
      </c>
      <c r="I249" s="13">
        <v>23</v>
      </c>
      <c r="J249" s="13">
        <f>1.8*I249+32</f>
        <v>73.400000000000006</v>
      </c>
      <c r="K249" s="13">
        <v>7</v>
      </c>
      <c r="L249" s="13">
        <f>IF(J249&gt;68,K249+(J249-68)*0.2,K249-(68-J249)*0.2)</f>
        <v>8.0800000000000018</v>
      </c>
      <c r="M249" s="13">
        <f>(C249-H249)/C249*100</f>
        <v>74.400000000000006</v>
      </c>
      <c r="N249" s="13">
        <f>100-(M249+O249)</f>
        <v>9.4399999999999977</v>
      </c>
      <c r="O249" s="13">
        <f>L249/C249*100</f>
        <v>16.160000000000004</v>
      </c>
      <c r="P249" s="12" t="s">
        <v>0</v>
      </c>
      <c r="Q249" s="11">
        <v>409306.45845600002</v>
      </c>
      <c r="R249" s="11">
        <v>3659152.7233429998</v>
      </c>
      <c r="T249" s="14">
        <v>2011105</v>
      </c>
      <c r="U249" s="14" t="s">
        <v>75</v>
      </c>
      <c r="V249" s="14">
        <v>7.4940000000000007E-2</v>
      </c>
      <c r="W249" s="14">
        <v>0.39939000000000002</v>
      </c>
      <c r="X249" s="14">
        <v>2.4709999999999999E-2</v>
      </c>
      <c r="Y249" s="14">
        <v>1.2902199999999999</v>
      </c>
      <c r="Z249" s="14">
        <v>9.12608</v>
      </c>
      <c r="AA249" s="14">
        <v>7.1605699999999999</v>
      </c>
      <c r="AB249" s="14">
        <v>-1.71261</v>
      </c>
    </row>
    <row r="250" spans="1:28" x14ac:dyDescent="0.25">
      <c r="A250" s="19" t="s">
        <v>7</v>
      </c>
      <c r="B250" s="14" t="s">
        <v>6</v>
      </c>
      <c r="C250" s="15">
        <v>50</v>
      </c>
      <c r="D250" s="14">
        <v>20</v>
      </c>
      <c r="E250" s="13">
        <v>25</v>
      </c>
      <c r="F250" s="13">
        <f>1.8*E250+32</f>
        <v>77</v>
      </c>
      <c r="G250" s="13">
        <v>10</v>
      </c>
      <c r="H250" s="13">
        <f>IF(F250&gt;68,G250+(F250-68)*0.2,Y453-(68-F250)*0.2)</f>
        <v>11.8</v>
      </c>
      <c r="I250" s="13">
        <v>23</v>
      </c>
      <c r="J250" s="13">
        <f>1.8*I250+32</f>
        <v>73.400000000000006</v>
      </c>
      <c r="K250" s="13">
        <v>7</v>
      </c>
      <c r="L250" s="13">
        <f>IF(J250&gt;68,K250+(J250-68)*0.2,K250-(68-J250)*0.2)</f>
        <v>8.0800000000000018</v>
      </c>
      <c r="M250" s="13">
        <f>(C250-H250)/C250*100</f>
        <v>76.400000000000006</v>
      </c>
      <c r="N250" s="13">
        <f>100-(M250+O250)</f>
        <v>7.4399999999999977</v>
      </c>
      <c r="O250" s="13">
        <f>L250/C250*100</f>
        <v>16.160000000000004</v>
      </c>
      <c r="P250" s="12" t="s">
        <v>0</v>
      </c>
      <c r="Q250" s="11">
        <v>409306.45845600002</v>
      </c>
      <c r="R250" s="11">
        <v>3659152.7233429998</v>
      </c>
      <c r="T250" s="14">
        <v>2011105</v>
      </c>
      <c r="U250" s="14" t="s">
        <v>74</v>
      </c>
      <c r="V250" s="14">
        <v>6.5390000000000004E-2</v>
      </c>
      <c r="W250" s="14">
        <v>0.37142999999999998</v>
      </c>
      <c r="X250" s="14">
        <v>2.6040000000000001E-2</v>
      </c>
      <c r="Y250" s="14">
        <v>1.3292299999999999</v>
      </c>
      <c r="Z250" s="14">
        <v>16.67465</v>
      </c>
      <c r="AA250" s="14">
        <v>8.3604299999999991</v>
      </c>
      <c r="AB250" s="14">
        <v>-1.5300199999999999</v>
      </c>
    </row>
    <row r="251" spans="1:28" x14ac:dyDescent="0.25">
      <c r="A251" s="18">
        <v>41491</v>
      </c>
      <c r="B251" s="14" t="s">
        <v>5</v>
      </c>
      <c r="C251" s="15">
        <v>50</v>
      </c>
      <c r="D251" s="14">
        <v>20</v>
      </c>
      <c r="E251" s="13">
        <v>25</v>
      </c>
      <c r="F251" s="13">
        <f>1.8*E251+32</f>
        <v>77</v>
      </c>
      <c r="G251" s="13">
        <v>18</v>
      </c>
      <c r="H251" s="13">
        <f>IF(F251&gt;68,G251+(F251-68)*0.2,Y454-(68-F251)*0.2)</f>
        <v>19.8</v>
      </c>
      <c r="I251" s="13">
        <v>23</v>
      </c>
      <c r="J251" s="13">
        <f>1.8*I251+32</f>
        <v>73.400000000000006</v>
      </c>
      <c r="K251" s="13">
        <v>12</v>
      </c>
      <c r="L251" s="13">
        <f>IF(J251&gt;68,K251+(J251-68)*0.2,K251-(68-J251)*0.2)</f>
        <v>13.080000000000002</v>
      </c>
      <c r="M251" s="13">
        <f>(C251-H251)/C251*100</f>
        <v>60.4</v>
      </c>
      <c r="N251" s="13">
        <f>100-(M251+O251)</f>
        <v>13.439999999999998</v>
      </c>
      <c r="O251" s="13">
        <f>L251/C251*100</f>
        <v>26.160000000000004</v>
      </c>
      <c r="P251" s="12" t="s">
        <v>3</v>
      </c>
      <c r="Q251" s="11">
        <v>409306.45845600002</v>
      </c>
      <c r="R251" s="11">
        <v>3659152.7233429998</v>
      </c>
      <c r="T251" s="14">
        <v>2011105</v>
      </c>
      <c r="U251" s="14" t="s">
        <v>73</v>
      </c>
      <c r="V251" s="14">
        <v>5.8659999999999997E-2</v>
      </c>
      <c r="W251" s="14">
        <v>0.37259999999999999</v>
      </c>
      <c r="X251" s="14">
        <v>2.843E-2</v>
      </c>
      <c r="Y251" s="14">
        <v>1.4209099999999999</v>
      </c>
      <c r="Z251" s="14">
        <v>29.59442</v>
      </c>
      <c r="AA251" s="14">
        <v>11.45271</v>
      </c>
      <c r="AB251" s="14">
        <v>-1.22858</v>
      </c>
    </row>
    <row r="252" spans="1:28" x14ac:dyDescent="0.25">
      <c r="A252" s="17"/>
      <c r="B252" s="14" t="s">
        <v>4</v>
      </c>
      <c r="C252" s="15">
        <v>50</v>
      </c>
      <c r="D252" s="14">
        <v>20</v>
      </c>
      <c r="E252" s="13">
        <v>25</v>
      </c>
      <c r="F252" s="13">
        <f>1.8*E252+32</f>
        <v>77</v>
      </c>
      <c r="G252" s="13">
        <v>19</v>
      </c>
      <c r="H252" s="13">
        <f>IF(F252&gt;68,G252+(F252-68)*0.2,Y455-(68-F252)*0.2)</f>
        <v>20.8</v>
      </c>
      <c r="I252" s="13">
        <v>23</v>
      </c>
      <c r="J252" s="13">
        <f>1.8*I252+32</f>
        <v>73.400000000000006</v>
      </c>
      <c r="K252" s="13">
        <v>13</v>
      </c>
      <c r="L252" s="13">
        <f>IF(J252&gt;68,K252+(J252-68)*0.2,K252-(68-J252)*0.2)</f>
        <v>14.080000000000002</v>
      </c>
      <c r="M252" s="13">
        <f>(C252-H252)/C252*100</f>
        <v>58.4</v>
      </c>
      <c r="N252" s="13">
        <f>100-(M252+O252)</f>
        <v>13.439999999999998</v>
      </c>
      <c r="O252" s="13">
        <f>L252/C252*100</f>
        <v>28.16</v>
      </c>
      <c r="P252" s="12" t="s">
        <v>3</v>
      </c>
      <c r="Q252" s="11">
        <v>409306.45845600002</v>
      </c>
      <c r="R252" s="11">
        <v>3659152.7233429998</v>
      </c>
      <c r="T252" s="14">
        <v>2011105</v>
      </c>
      <c r="U252" s="14" t="s">
        <v>72</v>
      </c>
      <c r="V252" s="14">
        <v>5.8540000000000002E-2</v>
      </c>
      <c r="W252" s="14">
        <v>0.3841</v>
      </c>
      <c r="X252" s="14">
        <v>2.7830000000000001E-2</v>
      </c>
      <c r="Y252" s="14">
        <v>1.3516600000000001</v>
      </c>
      <c r="Z252" s="14">
        <v>20.6568</v>
      </c>
      <c r="AA252" s="14">
        <v>10.86266</v>
      </c>
      <c r="AB252" s="14">
        <v>-1.3692899999999999</v>
      </c>
    </row>
    <row r="253" spans="1:28" x14ac:dyDescent="0.25">
      <c r="A253" s="16"/>
      <c r="B253" s="14" t="s">
        <v>2</v>
      </c>
      <c r="C253" s="15">
        <v>50</v>
      </c>
      <c r="D253" s="14">
        <v>20</v>
      </c>
      <c r="E253" s="13">
        <v>25</v>
      </c>
      <c r="F253" s="13">
        <f>1.8*E253+32</f>
        <v>77</v>
      </c>
      <c r="G253" s="13">
        <v>12</v>
      </c>
      <c r="H253" s="13">
        <f>IF(F253&gt;68,G253+(F253-68)*0.2,Y456-(68-F253)*0.2)</f>
        <v>13.8</v>
      </c>
      <c r="I253" s="13">
        <v>23</v>
      </c>
      <c r="J253" s="13">
        <f>1.8*I253+32</f>
        <v>73.400000000000006</v>
      </c>
      <c r="K253" s="13">
        <v>8</v>
      </c>
      <c r="L253" s="13">
        <f>IF(J253&gt;68,K253+(J253-68)*0.2,K253-(68-J253)*0.2)</f>
        <v>9.0800000000000018</v>
      </c>
      <c r="M253" s="13">
        <f>(C253-H253)/C253*100</f>
        <v>72.400000000000006</v>
      </c>
      <c r="N253" s="13">
        <f>100-(M253+O253)</f>
        <v>9.4399999999999977</v>
      </c>
      <c r="O253" s="13">
        <f>L253/C253*100</f>
        <v>18.160000000000004</v>
      </c>
      <c r="P253" s="12" t="s">
        <v>0</v>
      </c>
      <c r="Q253" s="11">
        <v>409306.45845600002</v>
      </c>
      <c r="R253" s="11">
        <v>3659152.7233429998</v>
      </c>
      <c r="T253" s="14">
        <v>2011105</v>
      </c>
      <c r="U253" s="14" t="s">
        <v>71</v>
      </c>
      <c r="V253" s="14">
        <v>7.1779999999999997E-2</v>
      </c>
      <c r="W253" s="14">
        <v>0.39023000000000002</v>
      </c>
      <c r="X253" s="14">
        <v>2.6349999999999998E-2</v>
      </c>
      <c r="Y253" s="14">
        <v>1.28633</v>
      </c>
      <c r="Z253" s="14">
        <v>11.293480000000001</v>
      </c>
      <c r="AA253" s="14">
        <v>7.8219200000000004</v>
      </c>
      <c r="AB253" s="14">
        <v>-1.80288</v>
      </c>
    </row>
    <row r="254" spans="1:28" x14ac:dyDescent="0.25">
      <c r="A254" s="16"/>
      <c r="B254" s="14" t="s">
        <v>1</v>
      </c>
      <c r="C254" s="15">
        <v>50</v>
      </c>
      <c r="D254" s="14">
        <v>20</v>
      </c>
      <c r="E254" s="13">
        <v>23</v>
      </c>
      <c r="F254" s="13">
        <f>1.8*E254+32</f>
        <v>73.400000000000006</v>
      </c>
      <c r="G254" s="13">
        <v>13</v>
      </c>
      <c r="H254" s="13">
        <f>IF(F254&gt;68,G254+(F254-68)*0.2,Y457-(68-F254)*0.2)</f>
        <v>14.080000000000002</v>
      </c>
      <c r="I254" s="13">
        <v>22</v>
      </c>
      <c r="J254" s="13">
        <f>1.8*I254+32</f>
        <v>71.599999999999994</v>
      </c>
      <c r="K254" s="13">
        <v>8</v>
      </c>
      <c r="L254" s="13">
        <f>IF(J254&gt;68,K254+(J254-68)*0.2,K254-(68-J254)*0.2)</f>
        <v>8.7199999999999989</v>
      </c>
      <c r="M254" s="13">
        <f>(C254-H254)/C254*100</f>
        <v>71.84</v>
      </c>
      <c r="N254" s="13">
        <f>100-(M254+O254)</f>
        <v>10.719999999999999</v>
      </c>
      <c r="O254" s="13">
        <f>L254/C254*100</f>
        <v>17.439999999999998</v>
      </c>
      <c r="P254" s="12" t="s">
        <v>0</v>
      </c>
      <c r="Q254" s="11">
        <v>409306.45845600002</v>
      </c>
      <c r="R254" s="11">
        <v>3659152.7233429998</v>
      </c>
      <c r="T254" s="14">
        <v>2011105</v>
      </c>
      <c r="U254" s="14" t="s">
        <v>70</v>
      </c>
      <c r="V254" s="14">
        <v>7.9530000000000003E-2</v>
      </c>
      <c r="W254" s="14">
        <v>0.40977999999999998</v>
      </c>
      <c r="X254" s="14">
        <v>2.4199999999999999E-2</v>
      </c>
      <c r="Y254" s="14">
        <v>1.27579</v>
      </c>
      <c r="Z254" s="14">
        <v>8.03688</v>
      </c>
      <c r="AA254" s="14">
        <v>6.6215999999999999</v>
      </c>
      <c r="AB254" s="14">
        <v>-1.81735</v>
      </c>
    </row>
    <row r="255" spans="1:28" x14ac:dyDescent="0.25">
      <c r="A255" s="1"/>
      <c r="T255" s="14">
        <v>2011105</v>
      </c>
      <c r="U255" s="14" t="s">
        <v>69</v>
      </c>
      <c r="V255" s="14">
        <v>6.9739999999999996E-2</v>
      </c>
      <c r="W255" s="14">
        <v>0.39018000000000003</v>
      </c>
      <c r="X255" s="14">
        <v>2.5839999999999998E-2</v>
      </c>
      <c r="Y255" s="14">
        <v>1.30359</v>
      </c>
      <c r="Z255" s="14">
        <v>11.578760000000001</v>
      </c>
      <c r="AA255" s="14">
        <v>8.0627600000000008</v>
      </c>
      <c r="AB255" s="14">
        <v>-1.64255</v>
      </c>
    </row>
    <row r="256" spans="1:28" ht="51.75" x14ac:dyDescent="0.25">
      <c r="A256" s="19" t="s">
        <v>68</v>
      </c>
      <c r="B256" s="22" t="s">
        <v>26</v>
      </c>
      <c r="C256" s="26" t="s">
        <v>25</v>
      </c>
      <c r="D256" s="25" t="s">
        <v>24</v>
      </c>
      <c r="E256" s="24" t="s">
        <v>23</v>
      </c>
      <c r="F256" s="24" t="s">
        <v>22</v>
      </c>
      <c r="G256" s="24" t="s">
        <v>21</v>
      </c>
      <c r="H256" s="24" t="s">
        <v>20</v>
      </c>
      <c r="I256" s="24" t="s">
        <v>19</v>
      </c>
      <c r="J256" s="24" t="s">
        <v>18</v>
      </c>
      <c r="K256" s="24" t="s">
        <v>17</v>
      </c>
      <c r="L256" s="24" t="s">
        <v>16</v>
      </c>
      <c r="M256" s="23" t="s">
        <v>15</v>
      </c>
      <c r="N256" s="23" t="s">
        <v>14</v>
      </c>
      <c r="O256" s="23" t="s">
        <v>13</v>
      </c>
      <c r="P256" s="22" t="s">
        <v>12</v>
      </c>
      <c r="Q256" s="36" t="s">
        <v>11</v>
      </c>
      <c r="R256" s="35"/>
      <c r="T256" s="14">
        <v>2011105</v>
      </c>
      <c r="U256" s="14" t="s">
        <v>67</v>
      </c>
      <c r="V256" s="14">
        <v>6.5019999999999994E-2</v>
      </c>
      <c r="W256" s="14">
        <v>0.39034000000000002</v>
      </c>
      <c r="X256" s="14">
        <v>2.479E-2</v>
      </c>
      <c r="Y256" s="14">
        <v>1.33805</v>
      </c>
      <c r="Z256" s="14">
        <v>13.955880000000001</v>
      </c>
      <c r="AA256" s="14">
        <v>8.5828000000000007</v>
      </c>
      <c r="AB256" s="14">
        <v>-1.3775299999999999</v>
      </c>
    </row>
    <row r="257" spans="1:28" x14ac:dyDescent="0.25">
      <c r="A257" s="20"/>
      <c r="B257" s="22"/>
      <c r="C257" s="26"/>
      <c r="D257" s="25"/>
      <c r="E257" s="24"/>
      <c r="F257" s="24"/>
      <c r="G257" s="24"/>
      <c r="H257" s="24"/>
      <c r="I257" s="24"/>
      <c r="J257" s="24"/>
      <c r="K257" s="24"/>
      <c r="L257" s="24"/>
      <c r="M257" s="23"/>
      <c r="N257" s="23"/>
      <c r="O257" s="23"/>
      <c r="P257" s="22"/>
      <c r="Q257" s="21" t="s">
        <v>10</v>
      </c>
      <c r="R257" s="21" t="s">
        <v>9</v>
      </c>
      <c r="T257" s="14">
        <v>2011105</v>
      </c>
      <c r="U257" s="14" t="s">
        <v>66</v>
      </c>
      <c r="V257" s="14">
        <v>5.8950000000000002E-2</v>
      </c>
      <c r="W257" s="14">
        <v>0.37783</v>
      </c>
      <c r="X257" s="14">
        <v>2.93E-2</v>
      </c>
      <c r="Y257" s="14">
        <v>1.35531</v>
      </c>
      <c r="Z257" s="14">
        <v>22.43533</v>
      </c>
      <c r="AA257" s="14">
        <v>11.272970000000001</v>
      </c>
      <c r="AB257" s="14">
        <v>-1.42241</v>
      </c>
    </row>
    <row r="258" spans="1:28" x14ac:dyDescent="0.25">
      <c r="A258" s="20"/>
      <c r="B258" s="14" t="s">
        <v>8</v>
      </c>
      <c r="C258" s="15">
        <v>50</v>
      </c>
      <c r="D258" s="14">
        <v>20</v>
      </c>
      <c r="E258" s="13">
        <v>23</v>
      </c>
      <c r="F258" s="13">
        <f>1.8*E258+32</f>
        <v>73.400000000000006</v>
      </c>
      <c r="G258" s="13">
        <v>17</v>
      </c>
      <c r="H258" s="13">
        <f>IF(F258&gt;68,G258+(F258-68)*0.2,Y463-(68-F258)*0.2)</f>
        <v>18.080000000000002</v>
      </c>
      <c r="I258" s="13">
        <v>22</v>
      </c>
      <c r="J258" s="13">
        <f>1.8*I258+32</f>
        <v>71.599999999999994</v>
      </c>
      <c r="K258" s="13">
        <v>10</v>
      </c>
      <c r="L258" s="13">
        <f>IF(J258&gt;68,K258+(J258-68)*0.2,K258-(68-J258)*0.2)</f>
        <v>10.719999999999999</v>
      </c>
      <c r="M258" s="13">
        <f>(C258-H258)/C258*100</f>
        <v>63.839999999999996</v>
      </c>
      <c r="N258" s="13">
        <f>100-(M258+O258)</f>
        <v>14.719999999999999</v>
      </c>
      <c r="O258" s="13">
        <f>L258/C258*100</f>
        <v>21.439999999999998</v>
      </c>
      <c r="P258" s="12" t="s">
        <v>3</v>
      </c>
      <c r="Q258" s="11">
        <v>409306.493953</v>
      </c>
      <c r="R258" s="11">
        <v>3659139.1140549998</v>
      </c>
      <c r="T258" s="14">
        <v>2011105</v>
      </c>
      <c r="U258" s="14" t="s">
        <v>65</v>
      </c>
      <c r="V258" s="14">
        <v>6.4119999999999996E-2</v>
      </c>
      <c r="W258" s="14">
        <v>0.37997999999999998</v>
      </c>
      <c r="X258" s="14">
        <v>2.7859999999999999E-2</v>
      </c>
      <c r="Y258" s="14">
        <v>1.3183800000000001</v>
      </c>
      <c r="Z258" s="14">
        <v>16.021809999999999</v>
      </c>
      <c r="AA258" s="14">
        <v>9.4367099999999997</v>
      </c>
      <c r="AB258" s="14">
        <v>-1.59911</v>
      </c>
    </row>
    <row r="259" spans="1:28" x14ac:dyDescent="0.25">
      <c r="A259" s="19" t="s">
        <v>7</v>
      </c>
      <c r="B259" s="14" t="s">
        <v>6</v>
      </c>
      <c r="C259" s="15">
        <v>50</v>
      </c>
      <c r="D259" s="14">
        <v>20</v>
      </c>
      <c r="E259" s="13">
        <v>24</v>
      </c>
      <c r="F259" s="13">
        <f>1.8*E259+32</f>
        <v>75.2</v>
      </c>
      <c r="G259" s="13">
        <v>20</v>
      </c>
      <c r="H259" s="13">
        <f>IF(F259&gt;68,G259+(F259-68)*0.2,Y464-(68-F259)*0.2)</f>
        <v>21.44</v>
      </c>
      <c r="I259" s="13">
        <v>22</v>
      </c>
      <c r="J259" s="13">
        <f>1.8*I259+32</f>
        <v>71.599999999999994</v>
      </c>
      <c r="K259" s="13">
        <v>11</v>
      </c>
      <c r="L259" s="13">
        <f>IF(J259&gt;68,K259+(J259-68)*0.2,K259-(68-J259)*0.2)</f>
        <v>11.719999999999999</v>
      </c>
      <c r="M259" s="13">
        <f>(C259-H259)/C259*100</f>
        <v>57.11999999999999</v>
      </c>
      <c r="N259" s="13">
        <f>100-(M259+O259)</f>
        <v>19.440000000000012</v>
      </c>
      <c r="O259" s="13">
        <f>L259/C259*100</f>
        <v>23.439999999999998</v>
      </c>
      <c r="P259" s="12" t="s">
        <v>3</v>
      </c>
      <c r="Q259" s="11">
        <v>409306.493953</v>
      </c>
      <c r="R259" s="11">
        <v>3659139.1140549998</v>
      </c>
      <c r="T259" s="14">
        <v>2011105</v>
      </c>
      <c r="U259" s="14" t="s">
        <v>64</v>
      </c>
      <c r="V259" s="14">
        <v>7.331E-2</v>
      </c>
      <c r="W259" s="14">
        <v>0.40006999999999998</v>
      </c>
      <c r="X259" s="14">
        <v>2.3290000000000002E-2</v>
      </c>
      <c r="Y259" s="14">
        <v>1.3125899999999999</v>
      </c>
      <c r="Z259" s="14">
        <v>8.9207599999999996</v>
      </c>
      <c r="AA259" s="14">
        <v>7.02515</v>
      </c>
      <c r="AB259" s="14">
        <v>-1.4984200000000001</v>
      </c>
    </row>
    <row r="260" spans="1:28" x14ac:dyDescent="0.25">
      <c r="A260" s="18">
        <v>41491</v>
      </c>
      <c r="B260" s="14" t="s">
        <v>5</v>
      </c>
      <c r="C260" s="15">
        <v>50</v>
      </c>
      <c r="D260" s="14">
        <v>20</v>
      </c>
      <c r="E260" s="13">
        <v>25</v>
      </c>
      <c r="F260" s="13">
        <f>1.8*E260+32</f>
        <v>77</v>
      </c>
      <c r="G260" s="13">
        <v>25</v>
      </c>
      <c r="H260" s="13">
        <f>IF(F260&gt;68,G260+(F260-68)*0.2,Y465-(68-F260)*0.2)</f>
        <v>26.8</v>
      </c>
      <c r="I260" s="13">
        <v>22</v>
      </c>
      <c r="J260" s="13">
        <f>1.8*I260+32</f>
        <v>71.599999999999994</v>
      </c>
      <c r="K260" s="13">
        <v>16</v>
      </c>
      <c r="L260" s="13">
        <f>IF(J260&gt;68,K260+(J260-68)*0.2,K260-(68-J260)*0.2)</f>
        <v>16.72</v>
      </c>
      <c r="M260" s="13">
        <f>(C260-H260)/C260*100</f>
        <v>46.4</v>
      </c>
      <c r="N260" s="13">
        <f>100-(M260+O260)</f>
        <v>20.159999999999997</v>
      </c>
      <c r="O260" s="13">
        <f>L260/C260*100</f>
        <v>33.44</v>
      </c>
      <c r="P260" s="12" t="s">
        <v>3</v>
      </c>
      <c r="Q260" s="11">
        <v>409306.493953</v>
      </c>
      <c r="R260" s="11">
        <v>3659139.1140549998</v>
      </c>
      <c r="T260" s="14">
        <v>2011105</v>
      </c>
      <c r="U260" s="14" t="s">
        <v>63</v>
      </c>
      <c r="V260" s="14">
        <v>7.3190000000000005E-2</v>
      </c>
      <c r="W260" s="14">
        <v>0.41055000000000003</v>
      </c>
      <c r="X260" s="14">
        <v>1.7260000000000001E-2</v>
      </c>
      <c r="Y260" s="14">
        <v>1.37574</v>
      </c>
      <c r="Z260" s="14">
        <v>7.2701799999999999</v>
      </c>
      <c r="AA260" s="14">
        <v>5.2375999999999996</v>
      </c>
      <c r="AB260" s="14">
        <v>-0.96633999999999998</v>
      </c>
    </row>
    <row r="261" spans="1:28" x14ac:dyDescent="0.25">
      <c r="A261" s="17"/>
      <c r="B261" s="14" t="s">
        <v>4</v>
      </c>
      <c r="C261" s="15">
        <v>50</v>
      </c>
      <c r="D261" s="14">
        <v>20</v>
      </c>
      <c r="E261" s="13">
        <v>25</v>
      </c>
      <c r="F261" s="13">
        <f>1.8*E261+32</f>
        <v>77</v>
      </c>
      <c r="G261" s="13">
        <v>21</v>
      </c>
      <c r="H261" s="13">
        <f>IF(F261&gt;68,G261+(F261-68)*0.2,Y466-(68-F261)*0.2)</f>
        <v>22.8</v>
      </c>
      <c r="I261" s="13">
        <v>23</v>
      </c>
      <c r="J261" s="13">
        <f>1.8*I261+32</f>
        <v>73.400000000000006</v>
      </c>
      <c r="K261" s="13">
        <v>12</v>
      </c>
      <c r="L261" s="13">
        <f>IF(J261&gt;68,K261+(J261-68)*0.2,K261-(68-J261)*0.2)</f>
        <v>13.080000000000002</v>
      </c>
      <c r="M261" s="13">
        <f>(C261-H261)/C261*100</f>
        <v>54.400000000000006</v>
      </c>
      <c r="N261" s="13">
        <f>100-(M261+O261)</f>
        <v>19.439999999999998</v>
      </c>
      <c r="O261" s="13">
        <f>L261/C261*100</f>
        <v>26.160000000000004</v>
      </c>
      <c r="P261" s="12" t="s">
        <v>3</v>
      </c>
      <c r="Q261" s="11">
        <v>409306.493953</v>
      </c>
      <c r="R261" s="11">
        <v>3659139.1140549998</v>
      </c>
      <c r="T261" s="14">
        <v>2011105</v>
      </c>
      <c r="U261" s="14" t="s">
        <v>62</v>
      </c>
      <c r="V261" s="14">
        <v>7.2639999999999996E-2</v>
      </c>
      <c r="W261" s="14">
        <v>0.40725</v>
      </c>
      <c r="X261" s="14">
        <v>1.8790000000000001E-2</v>
      </c>
      <c r="Y261" s="14">
        <v>1.36151</v>
      </c>
      <c r="Z261" s="14">
        <v>7.9352499999999999</v>
      </c>
      <c r="AA261" s="14">
        <v>5.7792899999999996</v>
      </c>
      <c r="AB261" s="14">
        <v>-1.0820000000000001</v>
      </c>
    </row>
    <row r="262" spans="1:28" x14ac:dyDescent="0.25">
      <c r="A262" s="16"/>
      <c r="B262" s="14" t="s">
        <v>2</v>
      </c>
      <c r="C262" s="15">
        <v>50</v>
      </c>
      <c r="D262" s="14">
        <v>20</v>
      </c>
      <c r="E262" s="13">
        <v>25</v>
      </c>
      <c r="F262" s="13">
        <f>1.8*E262+32</f>
        <v>77</v>
      </c>
      <c r="G262" s="13">
        <v>23</v>
      </c>
      <c r="H262" s="13">
        <f>IF(F262&gt;68,G262+(F262-68)*0.2,Y467-(68-F262)*0.2)</f>
        <v>24.8</v>
      </c>
      <c r="I262" s="13">
        <v>23</v>
      </c>
      <c r="J262" s="13">
        <f>1.8*I262+32</f>
        <v>73.400000000000006</v>
      </c>
      <c r="K262" s="13">
        <v>15</v>
      </c>
      <c r="L262" s="13">
        <f>IF(J262&gt;68,K262+(J262-68)*0.2,K262-(68-J262)*0.2)</f>
        <v>16.080000000000002</v>
      </c>
      <c r="M262" s="13">
        <f>(C262-H262)/C262*100</f>
        <v>50.4</v>
      </c>
      <c r="N262" s="13">
        <f>100-(M262+O262)</f>
        <v>17.439999999999998</v>
      </c>
      <c r="O262" s="13">
        <f>L262/C262*100</f>
        <v>32.160000000000004</v>
      </c>
      <c r="P262" s="12" t="s">
        <v>3</v>
      </c>
      <c r="Q262" s="11">
        <v>409306.493953</v>
      </c>
      <c r="R262" s="11">
        <v>3659139.1140549998</v>
      </c>
      <c r="T262" s="14">
        <v>2011105</v>
      </c>
      <c r="U262" s="14" t="s">
        <v>61</v>
      </c>
      <c r="V262" s="14">
        <v>6.1490000000000003E-2</v>
      </c>
      <c r="W262" s="14">
        <v>0.3795</v>
      </c>
      <c r="X262" s="14">
        <v>2.8459999999999999E-2</v>
      </c>
      <c r="Y262" s="14">
        <v>1.33466</v>
      </c>
      <c r="Z262" s="14">
        <v>18.605930000000001</v>
      </c>
      <c r="AA262" s="14">
        <v>10.27591</v>
      </c>
      <c r="AB262" s="14">
        <v>-1.50831</v>
      </c>
    </row>
    <row r="263" spans="1:28" x14ac:dyDescent="0.25">
      <c r="A263" s="16"/>
      <c r="B263" s="14" t="s">
        <v>1</v>
      </c>
      <c r="C263" s="15">
        <v>50</v>
      </c>
      <c r="D263" s="14">
        <v>20</v>
      </c>
      <c r="E263" s="13">
        <v>25</v>
      </c>
      <c r="F263" s="13">
        <f>1.8*E263+32</f>
        <v>77</v>
      </c>
      <c r="G263" s="13">
        <v>20</v>
      </c>
      <c r="H263" s="13">
        <f>IF(F263&gt;68,G263+(F263-68)*0.2,Y468-(68-F263)*0.2)</f>
        <v>21.8</v>
      </c>
      <c r="I263" s="13">
        <v>23</v>
      </c>
      <c r="J263" s="13">
        <f>1.8*I263+32</f>
        <v>73.400000000000006</v>
      </c>
      <c r="K263" s="13">
        <v>13</v>
      </c>
      <c r="L263" s="13">
        <f>IF(J263&gt;68,K263+(J263-68)*0.2,K263-(68-J263)*0.2)</f>
        <v>14.080000000000002</v>
      </c>
      <c r="M263" s="13">
        <f>(C263-H263)/C263*100</f>
        <v>56.399999999999991</v>
      </c>
      <c r="N263" s="13">
        <f>100-(M263+O263)</f>
        <v>15.440000000000012</v>
      </c>
      <c r="O263" s="13">
        <f>L263/C263*100</f>
        <v>28.16</v>
      </c>
      <c r="P263" s="12" t="s">
        <v>3</v>
      </c>
      <c r="Q263" s="11">
        <v>409306.493953</v>
      </c>
      <c r="R263" s="11">
        <v>3659139.1140549998</v>
      </c>
      <c r="T263" s="14">
        <v>2011105</v>
      </c>
      <c r="U263" s="14" t="s">
        <v>60</v>
      </c>
      <c r="V263" s="14">
        <v>6.2039999999999998E-2</v>
      </c>
      <c r="W263" s="14">
        <v>0.38883000000000001</v>
      </c>
      <c r="X263" s="14">
        <v>2.513E-2</v>
      </c>
      <c r="Y263" s="14">
        <v>1.3491500000000001</v>
      </c>
      <c r="Z263" s="14">
        <v>16.244530000000001</v>
      </c>
      <c r="AA263" s="14">
        <v>9.2021700000000006</v>
      </c>
      <c r="AB263" s="14">
        <v>-1.31779</v>
      </c>
    </row>
    <row r="264" spans="1:28" x14ac:dyDescent="0.25">
      <c r="A264" s="1"/>
      <c r="T264" s="14">
        <v>2011105</v>
      </c>
      <c r="U264" s="14" t="s">
        <v>59</v>
      </c>
      <c r="V264" s="14">
        <v>5.8540000000000002E-2</v>
      </c>
      <c r="W264" s="14">
        <v>0.3841</v>
      </c>
      <c r="X264" s="14">
        <v>2.7830000000000001E-2</v>
      </c>
      <c r="Y264" s="14">
        <v>1.3516600000000001</v>
      </c>
      <c r="Z264" s="14">
        <v>20.6568</v>
      </c>
      <c r="AA264" s="14">
        <v>10.86266</v>
      </c>
      <c r="AB264" s="14">
        <v>-1.3692899999999999</v>
      </c>
    </row>
    <row r="265" spans="1:28" ht="51.75" x14ac:dyDescent="0.25">
      <c r="A265" s="19" t="s">
        <v>58</v>
      </c>
      <c r="B265" s="22" t="s">
        <v>26</v>
      </c>
      <c r="C265" s="26" t="s">
        <v>25</v>
      </c>
      <c r="D265" s="25" t="s">
        <v>24</v>
      </c>
      <c r="E265" s="24" t="s">
        <v>23</v>
      </c>
      <c r="F265" s="24" t="s">
        <v>22</v>
      </c>
      <c r="G265" s="24" t="s">
        <v>21</v>
      </c>
      <c r="H265" s="24" t="s">
        <v>20</v>
      </c>
      <c r="I265" s="24" t="s">
        <v>19</v>
      </c>
      <c r="J265" s="24" t="s">
        <v>18</v>
      </c>
      <c r="K265" s="24" t="s">
        <v>17</v>
      </c>
      <c r="L265" s="24" t="s">
        <v>16</v>
      </c>
      <c r="M265" s="23" t="s">
        <v>15</v>
      </c>
      <c r="N265" s="23" t="s">
        <v>14</v>
      </c>
      <c r="O265" s="23" t="s">
        <v>13</v>
      </c>
      <c r="P265" s="22" t="s">
        <v>12</v>
      </c>
      <c r="Q265" s="27" t="s">
        <v>11</v>
      </c>
      <c r="R265" s="27"/>
      <c r="T265" s="14">
        <v>2011105</v>
      </c>
      <c r="U265" s="14" t="s">
        <v>57</v>
      </c>
      <c r="V265" s="14">
        <v>7.2230000000000003E-2</v>
      </c>
      <c r="W265" s="14">
        <v>0.39344000000000001</v>
      </c>
      <c r="X265" s="14">
        <v>2.554E-2</v>
      </c>
      <c r="Y265" s="14">
        <v>1.29389</v>
      </c>
      <c r="Z265" s="14">
        <v>10.459339999999999</v>
      </c>
      <c r="AA265" s="14">
        <v>7.6456200000000001</v>
      </c>
      <c r="AB265" s="14">
        <v>-1.71062</v>
      </c>
    </row>
    <row r="266" spans="1:28" x14ac:dyDescent="0.25">
      <c r="A266" s="20"/>
      <c r="B266" s="22"/>
      <c r="C266" s="26"/>
      <c r="D266" s="25"/>
      <c r="E266" s="24"/>
      <c r="F266" s="24"/>
      <c r="G266" s="24"/>
      <c r="H266" s="24"/>
      <c r="I266" s="24"/>
      <c r="J266" s="24"/>
      <c r="K266" s="24"/>
      <c r="L266" s="24"/>
      <c r="M266" s="23"/>
      <c r="N266" s="23"/>
      <c r="O266" s="23"/>
      <c r="P266" s="22"/>
      <c r="Q266" s="21" t="s">
        <v>10</v>
      </c>
      <c r="R266" s="21" t="s">
        <v>9</v>
      </c>
      <c r="T266" s="14">
        <v>2011105</v>
      </c>
      <c r="U266" s="14" t="s">
        <v>56</v>
      </c>
      <c r="V266" s="14">
        <v>8.2150000000000001E-2</v>
      </c>
      <c r="W266" s="14">
        <v>0.41891</v>
      </c>
      <c r="X266" s="14">
        <v>2.2919999999999999E-2</v>
      </c>
      <c r="Y266" s="14">
        <v>1.2772300000000001</v>
      </c>
      <c r="Z266" s="14">
        <v>6.9705399999999997</v>
      </c>
      <c r="AA266" s="14">
        <v>6.1414</v>
      </c>
      <c r="AB266" s="14">
        <v>-1.74753</v>
      </c>
    </row>
    <row r="267" spans="1:28" x14ac:dyDescent="0.25">
      <c r="A267" s="20"/>
      <c r="B267" s="14" t="s">
        <v>8</v>
      </c>
      <c r="C267" s="15">
        <v>50</v>
      </c>
      <c r="D267" s="14">
        <v>20</v>
      </c>
      <c r="E267" s="13">
        <v>25</v>
      </c>
      <c r="F267" s="13">
        <f>1.8*E267+32</f>
        <v>77</v>
      </c>
      <c r="G267" s="13">
        <v>19</v>
      </c>
      <c r="H267" s="13">
        <f>IF(F267&gt;68,G267+(F267-68)*0.2,Y474-(68-F267)*0.2)</f>
        <v>20.8</v>
      </c>
      <c r="I267" s="13">
        <v>23</v>
      </c>
      <c r="J267" s="13">
        <f>1.8*I267+32</f>
        <v>73.400000000000006</v>
      </c>
      <c r="K267" s="13">
        <v>11</v>
      </c>
      <c r="L267" s="13">
        <f>IF(J267&gt;68,K267+(J267-68)*0.2,K267-(68-J267)*0.2)</f>
        <v>12.080000000000002</v>
      </c>
      <c r="M267" s="13">
        <f>(C267-H267)/C267*100</f>
        <v>58.4</v>
      </c>
      <c r="N267" s="13">
        <f>100-(M267+O267)</f>
        <v>17.439999999999998</v>
      </c>
      <c r="O267" s="13">
        <f>L267/C267*100</f>
        <v>24.160000000000004</v>
      </c>
      <c r="P267" s="12" t="s">
        <v>3</v>
      </c>
      <c r="Q267" s="11">
        <v>409306.40953</v>
      </c>
      <c r="R267" s="11">
        <v>3659130.0072949999</v>
      </c>
      <c r="T267" s="14">
        <v>2011105</v>
      </c>
      <c r="U267" s="14" t="s">
        <v>55</v>
      </c>
      <c r="V267" s="14">
        <v>7.2230000000000003E-2</v>
      </c>
      <c r="W267" s="14">
        <v>0.39344000000000001</v>
      </c>
      <c r="X267" s="14">
        <v>2.554E-2</v>
      </c>
      <c r="Y267" s="14">
        <v>1.29389</v>
      </c>
      <c r="Z267" s="14">
        <v>10.459339999999999</v>
      </c>
      <c r="AA267" s="14">
        <v>7.6456200000000001</v>
      </c>
      <c r="AB267" s="14">
        <v>-1.71062</v>
      </c>
    </row>
    <row r="268" spans="1:28" x14ac:dyDescent="0.25">
      <c r="A268" s="19" t="s">
        <v>7</v>
      </c>
      <c r="B268" s="14" t="s">
        <v>6</v>
      </c>
      <c r="C268" s="15">
        <v>50</v>
      </c>
      <c r="D268" s="14">
        <v>20</v>
      </c>
      <c r="E268" s="13">
        <v>25</v>
      </c>
      <c r="F268" s="13">
        <f>1.8*E268+32</f>
        <v>77</v>
      </c>
      <c r="G268" s="13">
        <v>20</v>
      </c>
      <c r="H268" s="13">
        <f>IF(F268&gt;68,G268+(F268-68)*0.2,Y475-(68-F268)*0.2)</f>
        <v>21.8</v>
      </c>
      <c r="I268" s="13">
        <v>23</v>
      </c>
      <c r="J268" s="13">
        <f>1.8*I268+32</f>
        <v>73.400000000000006</v>
      </c>
      <c r="K268" s="13">
        <v>14</v>
      </c>
      <c r="L268" s="13">
        <f>IF(J268&gt;68,K268+(J268-68)*0.2,K268-(68-J268)*0.2)</f>
        <v>15.080000000000002</v>
      </c>
      <c r="M268" s="13">
        <f>(C268-H268)/C268*100</f>
        <v>56.399999999999991</v>
      </c>
      <c r="N268" s="13">
        <f>100-(M268+O268)</f>
        <v>13.439999999999998</v>
      </c>
      <c r="O268" s="13">
        <f>L268/C268*100</f>
        <v>30.160000000000004</v>
      </c>
      <c r="P268" s="12" t="s">
        <v>3</v>
      </c>
      <c r="Q268" s="11">
        <v>409306.40953</v>
      </c>
      <c r="R268" s="11">
        <v>3659130.0072949999</v>
      </c>
      <c r="T268" s="14">
        <v>2011105</v>
      </c>
      <c r="U268" s="14" t="s">
        <v>54</v>
      </c>
      <c r="V268" s="14">
        <v>6.4119999999999996E-2</v>
      </c>
      <c r="W268" s="14">
        <v>0.37997999999999998</v>
      </c>
      <c r="X268" s="14">
        <v>2.7859999999999999E-2</v>
      </c>
      <c r="Y268" s="14">
        <v>1.3183800000000001</v>
      </c>
      <c r="Z268" s="14">
        <v>16.021809999999999</v>
      </c>
      <c r="AA268" s="14">
        <v>9.4367099999999997</v>
      </c>
      <c r="AB268" s="14">
        <v>-1.59911</v>
      </c>
    </row>
    <row r="269" spans="1:28" x14ac:dyDescent="0.25">
      <c r="A269" s="18">
        <v>41491</v>
      </c>
      <c r="B269" s="14" t="s">
        <v>5</v>
      </c>
      <c r="C269" s="15">
        <v>50</v>
      </c>
      <c r="D269" s="14">
        <v>20</v>
      </c>
      <c r="E269" s="13">
        <v>25</v>
      </c>
      <c r="F269" s="13">
        <f>1.8*E269+32</f>
        <v>77</v>
      </c>
      <c r="G269" s="13">
        <v>23</v>
      </c>
      <c r="H269" s="13">
        <f>IF(F269&gt;68,G269+(F269-68)*0.2,Y476-(68-F269)*0.2)</f>
        <v>24.8</v>
      </c>
      <c r="I269" s="13">
        <v>23</v>
      </c>
      <c r="J269" s="13">
        <f>1.8*I269+32</f>
        <v>73.400000000000006</v>
      </c>
      <c r="K269" s="13">
        <v>15</v>
      </c>
      <c r="L269" s="13">
        <f>IF(J269&gt;68,K269+(J269-68)*0.2,K269-(68-J269)*0.2)</f>
        <v>16.080000000000002</v>
      </c>
      <c r="M269" s="13">
        <f>(C269-H269)/C269*100</f>
        <v>50.4</v>
      </c>
      <c r="N269" s="13">
        <f>100-(M269+O269)</f>
        <v>17.439999999999998</v>
      </c>
      <c r="O269" s="13">
        <f>L269/C269*100</f>
        <v>32.160000000000004</v>
      </c>
      <c r="P269" s="12" t="s">
        <v>3</v>
      </c>
      <c r="Q269" s="11">
        <v>409306.40953</v>
      </c>
      <c r="R269" s="11">
        <v>3659130.0072949999</v>
      </c>
      <c r="T269" s="14">
        <v>2011105</v>
      </c>
      <c r="U269" s="14" t="s">
        <v>53</v>
      </c>
      <c r="V269" s="14">
        <v>6.9059999999999996E-2</v>
      </c>
      <c r="W269" s="14">
        <v>0.38419999999999999</v>
      </c>
      <c r="X269" s="14">
        <v>2.707E-2</v>
      </c>
      <c r="Y269" s="14">
        <v>1.2914399999999999</v>
      </c>
      <c r="Z269" s="14">
        <v>12.89472</v>
      </c>
      <c r="AA269" s="14">
        <v>8.2860499999999995</v>
      </c>
      <c r="AB269" s="14">
        <v>-1.7827200000000001</v>
      </c>
    </row>
    <row r="270" spans="1:28" x14ac:dyDescent="0.25">
      <c r="A270" s="17"/>
      <c r="B270" s="14" t="s">
        <v>4</v>
      </c>
      <c r="C270" s="15">
        <v>50</v>
      </c>
      <c r="D270" s="14">
        <v>20</v>
      </c>
      <c r="E270" s="13">
        <v>25</v>
      </c>
      <c r="F270" s="13">
        <f>1.8*E270+32</f>
        <v>77</v>
      </c>
      <c r="G270" s="13">
        <v>27</v>
      </c>
      <c r="H270" s="13">
        <f>IF(F270&gt;68,G270+(F270-68)*0.2,Y477-(68-F270)*0.2)</f>
        <v>28.8</v>
      </c>
      <c r="I270" s="13">
        <v>23</v>
      </c>
      <c r="J270" s="13">
        <f>1.8*I270+32</f>
        <v>73.400000000000006</v>
      </c>
      <c r="K270" s="13">
        <v>18</v>
      </c>
      <c r="L270" s="13">
        <f>IF(J270&gt;68,K270+(J270-68)*0.2,K270-(68-J270)*0.2)</f>
        <v>19.080000000000002</v>
      </c>
      <c r="M270" s="13">
        <f>(C270-H270)/C270*100</f>
        <v>42.4</v>
      </c>
      <c r="N270" s="13">
        <f>100-(M270+O270)</f>
        <v>19.439999999999998</v>
      </c>
      <c r="O270" s="13">
        <f>L270/C270*100</f>
        <v>38.160000000000004</v>
      </c>
      <c r="P270" s="12" t="s">
        <v>30</v>
      </c>
      <c r="Q270" s="11">
        <v>409306.40953</v>
      </c>
      <c r="R270" s="11">
        <v>3659130.0072949999</v>
      </c>
      <c r="T270" s="14">
        <v>2011105</v>
      </c>
      <c r="U270" s="14" t="s">
        <v>52</v>
      </c>
      <c r="V270" s="14">
        <v>6.4119999999999996E-2</v>
      </c>
      <c r="W270" s="14">
        <v>0.37997999999999998</v>
      </c>
      <c r="X270" s="14">
        <v>2.7859999999999999E-2</v>
      </c>
      <c r="Y270" s="14">
        <v>1.3183800000000001</v>
      </c>
      <c r="Z270" s="14">
        <v>16.021809999999999</v>
      </c>
      <c r="AA270" s="14">
        <v>9.4367099999999997</v>
      </c>
      <c r="AB270" s="14">
        <v>-1.59911</v>
      </c>
    </row>
    <row r="271" spans="1:28" x14ac:dyDescent="0.25">
      <c r="A271" s="16"/>
      <c r="B271" s="14" t="s">
        <v>2</v>
      </c>
      <c r="C271" s="15">
        <v>50</v>
      </c>
      <c r="D271" s="14">
        <v>20</v>
      </c>
      <c r="E271" s="13">
        <v>25</v>
      </c>
      <c r="F271" s="13">
        <f>1.8*E271+32</f>
        <v>77</v>
      </c>
      <c r="G271" s="13">
        <v>25</v>
      </c>
      <c r="H271" s="13">
        <f>IF(F271&gt;68,G271+(F271-68)*0.2,Y478-(68-F271)*0.2)</f>
        <v>26.8</v>
      </c>
      <c r="I271" s="13">
        <v>23</v>
      </c>
      <c r="J271" s="13">
        <f>1.8*I271+32</f>
        <v>73.400000000000006</v>
      </c>
      <c r="K271" s="13">
        <v>15</v>
      </c>
      <c r="L271" s="13">
        <f>IF(J271&gt;68,K271+(J271-68)*0.2,K271-(68-J271)*0.2)</f>
        <v>16.080000000000002</v>
      </c>
      <c r="M271" s="13">
        <f>(C271-H271)/C271*100</f>
        <v>46.4</v>
      </c>
      <c r="N271" s="13">
        <f>100-(M271+O271)</f>
        <v>21.439999999999998</v>
      </c>
      <c r="O271" s="13">
        <f>L271/C271*100</f>
        <v>32.160000000000004</v>
      </c>
      <c r="P271" s="12" t="s">
        <v>3</v>
      </c>
      <c r="Q271" s="11">
        <v>409306.40953</v>
      </c>
      <c r="R271" s="11">
        <v>3659130.0072949999</v>
      </c>
      <c r="T271" s="14">
        <v>2011105</v>
      </c>
      <c r="U271" s="14" t="s">
        <v>51</v>
      </c>
      <c r="V271" s="14">
        <v>6.4170000000000005E-2</v>
      </c>
      <c r="W271" s="14">
        <v>0.38255</v>
      </c>
      <c r="X271" s="14">
        <v>2.7560000000000001E-2</v>
      </c>
      <c r="Y271" s="14">
        <v>1.3205</v>
      </c>
      <c r="Z271" s="14">
        <v>15.69645</v>
      </c>
      <c r="AA271" s="14">
        <v>9.42624</v>
      </c>
      <c r="AB271" s="14">
        <v>-1.5696399999999999</v>
      </c>
    </row>
    <row r="272" spans="1:28" x14ac:dyDescent="0.25">
      <c r="A272" s="16"/>
      <c r="B272" s="14" t="s">
        <v>1</v>
      </c>
      <c r="C272" s="15">
        <v>50</v>
      </c>
      <c r="D272" s="14">
        <v>20</v>
      </c>
      <c r="E272" s="13">
        <v>25</v>
      </c>
      <c r="F272" s="13">
        <f>1.8*E272+32</f>
        <v>77</v>
      </c>
      <c r="G272" s="13">
        <v>14</v>
      </c>
      <c r="H272" s="13">
        <f>IF(F272&gt;68,G272+(F272-68)*0.2,Y479-(68-F272)*0.2)</f>
        <v>15.8</v>
      </c>
      <c r="I272" s="13">
        <v>23</v>
      </c>
      <c r="J272" s="13">
        <f>1.8*I272+32</f>
        <v>73.400000000000006</v>
      </c>
      <c r="K272" s="13">
        <v>8</v>
      </c>
      <c r="L272" s="13">
        <f>IF(J272&gt;68,K272+(J272-68)*0.2,K272-(68-J272)*0.2)</f>
        <v>9.0800000000000018</v>
      </c>
      <c r="M272" s="13">
        <f>(C272-H272)/C272*100</f>
        <v>68.400000000000006</v>
      </c>
      <c r="N272" s="13">
        <f>100-(M272+O272)</f>
        <v>13.439999999999998</v>
      </c>
      <c r="O272" s="13">
        <f>L272/C272*100</f>
        <v>18.160000000000004</v>
      </c>
      <c r="P272" s="12" t="s">
        <v>0</v>
      </c>
      <c r="Q272" s="11">
        <v>409306.40953</v>
      </c>
      <c r="R272" s="11">
        <v>3659130.0072949999</v>
      </c>
      <c r="T272" s="14">
        <v>2011105</v>
      </c>
      <c r="U272" s="14" t="s">
        <v>50</v>
      </c>
      <c r="V272" s="14">
        <v>7.0199999999999999E-2</v>
      </c>
      <c r="W272" s="14">
        <v>0.39324999999999999</v>
      </c>
      <c r="X272" s="14">
        <v>2.4840000000000001E-2</v>
      </c>
      <c r="Y272" s="14">
        <v>1.31175</v>
      </c>
      <c r="Z272" s="14">
        <v>10.88499</v>
      </c>
      <c r="AA272" s="14">
        <v>7.7904299999999997</v>
      </c>
      <c r="AB272" s="14">
        <v>-1.5522899999999999</v>
      </c>
    </row>
    <row r="273" spans="1:28" x14ac:dyDescent="0.25">
      <c r="A273" s="1"/>
      <c r="T273" s="14">
        <v>2011105</v>
      </c>
      <c r="U273" s="14" t="s">
        <v>49</v>
      </c>
      <c r="V273" s="14">
        <v>7.5740000000000002E-2</v>
      </c>
      <c r="W273" s="14">
        <v>0.40417999999999998</v>
      </c>
      <c r="X273" s="14">
        <v>2.307E-2</v>
      </c>
      <c r="Y273" s="14">
        <v>1.30383</v>
      </c>
      <c r="Z273" s="14">
        <v>7.9868499999999996</v>
      </c>
      <c r="AA273" s="14">
        <v>6.7110900000000004</v>
      </c>
      <c r="AB273" s="14">
        <v>-1.55033</v>
      </c>
    </row>
    <row r="274" spans="1:28" ht="51.75" x14ac:dyDescent="0.25">
      <c r="A274" s="19" t="s">
        <v>48</v>
      </c>
      <c r="B274" s="22" t="s">
        <v>26</v>
      </c>
      <c r="C274" s="26" t="s">
        <v>25</v>
      </c>
      <c r="D274" s="25" t="s">
        <v>24</v>
      </c>
      <c r="E274" s="24" t="s">
        <v>23</v>
      </c>
      <c r="F274" s="24" t="s">
        <v>22</v>
      </c>
      <c r="G274" s="24" t="s">
        <v>21</v>
      </c>
      <c r="H274" s="24" t="s">
        <v>20</v>
      </c>
      <c r="I274" s="24" t="s">
        <v>19</v>
      </c>
      <c r="J274" s="24" t="s">
        <v>18</v>
      </c>
      <c r="K274" s="24" t="s">
        <v>17</v>
      </c>
      <c r="L274" s="24" t="s">
        <v>16</v>
      </c>
      <c r="M274" s="23" t="s">
        <v>15</v>
      </c>
      <c r="N274" s="23" t="s">
        <v>14</v>
      </c>
      <c r="O274" s="23" t="s">
        <v>13</v>
      </c>
      <c r="P274" s="22" t="s">
        <v>12</v>
      </c>
      <c r="Q274" s="36" t="s">
        <v>11</v>
      </c>
      <c r="R274" s="35"/>
      <c r="T274" s="14">
        <v>2011105</v>
      </c>
      <c r="U274" s="14" t="s">
        <v>47</v>
      </c>
      <c r="V274" s="14">
        <v>6.8989999999999996E-2</v>
      </c>
      <c r="W274" s="14">
        <v>0.39900999999999998</v>
      </c>
      <c r="X274" s="14">
        <v>2.129E-2</v>
      </c>
      <c r="Y274" s="14">
        <v>1.3510800000000001</v>
      </c>
      <c r="Z274" s="14">
        <v>10.411020000000001</v>
      </c>
      <c r="AA274" s="14">
        <v>6.9466599999999996</v>
      </c>
      <c r="AB274" s="14">
        <v>-1.21146</v>
      </c>
    </row>
    <row r="275" spans="1:28" x14ac:dyDescent="0.25">
      <c r="A275" s="20"/>
      <c r="B275" s="22"/>
      <c r="C275" s="26"/>
      <c r="D275" s="25"/>
      <c r="E275" s="24"/>
      <c r="F275" s="24"/>
      <c r="G275" s="24"/>
      <c r="H275" s="24"/>
      <c r="I275" s="24"/>
      <c r="J275" s="24"/>
      <c r="K275" s="24"/>
      <c r="L275" s="24"/>
      <c r="M275" s="23"/>
      <c r="N275" s="23"/>
      <c r="O275" s="23"/>
      <c r="P275" s="22"/>
      <c r="Q275" s="21" t="s">
        <v>10</v>
      </c>
      <c r="R275" s="21" t="s">
        <v>9</v>
      </c>
      <c r="T275" s="14">
        <v>2011105</v>
      </c>
      <c r="U275" s="14" t="s">
        <v>46</v>
      </c>
      <c r="V275" s="14">
        <v>5.8200000000000002E-2</v>
      </c>
      <c r="W275" s="14">
        <v>0.37337999999999999</v>
      </c>
      <c r="X275" s="14">
        <v>2.886E-2</v>
      </c>
      <c r="Y275" s="14">
        <v>1.4126099999999999</v>
      </c>
      <c r="Z275" s="14">
        <v>29.225239999999999</v>
      </c>
      <c r="AA275" s="14">
        <v>11.701029999999999</v>
      </c>
      <c r="AB275" s="14">
        <v>-1.24932</v>
      </c>
    </row>
    <row r="276" spans="1:28" x14ac:dyDescent="0.25">
      <c r="A276" s="20"/>
      <c r="B276" s="14" t="s">
        <v>8</v>
      </c>
      <c r="C276" s="15">
        <v>50</v>
      </c>
      <c r="D276" s="14">
        <v>20</v>
      </c>
      <c r="E276" s="13">
        <v>25</v>
      </c>
      <c r="F276" s="13">
        <f>1.8*E276+32</f>
        <v>77</v>
      </c>
      <c r="G276" s="13">
        <v>17</v>
      </c>
      <c r="H276" s="13">
        <f>IF(F276&gt;68,G276+(F276-68)*0.2,Y485-(68-F276)*0.2)</f>
        <v>18.8</v>
      </c>
      <c r="I276" s="13">
        <v>23</v>
      </c>
      <c r="J276" s="13">
        <f>1.8*I276+32</f>
        <v>73.400000000000006</v>
      </c>
      <c r="K276" s="13">
        <v>10</v>
      </c>
      <c r="L276" s="13">
        <f>IF(J276&gt;68,K276+(J276-68)*0.2,K276-(68-J276)*0.2)</f>
        <v>11.080000000000002</v>
      </c>
      <c r="M276" s="13">
        <f>(C276-H276)/C276*100</f>
        <v>62.4</v>
      </c>
      <c r="N276" s="13">
        <f>100-(M276+O276)</f>
        <v>15.439999999999998</v>
      </c>
      <c r="O276" s="13">
        <f>L276/C276*100</f>
        <v>22.160000000000004</v>
      </c>
      <c r="P276" s="12" t="s">
        <v>3</v>
      </c>
      <c r="Q276" s="11">
        <v>409327.01780099998</v>
      </c>
      <c r="R276" s="11">
        <v>3659130.146561</v>
      </c>
    </row>
    <row r="277" spans="1:28" x14ac:dyDescent="0.25">
      <c r="A277" s="19" t="s">
        <v>7</v>
      </c>
      <c r="B277" s="14" t="s">
        <v>6</v>
      </c>
      <c r="C277" s="15">
        <v>50</v>
      </c>
      <c r="D277" s="14">
        <v>20</v>
      </c>
      <c r="E277" s="13">
        <v>25</v>
      </c>
      <c r="F277" s="13">
        <f>1.8*E277+32</f>
        <v>77</v>
      </c>
      <c r="G277" s="13">
        <v>16</v>
      </c>
      <c r="H277" s="13">
        <f>IF(F277&gt;68,G277+(F277-68)*0.2,Y486-(68-F277)*0.2)</f>
        <v>17.8</v>
      </c>
      <c r="I277" s="13">
        <v>23</v>
      </c>
      <c r="J277" s="13">
        <f>1.8*I277+32</f>
        <v>73.400000000000006</v>
      </c>
      <c r="K277" s="13">
        <v>9</v>
      </c>
      <c r="L277" s="13">
        <f>IF(J277&gt;68,K277+(J277-68)*0.2,K277-(68-J277)*0.2)</f>
        <v>10.080000000000002</v>
      </c>
      <c r="M277" s="13">
        <f>(C277-H277)/C277*100</f>
        <v>64.400000000000006</v>
      </c>
      <c r="N277" s="13">
        <f>100-(M277+O277)</f>
        <v>15.439999999999998</v>
      </c>
      <c r="O277" s="13">
        <f>L277/C277*100</f>
        <v>20.160000000000004</v>
      </c>
      <c r="P277" s="12" t="s">
        <v>3</v>
      </c>
      <c r="Q277" s="11">
        <v>409327.01780099998</v>
      </c>
      <c r="R277" s="11">
        <v>3659130.146561</v>
      </c>
    </row>
    <row r="278" spans="1:28" x14ac:dyDescent="0.25">
      <c r="A278" s="18">
        <v>41491</v>
      </c>
      <c r="B278" s="14" t="s">
        <v>5</v>
      </c>
      <c r="C278" s="15">
        <v>50</v>
      </c>
      <c r="D278" s="14">
        <v>20</v>
      </c>
      <c r="E278" s="13">
        <v>25</v>
      </c>
      <c r="F278" s="13">
        <f>1.8*E278+32</f>
        <v>77</v>
      </c>
      <c r="G278" s="13">
        <v>14</v>
      </c>
      <c r="H278" s="13">
        <f>IF(F278&gt;68,G278+(F278-68)*0.2,Y487-(68-F278)*0.2)</f>
        <v>15.8</v>
      </c>
      <c r="I278" s="13">
        <v>23</v>
      </c>
      <c r="J278" s="13">
        <f>1.8*I278+32</f>
        <v>73.400000000000006</v>
      </c>
      <c r="K278" s="13">
        <v>8</v>
      </c>
      <c r="L278" s="13">
        <f>IF(J278&gt;68,K278+(J278-68)*0.2,K278-(68-J278)*0.2)</f>
        <v>9.0800000000000018</v>
      </c>
      <c r="M278" s="13">
        <f>(C278-H278)/C278*100</f>
        <v>68.400000000000006</v>
      </c>
      <c r="N278" s="13">
        <f>100-(M278+O278)</f>
        <v>13.439999999999998</v>
      </c>
      <c r="O278" s="13">
        <f>L278/C278*100</f>
        <v>18.160000000000004</v>
      </c>
      <c r="P278" s="12" t="s">
        <v>0</v>
      </c>
      <c r="Q278" s="11">
        <v>409327.01780099998</v>
      </c>
      <c r="R278" s="11">
        <v>3659130.146561</v>
      </c>
    </row>
    <row r="279" spans="1:28" x14ac:dyDescent="0.25">
      <c r="A279" s="17"/>
      <c r="B279" s="14" t="s">
        <v>4</v>
      </c>
      <c r="C279" s="15">
        <v>50</v>
      </c>
      <c r="D279" s="14">
        <v>20</v>
      </c>
      <c r="E279" s="13">
        <v>25</v>
      </c>
      <c r="F279" s="13">
        <f>1.8*E279+32</f>
        <v>77</v>
      </c>
      <c r="G279" s="13">
        <v>17</v>
      </c>
      <c r="H279" s="13">
        <f>IF(F279&gt;68,G279+(F279-68)*0.2,Y488-(68-F279)*0.2)</f>
        <v>18.8</v>
      </c>
      <c r="I279" s="13">
        <v>23</v>
      </c>
      <c r="J279" s="13">
        <f>1.8*I279+32</f>
        <v>73.400000000000006</v>
      </c>
      <c r="K279" s="13">
        <v>11</v>
      </c>
      <c r="L279" s="13">
        <f>IF(J279&gt;68,K279+(J279-68)*0.2,K279-(68-J279)*0.2)</f>
        <v>12.080000000000002</v>
      </c>
      <c r="M279" s="13">
        <f>(C279-H279)/C279*100</f>
        <v>62.4</v>
      </c>
      <c r="N279" s="13">
        <f>100-(M279+O279)</f>
        <v>13.439999999999998</v>
      </c>
      <c r="O279" s="13">
        <f>L279/C279*100</f>
        <v>24.160000000000004</v>
      </c>
      <c r="P279" s="12" t="s">
        <v>3</v>
      </c>
      <c r="Q279" s="11">
        <v>409327.01780099998</v>
      </c>
      <c r="R279" s="11">
        <v>3659130.146561</v>
      </c>
    </row>
    <row r="280" spans="1:28" x14ac:dyDescent="0.25">
      <c r="A280" s="16"/>
      <c r="B280" s="14" t="s">
        <v>2</v>
      </c>
      <c r="C280" s="15">
        <v>50</v>
      </c>
      <c r="D280" s="14">
        <v>20</v>
      </c>
      <c r="E280" s="13">
        <v>25</v>
      </c>
      <c r="F280" s="13">
        <f>1.8*E280+32</f>
        <v>77</v>
      </c>
      <c r="G280" s="13">
        <v>10</v>
      </c>
      <c r="H280" s="13">
        <f>IF(F280&gt;68,G280+(F280-68)*0.2,Y489-(68-F280)*0.2)</f>
        <v>11.8</v>
      </c>
      <c r="I280" s="13">
        <v>23</v>
      </c>
      <c r="J280" s="13">
        <f>1.8*I280+32</f>
        <v>73.400000000000006</v>
      </c>
      <c r="K280" s="13">
        <v>5</v>
      </c>
      <c r="L280" s="13">
        <f>IF(J280&gt;68,K280+(J280-68)*0.2,K280-(68-J280)*0.2)</f>
        <v>6.080000000000001</v>
      </c>
      <c r="M280" s="13">
        <f>(C280-H280)/C280*100</f>
        <v>76.400000000000006</v>
      </c>
      <c r="N280" s="13">
        <f>100-(M280+O280)</f>
        <v>11.439999999999998</v>
      </c>
      <c r="O280" s="13">
        <f>L280/C280*100</f>
        <v>12.160000000000002</v>
      </c>
      <c r="P280" s="12" t="s">
        <v>0</v>
      </c>
      <c r="Q280" s="11">
        <v>409327.01780099998</v>
      </c>
      <c r="R280" s="11">
        <v>3659130.146561</v>
      </c>
    </row>
    <row r="281" spans="1:28" x14ac:dyDescent="0.25">
      <c r="A281" s="16"/>
      <c r="B281" s="14" t="s">
        <v>1</v>
      </c>
      <c r="C281" s="15">
        <v>50</v>
      </c>
      <c r="D281" s="14">
        <v>20</v>
      </c>
      <c r="E281" s="13">
        <v>25</v>
      </c>
      <c r="F281" s="13">
        <f>1.8*E281+32</f>
        <v>77</v>
      </c>
      <c r="G281" s="13">
        <v>18</v>
      </c>
      <c r="H281" s="13">
        <f>IF(F281&gt;68,G281+(F281-68)*0.2,Y490-(68-F281)*0.2)</f>
        <v>19.8</v>
      </c>
      <c r="I281" s="13">
        <v>23</v>
      </c>
      <c r="J281" s="13">
        <f>1.8*I281+32</f>
        <v>73.400000000000006</v>
      </c>
      <c r="K281" s="13">
        <v>9</v>
      </c>
      <c r="L281" s="13">
        <f>IF(J281&gt;68,K281+(J281-68)*0.2,K281-(68-J281)*0.2)</f>
        <v>10.080000000000002</v>
      </c>
      <c r="M281" s="13">
        <f>(C281-H281)/C281*100</f>
        <v>60.4</v>
      </c>
      <c r="N281" s="13">
        <f>100-(M281+O281)</f>
        <v>19.439999999999998</v>
      </c>
      <c r="O281" s="13">
        <f>L281/C281*100</f>
        <v>20.160000000000004</v>
      </c>
      <c r="P281" s="12" t="s">
        <v>3</v>
      </c>
      <c r="Q281" s="11">
        <v>409327.01780099998</v>
      </c>
      <c r="R281" s="11">
        <v>3659130.146561</v>
      </c>
    </row>
    <row r="282" spans="1:28" x14ac:dyDescent="0.25">
      <c r="A282" s="1"/>
    </row>
    <row r="283" spans="1:28" ht="51.75" x14ac:dyDescent="0.25">
      <c r="A283" s="19" t="s">
        <v>45</v>
      </c>
      <c r="B283" s="22" t="s">
        <v>26</v>
      </c>
      <c r="C283" s="26" t="s">
        <v>25</v>
      </c>
      <c r="D283" s="25" t="s">
        <v>24</v>
      </c>
      <c r="E283" s="24" t="s">
        <v>23</v>
      </c>
      <c r="F283" s="24" t="s">
        <v>22</v>
      </c>
      <c r="G283" s="24" t="s">
        <v>21</v>
      </c>
      <c r="H283" s="24" t="s">
        <v>20</v>
      </c>
      <c r="I283" s="24" t="s">
        <v>19</v>
      </c>
      <c r="J283" s="24" t="s">
        <v>18</v>
      </c>
      <c r="K283" s="24" t="s">
        <v>17</v>
      </c>
      <c r="L283" s="24" t="s">
        <v>16</v>
      </c>
      <c r="M283" s="23" t="s">
        <v>15</v>
      </c>
      <c r="N283" s="23" t="s">
        <v>14</v>
      </c>
      <c r="O283" s="23" t="s">
        <v>13</v>
      </c>
      <c r="P283" s="22" t="s">
        <v>12</v>
      </c>
      <c r="Q283" s="27" t="s">
        <v>11</v>
      </c>
      <c r="R283" s="27"/>
    </row>
    <row r="284" spans="1:28" x14ac:dyDescent="0.25">
      <c r="A284" s="20"/>
      <c r="B284" s="22"/>
      <c r="C284" s="26"/>
      <c r="D284" s="25"/>
      <c r="E284" s="24"/>
      <c r="F284" s="24"/>
      <c r="G284" s="24"/>
      <c r="H284" s="24"/>
      <c r="I284" s="24"/>
      <c r="J284" s="24"/>
      <c r="K284" s="24"/>
      <c r="L284" s="24"/>
      <c r="M284" s="23"/>
      <c r="N284" s="23"/>
      <c r="O284" s="23"/>
      <c r="P284" s="22"/>
      <c r="Q284" s="21" t="s">
        <v>10</v>
      </c>
      <c r="R284" s="21" t="s">
        <v>9</v>
      </c>
    </row>
    <row r="285" spans="1:28" x14ac:dyDescent="0.25">
      <c r="A285" s="20"/>
      <c r="B285" s="14" t="s">
        <v>8</v>
      </c>
      <c r="C285" s="15">
        <v>50</v>
      </c>
      <c r="D285" s="14">
        <v>20</v>
      </c>
      <c r="E285" s="13">
        <v>25</v>
      </c>
      <c r="F285" s="13">
        <f>1.8*E285+32</f>
        <v>77</v>
      </c>
      <c r="G285" s="13">
        <v>17</v>
      </c>
      <c r="H285" s="13">
        <f>IF(F285&gt;68,G285+(F285-68)*0.2,Y496-(68-F285)*0.2)</f>
        <v>18.8</v>
      </c>
      <c r="I285" s="13">
        <v>23</v>
      </c>
      <c r="J285" s="13">
        <f>1.8*I285+32</f>
        <v>73.400000000000006</v>
      </c>
      <c r="K285" s="13">
        <v>11</v>
      </c>
      <c r="L285" s="13">
        <f>IF(J285&gt;68,K285+(J285-68)*0.2,K285-(68-J285)*0.2)</f>
        <v>12.080000000000002</v>
      </c>
      <c r="M285" s="13">
        <f>(C285-H285)/C285*100</f>
        <v>62.4</v>
      </c>
      <c r="N285" s="13">
        <f>100-(M285+O285)</f>
        <v>13.439999999999998</v>
      </c>
      <c r="O285" s="13">
        <f>L285/C285*100</f>
        <v>24.160000000000004</v>
      </c>
      <c r="P285" s="12" t="s">
        <v>3</v>
      </c>
      <c r="Q285" s="11">
        <v>409327.09401100001</v>
      </c>
      <c r="R285" s="11">
        <v>3659139.2442089999</v>
      </c>
    </row>
    <row r="286" spans="1:28" x14ac:dyDescent="0.25">
      <c r="A286" s="19" t="s">
        <v>7</v>
      </c>
      <c r="B286" s="14" t="s">
        <v>6</v>
      </c>
      <c r="C286" s="15">
        <v>50</v>
      </c>
      <c r="D286" s="14">
        <v>20</v>
      </c>
      <c r="E286" s="13">
        <v>25</v>
      </c>
      <c r="F286" s="13">
        <f>1.8*E286+32</f>
        <v>77</v>
      </c>
      <c r="G286" s="13">
        <v>22</v>
      </c>
      <c r="H286" s="13">
        <f>IF(F286&gt;68,G286+(F286-68)*0.2,Y497-(68-F286)*0.2)</f>
        <v>23.8</v>
      </c>
      <c r="I286" s="13">
        <v>23</v>
      </c>
      <c r="J286" s="13">
        <f>1.8*I286+32</f>
        <v>73.400000000000006</v>
      </c>
      <c r="K286" s="13">
        <v>13</v>
      </c>
      <c r="L286" s="13">
        <f>IF(J286&gt;68,K286+(J286-68)*0.2,K286-(68-J286)*0.2)</f>
        <v>14.080000000000002</v>
      </c>
      <c r="M286" s="13">
        <f>(C286-H286)/C286*100</f>
        <v>52.400000000000006</v>
      </c>
      <c r="N286" s="13">
        <f>100-(M286+O286)</f>
        <v>19.439999999999998</v>
      </c>
      <c r="O286" s="13">
        <f>L286/C286*100</f>
        <v>28.16</v>
      </c>
      <c r="P286" s="12" t="s">
        <v>3</v>
      </c>
      <c r="Q286" s="11">
        <v>409327.09401100001</v>
      </c>
      <c r="R286" s="11">
        <v>3659139.2442089999</v>
      </c>
    </row>
    <row r="287" spans="1:28" x14ac:dyDescent="0.25">
      <c r="A287" s="18">
        <v>41491</v>
      </c>
      <c r="B287" s="14" t="s">
        <v>5</v>
      </c>
      <c r="C287" s="15">
        <v>50</v>
      </c>
      <c r="D287" s="14">
        <v>20</v>
      </c>
      <c r="E287" s="13">
        <v>25</v>
      </c>
      <c r="F287" s="13">
        <f>1.8*E287+32</f>
        <v>77</v>
      </c>
      <c r="G287" s="13">
        <v>26</v>
      </c>
      <c r="H287" s="13">
        <f>IF(F287&gt;68,G287+(F287-68)*0.2,Y498-(68-F287)*0.2)</f>
        <v>27.8</v>
      </c>
      <c r="I287" s="13">
        <v>23</v>
      </c>
      <c r="J287" s="13">
        <f>1.8*I287+32</f>
        <v>73.400000000000006</v>
      </c>
      <c r="K287" s="13">
        <v>12</v>
      </c>
      <c r="L287" s="13">
        <f>IF(J287&gt;68,K287+(J287-68)*0.2,K287-(68-J287)*0.2)</f>
        <v>13.080000000000002</v>
      </c>
      <c r="M287" s="13">
        <f>(C287-H287)/C287*100</f>
        <v>44.4</v>
      </c>
      <c r="N287" s="13">
        <f>100-(M287+O287)</f>
        <v>29.439999999999998</v>
      </c>
      <c r="O287" s="13">
        <f>L287/C287*100</f>
        <v>26.160000000000004</v>
      </c>
      <c r="P287" s="12" t="s">
        <v>307</v>
      </c>
      <c r="Q287" s="11">
        <v>409327.09401100001</v>
      </c>
      <c r="R287" s="11">
        <v>3659139.2442089999</v>
      </c>
    </row>
    <row r="288" spans="1:28" x14ac:dyDescent="0.25">
      <c r="A288" s="17"/>
      <c r="B288" s="14" t="s">
        <v>4</v>
      </c>
      <c r="C288" s="15">
        <v>50</v>
      </c>
      <c r="D288" s="14">
        <v>20</v>
      </c>
      <c r="E288" s="13">
        <v>25</v>
      </c>
      <c r="F288" s="13">
        <f>1.8*E288+32</f>
        <v>77</v>
      </c>
      <c r="G288" s="13">
        <v>23</v>
      </c>
      <c r="H288" s="13">
        <f>IF(F288&gt;68,G288+(F288-68)*0.2,Y499-(68-F288)*0.2)</f>
        <v>24.8</v>
      </c>
      <c r="I288" s="13">
        <v>23</v>
      </c>
      <c r="J288" s="13">
        <f>1.8*I288+32</f>
        <v>73.400000000000006</v>
      </c>
      <c r="K288" s="13">
        <v>14</v>
      </c>
      <c r="L288" s="13">
        <f>IF(J288&gt;68,K288+(J288-68)*0.2,K288-(68-J288)*0.2)</f>
        <v>15.080000000000002</v>
      </c>
      <c r="M288" s="13">
        <f>(C288-H288)/C288*100</f>
        <v>50.4</v>
      </c>
      <c r="N288" s="13">
        <f>100-(M288+O288)</f>
        <v>19.439999999999998</v>
      </c>
      <c r="O288" s="13">
        <f>L288/C288*100</f>
        <v>30.160000000000004</v>
      </c>
      <c r="P288" s="12" t="s">
        <v>3</v>
      </c>
      <c r="Q288" s="11">
        <v>409327.09401100001</v>
      </c>
      <c r="R288" s="11">
        <v>3659139.2442089999</v>
      </c>
    </row>
    <row r="289" spans="1:18" x14ac:dyDescent="0.25">
      <c r="A289" s="16"/>
      <c r="B289" s="14" t="s">
        <v>2</v>
      </c>
      <c r="C289" s="15">
        <v>50</v>
      </c>
      <c r="D289" s="14">
        <v>20</v>
      </c>
      <c r="E289" s="13">
        <v>25</v>
      </c>
      <c r="F289" s="13">
        <f>1.8*E289+32</f>
        <v>77</v>
      </c>
      <c r="G289" s="13">
        <v>16</v>
      </c>
      <c r="H289" s="13">
        <f>IF(F289&gt;68,G289+(F289-68)*0.2,Y500-(68-F289)*0.2)</f>
        <v>17.8</v>
      </c>
      <c r="I289" s="13">
        <v>23</v>
      </c>
      <c r="J289" s="13">
        <f>1.8*I289+32</f>
        <v>73.400000000000006</v>
      </c>
      <c r="K289" s="13">
        <v>10</v>
      </c>
      <c r="L289" s="13">
        <f>IF(J289&gt;68,K289+(J289-68)*0.2,K289-(68-J289)*0.2)</f>
        <v>11.080000000000002</v>
      </c>
      <c r="M289" s="13">
        <f>(C289-H289)/C289*100</f>
        <v>64.400000000000006</v>
      </c>
      <c r="N289" s="13">
        <f>100-(M289+O289)</f>
        <v>13.439999999999998</v>
      </c>
      <c r="O289" s="13">
        <f>L289/C289*100</f>
        <v>22.160000000000004</v>
      </c>
      <c r="P289" s="12" t="s">
        <v>3</v>
      </c>
      <c r="Q289" s="11">
        <v>409327.09401100001</v>
      </c>
      <c r="R289" s="11">
        <v>3659139.2442089999</v>
      </c>
    </row>
    <row r="290" spans="1:18" x14ac:dyDescent="0.25">
      <c r="A290" s="16"/>
      <c r="B290" s="14" t="s">
        <v>1</v>
      </c>
      <c r="C290" s="15">
        <v>50</v>
      </c>
      <c r="D290" s="14">
        <v>20</v>
      </c>
      <c r="E290" s="13">
        <v>24</v>
      </c>
      <c r="F290" s="13">
        <f>1.8*E290+32</f>
        <v>75.2</v>
      </c>
      <c r="G290" s="13">
        <v>12</v>
      </c>
      <c r="H290" s="13">
        <f>IF(F290&gt;68,G290+(F290-68)*0.2,Y501-(68-F290)*0.2)</f>
        <v>13.440000000000001</v>
      </c>
      <c r="I290" s="13">
        <v>23</v>
      </c>
      <c r="J290" s="13">
        <f>1.8*I290+32</f>
        <v>73.400000000000006</v>
      </c>
      <c r="K290" s="13">
        <v>7</v>
      </c>
      <c r="L290" s="13">
        <f>IF(J290&gt;68,K290+(J290-68)*0.2,K290-(68-J290)*0.2)</f>
        <v>8.0800000000000018</v>
      </c>
      <c r="M290" s="13">
        <f>(C290-H290)/C290*100</f>
        <v>73.12</v>
      </c>
      <c r="N290" s="13">
        <f>100-(M290+O290)</f>
        <v>10.719999999999999</v>
      </c>
      <c r="O290" s="13">
        <f>L290/C290*100</f>
        <v>16.160000000000004</v>
      </c>
      <c r="P290" s="12" t="s">
        <v>0</v>
      </c>
      <c r="Q290" s="11">
        <v>409327.09401100001</v>
      </c>
      <c r="R290" s="11">
        <v>3659139.2442089999</v>
      </c>
    </row>
    <row r="291" spans="1:18" x14ac:dyDescent="0.25">
      <c r="A291" s="1"/>
    </row>
    <row r="292" spans="1:18" ht="51.75" x14ac:dyDescent="0.25">
      <c r="A292" s="19" t="s">
        <v>44</v>
      </c>
      <c r="B292" s="22" t="s">
        <v>26</v>
      </c>
      <c r="C292" s="26" t="s">
        <v>25</v>
      </c>
      <c r="D292" s="25" t="s">
        <v>24</v>
      </c>
      <c r="E292" s="24" t="s">
        <v>23</v>
      </c>
      <c r="F292" s="24" t="s">
        <v>22</v>
      </c>
      <c r="G292" s="24" t="s">
        <v>21</v>
      </c>
      <c r="H292" s="24" t="s">
        <v>20</v>
      </c>
      <c r="I292" s="24" t="s">
        <v>19</v>
      </c>
      <c r="J292" s="24" t="s">
        <v>18</v>
      </c>
      <c r="K292" s="24" t="s">
        <v>17</v>
      </c>
      <c r="L292" s="24" t="s">
        <v>16</v>
      </c>
      <c r="M292" s="23" t="s">
        <v>15</v>
      </c>
      <c r="N292" s="23" t="s">
        <v>14</v>
      </c>
      <c r="O292" s="23" t="s">
        <v>13</v>
      </c>
      <c r="P292" s="22" t="s">
        <v>12</v>
      </c>
      <c r="Q292" s="36" t="s">
        <v>11</v>
      </c>
      <c r="R292" s="35"/>
    </row>
    <row r="293" spans="1:18" x14ac:dyDescent="0.25">
      <c r="A293" s="20"/>
      <c r="B293" s="22"/>
      <c r="C293" s="26"/>
      <c r="D293" s="25"/>
      <c r="E293" s="24"/>
      <c r="F293" s="24"/>
      <c r="G293" s="24"/>
      <c r="H293" s="24"/>
      <c r="I293" s="24"/>
      <c r="J293" s="24"/>
      <c r="K293" s="24"/>
      <c r="L293" s="24"/>
      <c r="M293" s="23"/>
      <c r="N293" s="23"/>
      <c r="O293" s="23"/>
      <c r="P293" s="22"/>
      <c r="Q293" s="21" t="s">
        <v>10</v>
      </c>
      <c r="R293" s="21" t="s">
        <v>9</v>
      </c>
    </row>
    <row r="294" spans="1:18" x14ac:dyDescent="0.25">
      <c r="A294" s="20"/>
      <c r="B294" s="14" t="s">
        <v>8</v>
      </c>
      <c r="C294" s="15">
        <v>50</v>
      </c>
      <c r="D294" s="14">
        <v>20</v>
      </c>
      <c r="E294" s="13">
        <v>24</v>
      </c>
      <c r="F294" s="13">
        <f>1.8*E294+32</f>
        <v>75.2</v>
      </c>
      <c r="G294" s="13">
        <v>17</v>
      </c>
      <c r="H294" s="13">
        <f>IF(F294&gt;68,G294+(F294-68)*0.2,Y507-(68-F294)*0.2)</f>
        <v>18.440000000000001</v>
      </c>
      <c r="I294" s="13">
        <v>23</v>
      </c>
      <c r="J294" s="13">
        <f>1.8*I294+32</f>
        <v>73.400000000000006</v>
      </c>
      <c r="K294" s="13">
        <v>10</v>
      </c>
      <c r="L294" s="13">
        <f>IF(J294&gt;68,K294+(J294-68)*0.2,K294-(68-J294)*0.2)</f>
        <v>11.080000000000002</v>
      </c>
      <c r="M294" s="13">
        <f>(C294-H294)/C294*100</f>
        <v>63.12</v>
      </c>
      <c r="N294" s="13">
        <f>100-(M294+O294)</f>
        <v>14.719999999999999</v>
      </c>
      <c r="O294" s="13">
        <f>L294/C294*100</f>
        <v>22.160000000000004</v>
      </c>
      <c r="P294" s="12" t="s">
        <v>3</v>
      </c>
      <c r="Q294" s="11">
        <v>409326.93173900002</v>
      </c>
      <c r="R294" s="11">
        <v>3659152.6328090001</v>
      </c>
    </row>
    <row r="295" spans="1:18" x14ac:dyDescent="0.25">
      <c r="A295" s="19" t="s">
        <v>7</v>
      </c>
      <c r="B295" s="14" t="s">
        <v>6</v>
      </c>
      <c r="C295" s="15">
        <v>50</v>
      </c>
      <c r="D295" s="14">
        <v>20</v>
      </c>
      <c r="E295" s="13">
        <v>24</v>
      </c>
      <c r="F295" s="13">
        <f>1.8*E295+32</f>
        <v>75.2</v>
      </c>
      <c r="G295" s="13">
        <v>19</v>
      </c>
      <c r="H295" s="13">
        <f>IF(F295&gt;68,G295+(F295-68)*0.2,Y508-(68-F295)*0.2)</f>
        <v>20.440000000000001</v>
      </c>
      <c r="I295" s="13">
        <v>23</v>
      </c>
      <c r="J295" s="13">
        <f>1.8*I295+32</f>
        <v>73.400000000000006</v>
      </c>
      <c r="K295" s="13">
        <v>10</v>
      </c>
      <c r="L295" s="13">
        <f>IF(J295&gt;68,K295+(J295-68)*0.2,K295-(68-J295)*0.2)</f>
        <v>11.080000000000002</v>
      </c>
      <c r="M295" s="13">
        <f>(C295-H295)/C295*100</f>
        <v>59.12</v>
      </c>
      <c r="N295" s="13">
        <f>100-(M295+O295)</f>
        <v>18.72</v>
      </c>
      <c r="O295" s="13">
        <f>L295/C295*100</f>
        <v>22.160000000000004</v>
      </c>
      <c r="P295" s="12" t="s">
        <v>3</v>
      </c>
      <c r="Q295" s="11">
        <v>409326.93173900002</v>
      </c>
      <c r="R295" s="11">
        <v>3659152.6328090001</v>
      </c>
    </row>
    <row r="296" spans="1:18" x14ac:dyDescent="0.25">
      <c r="A296" s="18">
        <v>41492</v>
      </c>
      <c r="B296" s="14" t="s">
        <v>5</v>
      </c>
      <c r="C296" s="15">
        <v>50</v>
      </c>
      <c r="D296" s="14">
        <v>20</v>
      </c>
      <c r="E296" s="13">
        <v>24</v>
      </c>
      <c r="F296" s="13">
        <f>1.8*E296+32</f>
        <v>75.2</v>
      </c>
      <c r="G296" s="13">
        <v>26</v>
      </c>
      <c r="H296" s="13">
        <f>IF(F296&gt;68,G296+(F296-68)*0.2,Y509-(68-F296)*0.2)</f>
        <v>27.44</v>
      </c>
      <c r="I296" s="13">
        <v>23</v>
      </c>
      <c r="J296" s="13">
        <f>1.8*I296+32</f>
        <v>73.400000000000006</v>
      </c>
      <c r="K296" s="13">
        <v>17</v>
      </c>
      <c r="L296" s="13">
        <f>IF(J296&gt;68,K296+(J296-68)*0.2,K296-(68-J296)*0.2)</f>
        <v>18.080000000000002</v>
      </c>
      <c r="M296" s="13">
        <f>(C296-H296)/C296*100</f>
        <v>45.12</v>
      </c>
      <c r="N296" s="13">
        <f>100-(M296+O296)</f>
        <v>18.72</v>
      </c>
      <c r="O296" s="13">
        <f>L296/C296*100</f>
        <v>36.160000000000004</v>
      </c>
      <c r="P296" s="12" t="s">
        <v>28</v>
      </c>
      <c r="Q296" s="11">
        <v>409326.93173900002</v>
      </c>
      <c r="R296" s="11">
        <v>3659152.6328090001</v>
      </c>
    </row>
    <row r="297" spans="1:18" x14ac:dyDescent="0.25">
      <c r="A297" s="17"/>
      <c r="B297" s="14" t="s">
        <v>4</v>
      </c>
      <c r="C297" s="15">
        <v>50</v>
      </c>
      <c r="D297" s="14">
        <v>20</v>
      </c>
      <c r="E297" s="13">
        <v>25</v>
      </c>
      <c r="F297" s="13">
        <f>1.8*E297+32</f>
        <v>77</v>
      </c>
      <c r="G297" s="13">
        <v>22</v>
      </c>
      <c r="H297" s="13">
        <f>IF(F297&gt;68,G297+(F297-68)*0.2,Y510-(68-F297)*0.2)</f>
        <v>23.8</v>
      </c>
      <c r="I297" s="13">
        <v>23</v>
      </c>
      <c r="J297" s="13">
        <f>1.8*I297+32</f>
        <v>73.400000000000006</v>
      </c>
      <c r="K297" s="13">
        <v>11</v>
      </c>
      <c r="L297" s="13">
        <f>IF(J297&gt;68,K297+(J297-68)*0.2,K297-(68-J297)*0.2)</f>
        <v>12.080000000000002</v>
      </c>
      <c r="M297" s="13">
        <f>(C297-H297)/C297*100</f>
        <v>52.400000000000006</v>
      </c>
      <c r="N297" s="13">
        <f>100-(M297+O297)</f>
        <v>23.439999999999998</v>
      </c>
      <c r="O297" s="13">
        <f>L297/C297*100</f>
        <v>24.160000000000004</v>
      </c>
      <c r="P297" s="12" t="s">
        <v>3</v>
      </c>
      <c r="Q297" s="11">
        <v>409326.93173900002</v>
      </c>
      <c r="R297" s="11">
        <v>3659152.6328090001</v>
      </c>
    </row>
    <row r="298" spans="1:18" x14ac:dyDescent="0.25">
      <c r="A298" s="16"/>
      <c r="B298" s="14" t="s">
        <v>2</v>
      </c>
      <c r="C298" s="15">
        <v>50</v>
      </c>
      <c r="D298" s="14">
        <v>20</v>
      </c>
      <c r="E298" s="13">
        <v>25</v>
      </c>
      <c r="F298" s="13">
        <f>1.8*E298+32</f>
        <v>77</v>
      </c>
      <c r="G298" s="13">
        <v>21</v>
      </c>
      <c r="H298" s="13">
        <f>IF(F298&gt;68,G298+(F298-68)*0.2,Y511-(68-F298)*0.2)</f>
        <v>22.8</v>
      </c>
      <c r="I298" s="13">
        <v>23</v>
      </c>
      <c r="J298" s="13">
        <f>1.8*I298+32</f>
        <v>73.400000000000006</v>
      </c>
      <c r="K298" s="13">
        <v>13</v>
      </c>
      <c r="L298" s="13">
        <f>IF(J298&gt;68,K298+(J298-68)*0.2,K298-(68-J298)*0.2)</f>
        <v>14.080000000000002</v>
      </c>
      <c r="M298" s="13">
        <f>(C298-H298)/C298*100</f>
        <v>54.400000000000006</v>
      </c>
      <c r="N298" s="13">
        <f>100-(M298+O298)</f>
        <v>17.439999999999998</v>
      </c>
      <c r="O298" s="13">
        <f>L298/C298*100</f>
        <v>28.16</v>
      </c>
      <c r="P298" s="12" t="s">
        <v>3</v>
      </c>
      <c r="Q298" s="11">
        <v>409326.93173900002</v>
      </c>
      <c r="R298" s="11">
        <v>3659152.6328090001</v>
      </c>
    </row>
    <row r="299" spans="1:18" x14ac:dyDescent="0.25">
      <c r="A299" s="16"/>
      <c r="B299" s="14" t="s">
        <v>1</v>
      </c>
      <c r="C299" s="15">
        <v>50</v>
      </c>
      <c r="D299" s="14">
        <v>20</v>
      </c>
      <c r="E299" s="13">
        <v>25</v>
      </c>
      <c r="F299" s="13">
        <f>1.8*E299+32</f>
        <v>77</v>
      </c>
      <c r="G299" s="13">
        <v>16</v>
      </c>
      <c r="H299" s="13">
        <f>IF(F299&gt;68,G299+(F299-68)*0.2,Y512-(68-F299)*0.2)</f>
        <v>17.8</v>
      </c>
      <c r="I299" s="13">
        <v>23</v>
      </c>
      <c r="J299" s="13">
        <f>1.8*I299+32</f>
        <v>73.400000000000006</v>
      </c>
      <c r="K299" s="13">
        <v>9</v>
      </c>
      <c r="L299" s="13">
        <f>IF(J299&gt;68,K299+(J299-68)*0.2,K299-(68-J299)*0.2)</f>
        <v>10.080000000000002</v>
      </c>
      <c r="M299" s="13">
        <f>(C299-H299)/C299*100</f>
        <v>64.400000000000006</v>
      </c>
      <c r="N299" s="13">
        <f>100-(M299+O299)</f>
        <v>15.439999999999998</v>
      </c>
      <c r="O299" s="13">
        <f>L299/C299*100</f>
        <v>20.160000000000004</v>
      </c>
      <c r="P299" s="12" t="s">
        <v>3</v>
      </c>
      <c r="Q299" s="11">
        <v>409326.93173900002</v>
      </c>
      <c r="R299" s="11">
        <v>3659152.6328090001</v>
      </c>
    </row>
    <row r="300" spans="1:18" x14ac:dyDescent="0.25">
      <c r="A300" s="1"/>
    </row>
    <row r="301" spans="1:18" ht="51.75" x14ac:dyDescent="0.25">
      <c r="A301" s="19" t="s">
        <v>43</v>
      </c>
      <c r="B301" s="22" t="s">
        <v>26</v>
      </c>
      <c r="C301" s="26" t="s">
        <v>25</v>
      </c>
      <c r="D301" s="25" t="s">
        <v>24</v>
      </c>
      <c r="E301" s="24" t="s">
        <v>23</v>
      </c>
      <c r="F301" s="24" t="s">
        <v>22</v>
      </c>
      <c r="G301" s="24" t="s">
        <v>21</v>
      </c>
      <c r="H301" s="24" t="s">
        <v>20</v>
      </c>
      <c r="I301" s="24" t="s">
        <v>19</v>
      </c>
      <c r="J301" s="24" t="s">
        <v>18</v>
      </c>
      <c r="K301" s="24" t="s">
        <v>17</v>
      </c>
      <c r="L301" s="24" t="s">
        <v>16</v>
      </c>
      <c r="M301" s="23" t="s">
        <v>15</v>
      </c>
      <c r="N301" s="23" t="s">
        <v>14</v>
      </c>
      <c r="O301" s="23" t="s">
        <v>13</v>
      </c>
      <c r="P301" s="22" t="s">
        <v>12</v>
      </c>
      <c r="Q301" s="27" t="s">
        <v>11</v>
      </c>
      <c r="R301" s="27"/>
    </row>
    <row r="302" spans="1:18" x14ac:dyDescent="0.25">
      <c r="A302" s="20"/>
      <c r="B302" s="22"/>
      <c r="C302" s="26"/>
      <c r="D302" s="25"/>
      <c r="E302" s="24"/>
      <c r="F302" s="24"/>
      <c r="G302" s="24"/>
      <c r="H302" s="24"/>
      <c r="I302" s="24"/>
      <c r="J302" s="24"/>
      <c r="K302" s="24"/>
      <c r="L302" s="24"/>
      <c r="M302" s="23"/>
      <c r="N302" s="23"/>
      <c r="O302" s="23"/>
      <c r="P302" s="22"/>
      <c r="Q302" s="21" t="s">
        <v>10</v>
      </c>
      <c r="R302" s="21" t="s">
        <v>9</v>
      </c>
    </row>
    <row r="303" spans="1:18" x14ac:dyDescent="0.25">
      <c r="A303" s="20"/>
      <c r="B303" s="14" t="s">
        <v>8</v>
      </c>
      <c r="C303" s="15">
        <v>50</v>
      </c>
      <c r="D303" s="14">
        <v>20</v>
      </c>
      <c r="E303" s="13">
        <v>25</v>
      </c>
      <c r="F303" s="13">
        <f>1.8*E303+32</f>
        <v>77</v>
      </c>
      <c r="G303" s="13">
        <v>19</v>
      </c>
      <c r="H303" s="13">
        <f>IF(F303&gt;68,G303+(F303-68)*0.2,Y518-(68-F303)*0.2)</f>
        <v>20.8</v>
      </c>
      <c r="I303" s="13">
        <v>23</v>
      </c>
      <c r="J303" s="13">
        <f>1.8*I303+32</f>
        <v>73.400000000000006</v>
      </c>
      <c r="K303" s="13">
        <v>11</v>
      </c>
      <c r="L303" s="13">
        <f>IF(J303&gt;68,K303+(J303-68)*0.2,K303-(68-J303)*0.2)</f>
        <v>12.080000000000002</v>
      </c>
      <c r="M303" s="13">
        <f>(C303-H303)/C303*100</f>
        <v>58.4</v>
      </c>
      <c r="N303" s="13">
        <f>100-(M303+O303)</f>
        <v>17.439999999999998</v>
      </c>
      <c r="O303" s="13">
        <f>L303/C303*100</f>
        <v>24.160000000000004</v>
      </c>
      <c r="P303" s="12" t="s">
        <v>3</v>
      </c>
      <c r="Q303" s="11">
        <v>409326.87152699998</v>
      </c>
      <c r="R303" s="11">
        <v>3659161.8944160002</v>
      </c>
    </row>
    <row r="304" spans="1:18" x14ac:dyDescent="0.25">
      <c r="A304" s="19" t="s">
        <v>7</v>
      </c>
      <c r="B304" s="14" t="s">
        <v>6</v>
      </c>
      <c r="C304" s="15">
        <v>50</v>
      </c>
      <c r="D304" s="14">
        <v>20</v>
      </c>
      <c r="E304" s="13">
        <v>24</v>
      </c>
      <c r="F304" s="13">
        <f>1.8*E304+32</f>
        <v>75.2</v>
      </c>
      <c r="G304" s="13">
        <v>20</v>
      </c>
      <c r="H304" s="13">
        <f>IF(F304&gt;68,G304+(F304-68)*0.2,Y519-(68-F304)*0.2)</f>
        <v>21.44</v>
      </c>
      <c r="I304" s="13">
        <v>23</v>
      </c>
      <c r="J304" s="13">
        <f>1.8*I304+32</f>
        <v>73.400000000000006</v>
      </c>
      <c r="K304" s="13">
        <v>9</v>
      </c>
      <c r="L304" s="13">
        <f>IF(J304&gt;68,K304+(J304-68)*0.2,K304-(68-J304)*0.2)</f>
        <v>10.080000000000002</v>
      </c>
      <c r="M304" s="13">
        <f>(C304-H304)/C304*100</f>
        <v>57.11999999999999</v>
      </c>
      <c r="N304" s="13">
        <f>100-(M304+O304)</f>
        <v>22.72</v>
      </c>
      <c r="O304" s="13">
        <f>L304/C304*100</f>
        <v>20.160000000000004</v>
      </c>
      <c r="P304" s="12" t="s">
        <v>3</v>
      </c>
      <c r="Q304" s="11">
        <v>409326.87152699998</v>
      </c>
      <c r="R304" s="11">
        <v>3659161.8944160002</v>
      </c>
    </row>
    <row r="305" spans="1:18" x14ac:dyDescent="0.25">
      <c r="A305" s="18">
        <v>41492</v>
      </c>
      <c r="B305" s="14" t="s">
        <v>5</v>
      </c>
      <c r="C305" s="15">
        <v>50</v>
      </c>
      <c r="D305" s="14">
        <v>20</v>
      </c>
      <c r="E305" s="13">
        <v>24</v>
      </c>
      <c r="F305" s="13">
        <f>1.8*E305+32</f>
        <v>75.2</v>
      </c>
      <c r="G305" s="13">
        <v>25</v>
      </c>
      <c r="H305" s="13">
        <f>IF(F305&gt;68,G305+(F305-68)*0.2,Y520-(68-F305)*0.2)</f>
        <v>26.44</v>
      </c>
      <c r="I305" s="13">
        <v>23</v>
      </c>
      <c r="J305" s="13">
        <f>1.8*I305+32</f>
        <v>73.400000000000006</v>
      </c>
      <c r="K305" s="13">
        <v>14</v>
      </c>
      <c r="L305" s="13">
        <f>IF(J305&gt;68,K305+(J305-68)*0.2,K305-(68-J305)*0.2)</f>
        <v>15.080000000000002</v>
      </c>
      <c r="M305" s="13">
        <f>(C305-H305)/C305*100</f>
        <v>47.12</v>
      </c>
      <c r="N305" s="13">
        <f>100-(M305+O305)</f>
        <v>22.72</v>
      </c>
      <c r="O305" s="13">
        <f>L305/C305*100</f>
        <v>30.160000000000004</v>
      </c>
      <c r="P305" s="12" t="s">
        <v>3</v>
      </c>
      <c r="Q305" s="11">
        <v>409326.87152699998</v>
      </c>
      <c r="R305" s="11">
        <v>3659161.8944160002</v>
      </c>
    </row>
    <row r="306" spans="1:18" x14ac:dyDescent="0.25">
      <c r="A306" s="17"/>
      <c r="B306" s="14" t="s">
        <v>4</v>
      </c>
      <c r="C306" s="15">
        <v>50</v>
      </c>
      <c r="D306" s="14">
        <v>20</v>
      </c>
      <c r="E306" s="13">
        <v>24</v>
      </c>
      <c r="F306" s="13">
        <f>1.8*E306+32</f>
        <v>75.2</v>
      </c>
      <c r="G306" s="13">
        <v>25</v>
      </c>
      <c r="H306" s="13">
        <f>IF(F306&gt;68,G306+(F306-68)*0.2,Y521-(68-F306)*0.2)</f>
        <v>26.44</v>
      </c>
      <c r="I306" s="13">
        <v>23</v>
      </c>
      <c r="J306" s="13">
        <f>1.8*I306+32</f>
        <v>73.400000000000006</v>
      </c>
      <c r="K306" s="13">
        <v>14</v>
      </c>
      <c r="L306" s="13">
        <f>IF(J306&gt;68,K306+(J306-68)*0.2,K306-(68-J306)*0.2)</f>
        <v>15.080000000000002</v>
      </c>
      <c r="M306" s="13">
        <f>(C306-H306)/C306*100</f>
        <v>47.12</v>
      </c>
      <c r="N306" s="13">
        <f>100-(M306+O306)</f>
        <v>22.72</v>
      </c>
      <c r="O306" s="13">
        <f>L306/C306*100</f>
        <v>30.160000000000004</v>
      </c>
      <c r="P306" s="12" t="s">
        <v>3</v>
      </c>
      <c r="Q306" s="11">
        <v>409326.87152699998</v>
      </c>
      <c r="R306" s="11">
        <v>3659161.8944160002</v>
      </c>
    </row>
    <row r="307" spans="1:18" x14ac:dyDescent="0.25">
      <c r="A307" s="16"/>
      <c r="B307" s="14" t="s">
        <v>2</v>
      </c>
      <c r="C307" s="15">
        <v>50</v>
      </c>
      <c r="D307" s="14">
        <v>20</v>
      </c>
      <c r="E307" s="13">
        <v>24</v>
      </c>
      <c r="F307" s="13">
        <f>1.8*E307+32</f>
        <v>75.2</v>
      </c>
      <c r="G307" s="13">
        <v>24</v>
      </c>
      <c r="H307" s="13">
        <f>IF(F307&gt;68,G307+(F307-68)*0.2,Y522-(68-F307)*0.2)</f>
        <v>25.44</v>
      </c>
      <c r="I307" s="13">
        <v>23</v>
      </c>
      <c r="J307" s="13">
        <f>1.8*I307+32</f>
        <v>73.400000000000006</v>
      </c>
      <c r="K307" s="13">
        <v>14</v>
      </c>
      <c r="L307" s="13">
        <f>IF(J307&gt;68,K307+(J307-68)*0.2,K307-(68-J307)*0.2)</f>
        <v>15.080000000000002</v>
      </c>
      <c r="M307" s="13">
        <f>(C307-H307)/C307*100</f>
        <v>49.12</v>
      </c>
      <c r="N307" s="13">
        <f>100-(M307+O307)</f>
        <v>20.72</v>
      </c>
      <c r="O307" s="13">
        <f>L307/C307*100</f>
        <v>30.160000000000004</v>
      </c>
      <c r="P307" s="12" t="s">
        <v>3</v>
      </c>
      <c r="Q307" s="11">
        <v>409326.87152699998</v>
      </c>
      <c r="R307" s="11">
        <v>3659161.8944160002</v>
      </c>
    </row>
    <row r="308" spans="1:18" x14ac:dyDescent="0.25">
      <c r="A308" s="16"/>
      <c r="B308" s="14" t="s">
        <v>1</v>
      </c>
      <c r="C308" s="15">
        <v>50</v>
      </c>
      <c r="D308" s="14">
        <v>20</v>
      </c>
      <c r="E308" s="13">
        <v>24</v>
      </c>
      <c r="F308" s="13">
        <f>1.8*E308+32</f>
        <v>75.2</v>
      </c>
      <c r="G308" s="13">
        <v>18</v>
      </c>
      <c r="H308" s="13">
        <f>IF(F308&gt;68,G308+(F308-68)*0.2,Y523-(68-F308)*0.2)</f>
        <v>19.440000000000001</v>
      </c>
      <c r="I308" s="13">
        <v>23</v>
      </c>
      <c r="J308" s="13">
        <f>1.8*I308+32</f>
        <v>73.400000000000006</v>
      </c>
      <c r="K308" s="13">
        <v>10</v>
      </c>
      <c r="L308" s="13">
        <f>IF(J308&gt;68,K308+(J308-68)*0.2,K308-(68-J308)*0.2)</f>
        <v>11.080000000000002</v>
      </c>
      <c r="M308" s="13">
        <f>(C308-H308)/C308*100</f>
        <v>61.12</v>
      </c>
      <c r="N308" s="13">
        <f>100-(M308+O308)</f>
        <v>16.72</v>
      </c>
      <c r="O308" s="13">
        <f>L308/C308*100</f>
        <v>22.160000000000004</v>
      </c>
      <c r="P308" s="12" t="s">
        <v>3</v>
      </c>
      <c r="Q308" s="11">
        <v>409326.87152699998</v>
      </c>
      <c r="R308" s="11">
        <v>3659161.8944160002</v>
      </c>
    </row>
    <row r="309" spans="1:18" x14ac:dyDescent="0.25">
      <c r="A309" s="1"/>
    </row>
    <row r="310" spans="1:18" ht="51.75" x14ac:dyDescent="0.25">
      <c r="A310" s="19" t="s">
        <v>42</v>
      </c>
      <c r="B310" s="22" t="s">
        <v>26</v>
      </c>
      <c r="C310" s="26" t="s">
        <v>25</v>
      </c>
      <c r="D310" s="25" t="s">
        <v>24</v>
      </c>
      <c r="E310" s="24" t="s">
        <v>23</v>
      </c>
      <c r="F310" s="24" t="s">
        <v>22</v>
      </c>
      <c r="G310" s="24" t="s">
        <v>21</v>
      </c>
      <c r="H310" s="24" t="s">
        <v>20</v>
      </c>
      <c r="I310" s="24" t="s">
        <v>19</v>
      </c>
      <c r="J310" s="24" t="s">
        <v>18</v>
      </c>
      <c r="K310" s="24" t="s">
        <v>17</v>
      </c>
      <c r="L310" s="24" t="s">
        <v>16</v>
      </c>
      <c r="M310" s="23" t="s">
        <v>15</v>
      </c>
      <c r="N310" s="23" t="s">
        <v>14</v>
      </c>
      <c r="O310" s="23" t="s">
        <v>13</v>
      </c>
      <c r="P310" s="22" t="s">
        <v>12</v>
      </c>
      <c r="Q310" s="36" t="s">
        <v>11</v>
      </c>
      <c r="R310" s="35"/>
    </row>
    <row r="311" spans="1:18" x14ac:dyDescent="0.25">
      <c r="A311" s="20"/>
      <c r="B311" s="22"/>
      <c r="C311" s="26"/>
      <c r="D311" s="25"/>
      <c r="E311" s="24"/>
      <c r="F311" s="24"/>
      <c r="G311" s="24"/>
      <c r="H311" s="24"/>
      <c r="I311" s="24"/>
      <c r="J311" s="24"/>
      <c r="K311" s="24"/>
      <c r="L311" s="24"/>
      <c r="M311" s="23"/>
      <c r="N311" s="23"/>
      <c r="O311" s="23"/>
      <c r="P311" s="22"/>
      <c r="Q311" s="21" t="s">
        <v>10</v>
      </c>
      <c r="R311" s="21" t="s">
        <v>9</v>
      </c>
    </row>
    <row r="312" spans="1:18" x14ac:dyDescent="0.25">
      <c r="A312" s="20"/>
      <c r="B312" s="14" t="s">
        <v>8</v>
      </c>
      <c r="C312" s="15">
        <v>50</v>
      </c>
      <c r="D312" s="14">
        <v>20</v>
      </c>
      <c r="E312" s="13">
        <v>24</v>
      </c>
      <c r="F312" s="13">
        <f>1.8*E312+32</f>
        <v>75.2</v>
      </c>
      <c r="G312" s="13">
        <v>19</v>
      </c>
      <c r="H312" s="13">
        <f>IF(F312&gt;68,G312+(F312-68)*0.2,Y529-(68-F312)*0.2)</f>
        <v>20.440000000000001</v>
      </c>
      <c r="I312" s="13">
        <v>23</v>
      </c>
      <c r="J312" s="13">
        <f>1.8*I312+32</f>
        <v>73.400000000000006</v>
      </c>
      <c r="K312" s="13">
        <v>11</v>
      </c>
      <c r="L312" s="13">
        <f>IF(J312&gt;68,K312+(J312-68)*0.2,K312-(68-J312)*0.2)</f>
        <v>12.080000000000002</v>
      </c>
      <c r="M312" s="13">
        <f>(C312-H312)/C312*100</f>
        <v>59.12</v>
      </c>
      <c r="N312" s="13">
        <f>100-(M312+O312)</f>
        <v>16.72</v>
      </c>
      <c r="O312" s="13">
        <f>L312/C312*100</f>
        <v>24.160000000000004</v>
      </c>
      <c r="P312" s="12" t="s">
        <v>3</v>
      </c>
      <c r="Q312" s="11">
        <v>409326.99697600002</v>
      </c>
      <c r="R312" s="11">
        <v>3659171.3241130002</v>
      </c>
    </row>
    <row r="313" spans="1:18" x14ac:dyDescent="0.25">
      <c r="A313" s="19" t="s">
        <v>7</v>
      </c>
      <c r="B313" s="14" t="s">
        <v>6</v>
      </c>
      <c r="C313" s="15">
        <v>50</v>
      </c>
      <c r="D313" s="14">
        <v>20</v>
      </c>
      <c r="E313" s="13">
        <v>24</v>
      </c>
      <c r="F313" s="13">
        <f>1.8*E313+32</f>
        <v>75.2</v>
      </c>
      <c r="G313" s="13">
        <v>18</v>
      </c>
      <c r="H313" s="13">
        <f>IF(F313&gt;68,G313+(F313-68)*0.2,Y530-(68-F313)*0.2)</f>
        <v>19.440000000000001</v>
      </c>
      <c r="I313" s="13">
        <v>23</v>
      </c>
      <c r="J313" s="13">
        <f>1.8*I313+32</f>
        <v>73.400000000000006</v>
      </c>
      <c r="K313" s="13">
        <v>9</v>
      </c>
      <c r="L313" s="13">
        <f>IF(J313&gt;68,K313+(J313-68)*0.2,K313-(68-J313)*0.2)</f>
        <v>10.080000000000002</v>
      </c>
      <c r="M313" s="13">
        <f>(C313-H313)/C313*100</f>
        <v>61.12</v>
      </c>
      <c r="N313" s="13">
        <f>100-(M313+O313)</f>
        <v>18.72</v>
      </c>
      <c r="O313" s="13">
        <f>L313/C313*100</f>
        <v>20.160000000000004</v>
      </c>
      <c r="P313" s="12" t="s">
        <v>3</v>
      </c>
      <c r="Q313" s="11">
        <v>409326.99697600002</v>
      </c>
      <c r="R313" s="11">
        <v>3659171.3241130002</v>
      </c>
    </row>
    <row r="314" spans="1:18" x14ac:dyDescent="0.25">
      <c r="A314" s="18">
        <v>41492</v>
      </c>
      <c r="B314" s="14" t="s">
        <v>5</v>
      </c>
      <c r="C314" s="15">
        <v>50</v>
      </c>
      <c r="D314" s="14">
        <v>20</v>
      </c>
      <c r="E314" s="13">
        <v>24</v>
      </c>
      <c r="F314" s="13">
        <f>1.8*E314+32</f>
        <v>75.2</v>
      </c>
      <c r="G314" s="13">
        <v>15</v>
      </c>
      <c r="H314" s="13">
        <f>IF(F314&gt;68,G314+(F314-68)*0.2,Y531-(68-F314)*0.2)</f>
        <v>16.440000000000001</v>
      </c>
      <c r="I314" s="13">
        <v>23</v>
      </c>
      <c r="J314" s="13">
        <f>1.8*I314+32</f>
        <v>73.400000000000006</v>
      </c>
      <c r="K314" s="13">
        <v>9</v>
      </c>
      <c r="L314" s="13">
        <f>IF(J314&gt;68,K314+(J314-68)*0.2,K314-(68-J314)*0.2)</f>
        <v>10.080000000000002</v>
      </c>
      <c r="M314" s="13">
        <f>(C314-H314)/C314*100</f>
        <v>67.12</v>
      </c>
      <c r="N314" s="13">
        <f>100-(M314+O314)</f>
        <v>12.719999999999999</v>
      </c>
      <c r="O314" s="13">
        <f>L314/C314*100</f>
        <v>20.160000000000004</v>
      </c>
      <c r="P314" s="12" t="s">
        <v>3</v>
      </c>
      <c r="Q314" s="11">
        <v>409326.99697600002</v>
      </c>
      <c r="R314" s="11">
        <v>3659171.3241130002</v>
      </c>
    </row>
    <row r="315" spans="1:18" x14ac:dyDescent="0.25">
      <c r="A315" s="17"/>
      <c r="B315" s="14" t="s">
        <v>4</v>
      </c>
      <c r="C315" s="15">
        <v>50</v>
      </c>
      <c r="D315" s="14">
        <v>20</v>
      </c>
      <c r="E315" s="13">
        <v>24</v>
      </c>
      <c r="F315" s="13">
        <f>1.8*E315+32</f>
        <v>75.2</v>
      </c>
      <c r="G315" s="13">
        <v>18</v>
      </c>
      <c r="H315" s="13">
        <f>IF(F315&gt;68,G315+(F315-68)*0.2,Y532-(68-F315)*0.2)</f>
        <v>19.440000000000001</v>
      </c>
      <c r="I315" s="13">
        <v>23</v>
      </c>
      <c r="J315" s="13">
        <f>1.8*I315+32</f>
        <v>73.400000000000006</v>
      </c>
      <c r="K315" s="13">
        <v>9</v>
      </c>
      <c r="L315" s="13">
        <f>IF(J315&gt;68,K315+(J315-68)*0.2,K315-(68-J315)*0.2)</f>
        <v>10.080000000000002</v>
      </c>
      <c r="M315" s="13">
        <f>(C315-H315)/C315*100</f>
        <v>61.12</v>
      </c>
      <c r="N315" s="13">
        <f>100-(M315+O315)</f>
        <v>18.72</v>
      </c>
      <c r="O315" s="13">
        <f>L315/C315*100</f>
        <v>20.160000000000004</v>
      </c>
      <c r="P315" s="12" t="s">
        <v>3</v>
      </c>
      <c r="Q315" s="11">
        <v>409326.99697600002</v>
      </c>
      <c r="R315" s="11">
        <v>3659171.3241130002</v>
      </c>
    </row>
    <row r="316" spans="1:18" x14ac:dyDescent="0.25">
      <c r="A316" s="16"/>
      <c r="B316" s="14" t="s">
        <v>2</v>
      </c>
      <c r="C316" s="15">
        <v>50</v>
      </c>
      <c r="D316" s="14">
        <v>20</v>
      </c>
      <c r="E316" s="13">
        <v>24</v>
      </c>
      <c r="F316" s="13">
        <f>1.8*E316+32</f>
        <v>75.2</v>
      </c>
      <c r="G316" s="13">
        <v>19</v>
      </c>
      <c r="H316" s="13">
        <f>IF(F316&gt;68,G316+(F316-68)*0.2,Y533-(68-F316)*0.2)</f>
        <v>20.440000000000001</v>
      </c>
      <c r="I316" s="13">
        <v>23</v>
      </c>
      <c r="J316" s="13">
        <f>1.8*I316+32</f>
        <v>73.400000000000006</v>
      </c>
      <c r="K316" s="13">
        <v>10</v>
      </c>
      <c r="L316" s="13">
        <f>IF(J316&gt;68,K316+(J316-68)*0.2,K316-(68-J316)*0.2)</f>
        <v>11.080000000000002</v>
      </c>
      <c r="M316" s="13">
        <f>(C316-H316)/C316*100</f>
        <v>59.12</v>
      </c>
      <c r="N316" s="13">
        <f>100-(M316+O316)</f>
        <v>18.72</v>
      </c>
      <c r="O316" s="13">
        <f>L316/C316*100</f>
        <v>22.160000000000004</v>
      </c>
      <c r="P316" s="12" t="s">
        <v>3</v>
      </c>
      <c r="Q316" s="11">
        <v>409326.99697600002</v>
      </c>
      <c r="R316" s="11">
        <v>3659171.3241130002</v>
      </c>
    </row>
    <row r="317" spans="1:18" x14ac:dyDescent="0.25">
      <c r="A317" s="16"/>
      <c r="B317" s="14" t="s">
        <v>1</v>
      </c>
      <c r="C317" s="15">
        <v>50</v>
      </c>
      <c r="D317" s="14">
        <v>20</v>
      </c>
      <c r="E317" s="13">
        <v>24</v>
      </c>
      <c r="F317" s="13">
        <f>1.8*E317+32</f>
        <v>75.2</v>
      </c>
      <c r="G317" s="13">
        <v>20</v>
      </c>
      <c r="H317" s="13">
        <f>IF(F317&gt;68,G317+(F317-68)*0.2,Y534-(68-F317)*0.2)</f>
        <v>21.44</v>
      </c>
      <c r="I317" s="13">
        <v>23</v>
      </c>
      <c r="J317" s="13">
        <f>1.8*I317+32</f>
        <v>73.400000000000006</v>
      </c>
      <c r="K317" s="13">
        <v>11</v>
      </c>
      <c r="L317" s="13">
        <f>IF(J317&gt;68,K317+(J317-68)*0.2,K317-(68-J317)*0.2)</f>
        <v>12.080000000000002</v>
      </c>
      <c r="M317" s="13">
        <f>(C317-H317)/C317*100</f>
        <v>57.11999999999999</v>
      </c>
      <c r="N317" s="13">
        <f>100-(M317+O317)</f>
        <v>18.72</v>
      </c>
      <c r="O317" s="13">
        <f>L317/C317*100</f>
        <v>24.160000000000004</v>
      </c>
      <c r="P317" s="12" t="s">
        <v>3</v>
      </c>
      <c r="Q317" s="11">
        <v>409326.99697600002</v>
      </c>
      <c r="R317" s="11">
        <v>3659171.3241130002</v>
      </c>
    </row>
    <row r="318" spans="1:18" x14ac:dyDescent="0.25">
      <c r="A318" s="1"/>
    </row>
    <row r="319" spans="1:18" ht="51.75" x14ac:dyDescent="0.25">
      <c r="A319" s="19" t="s">
        <v>41</v>
      </c>
      <c r="B319" s="22" t="s">
        <v>26</v>
      </c>
      <c r="C319" s="26" t="s">
        <v>25</v>
      </c>
      <c r="D319" s="25" t="s">
        <v>24</v>
      </c>
      <c r="E319" s="24" t="s">
        <v>23</v>
      </c>
      <c r="F319" s="24" t="s">
        <v>22</v>
      </c>
      <c r="G319" s="24" t="s">
        <v>21</v>
      </c>
      <c r="H319" s="24" t="s">
        <v>20</v>
      </c>
      <c r="I319" s="24" t="s">
        <v>19</v>
      </c>
      <c r="J319" s="24" t="s">
        <v>18</v>
      </c>
      <c r="K319" s="24" t="s">
        <v>17</v>
      </c>
      <c r="L319" s="24" t="s">
        <v>16</v>
      </c>
      <c r="M319" s="23" t="s">
        <v>15</v>
      </c>
      <c r="N319" s="23" t="s">
        <v>14</v>
      </c>
      <c r="O319" s="23" t="s">
        <v>13</v>
      </c>
      <c r="P319" s="22" t="s">
        <v>12</v>
      </c>
      <c r="Q319" s="27" t="s">
        <v>11</v>
      </c>
      <c r="R319" s="27"/>
    </row>
    <row r="320" spans="1:18" x14ac:dyDescent="0.25">
      <c r="A320" s="20"/>
      <c r="B320" s="22"/>
      <c r="C320" s="26"/>
      <c r="D320" s="25"/>
      <c r="E320" s="24"/>
      <c r="F320" s="24"/>
      <c r="G320" s="24"/>
      <c r="H320" s="24"/>
      <c r="I320" s="24"/>
      <c r="J320" s="24"/>
      <c r="K320" s="24"/>
      <c r="L320" s="24"/>
      <c r="M320" s="23"/>
      <c r="N320" s="23"/>
      <c r="O320" s="23"/>
      <c r="P320" s="22"/>
      <c r="Q320" s="21" t="s">
        <v>10</v>
      </c>
      <c r="R320" s="21" t="s">
        <v>9</v>
      </c>
    </row>
    <row r="321" spans="1:18" x14ac:dyDescent="0.25">
      <c r="A321" s="20"/>
      <c r="B321" s="14" t="s">
        <v>8</v>
      </c>
      <c r="C321" s="15">
        <v>50</v>
      </c>
      <c r="D321" s="14">
        <v>20</v>
      </c>
      <c r="E321" s="13">
        <v>22</v>
      </c>
      <c r="F321" s="13">
        <f>1.8*E321+32</f>
        <v>71.599999999999994</v>
      </c>
      <c r="G321" s="13">
        <v>19</v>
      </c>
      <c r="H321" s="13">
        <f>IF(F321&gt;68,G321+(F321-68)*0.2,Y540-(68-F321)*0.2)</f>
        <v>19.72</v>
      </c>
      <c r="I321" s="13">
        <v>22</v>
      </c>
      <c r="J321" s="13">
        <f>1.8*I321+32</f>
        <v>71.599999999999994</v>
      </c>
      <c r="K321" s="13">
        <v>10</v>
      </c>
      <c r="L321" s="13">
        <f>IF(J321&gt;68,K321+(J321-68)*0.2,K321-(68-J321)*0.2)</f>
        <v>10.719999999999999</v>
      </c>
      <c r="M321" s="13">
        <f>(C321-H321)/C321*100</f>
        <v>60.56</v>
      </c>
      <c r="N321" s="13">
        <f>100-(M321+O321)</f>
        <v>18</v>
      </c>
      <c r="O321" s="13">
        <f>L321/C321*100</f>
        <v>21.439999999999998</v>
      </c>
      <c r="P321" s="12" t="s">
        <v>3</v>
      </c>
      <c r="Q321" s="11">
        <v>409330.90422000003</v>
      </c>
      <c r="R321" s="11">
        <v>3659171.4244690002</v>
      </c>
    </row>
    <row r="322" spans="1:18" x14ac:dyDescent="0.25">
      <c r="A322" s="19" t="s">
        <v>7</v>
      </c>
      <c r="B322" s="14" t="s">
        <v>6</v>
      </c>
      <c r="C322" s="15">
        <v>50</v>
      </c>
      <c r="D322" s="14">
        <v>20</v>
      </c>
      <c r="E322" s="13">
        <v>25</v>
      </c>
      <c r="F322" s="13">
        <f>1.8*E322+32</f>
        <v>77</v>
      </c>
      <c r="G322" s="13">
        <v>24</v>
      </c>
      <c r="H322" s="13">
        <f>IF(F322&gt;68,G322+(F322-68)*0.2,Y541-(68-F322)*0.2)</f>
        <v>25.8</v>
      </c>
      <c r="I322" s="13">
        <v>22</v>
      </c>
      <c r="J322" s="13">
        <f>1.8*I322+32</f>
        <v>71.599999999999994</v>
      </c>
      <c r="K322" s="13">
        <v>14</v>
      </c>
      <c r="L322" s="13">
        <f>IF(J322&gt;68,K322+(J322-68)*0.2,K322-(68-J322)*0.2)</f>
        <v>14.719999999999999</v>
      </c>
      <c r="M322" s="13">
        <f>(C322-H322)/C322*100</f>
        <v>48.4</v>
      </c>
      <c r="N322" s="13">
        <f>100-(M322+O322)</f>
        <v>22.159999999999997</v>
      </c>
      <c r="O322" s="13">
        <f>L322/C322*100</f>
        <v>29.439999999999998</v>
      </c>
      <c r="P322" s="12" t="s">
        <v>3</v>
      </c>
      <c r="Q322" s="11">
        <v>409330.90422000003</v>
      </c>
      <c r="R322" s="11">
        <v>3659171.4244690002</v>
      </c>
    </row>
    <row r="323" spans="1:18" x14ac:dyDescent="0.25">
      <c r="A323" s="18">
        <v>41491</v>
      </c>
      <c r="B323" s="14" t="s">
        <v>5</v>
      </c>
      <c r="C323" s="15">
        <v>50</v>
      </c>
      <c r="D323" s="14">
        <v>20</v>
      </c>
      <c r="E323" s="13">
        <v>24</v>
      </c>
      <c r="F323" s="13">
        <f>1.8*E323+32</f>
        <v>75.2</v>
      </c>
      <c r="G323" s="13">
        <v>26</v>
      </c>
      <c r="H323" s="13">
        <f>IF(F323&gt;68,G323+(F323-68)*0.2,Y542-(68-F323)*0.2)</f>
        <v>27.44</v>
      </c>
      <c r="I323" s="13">
        <v>22</v>
      </c>
      <c r="J323" s="13">
        <f>1.8*I323+32</f>
        <v>71.599999999999994</v>
      </c>
      <c r="K323" s="13">
        <v>15</v>
      </c>
      <c r="L323" s="13">
        <f>IF(J323&gt;68,K323+(J323-68)*0.2,K323-(68-J323)*0.2)</f>
        <v>15.719999999999999</v>
      </c>
      <c r="M323" s="13">
        <f>(C323-H323)/C323*100</f>
        <v>45.12</v>
      </c>
      <c r="N323" s="13">
        <f>100-(M323+O323)</f>
        <v>23.440000000000012</v>
      </c>
      <c r="O323" s="13">
        <f>L323/C323*100</f>
        <v>31.439999999999994</v>
      </c>
      <c r="P323" s="12" t="s">
        <v>3</v>
      </c>
      <c r="Q323" s="11">
        <v>409330.90422000003</v>
      </c>
      <c r="R323" s="11">
        <v>3659171.4244690002</v>
      </c>
    </row>
    <row r="324" spans="1:18" x14ac:dyDescent="0.25">
      <c r="A324" s="17"/>
      <c r="B324" s="14" t="s">
        <v>4</v>
      </c>
      <c r="C324" s="15">
        <v>50</v>
      </c>
      <c r="D324" s="14">
        <v>20</v>
      </c>
      <c r="E324" s="13">
        <v>24</v>
      </c>
      <c r="F324" s="13">
        <f>1.8*E324+32</f>
        <v>75.2</v>
      </c>
      <c r="G324" s="13">
        <v>27</v>
      </c>
      <c r="H324" s="13">
        <f>IF(F324&gt;68,G324+(F324-68)*0.2,Y543-(68-F324)*0.2)</f>
        <v>28.44</v>
      </c>
      <c r="I324" s="13">
        <v>22</v>
      </c>
      <c r="J324" s="13">
        <f>1.8*I324+32</f>
        <v>71.599999999999994</v>
      </c>
      <c r="K324" s="13">
        <v>17</v>
      </c>
      <c r="L324" s="13">
        <f>IF(J324&gt;68,K324+(J324-68)*0.2,K324-(68-J324)*0.2)</f>
        <v>17.72</v>
      </c>
      <c r="M324" s="13">
        <f>(C324-H324)/C324*100</f>
        <v>43.12</v>
      </c>
      <c r="N324" s="13">
        <f>100-(M324+O324)</f>
        <v>21.439999999999998</v>
      </c>
      <c r="O324" s="13">
        <f>L324/C324*100</f>
        <v>35.44</v>
      </c>
      <c r="P324" s="12" t="s">
        <v>30</v>
      </c>
      <c r="Q324" s="11">
        <v>409330.90422000003</v>
      </c>
      <c r="R324" s="11">
        <v>3659171.4244690002</v>
      </c>
    </row>
    <row r="325" spans="1:18" x14ac:dyDescent="0.25">
      <c r="A325" s="16"/>
      <c r="B325" s="14" t="s">
        <v>2</v>
      </c>
      <c r="C325" s="15">
        <v>50</v>
      </c>
      <c r="D325" s="14">
        <v>20</v>
      </c>
      <c r="E325" s="13">
        <v>24</v>
      </c>
      <c r="F325" s="13">
        <f>1.8*E325+32</f>
        <v>75.2</v>
      </c>
      <c r="G325" s="13">
        <v>17</v>
      </c>
      <c r="H325" s="13">
        <f>IF(F325&gt;68,G325+(F325-68)*0.2,Y544-(68-F325)*0.2)</f>
        <v>18.440000000000001</v>
      </c>
      <c r="I325" s="13">
        <v>22</v>
      </c>
      <c r="J325" s="13">
        <f>1.8*I325+32</f>
        <v>71.599999999999994</v>
      </c>
      <c r="K325" s="13">
        <v>11</v>
      </c>
      <c r="L325" s="13">
        <f>IF(J325&gt;68,K325+(J325-68)*0.2,K325-(68-J325)*0.2)</f>
        <v>11.719999999999999</v>
      </c>
      <c r="M325" s="13">
        <f>(C325-H325)/C325*100</f>
        <v>63.12</v>
      </c>
      <c r="N325" s="13">
        <f>100-(M325+O325)</f>
        <v>13.439999999999998</v>
      </c>
      <c r="O325" s="13">
        <f>L325/C325*100</f>
        <v>23.439999999999998</v>
      </c>
      <c r="P325" s="12" t="s">
        <v>3</v>
      </c>
      <c r="Q325" s="11">
        <v>409330.90422000003</v>
      </c>
      <c r="R325" s="11">
        <v>3659171.4244690002</v>
      </c>
    </row>
    <row r="326" spans="1:18" x14ac:dyDescent="0.25">
      <c r="A326" s="16"/>
      <c r="B326" s="14" t="s">
        <v>1</v>
      </c>
      <c r="C326" s="15">
        <v>50</v>
      </c>
      <c r="D326" s="14">
        <v>20</v>
      </c>
      <c r="E326" s="13">
        <v>24</v>
      </c>
      <c r="F326" s="13">
        <f>1.8*E326+32</f>
        <v>75.2</v>
      </c>
      <c r="G326" s="13">
        <v>20</v>
      </c>
      <c r="H326" s="13">
        <f>IF(F326&gt;68,G326+(F326-68)*0.2,Y545-(68-F326)*0.2)</f>
        <v>21.44</v>
      </c>
      <c r="I326" s="13">
        <v>22</v>
      </c>
      <c r="J326" s="13">
        <f>1.8*I326+32</f>
        <v>71.599999999999994</v>
      </c>
      <c r="K326" s="13">
        <v>13</v>
      </c>
      <c r="L326" s="13">
        <f>IF(J326&gt;68,K326+(J326-68)*0.2,K326-(68-J326)*0.2)</f>
        <v>13.719999999999999</v>
      </c>
      <c r="M326" s="13">
        <f>(C326-H326)/C326*100</f>
        <v>57.11999999999999</v>
      </c>
      <c r="N326" s="13">
        <f>100-(M326+O326)</f>
        <v>15.440000000000012</v>
      </c>
      <c r="O326" s="13">
        <f>L326/C326*100</f>
        <v>27.439999999999998</v>
      </c>
      <c r="P326" s="12" t="s">
        <v>3</v>
      </c>
      <c r="Q326" s="11">
        <v>409330.90422000003</v>
      </c>
      <c r="R326" s="11">
        <v>3659171.4244690002</v>
      </c>
    </row>
    <row r="327" spans="1:18" x14ac:dyDescent="0.25">
      <c r="A327" s="1"/>
    </row>
    <row r="328" spans="1:18" ht="51.75" x14ac:dyDescent="0.25">
      <c r="A328" s="19" t="s">
        <v>40</v>
      </c>
      <c r="B328" s="22" t="s">
        <v>26</v>
      </c>
      <c r="C328" s="26" t="s">
        <v>25</v>
      </c>
      <c r="D328" s="25" t="s">
        <v>24</v>
      </c>
      <c r="E328" s="24" t="s">
        <v>23</v>
      </c>
      <c r="F328" s="24" t="s">
        <v>22</v>
      </c>
      <c r="G328" s="24" t="s">
        <v>21</v>
      </c>
      <c r="H328" s="24" t="s">
        <v>20</v>
      </c>
      <c r="I328" s="24" t="s">
        <v>19</v>
      </c>
      <c r="J328" s="24" t="s">
        <v>18</v>
      </c>
      <c r="K328" s="24" t="s">
        <v>17</v>
      </c>
      <c r="L328" s="24" t="s">
        <v>16</v>
      </c>
      <c r="M328" s="23" t="s">
        <v>15</v>
      </c>
      <c r="N328" s="23" t="s">
        <v>14</v>
      </c>
      <c r="O328" s="23" t="s">
        <v>13</v>
      </c>
      <c r="P328" s="22" t="s">
        <v>12</v>
      </c>
      <c r="Q328" s="36" t="s">
        <v>11</v>
      </c>
      <c r="R328" s="35"/>
    </row>
    <row r="329" spans="1:18" x14ac:dyDescent="0.25">
      <c r="A329" s="20"/>
      <c r="B329" s="22"/>
      <c r="C329" s="26"/>
      <c r="D329" s="25"/>
      <c r="E329" s="24"/>
      <c r="F329" s="24"/>
      <c r="G329" s="24"/>
      <c r="H329" s="24"/>
      <c r="I329" s="24"/>
      <c r="J329" s="24"/>
      <c r="K329" s="24"/>
      <c r="L329" s="24"/>
      <c r="M329" s="23"/>
      <c r="N329" s="23"/>
      <c r="O329" s="23"/>
      <c r="P329" s="22"/>
      <c r="Q329" s="21" t="s">
        <v>10</v>
      </c>
      <c r="R329" s="21" t="s">
        <v>9</v>
      </c>
    </row>
    <row r="330" spans="1:18" x14ac:dyDescent="0.25">
      <c r="A330" s="20"/>
      <c r="B330" s="14" t="s">
        <v>8</v>
      </c>
      <c r="C330" s="15">
        <v>50</v>
      </c>
      <c r="D330" s="14">
        <v>20</v>
      </c>
      <c r="E330" s="13">
        <v>25</v>
      </c>
      <c r="F330" s="13">
        <f>1.8*E330+32</f>
        <v>77</v>
      </c>
      <c r="G330" s="13">
        <v>17</v>
      </c>
      <c r="H330" s="13">
        <f>IF(F330&gt;68,G330+(F330-68)*0.2,Y551-(68-F330)*0.2)</f>
        <v>18.8</v>
      </c>
      <c r="I330" s="13">
        <v>24</v>
      </c>
      <c r="J330" s="13">
        <f>1.8*I330+32</f>
        <v>75.2</v>
      </c>
      <c r="K330" s="13">
        <v>8</v>
      </c>
      <c r="L330" s="13">
        <f>IF(J330&gt;68,K330+(J330-68)*0.2,K330-(68-J330)*0.2)</f>
        <v>9.4400000000000013</v>
      </c>
      <c r="M330" s="13">
        <f>(C330-H330)/C330*100</f>
        <v>62.4</v>
      </c>
      <c r="N330" s="13">
        <f>100-(M330+O330)</f>
        <v>18.72</v>
      </c>
      <c r="O330" s="13">
        <f>L330/C330*100</f>
        <v>18.880000000000003</v>
      </c>
      <c r="P330" s="12" t="s">
        <v>0</v>
      </c>
      <c r="Q330" s="11">
        <v>409331.02075500001</v>
      </c>
      <c r="R330" s="11">
        <v>3659161.946215</v>
      </c>
    </row>
    <row r="331" spans="1:18" x14ac:dyDescent="0.25">
      <c r="A331" s="19" t="s">
        <v>7</v>
      </c>
      <c r="B331" s="14" t="s">
        <v>6</v>
      </c>
      <c r="C331" s="15">
        <v>50</v>
      </c>
      <c r="D331" s="14">
        <v>20</v>
      </c>
      <c r="E331" s="13">
        <v>25</v>
      </c>
      <c r="F331" s="13">
        <f>1.8*E331+32</f>
        <v>77</v>
      </c>
      <c r="G331" s="13">
        <v>25</v>
      </c>
      <c r="H331" s="13">
        <f>IF(F331&gt;68,G331+(F331-68)*0.2,Y552-(68-F331)*0.2)</f>
        <v>26.8</v>
      </c>
      <c r="I331" s="13">
        <v>24</v>
      </c>
      <c r="J331" s="13">
        <f>1.8*I331+32</f>
        <v>75.2</v>
      </c>
      <c r="K331" s="13">
        <v>13</v>
      </c>
      <c r="L331" s="13">
        <f>IF(J331&gt;68,K331+(J331-68)*0.2,K331-(68-J331)*0.2)</f>
        <v>14.440000000000001</v>
      </c>
      <c r="M331" s="13">
        <f>(C331-H331)/C331*100</f>
        <v>46.4</v>
      </c>
      <c r="N331" s="13">
        <f>100-(M331+O331)</f>
        <v>24.72</v>
      </c>
      <c r="O331" s="13">
        <f>L331/C331*100</f>
        <v>28.88</v>
      </c>
      <c r="P331" s="12" t="s">
        <v>3</v>
      </c>
      <c r="Q331" s="11">
        <v>409331.02075500001</v>
      </c>
      <c r="R331" s="11">
        <v>3659161.946215</v>
      </c>
    </row>
    <row r="332" spans="1:18" x14ac:dyDescent="0.25">
      <c r="A332" s="18">
        <v>41477</v>
      </c>
      <c r="B332" s="14" t="s">
        <v>5</v>
      </c>
      <c r="C332" s="15">
        <v>50</v>
      </c>
      <c r="D332" s="14">
        <v>20</v>
      </c>
      <c r="E332" s="13">
        <v>25</v>
      </c>
      <c r="F332" s="13">
        <f>1.8*E332+32</f>
        <v>77</v>
      </c>
      <c r="G332" s="13">
        <v>26</v>
      </c>
      <c r="H332" s="13">
        <f>IF(F332&gt;68,G332+(F332-68)*0.2,Y553-(68-F332)*0.2)</f>
        <v>27.8</v>
      </c>
      <c r="I332" s="13">
        <v>24</v>
      </c>
      <c r="J332" s="13">
        <f>1.8*I332+32</f>
        <v>75.2</v>
      </c>
      <c r="K332" s="13">
        <v>15</v>
      </c>
      <c r="L332" s="13">
        <f>IF(J332&gt;68,K332+(J332-68)*0.2,K332-(68-J332)*0.2)</f>
        <v>16.440000000000001</v>
      </c>
      <c r="M332" s="13">
        <f>(C332-H332)/C332*100</f>
        <v>44.4</v>
      </c>
      <c r="N332" s="13">
        <f>100-(M332+O332)</f>
        <v>22.72</v>
      </c>
      <c r="O332" s="13">
        <f>L332/C332*100</f>
        <v>32.880000000000003</v>
      </c>
      <c r="P332" s="12" t="s">
        <v>30</v>
      </c>
      <c r="Q332" s="11">
        <v>409331.02075500001</v>
      </c>
      <c r="R332" s="11">
        <v>3659161.946215</v>
      </c>
    </row>
    <row r="333" spans="1:18" x14ac:dyDescent="0.25">
      <c r="A333" s="17"/>
      <c r="B333" s="14" t="s">
        <v>4</v>
      </c>
      <c r="C333" s="15">
        <v>50</v>
      </c>
      <c r="D333" s="14">
        <v>20</v>
      </c>
      <c r="E333" s="13">
        <v>25</v>
      </c>
      <c r="F333" s="13">
        <f>1.8*E333+32</f>
        <v>77</v>
      </c>
      <c r="G333" s="13">
        <v>24</v>
      </c>
      <c r="H333" s="13">
        <f>IF(F333&gt;68,G333+(F333-68)*0.2,Y554-(68-F333)*0.2)</f>
        <v>25.8</v>
      </c>
      <c r="I333" s="13">
        <v>24</v>
      </c>
      <c r="J333" s="13">
        <f>1.8*I333+32</f>
        <v>75.2</v>
      </c>
      <c r="K333" s="13">
        <v>14</v>
      </c>
      <c r="L333" s="13">
        <f>IF(J333&gt;68,K333+(J333-68)*0.2,K333-(68-J333)*0.2)</f>
        <v>15.440000000000001</v>
      </c>
      <c r="M333" s="13">
        <f>(C333-H333)/C333*100</f>
        <v>48.4</v>
      </c>
      <c r="N333" s="13">
        <f>100-(M333+O333)</f>
        <v>20.72</v>
      </c>
      <c r="O333" s="13">
        <f>L333/C333*100</f>
        <v>30.880000000000003</v>
      </c>
      <c r="P333" s="12" t="s">
        <v>28</v>
      </c>
      <c r="Q333" s="11">
        <v>409331.02075500001</v>
      </c>
      <c r="R333" s="11">
        <v>3659161.946215</v>
      </c>
    </row>
    <row r="334" spans="1:18" x14ac:dyDescent="0.25">
      <c r="A334" s="16"/>
      <c r="B334" s="14" t="s">
        <v>2</v>
      </c>
      <c r="C334" s="15">
        <v>50</v>
      </c>
      <c r="D334" s="14">
        <v>20</v>
      </c>
      <c r="E334" s="13">
        <v>22</v>
      </c>
      <c r="F334" s="13">
        <f>1.8*E334+32</f>
        <v>71.599999999999994</v>
      </c>
      <c r="G334" s="13">
        <v>15</v>
      </c>
      <c r="H334" s="13">
        <f>IF(F334&gt;68,G334+(F334-68)*0.2,Y555-(68-F334)*0.2)</f>
        <v>15.719999999999999</v>
      </c>
      <c r="I334" s="13">
        <v>22</v>
      </c>
      <c r="J334" s="13">
        <f>1.8*I334+32</f>
        <v>71.599999999999994</v>
      </c>
      <c r="K334" s="13">
        <v>9</v>
      </c>
      <c r="L334" s="13">
        <f>IF(J334&gt;68,K334+(J334-68)*0.2,K334-(68-J334)*0.2)</f>
        <v>9.7199999999999989</v>
      </c>
      <c r="M334" s="13">
        <f>(C334-H334)/C334*100</f>
        <v>68.56</v>
      </c>
      <c r="N334" s="13">
        <f>100-(M334+O334)</f>
        <v>12</v>
      </c>
      <c r="O334" s="13">
        <f>L334/C334*100</f>
        <v>19.439999999999998</v>
      </c>
      <c r="P334" s="12" t="s">
        <v>0</v>
      </c>
      <c r="Q334" s="11">
        <v>409331.02075500001</v>
      </c>
      <c r="R334" s="11">
        <v>3659161.946215</v>
      </c>
    </row>
    <row r="335" spans="1:18" x14ac:dyDescent="0.25">
      <c r="A335" s="16"/>
      <c r="B335" s="14" t="s">
        <v>1</v>
      </c>
      <c r="C335" s="15">
        <v>50</v>
      </c>
      <c r="D335" s="14">
        <v>20</v>
      </c>
      <c r="E335" s="13">
        <v>24</v>
      </c>
      <c r="F335" s="13">
        <f>1.8*E335+32</f>
        <v>75.2</v>
      </c>
      <c r="G335" s="13">
        <v>21</v>
      </c>
      <c r="H335" s="13">
        <f>IF(F335&gt;68,G335+(F335-68)*0.2,Y556-(68-F335)*0.2)</f>
        <v>22.44</v>
      </c>
      <c r="I335" s="13">
        <v>22</v>
      </c>
      <c r="J335" s="13">
        <f>1.8*I335+32</f>
        <v>71.599999999999994</v>
      </c>
      <c r="K335" s="13">
        <v>10</v>
      </c>
      <c r="L335" s="13">
        <f>IF(J335&gt;68,K335+(J335-68)*0.2,K335-(68-J335)*0.2)</f>
        <v>10.719999999999999</v>
      </c>
      <c r="M335" s="13">
        <f>(C335-H335)/C335*100</f>
        <v>55.120000000000005</v>
      </c>
      <c r="N335" s="13">
        <f>100-(M335+O335)</f>
        <v>23.439999999999998</v>
      </c>
      <c r="O335" s="13">
        <f>L335/C335*100</f>
        <v>21.439999999999998</v>
      </c>
      <c r="P335" s="12" t="s">
        <v>3</v>
      </c>
      <c r="Q335" s="11">
        <v>409331.02075500001</v>
      </c>
      <c r="R335" s="11">
        <v>3659161.946215</v>
      </c>
    </row>
    <row r="336" spans="1:18" x14ac:dyDescent="0.25">
      <c r="A336" s="1"/>
    </row>
    <row r="337" spans="1:18" ht="51.75" x14ac:dyDescent="0.25">
      <c r="A337" s="19" t="s">
        <v>39</v>
      </c>
      <c r="B337" s="22" t="s">
        <v>26</v>
      </c>
      <c r="C337" s="26" t="s">
        <v>25</v>
      </c>
      <c r="D337" s="25" t="s">
        <v>24</v>
      </c>
      <c r="E337" s="24" t="s">
        <v>23</v>
      </c>
      <c r="F337" s="24" t="s">
        <v>22</v>
      </c>
      <c r="G337" s="24" t="s">
        <v>21</v>
      </c>
      <c r="H337" s="24" t="s">
        <v>20</v>
      </c>
      <c r="I337" s="24" t="s">
        <v>19</v>
      </c>
      <c r="J337" s="24" t="s">
        <v>18</v>
      </c>
      <c r="K337" s="24" t="s">
        <v>17</v>
      </c>
      <c r="L337" s="24" t="s">
        <v>16</v>
      </c>
      <c r="M337" s="23" t="s">
        <v>15</v>
      </c>
      <c r="N337" s="23" t="s">
        <v>14</v>
      </c>
      <c r="O337" s="23" t="s">
        <v>13</v>
      </c>
      <c r="P337" s="22" t="s">
        <v>12</v>
      </c>
      <c r="Q337" s="27" t="s">
        <v>11</v>
      </c>
      <c r="R337" s="27"/>
    </row>
    <row r="338" spans="1:18" x14ac:dyDescent="0.25">
      <c r="A338" s="20"/>
      <c r="B338" s="22"/>
      <c r="C338" s="26"/>
      <c r="D338" s="25"/>
      <c r="E338" s="24"/>
      <c r="F338" s="24"/>
      <c r="G338" s="24"/>
      <c r="H338" s="24"/>
      <c r="I338" s="24"/>
      <c r="J338" s="24"/>
      <c r="K338" s="24"/>
      <c r="L338" s="24"/>
      <c r="M338" s="23"/>
      <c r="N338" s="23"/>
      <c r="O338" s="23"/>
      <c r="P338" s="22"/>
      <c r="Q338" s="21" t="s">
        <v>10</v>
      </c>
      <c r="R338" s="21" t="s">
        <v>9</v>
      </c>
    </row>
    <row r="339" spans="1:18" x14ac:dyDescent="0.25">
      <c r="A339" s="20"/>
      <c r="B339" s="14" t="s">
        <v>8</v>
      </c>
      <c r="C339" s="15">
        <v>50</v>
      </c>
      <c r="D339" s="14">
        <v>20</v>
      </c>
      <c r="E339" s="13">
        <v>25</v>
      </c>
      <c r="F339" s="13">
        <f>1.8*E339+32</f>
        <v>77</v>
      </c>
      <c r="G339" s="13">
        <v>17</v>
      </c>
      <c r="H339" s="13">
        <f>IF(F339&gt;68,G339+(F339-68)*0.2,Y562-(68-F339)*0.2)</f>
        <v>18.8</v>
      </c>
      <c r="I339" s="13">
        <v>24</v>
      </c>
      <c r="J339" s="13">
        <f>1.8*I339+32</f>
        <v>75.2</v>
      </c>
      <c r="K339" s="13">
        <v>9</v>
      </c>
      <c r="L339" s="13">
        <f>IF(J339&gt;68,K339+(J339-68)*0.2,K339-(68-J339)*0.2)</f>
        <v>10.440000000000001</v>
      </c>
      <c r="M339" s="13">
        <f>(C339-H339)/C339*100</f>
        <v>62.4</v>
      </c>
      <c r="N339" s="13">
        <f>100-(M339+O339)</f>
        <v>16.72</v>
      </c>
      <c r="O339" s="13">
        <f>L339/C339*100</f>
        <v>20.880000000000003</v>
      </c>
      <c r="P339" s="12" t="s">
        <v>3</v>
      </c>
      <c r="Q339" s="11">
        <v>409331.050001</v>
      </c>
      <c r="R339" s="11">
        <v>3659152.6666230001</v>
      </c>
    </row>
    <row r="340" spans="1:18" x14ac:dyDescent="0.25">
      <c r="A340" s="19" t="s">
        <v>7</v>
      </c>
      <c r="B340" s="14" t="s">
        <v>6</v>
      </c>
      <c r="C340" s="15">
        <v>50</v>
      </c>
      <c r="D340" s="14">
        <v>20</v>
      </c>
      <c r="E340" s="13">
        <v>25</v>
      </c>
      <c r="F340" s="13">
        <f>1.8*E340+32</f>
        <v>77</v>
      </c>
      <c r="G340" s="13">
        <v>27</v>
      </c>
      <c r="H340" s="13">
        <f>IF(F340&gt;68,G340+(F340-68)*0.2,Y563-(68-F340)*0.2)</f>
        <v>28.8</v>
      </c>
      <c r="I340" s="13">
        <v>24</v>
      </c>
      <c r="J340" s="13">
        <f>1.8*I340+32</f>
        <v>75.2</v>
      </c>
      <c r="K340" s="13">
        <v>16</v>
      </c>
      <c r="L340" s="13">
        <f>IF(J340&gt;68,K340+(J340-68)*0.2,K340-(68-J340)*0.2)</f>
        <v>17.440000000000001</v>
      </c>
      <c r="M340" s="13">
        <f>(C340-H340)/C340*100</f>
        <v>42.4</v>
      </c>
      <c r="N340" s="13">
        <f>100-(M340+O340)</f>
        <v>22.72</v>
      </c>
      <c r="O340" s="13">
        <f>L340/C340*100</f>
        <v>34.880000000000003</v>
      </c>
      <c r="P340" s="12" t="s">
        <v>30</v>
      </c>
      <c r="Q340" s="11">
        <v>409331.050001</v>
      </c>
      <c r="R340" s="11">
        <v>3659152.6666230001</v>
      </c>
    </row>
    <row r="341" spans="1:18" x14ac:dyDescent="0.25">
      <c r="A341" s="18">
        <v>41477</v>
      </c>
      <c r="B341" s="14" t="s">
        <v>5</v>
      </c>
      <c r="C341" s="15">
        <v>50</v>
      </c>
      <c r="D341" s="14">
        <v>20</v>
      </c>
      <c r="E341" s="13">
        <v>25</v>
      </c>
      <c r="F341" s="13">
        <f>1.8*E341+32</f>
        <v>77</v>
      </c>
      <c r="G341" s="13">
        <v>32</v>
      </c>
      <c r="H341" s="13">
        <f>IF(F341&gt;68,G341+(F341-68)*0.2,Y564-(68-F341)*0.2)</f>
        <v>33.799999999999997</v>
      </c>
      <c r="I341" s="13">
        <v>24</v>
      </c>
      <c r="J341" s="13">
        <f>1.8*I341+32</f>
        <v>75.2</v>
      </c>
      <c r="K341" s="13">
        <v>18</v>
      </c>
      <c r="L341" s="13">
        <f>IF(J341&gt;68,K341+(J341-68)*0.2,K341-(68-J341)*0.2)</f>
        <v>19.440000000000001</v>
      </c>
      <c r="M341" s="13">
        <f>(C341-H341)/C341*100</f>
        <v>32.400000000000006</v>
      </c>
      <c r="N341" s="13">
        <f>100-(M341+O341)</f>
        <v>28.72</v>
      </c>
      <c r="O341" s="13">
        <f>L341/C341*100</f>
        <v>38.880000000000003</v>
      </c>
      <c r="P341" s="12" t="s">
        <v>30</v>
      </c>
      <c r="Q341" s="11">
        <v>409331.050001</v>
      </c>
      <c r="R341" s="11">
        <v>3659152.6666230001</v>
      </c>
    </row>
    <row r="342" spans="1:18" x14ac:dyDescent="0.25">
      <c r="A342" s="17"/>
      <c r="B342" s="14" t="s">
        <v>4</v>
      </c>
      <c r="C342" s="15">
        <v>50</v>
      </c>
      <c r="D342" s="14">
        <v>20</v>
      </c>
      <c r="E342" s="13">
        <v>25</v>
      </c>
      <c r="F342" s="13">
        <f>1.8*E342+32</f>
        <v>77</v>
      </c>
      <c r="G342" s="13">
        <v>28</v>
      </c>
      <c r="H342" s="13">
        <f>IF(F342&gt;68,G342+(F342-68)*0.2,Y565-(68-F342)*0.2)</f>
        <v>29.8</v>
      </c>
      <c r="I342" s="13">
        <v>24</v>
      </c>
      <c r="J342" s="13">
        <f>1.8*I342+32</f>
        <v>75.2</v>
      </c>
      <c r="K342" s="13">
        <v>17</v>
      </c>
      <c r="L342" s="13">
        <f>IF(J342&gt;68,K342+(J342-68)*0.2,K342-(68-J342)*0.2)</f>
        <v>18.440000000000001</v>
      </c>
      <c r="M342" s="13">
        <f>(C342-H342)/C342*100</f>
        <v>40.4</v>
      </c>
      <c r="N342" s="13">
        <f>100-(M342+O342)</f>
        <v>22.72</v>
      </c>
      <c r="O342" s="13">
        <f>L342/C342*100</f>
        <v>36.880000000000003</v>
      </c>
      <c r="P342" s="12" t="s">
        <v>30</v>
      </c>
      <c r="Q342" s="11">
        <v>409331.050001</v>
      </c>
      <c r="R342" s="11">
        <v>3659152.6666230001</v>
      </c>
    </row>
    <row r="343" spans="1:18" x14ac:dyDescent="0.25">
      <c r="A343" s="16"/>
      <c r="B343" s="14" t="s">
        <v>2</v>
      </c>
      <c r="C343" s="15">
        <v>50</v>
      </c>
      <c r="D343" s="14">
        <v>20</v>
      </c>
      <c r="E343" s="13">
        <v>25</v>
      </c>
      <c r="F343" s="13">
        <f>1.8*E343+32</f>
        <v>77</v>
      </c>
      <c r="G343" s="13">
        <v>21</v>
      </c>
      <c r="H343" s="13">
        <f>IF(F343&gt;68,G343+(F343-68)*0.2,Y566-(68-F343)*0.2)</f>
        <v>22.8</v>
      </c>
      <c r="I343" s="13">
        <v>24</v>
      </c>
      <c r="J343" s="13">
        <f>1.8*I343+32</f>
        <v>75.2</v>
      </c>
      <c r="K343" s="13">
        <v>12</v>
      </c>
      <c r="L343" s="13">
        <f>IF(J343&gt;68,K343+(J343-68)*0.2,K343-(68-J343)*0.2)</f>
        <v>13.440000000000001</v>
      </c>
      <c r="M343" s="13">
        <f>(C343-H343)/C343*100</f>
        <v>54.400000000000006</v>
      </c>
      <c r="N343" s="13">
        <f>100-(M343+O343)</f>
        <v>18.72</v>
      </c>
      <c r="O343" s="13">
        <f>L343/C343*100</f>
        <v>26.880000000000003</v>
      </c>
      <c r="P343" s="12" t="s">
        <v>3</v>
      </c>
      <c r="Q343" s="11">
        <v>409331.050001</v>
      </c>
      <c r="R343" s="11">
        <v>3659152.6666230001</v>
      </c>
    </row>
    <row r="344" spans="1:18" x14ac:dyDescent="0.25">
      <c r="A344" s="16"/>
      <c r="B344" s="14" t="s">
        <v>1</v>
      </c>
      <c r="C344" s="15">
        <v>50</v>
      </c>
      <c r="D344" s="14">
        <v>20</v>
      </c>
      <c r="E344" s="13">
        <v>25</v>
      </c>
      <c r="F344" s="13">
        <f>1.8*E344+32</f>
        <v>77</v>
      </c>
      <c r="G344" s="13">
        <v>18</v>
      </c>
      <c r="H344" s="13">
        <f>IF(F344&gt;68,G344+(F344-68)*0.2,Y567-(68-F344)*0.2)</f>
        <v>19.8</v>
      </c>
      <c r="I344" s="13">
        <v>24</v>
      </c>
      <c r="J344" s="13">
        <f>1.8*I344+32</f>
        <v>75.2</v>
      </c>
      <c r="K344" s="13">
        <v>11</v>
      </c>
      <c r="L344" s="13">
        <f>IF(J344&gt;68,K344+(J344-68)*0.2,K344-(68-J344)*0.2)</f>
        <v>12.440000000000001</v>
      </c>
      <c r="M344" s="13">
        <f>(C344-H344)/C344*100</f>
        <v>60.4</v>
      </c>
      <c r="N344" s="13">
        <f>100-(M344+O344)</f>
        <v>14.719999999999999</v>
      </c>
      <c r="O344" s="13">
        <f>L344/C344*100</f>
        <v>24.880000000000003</v>
      </c>
      <c r="P344" s="12" t="s">
        <v>3</v>
      </c>
      <c r="Q344" s="11">
        <v>409331.050001</v>
      </c>
      <c r="R344" s="11">
        <v>3659152.6666230001</v>
      </c>
    </row>
    <row r="345" spans="1:18" x14ac:dyDescent="0.25">
      <c r="A345" s="1"/>
    </row>
    <row r="346" spans="1:18" ht="51.75" x14ac:dyDescent="0.25">
      <c r="A346" s="19" t="s">
        <v>38</v>
      </c>
      <c r="B346" s="22" t="s">
        <v>26</v>
      </c>
      <c r="C346" s="26" t="s">
        <v>25</v>
      </c>
      <c r="D346" s="25" t="s">
        <v>24</v>
      </c>
      <c r="E346" s="24" t="s">
        <v>23</v>
      </c>
      <c r="F346" s="24" t="s">
        <v>22</v>
      </c>
      <c r="G346" s="24" t="s">
        <v>21</v>
      </c>
      <c r="H346" s="24" t="s">
        <v>20</v>
      </c>
      <c r="I346" s="24" t="s">
        <v>19</v>
      </c>
      <c r="J346" s="24" t="s">
        <v>18</v>
      </c>
      <c r="K346" s="24" t="s">
        <v>17</v>
      </c>
      <c r="L346" s="24" t="s">
        <v>16</v>
      </c>
      <c r="M346" s="23" t="s">
        <v>15</v>
      </c>
      <c r="N346" s="23" t="s">
        <v>14</v>
      </c>
      <c r="O346" s="23" t="s">
        <v>13</v>
      </c>
      <c r="P346" s="22" t="s">
        <v>12</v>
      </c>
      <c r="Q346" s="36" t="s">
        <v>11</v>
      </c>
      <c r="R346" s="35"/>
    </row>
    <row r="347" spans="1:18" x14ac:dyDescent="0.25">
      <c r="A347" s="20"/>
      <c r="B347" s="22"/>
      <c r="C347" s="26"/>
      <c r="D347" s="25"/>
      <c r="E347" s="24"/>
      <c r="F347" s="24"/>
      <c r="G347" s="24"/>
      <c r="H347" s="24"/>
      <c r="I347" s="24"/>
      <c r="J347" s="24"/>
      <c r="K347" s="24"/>
      <c r="L347" s="24"/>
      <c r="M347" s="23"/>
      <c r="N347" s="23"/>
      <c r="O347" s="23"/>
      <c r="P347" s="22"/>
      <c r="Q347" s="21" t="s">
        <v>10</v>
      </c>
      <c r="R347" s="21" t="s">
        <v>9</v>
      </c>
    </row>
    <row r="348" spans="1:18" x14ac:dyDescent="0.25">
      <c r="A348" s="20"/>
      <c r="B348" s="14" t="s">
        <v>8</v>
      </c>
      <c r="C348" s="15">
        <v>50</v>
      </c>
      <c r="D348" s="14">
        <v>20</v>
      </c>
      <c r="E348" s="13">
        <v>24</v>
      </c>
      <c r="F348" s="13">
        <f>1.8*E348+32</f>
        <v>75.2</v>
      </c>
      <c r="G348" s="13">
        <v>22</v>
      </c>
      <c r="H348" s="13">
        <f>IF(F348&gt;68,G348+(F348-68)*0.2,Y573-(68-F348)*0.2)</f>
        <v>23.44</v>
      </c>
      <c r="I348" s="13">
        <v>24</v>
      </c>
      <c r="J348" s="13">
        <f>1.8*I348+32</f>
        <v>75.2</v>
      </c>
      <c r="K348" s="13">
        <v>10</v>
      </c>
      <c r="L348" s="13">
        <f>IF(J348&gt;68,K348+(J348-68)*0.2,K348-(68-J348)*0.2)</f>
        <v>11.440000000000001</v>
      </c>
      <c r="M348" s="13">
        <f>(C348-H348)/C348*100</f>
        <v>53.12</v>
      </c>
      <c r="N348" s="13">
        <f>100-(M348+O348)</f>
        <v>24</v>
      </c>
      <c r="O348" s="13">
        <f>L348/C348*100</f>
        <v>22.880000000000003</v>
      </c>
      <c r="P348" s="12" t="s">
        <v>3</v>
      </c>
      <c r="Q348" s="11">
        <v>409331.11206299998</v>
      </c>
      <c r="R348" s="11">
        <v>3659139.341544</v>
      </c>
    </row>
    <row r="349" spans="1:18" x14ac:dyDescent="0.25">
      <c r="A349" s="19" t="s">
        <v>7</v>
      </c>
      <c r="B349" s="14" t="s">
        <v>6</v>
      </c>
      <c r="C349" s="15">
        <v>50</v>
      </c>
      <c r="D349" s="14">
        <v>20</v>
      </c>
      <c r="E349" s="13">
        <v>24</v>
      </c>
      <c r="F349" s="13">
        <f>1.8*E349+32</f>
        <v>75.2</v>
      </c>
      <c r="G349" s="13">
        <v>26</v>
      </c>
      <c r="H349" s="13">
        <f>IF(F349&gt;68,G349+(F349-68)*0.2,Y574-(68-F349)*0.2)</f>
        <v>27.44</v>
      </c>
      <c r="I349" s="13">
        <v>24</v>
      </c>
      <c r="J349" s="13">
        <f>1.8*I349+32</f>
        <v>75.2</v>
      </c>
      <c r="K349" s="13">
        <v>13</v>
      </c>
      <c r="L349" s="13">
        <f>IF(J349&gt;68,K349+(J349-68)*0.2,K349-(68-J349)*0.2)</f>
        <v>14.440000000000001</v>
      </c>
      <c r="M349" s="13">
        <f>(C349-H349)/C349*100</f>
        <v>45.12</v>
      </c>
      <c r="N349" s="13">
        <f>100-(M349+O349)</f>
        <v>26</v>
      </c>
      <c r="O349" s="13">
        <f>L349/C349*100</f>
        <v>28.88</v>
      </c>
      <c r="P349" s="12" t="s">
        <v>3</v>
      </c>
      <c r="Q349" s="11">
        <v>409331.11206299998</v>
      </c>
      <c r="R349" s="11">
        <v>3659139.341544</v>
      </c>
    </row>
    <row r="350" spans="1:18" x14ac:dyDescent="0.25">
      <c r="A350" s="18">
        <v>41477</v>
      </c>
      <c r="B350" s="14" t="s">
        <v>5</v>
      </c>
      <c r="C350" s="15">
        <v>50</v>
      </c>
      <c r="D350" s="14">
        <v>20</v>
      </c>
      <c r="E350" s="13">
        <v>24</v>
      </c>
      <c r="F350" s="13">
        <f>1.8*E350+32</f>
        <v>75.2</v>
      </c>
      <c r="G350" s="13">
        <v>25</v>
      </c>
      <c r="H350" s="13">
        <f>IF(F350&gt;68,G350+(F350-68)*0.2,Y575-(68-F350)*0.2)</f>
        <v>26.44</v>
      </c>
      <c r="I350" s="13">
        <v>24</v>
      </c>
      <c r="J350" s="13">
        <f>1.8*I350+32</f>
        <v>75.2</v>
      </c>
      <c r="K350" s="13">
        <v>13</v>
      </c>
      <c r="L350" s="13">
        <f>IF(J350&gt;68,K350+(J350-68)*0.2,K350-(68-J350)*0.2)</f>
        <v>14.440000000000001</v>
      </c>
      <c r="M350" s="13">
        <f>(C350-H350)/C350*100</f>
        <v>47.12</v>
      </c>
      <c r="N350" s="13">
        <f>100-(M350+O350)</f>
        <v>24</v>
      </c>
      <c r="O350" s="13">
        <f>L350/C350*100</f>
        <v>28.88</v>
      </c>
      <c r="P350" s="12" t="s">
        <v>3</v>
      </c>
      <c r="Q350" s="11">
        <v>409331.11206299998</v>
      </c>
      <c r="R350" s="11">
        <v>3659139.341544</v>
      </c>
    </row>
    <row r="351" spans="1:18" x14ac:dyDescent="0.25">
      <c r="A351" s="17"/>
      <c r="B351" s="14" t="s">
        <v>4</v>
      </c>
      <c r="C351" s="15">
        <v>50</v>
      </c>
      <c r="D351" s="14">
        <v>20</v>
      </c>
      <c r="E351" s="13">
        <v>24</v>
      </c>
      <c r="F351" s="13">
        <f>1.8*E351+32</f>
        <v>75.2</v>
      </c>
      <c r="G351" s="13">
        <v>25</v>
      </c>
      <c r="H351" s="13">
        <f>IF(F351&gt;68,G351+(F351-68)*0.2,Y576-(68-F351)*0.2)</f>
        <v>26.44</v>
      </c>
      <c r="I351" s="13">
        <v>24</v>
      </c>
      <c r="J351" s="13">
        <f>1.8*I351+32</f>
        <v>75.2</v>
      </c>
      <c r="K351" s="13">
        <v>14</v>
      </c>
      <c r="L351" s="13">
        <f>IF(J351&gt;68,K351+(J351-68)*0.2,K351-(68-J351)*0.2)</f>
        <v>15.440000000000001</v>
      </c>
      <c r="M351" s="13">
        <f>(C351-H351)/C351*100</f>
        <v>47.12</v>
      </c>
      <c r="N351" s="13">
        <f>100-(M351+O351)</f>
        <v>22</v>
      </c>
      <c r="O351" s="13">
        <f>L351/C351*100</f>
        <v>30.880000000000003</v>
      </c>
      <c r="P351" s="12" t="s">
        <v>3</v>
      </c>
      <c r="Q351" s="11">
        <v>409331.11206299998</v>
      </c>
      <c r="R351" s="11">
        <v>3659139.341544</v>
      </c>
    </row>
    <row r="352" spans="1:18" x14ac:dyDescent="0.25">
      <c r="A352" s="16"/>
      <c r="B352" s="14" t="s">
        <v>2</v>
      </c>
      <c r="C352" s="15">
        <v>50</v>
      </c>
      <c r="D352" s="14">
        <v>20</v>
      </c>
      <c r="E352" s="13">
        <v>25</v>
      </c>
      <c r="F352" s="13">
        <f>1.8*E352+32</f>
        <v>77</v>
      </c>
      <c r="G352" s="13">
        <v>23</v>
      </c>
      <c r="H352" s="13">
        <f>IF(F352&gt;68,G352+(F352-68)*0.2,Y577-(68-F352)*0.2)</f>
        <v>24.8</v>
      </c>
      <c r="I352" s="13">
        <v>24</v>
      </c>
      <c r="J352" s="13">
        <f>1.8*I352+32</f>
        <v>75.2</v>
      </c>
      <c r="K352" s="13">
        <v>12</v>
      </c>
      <c r="L352" s="13">
        <f>IF(J352&gt;68,K352+(J352-68)*0.2,K352-(68-J352)*0.2)</f>
        <v>13.440000000000001</v>
      </c>
      <c r="M352" s="13">
        <f>(C352-H352)/C352*100</f>
        <v>50.4</v>
      </c>
      <c r="N352" s="13">
        <f>100-(M352+O352)</f>
        <v>22.72</v>
      </c>
      <c r="O352" s="13">
        <f>L352/C352*100</f>
        <v>26.880000000000003</v>
      </c>
      <c r="P352" s="12" t="s">
        <v>3</v>
      </c>
      <c r="Q352" s="11">
        <v>409331.11206299998</v>
      </c>
      <c r="R352" s="11">
        <v>3659139.341544</v>
      </c>
    </row>
    <row r="353" spans="1:18" x14ac:dyDescent="0.25">
      <c r="A353" s="16"/>
      <c r="B353" s="14" t="s">
        <v>1</v>
      </c>
      <c r="C353" s="15">
        <v>50</v>
      </c>
      <c r="D353" s="14">
        <v>20</v>
      </c>
      <c r="E353" s="13">
        <v>25</v>
      </c>
      <c r="F353" s="13">
        <f>1.8*E353+32</f>
        <v>77</v>
      </c>
      <c r="G353" s="13">
        <v>21</v>
      </c>
      <c r="H353" s="13">
        <f>IF(F353&gt;68,G353+(F353-68)*0.2,Y578-(68-F353)*0.2)</f>
        <v>22.8</v>
      </c>
      <c r="I353" s="13">
        <v>24</v>
      </c>
      <c r="J353" s="13">
        <f>1.8*I353+32</f>
        <v>75.2</v>
      </c>
      <c r="K353" s="13">
        <v>11</v>
      </c>
      <c r="L353" s="13">
        <f>IF(J353&gt;68,K353+(J353-68)*0.2,K353-(68-J353)*0.2)</f>
        <v>12.440000000000001</v>
      </c>
      <c r="M353" s="13">
        <f>(C353-H353)/C353*100</f>
        <v>54.400000000000006</v>
      </c>
      <c r="N353" s="13">
        <f>100-(M353+O353)</f>
        <v>20.72</v>
      </c>
      <c r="O353" s="13">
        <f>L353/C353*100</f>
        <v>24.880000000000003</v>
      </c>
      <c r="P353" s="12" t="s">
        <v>3</v>
      </c>
      <c r="Q353" s="11">
        <v>409331.11206299998</v>
      </c>
      <c r="R353" s="11">
        <v>3659139.341544</v>
      </c>
    </row>
    <row r="354" spans="1:18" x14ac:dyDescent="0.25">
      <c r="A354" s="1"/>
    </row>
    <row r="355" spans="1:18" ht="51.75" x14ac:dyDescent="0.25">
      <c r="A355" s="19" t="s">
        <v>35</v>
      </c>
      <c r="B355" s="22" t="s">
        <v>26</v>
      </c>
      <c r="C355" s="26" t="s">
        <v>25</v>
      </c>
      <c r="D355" s="25" t="s">
        <v>24</v>
      </c>
      <c r="E355" s="24" t="s">
        <v>23</v>
      </c>
      <c r="F355" s="24" t="s">
        <v>22</v>
      </c>
      <c r="G355" s="24" t="s">
        <v>21</v>
      </c>
      <c r="H355" s="24" t="s">
        <v>20</v>
      </c>
      <c r="I355" s="24" t="s">
        <v>19</v>
      </c>
      <c r="J355" s="24" t="s">
        <v>18</v>
      </c>
      <c r="K355" s="24" t="s">
        <v>17</v>
      </c>
      <c r="L355" s="24" t="s">
        <v>16</v>
      </c>
      <c r="M355" s="23" t="s">
        <v>15</v>
      </c>
      <c r="N355" s="23" t="s">
        <v>14</v>
      </c>
      <c r="O355" s="23" t="s">
        <v>13</v>
      </c>
      <c r="P355" s="22" t="s">
        <v>12</v>
      </c>
      <c r="Q355" s="27" t="s">
        <v>11</v>
      </c>
      <c r="R355" s="27"/>
    </row>
    <row r="356" spans="1:18" x14ac:dyDescent="0.25">
      <c r="A356" s="20"/>
      <c r="B356" s="22"/>
      <c r="C356" s="26"/>
      <c r="D356" s="25"/>
      <c r="E356" s="24"/>
      <c r="F356" s="24"/>
      <c r="G356" s="24"/>
      <c r="H356" s="24"/>
      <c r="I356" s="24"/>
      <c r="J356" s="24"/>
      <c r="K356" s="24"/>
      <c r="L356" s="24"/>
      <c r="M356" s="23"/>
      <c r="N356" s="23"/>
      <c r="O356" s="23"/>
      <c r="P356" s="22"/>
      <c r="Q356" s="21" t="s">
        <v>10</v>
      </c>
      <c r="R356" s="21" t="s">
        <v>9</v>
      </c>
    </row>
    <row r="357" spans="1:18" x14ac:dyDescent="0.25">
      <c r="A357" s="20"/>
      <c r="B357" s="14" t="s">
        <v>8</v>
      </c>
      <c r="C357" s="15">
        <v>50</v>
      </c>
      <c r="D357" s="14">
        <v>20</v>
      </c>
      <c r="E357" s="13">
        <v>25</v>
      </c>
      <c r="F357" s="13">
        <f>1.8*E357+32</f>
        <v>77</v>
      </c>
      <c r="G357" s="13">
        <v>20</v>
      </c>
      <c r="H357" s="13">
        <f>IF(F357&gt;68,G357+(F357-68)*0.2,Y584-(68-F357)*0.2)</f>
        <v>21.8</v>
      </c>
      <c r="I357" s="13">
        <v>24</v>
      </c>
      <c r="J357" s="13">
        <f>1.8*I357+32</f>
        <v>75.2</v>
      </c>
      <c r="K357" s="13">
        <v>8</v>
      </c>
      <c r="L357" s="13">
        <f>IF(J357&gt;68,K357+(J357-68)*0.2,K357-(68-J357)*0.2)</f>
        <v>9.4400000000000013</v>
      </c>
      <c r="M357" s="13">
        <f>(C357-H357)/C357*100</f>
        <v>56.399999999999991</v>
      </c>
      <c r="N357" s="13">
        <f>100-(M357+O357)</f>
        <v>24.72</v>
      </c>
      <c r="O357" s="13">
        <f>L357/C357*100</f>
        <v>18.880000000000003</v>
      </c>
      <c r="P357" s="12" t="s">
        <v>0</v>
      </c>
      <c r="Q357" s="11">
        <v>409331.026572</v>
      </c>
      <c r="R357" s="11">
        <v>3659129.9856989998</v>
      </c>
    </row>
    <row r="358" spans="1:18" x14ac:dyDescent="0.25">
      <c r="A358" s="19" t="s">
        <v>7</v>
      </c>
      <c r="B358" s="14" t="s">
        <v>6</v>
      </c>
      <c r="C358" s="15">
        <v>50</v>
      </c>
      <c r="D358" s="14">
        <v>20</v>
      </c>
      <c r="E358" s="13">
        <v>25</v>
      </c>
      <c r="F358" s="13">
        <f>1.8*E358+32</f>
        <v>77</v>
      </c>
      <c r="G358" s="13">
        <v>17</v>
      </c>
      <c r="H358" s="13">
        <f>IF(F358&gt;68,G358+(F358-68)*0.2,Y585-(68-F358)*0.2)</f>
        <v>18.8</v>
      </c>
      <c r="I358" s="13">
        <v>24</v>
      </c>
      <c r="J358" s="13">
        <f>1.8*I358+32</f>
        <v>75.2</v>
      </c>
      <c r="K358" s="13">
        <v>8</v>
      </c>
      <c r="L358" s="13">
        <f>IF(J358&gt;68,K358+(J358-68)*0.2,K358-(68-J358)*0.2)</f>
        <v>9.4400000000000013</v>
      </c>
      <c r="M358" s="13">
        <f>(C358-H358)/C358*100</f>
        <v>62.4</v>
      </c>
      <c r="N358" s="13">
        <f>100-(M358+O358)</f>
        <v>18.72</v>
      </c>
      <c r="O358" s="13">
        <f>L358/C358*100</f>
        <v>18.880000000000003</v>
      </c>
      <c r="P358" s="12" t="s">
        <v>0</v>
      </c>
      <c r="Q358" s="11">
        <v>409331.026572</v>
      </c>
      <c r="R358" s="11">
        <v>3659129.9856989998</v>
      </c>
    </row>
    <row r="359" spans="1:18" x14ac:dyDescent="0.25">
      <c r="A359" s="18">
        <v>41477</v>
      </c>
      <c r="B359" s="14" t="s">
        <v>5</v>
      </c>
      <c r="C359" s="15">
        <v>50</v>
      </c>
      <c r="D359" s="14">
        <v>20</v>
      </c>
      <c r="E359" s="13">
        <v>25</v>
      </c>
      <c r="F359" s="13">
        <f>1.8*E359+32</f>
        <v>77</v>
      </c>
      <c r="G359" s="13">
        <v>17</v>
      </c>
      <c r="H359" s="13">
        <f>IF(F359&gt;68,G359+(F359-68)*0.2,Y586-(68-F359)*0.2)</f>
        <v>18.8</v>
      </c>
      <c r="I359" s="13">
        <v>24</v>
      </c>
      <c r="J359" s="13">
        <f>1.8*I359+32</f>
        <v>75.2</v>
      </c>
      <c r="K359" s="13">
        <v>8</v>
      </c>
      <c r="L359" s="13">
        <f>IF(J359&gt;68,K359+(J359-68)*0.2,K359-(68-J359)*0.2)</f>
        <v>9.4400000000000013</v>
      </c>
      <c r="M359" s="13">
        <f>(C359-H359)/C359*100</f>
        <v>62.4</v>
      </c>
      <c r="N359" s="13">
        <f>100-(M359+O359)</f>
        <v>18.72</v>
      </c>
      <c r="O359" s="13">
        <f>L359/C359*100</f>
        <v>18.880000000000003</v>
      </c>
      <c r="P359" s="12" t="s">
        <v>0</v>
      </c>
      <c r="Q359" s="11">
        <v>409331.026572</v>
      </c>
      <c r="R359" s="11">
        <v>3659129.9856989998</v>
      </c>
    </row>
    <row r="360" spans="1:18" x14ac:dyDescent="0.25">
      <c r="A360" s="17"/>
      <c r="B360" s="14" t="s">
        <v>4</v>
      </c>
      <c r="C360" s="15">
        <v>50</v>
      </c>
      <c r="D360" s="14">
        <v>20</v>
      </c>
      <c r="E360" s="13">
        <v>25</v>
      </c>
      <c r="F360" s="13">
        <f>1.8*E360+32</f>
        <v>77</v>
      </c>
      <c r="G360" s="13">
        <v>17</v>
      </c>
      <c r="H360" s="13">
        <f>IF(F360&gt;68,G360+(F360-68)*0.2,Y587-(68-F360)*0.2)</f>
        <v>18.8</v>
      </c>
      <c r="I360" s="13">
        <v>24</v>
      </c>
      <c r="J360" s="13">
        <f>1.8*I360+32</f>
        <v>75.2</v>
      </c>
      <c r="K360" s="13">
        <v>8</v>
      </c>
      <c r="L360" s="13">
        <f>IF(J360&gt;68,K360+(J360-68)*0.2,K360-(68-J360)*0.2)</f>
        <v>9.4400000000000013</v>
      </c>
      <c r="M360" s="13">
        <f>(C360-H360)/C360*100</f>
        <v>62.4</v>
      </c>
      <c r="N360" s="13">
        <f>100-(M360+O360)</f>
        <v>18.72</v>
      </c>
      <c r="O360" s="13">
        <f>L360/C360*100</f>
        <v>18.880000000000003</v>
      </c>
      <c r="P360" s="12" t="s">
        <v>0</v>
      </c>
      <c r="Q360" s="11">
        <v>409331.026572</v>
      </c>
      <c r="R360" s="11">
        <v>3659129.9856989998</v>
      </c>
    </row>
    <row r="361" spans="1:18" x14ac:dyDescent="0.25">
      <c r="A361" s="16"/>
      <c r="B361" s="14" t="s">
        <v>2</v>
      </c>
      <c r="C361" s="15">
        <v>50</v>
      </c>
      <c r="D361" s="14">
        <v>20</v>
      </c>
      <c r="E361" s="13">
        <v>27</v>
      </c>
      <c r="F361" s="13">
        <f>1.8*E361+32</f>
        <v>80.599999999999994</v>
      </c>
      <c r="G361" s="13">
        <v>16</v>
      </c>
      <c r="H361" s="13">
        <f>IF(F361&gt;68,G361+(F361-68)*0.2,Y588-(68-F361)*0.2)</f>
        <v>18.52</v>
      </c>
      <c r="I361" s="13">
        <v>25</v>
      </c>
      <c r="J361" s="13">
        <f>1.8*I361+32</f>
        <v>77</v>
      </c>
      <c r="K361" s="13">
        <v>7</v>
      </c>
      <c r="L361" s="13">
        <f>IF(J361&gt;68,K361+(J361-68)*0.2,K361-(68-J361)*0.2)</f>
        <v>8.8000000000000007</v>
      </c>
      <c r="M361" s="13">
        <f>(C361-H361)/C361*100</f>
        <v>62.960000000000008</v>
      </c>
      <c r="N361" s="13">
        <f>100-(M361+O361)</f>
        <v>19.439999999999998</v>
      </c>
      <c r="O361" s="13">
        <f>L361/C361*100</f>
        <v>17.600000000000001</v>
      </c>
      <c r="P361" s="12" t="s">
        <v>0</v>
      </c>
      <c r="Q361" s="11">
        <v>409331.026572</v>
      </c>
      <c r="R361" s="11">
        <v>3659129.9856989998</v>
      </c>
    </row>
    <row r="362" spans="1:18" x14ac:dyDescent="0.25">
      <c r="A362" s="16"/>
      <c r="B362" s="14" t="s">
        <v>1</v>
      </c>
      <c r="C362" s="15">
        <v>50</v>
      </c>
      <c r="D362" s="14">
        <v>20</v>
      </c>
      <c r="E362" s="13">
        <v>27</v>
      </c>
      <c r="F362" s="13">
        <f>1.8*E362+32</f>
        <v>80.599999999999994</v>
      </c>
      <c r="G362" s="13">
        <v>18</v>
      </c>
      <c r="H362" s="13">
        <f>IF(F362&gt;68,G362+(F362-68)*0.2,Y589-(68-F362)*0.2)</f>
        <v>20.52</v>
      </c>
      <c r="I362" s="13">
        <v>25</v>
      </c>
      <c r="J362" s="13">
        <f>1.8*I362+32</f>
        <v>77</v>
      </c>
      <c r="K362" s="13">
        <v>12</v>
      </c>
      <c r="L362" s="13">
        <f>IF(J362&gt;68,K362+(J362-68)*0.2,K362-(68-J362)*0.2)</f>
        <v>13.8</v>
      </c>
      <c r="M362" s="13">
        <f>(C362-H362)/C362*100</f>
        <v>58.96</v>
      </c>
      <c r="N362" s="13">
        <f>100-(M362+O362)</f>
        <v>13.439999999999998</v>
      </c>
      <c r="O362" s="13">
        <f>L362/C362*100</f>
        <v>27.6</v>
      </c>
      <c r="P362" s="12" t="s">
        <v>3</v>
      </c>
      <c r="Q362" s="11">
        <v>409331.026572</v>
      </c>
      <c r="R362" s="11">
        <v>3659129.9856989998</v>
      </c>
    </row>
    <row r="363" spans="1:18" x14ac:dyDescent="0.25">
      <c r="A363" s="1"/>
    </row>
    <row r="364" spans="1:18" ht="51.75" x14ac:dyDescent="0.25">
      <c r="A364" s="19" t="s">
        <v>33</v>
      </c>
      <c r="B364" s="22" t="s">
        <v>26</v>
      </c>
      <c r="C364" s="26" t="s">
        <v>25</v>
      </c>
      <c r="D364" s="25" t="s">
        <v>24</v>
      </c>
      <c r="E364" s="24" t="s">
        <v>23</v>
      </c>
      <c r="F364" s="24" t="s">
        <v>22</v>
      </c>
      <c r="G364" s="24" t="s">
        <v>21</v>
      </c>
      <c r="H364" s="24" t="s">
        <v>20</v>
      </c>
      <c r="I364" s="24" t="s">
        <v>19</v>
      </c>
      <c r="J364" s="24" t="s">
        <v>18</v>
      </c>
      <c r="K364" s="24" t="s">
        <v>17</v>
      </c>
      <c r="L364" s="24" t="s">
        <v>16</v>
      </c>
      <c r="M364" s="23" t="s">
        <v>15</v>
      </c>
      <c r="N364" s="23" t="s">
        <v>14</v>
      </c>
      <c r="O364" s="23" t="s">
        <v>13</v>
      </c>
      <c r="P364" s="22" t="s">
        <v>12</v>
      </c>
      <c r="Q364" s="36" t="s">
        <v>11</v>
      </c>
      <c r="R364" s="35"/>
    </row>
    <row r="365" spans="1:18" x14ac:dyDescent="0.25">
      <c r="A365" s="20"/>
      <c r="B365" s="22"/>
      <c r="C365" s="26"/>
      <c r="D365" s="25"/>
      <c r="E365" s="24"/>
      <c r="F365" s="24"/>
      <c r="G365" s="24"/>
      <c r="H365" s="24"/>
      <c r="I365" s="24"/>
      <c r="J365" s="24"/>
      <c r="K365" s="24"/>
      <c r="L365" s="24"/>
      <c r="M365" s="23"/>
      <c r="N365" s="23"/>
      <c r="O365" s="23"/>
      <c r="P365" s="22"/>
      <c r="Q365" s="21" t="s">
        <v>10</v>
      </c>
      <c r="R365" s="21" t="s">
        <v>9</v>
      </c>
    </row>
    <row r="366" spans="1:18" x14ac:dyDescent="0.25">
      <c r="A366" s="20"/>
      <c r="B366" s="14" t="s">
        <v>8</v>
      </c>
      <c r="C366" s="15">
        <v>50</v>
      </c>
      <c r="D366" s="14">
        <v>20</v>
      </c>
      <c r="E366" s="13">
        <v>27</v>
      </c>
      <c r="F366" s="13">
        <f>1.8*E366+32</f>
        <v>80.599999999999994</v>
      </c>
      <c r="G366" s="13">
        <v>16</v>
      </c>
      <c r="H366" s="13">
        <f>IF(F366&gt;68,G366+(F366-68)*0.2,Y595-(68-F366)*0.2)</f>
        <v>18.52</v>
      </c>
      <c r="I366" s="13">
        <v>25</v>
      </c>
      <c r="J366" s="13">
        <f>1.8*I366+32</f>
        <v>77</v>
      </c>
      <c r="K366" s="13">
        <v>10</v>
      </c>
      <c r="L366" s="13">
        <f>IF(J366&gt;68,K366+(J366-68)*0.2,K366-(68-J366)*0.2)</f>
        <v>11.8</v>
      </c>
      <c r="M366" s="13">
        <f>(C366-H366)/C366*100</f>
        <v>62.960000000000008</v>
      </c>
      <c r="N366" s="13">
        <f>100-(M366+O366)</f>
        <v>13.439999999999998</v>
      </c>
      <c r="O366" s="13">
        <f>L366/C366*100</f>
        <v>23.6</v>
      </c>
      <c r="P366" s="12" t="s">
        <v>3</v>
      </c>
      <c r="Q366" s="11">
        <v>409334.95901300001</v>
      </c>
      <c r="R366" s="11">
        <v>3659129.9766170001</v>
      </c>
    </row>
    <row r="367" spans="1:18" x14ac:dyDescent="0.25">
      <c r="A367" s="19" t="s">
        <v>7</v>
      </c>
      <c r="B367" s="14" t="s">
        <v>6</v>
      </c>
      <c r="C367" s="15">
        <v>50</v>
      </c>
      <c r="D367" s="14">
        <v>20</v>
      </c>
      <c r="E367" s="13">
        <v>27</v>
      </c>
      <c r="F367" s="13">
        <f>1.8*E367+32</f>
        <v>80.599999999999994</v>
      </c>
      <c r="G367" s="13">
        <v>23</v>
      </c>
      <c r="H367" s="13">
        <f>IF(F367&gt;68,G367+(F367-68)*0.2,Y596-(68-F367)*0.2)</f>
        <v>25.52</v>
      </c>
      <c r="I367" s="13">
        <v>25</v>
      </c>
      <c r="J367" s="13">
        <f>1.8*I367+32</f>
        <v>77</v>
      </c>
      <c r="K367" s="13">
        <v>16</v>
      </c>
      <c r="L367" s="13">
        <f>IF(J367&gt;68,K367+(J367-68)*0.2,K367-(68-J367)*0.2)</f>
        <v>17.8</v>
      </c>
      <c r="M367" s="13">
        <f>(C367-H367)/C367*100</f>
        <v>48.96</v>
      </c>
      <c r="N367" s="13">
        <f>100-(M367+O367)</f>
        <v>15.439999999999998</v>
      </c>
      <c r="O367" s="13">
        <f>L367/C367*100</f>
        <v>35.6</v>
      </c>
      <c r="P367" s="12" t="s">
        <v>36</v>
      </c>
      <c r="Q367" s="11">
        <v>409334.95901300001</v>
      </c>
      <c r="R367" s="11">
        <v>3659129.9766170001</v>
      </c>
    </row>
    <row r="368" spans="1:18" x14ac:dyDescent="0.25">
      <c r="A368" s="18">
        <v>41457</v>
      </c>
      <c r="B368" s="14" t="s">
        <v>5</v>
      </c>
      <c r="C368" s="15">
        <v>50</v>
      </c>
      <c r="D368" s="14">
        <v>20</v>
      </c>
      <c r="E368" s="13">
        <v>26</v>
      </c>
      <c r="F368" s="13">
        <f>1.8*E368+32</f>
        <v>78.800000000000011</v>
      </c>
      <c r="G368" s="13">
        <v>23</v>
      </c>
      <c r="H368" s="13">
        <f>IF(F368&gt;68,G368+(F368-68)*0.2,Y597-(68-F368)*0.2)</f>
        <v>25.160000000000004</v>
      </c>
      <c r="I368" s="13">
        <v>25</v>
      </c>
      <c r="J368" s="13">
        <f>1.8*I368+32</f>
        <v>77</v>
      </c>
      <c r="K368" s="13">
        <v>14</v>
      </c>
      <c r="L368" s="13">
        <f>IF(J368&gt;68,K368+(J368-68)*0.2,K368-(68-J368)*0.2)</f>
        <v>15.8</v>
      </c>
      <c r="M368" s="13">
        <f>(C368-H368)/C368*100</f>
        <v>49.679999999999993</v>
      </c>
      <c r="N368" s="13">
        <f>100-(M368+O368)</f>
        <v>18.72</v>
      </c>
      <c r="O368" s="13">
        <f>L368/C368*100</f>
        <v>31.6</v>
      </c>
      <c r="P368" s="12" t="s">
        <v>3</v>
      </c>
      <c r="Q368" s="11">
        <v>409334.95901300001</v>
      </c>
      <c r="R368" s="11">
        <v>3659129.9766170001</v>
      </c>
    </row>
    <row r="369" spans="1:18" x14ac:dyDescent="0.25">
      <c r="A369" s="17"/>
      <c r="B369" s="14" t="s">
        <v>4</v>
      </c>
      <c r="C369" s="15">
        <v>50</v>
      </c>
      <c r="D369" s="14">
        <v>20</v>
      </c>
      <c r="E369" s="13">
        <v>26</v>
      </c>
      <c r="F369" s="13">
        <f>1.8*E369+32</f>
        <v>78.800000000000011</v>
      </c>
      <c r="G369" s="13">
        <v>22</v>
      </c>
      <c r="H369" s="13">
        <f>IF(F369&gt;68,G369+(F369-68)*0.2,Y598-(68-F369)*0.2)</f>
        <v>24.160000000000004</v>
      </c>
      <c r="I369" s="13">
        <v>25</v>
      </c>
      <c r="J369" s="13">
        <f>1.8*I369+32</f>
        <v>77</v>
      </c>
      <c r="K369" s="13">
        <v>14</v>
      </c>
      <c r="L369" s="13">
        <f>IF(J369&gt;68,K369+(J369-68)*0.2,K369-(68-J369)*0.2)</f>
        <v>15.8</v>
      </c>
      <c r="M369" s="13">
        <f>(C369-H369)/C369*100</f>
        <v>51.679999999999993</v>
      </c>
      <c r="N369" s="13">
        <f>100-(M369+O369)</f>
        <v>16.72</v>
      </c>
      <c r="O369" s="13">
        <f>L369/C369*100</f>
        <v>31.6</v>
      </c>
      <c r="P369" s="12" t="s">
        <v>3</v>
      </c>
      <c r="Q369" s="11">
        <v>409334.95901300001</v>
      </c>
      <c r="R369" s="11">
        <v>3659129.9766170001</v>
      </c>
    </row>
    <row r="370" spans="1:18" x14ac:dyDescent="0.25">
      <c r="A370" s="16"/>
      <c r="B370" s="14" t="s">
        <v>2</v>
      </c>
      <c r="C370" s="15">
        <v>50</v>
      </c>
      <c r="D370" s="14">
        <v>20</v>
      </c>
      <c r="E370" s="13">
        <v>26</v>
      </c>
      <c r="F370" s="13">
        <f>1.8*E370+32</f>
        <v>78.800000000000011</v>
      </c>
      <c r="G370" s="13">
        <v>12</v>
      </c>
      <c r="H370" s="13">
        <f>IF(F370&gt;68,G370+(F370-68)*0.2,Y599-(68-F370)*0.2)</f>
        <v>14.160000000000002</v>
      </c>
      <c r="I370" s="13">
        <v>25</v>
      </c>
      <c r="J370" s="13">
        <f>1.8*I370+32</f>
        <v>77</v>
      </c>
      <c r="K370" s="13">
        <v>10</v>
      </c>
      <c r="L370" s="13">
        <f>IF(J370&gt;68,K370+(J370-68)*0.2,K370-(68-J370)*0.2)</f>
        <v>11.8</v>
      </c>
      <c r="M370" s="13">
        <f>(C370-H370)/C370*100</f>
        <v>71.679999999999993</v>
      </c>
      <c r="N370" s="13">
        <f>100-(M370+O370)</f>
        <v>4.7199999999999989</v>
      </c>
      <c r="O370" s="13">
        <f>L370/C370*100</f>
        <v>23.6</v>
      </c>
      <c r="P370" s="12" t="s">
        <v>3</v>
      </c>
      <c r="Q370" s="11">
        <v>409334.95901300001</v>
      </c>
      <c r="R370" s="11">
        <v>3659129.9766170001</v>
      </c>
    </row>
    <row r="371" spans="1:18" x14ac:dyDescent="0.25">
      <c r="A371" s="16"/>
      <c r="B371" s="14" t="s">
        <v>1</v>
      </c>
      <c r="C371" s="15">
        <v>50</v>
      </c>
      <c r="D371" s="14">
        <v>20</v>
      </c>
      <c r="E371" s="13">
        <v>26</v>
      </c>
      <c r="F371" s="13">
        <f>1.8*E371+32</f>
        <v>78.800000000000011</v>
      </c>
      <c r="G371" s="13">
        <v>10</v>
      </c>
      <c r="H371" s="13">
        <f>IF(F371&gt;68,G371+(F371-68)*0.2,Y600-(68-F371)*0.2)</f>
        <v>12.160000000000002</v>
      </c>
      <c r="I371" s="13">
        <v>25</v>
      </c>
      <c r="J371" s="13">
        <f>1.8*I371+32</f>
        <v>77</v>
      </c>
      <c r="K371" s="13">
        <v>7</v>
      </c>
      <c r="L371" s="13">
        <f>IF(J371&gt;68,K371+(J371-68)*0.2,K371-(68-J371)*0.2)</f>
        <v>8.8000000000000007</v>
      </c>
      <c r="M371" s="13">
        <f>(C371-H371)/C371*100</f>
        <v>75.679999999999993</v>
      </c>
      <c r="N371" s="13">
        <f>100-(M371+O371)</f>
        <v>6.7199999999999989</v>
      </c>
      <c r="O371" s="13">
        <f>L371/C371*100</f>
        <v>17.600000000000001</v>
      </c>
      <c r="P371" s="12" t="s">
        <v>0</v>
      </c>
      <c r="Q371" s="11">
        <v>409334.95901300001</v>
      </c>
      <c r="R371" s="11">
        <v>3659129.9766170001</v>
      </c>
    </row>
    <row r="372" spans="1:18" x14ac:dyDescent="0.25">
      <c r="A372" s="1"/>
    </row>
    <row r="373" spans="1:18" ht="51.75" x14ac:dyDescent="0.25">
      <c r="A373" s="19" t="s">
        <v>32</v>
      </c>
      <c r="B373" s="22" t="s">
        <v>26</v>
      </c>
      <c r="C373" s="26" t="s">
        <v>25</v>
      </c>
      <c r="D373" s="25" t="s">
        <v>24</v>
      </c>
      <c r="E373" s="24" t="s">
        <v>23</v>
      </c>
      <c r="F373" s="24" t="s">
        <v>22</v>
      </c>
      <c r="G373" s="24" t="s">
        <v>21</v>
      </c>
      <c r="H373" s="24" t="s">
        <v>20</v>
      </c>
      <c r="I373" s="24" t="s">
        <v>19</v>
      </c>
      <c r="J373" s="24" t="s">
        <v>18</v>
      </c>
      <c r="K373" s="24" t="s">
        <v>17</v>
      </c>
      <c r="L373" s="24" t="s">
        <v>16</v>
      </c>
      <c r="M373" s="23" t="s">
        <v>15</v>
      </c>
      <c r="N373" s="23" t="s">
        <v>14</v>
      </c>
      <c r="O373" s="23" t="s">
        <v>13</v>
      </c>
      <c r="P373" s="22" t="s">
        <v>12</v>
      </c>
      <c r="Q373" s="27" t="s">
        <v>11</v>
      </c>
      <c r="R373" s="27"/>
    </row>
    <row r="374" spans="1:18" x14ac:dyDescent="0.25">
      <c r="A374" s="20"/>
      <c r="B374" s="22"/>
      <c r="C374" s="26"/>
      <c r="D374" s="25"/>
      <c r="E374" s="24"/>
      <c r="F374" s="24"/>
      <c r="G374" s="24"/>
      <c r="H374" s="24"/>
      <c r="I374" s="24"/>
      <c r="J374" s="24"/>
      <c r="K374" s="24"/>
      <c r="L374" s="24"/>
      <c r="M374" s="23"/>
      <c r="N374" s="23"/>
      <c r="O374" s="23"/>
      <c r="P374" s="22"/>
      <c r="Q374" s="21" t="s">
        <v>10</v>
      </c>
      <c r="R374" s="21" t="s">
        <v>9</v>
      </c>
    </row>
    <row r="375" spans="1:18" x14ac:dyDescent="0.25">
      <c r="A375" s="20"/>
      <c r="B375" s="14" t="s">
        <v>8</v>
      </c>
      <c r="C375" s="15">
        <v>50</v>
      </c>
      <c r="D375" s="14">
        <v>20</v>
      </c>
      <c r="E375" s="13">
        <v>27</v>
      </c>
      <c r="F375" s="13">
        <f>1.8*E375+32</f>
        <v>80.599999999999994</v>
      </c>
      <c r="G375" s="13">
        <v>16</v>
      </c>
      <c r="H375" s="13">
        <f>IF(F375&gt;68,G375+(F375-68)*0.2,Y606-(68-F375)*0.2)</f>
        <v>18.52</v>
      </c>
      <c r="I375" s="13">
        <v>25</v>
      </c>
      <c r="J375" s="13">
        <f>1.8*I375+32</f>
        <v>77</v>
      </c>
      <c r="K375" s="13">
        <v>8</v>
      </c>
      <c r="L375" s="13">
        <f>IF(J375&gt;68,K375+(J375-68)*0.2,K375-(68-J375)*0.2)</f>
        <v>9.8000000000000007</v>
      </c>
      <c r="M375" s="13">
        <f>(C375-H375)/C375*100</f>
        <v>62.960000000000008</v>
      </c>
      <c r="N375" s="13">
        <f>100-(M375+O375)</f>
        <v>17.439999999999998</v>
      </c>
      <c r="O375" s="13">
        <f>L375/C375*100</f>
        <v>19.600000000000001</v>
      </c>
      <c r="P375" s="12" t="s">
        <v>0</v>
      </c>
      <c r="Q375" s="11">
        <v>409334.986569</v>
      </c>
      <c r="R375" s="11">
        <v>3659139.186156</v>
      </c>
    </row>
    <row r="376" spans="1:18" x14ac:dyDescent="0.25">
      <c r="A376" s="19" t="s">
        <v>7</v>
      </c>
      <c r="B376" s="14" t="s">
        <v>6</v>
      </c>
      <c r="C376" s="15">
        <v>50</v>
      </c>
      <c r="D376" s="14">
        <v>20</v>
      </c>
      <c r="E376" s="13">
        <v>27</v>
      </c>
      <c r="F376" s="13">
        <f>1.8*E376+32</f>
        <v>80.599999999999994</v>
      </c>
      <c r="G376" s="13">
        <v>19</v>
      </c>
      <c r="H376" s="13">
        <f>IF(F376&gt;68,G376+(F376-68)*0.2,Y607-(68-F376)*0.2)</f>
        <v>21.52</v>
      </c>
      <c r="I376" s="13">
        <v>25</v>
      </c>
      <c r="J376" s="13">
        <f>1.8*I376+32</f>
        <v>77</v>
      </c>
      <c r="K376" s="13">
        <v>13</v>
      </c>
      <c r="L376" s="13">
        <f>IF(J376&gt;68,K376+(J376-68)*0.2,K376-(68-J376)*0.2)</f>
        <v>14.8</v>
      </c>
      <c r="M376" s="13">
        <f>(C376-H376)/C376*100</f>
        <v>56.96</v>
      </c>
      <c r="N376" s="13">
        <f>100-(M376+O376)</f>
        <v>13.439999999999998</v>
      </c>
      <c r="O376" s="13">
        <f>L376/C376*100</f>
        <v>29.600000000000005</v>
      </c>
      <c r="P376" s="12" t="s">
        <v>3</v>
      </c>
      <c r="Q376" s="11">
        <v>409334.986569</v>
      </c>
      <c r="R376" s="11">
        <v>3659139.186156</v>
      </c>
    </row>
    <row r="377" spans="1:18" x14ac:dyDescent="0.25">
      <c r="A377" s="18">
        <v>41457</v>
      </c>
      <c r="B377" s="14" t="s">
        <v>5</v>
      </c>
      <c r="C377" s="15">
        <v>50</v>
      </c>
      <c r="D377" s="14">
        <v>20</v>
      </c>
      <c r="E377" s="13">
        <v>27</v>
      </c>
      <c r="F377" s="13">
        <f>1.8*E377+32</f>
        <v>80.599999999999994</v>
      </c>
      <c r="G377" s="13">
        <v>24</v>
      </c>
      <c r="H377" s="13">
        <f>IF(F377&gt;68,G377+(F377-68)*0.2,Y608-(68-F377)*0.2)</f>
        <v>26.52</v>
      </c>
      <c r="I377" s="13">
        <v>25</v>
      </c>
      <c r="J377" s="13">
        <f>1.8*I377+32</f>
        <v>77</v>
      </c>
      <c r="K377" s="13">
        <v>16</v>
      </c>
      <c r="L377" s="13">
        <f>IF(J377&gt;68,K377+(J377-68)*0.2,K377-(68-J377)*0.2)</f>
        <v>17.8</v>
      </c>
      <c r="M377" s="13">
        <f>(C377-H377)/C377*100</f>
        <v>46.96</v>
      </c>
      <c r="N377" s="13">
        <f>100-(M377+O377)</f>
        <v>17.439999999999998</v>
      </c>
      <c r="O377" s="13">
        <f>L377/C377*100</f>
        <v>35.6</v>
      </c>
      <c r="P377" s="12" t="s">
        <v>36</v>
      </c>
      <c r="Q377" s="11">
        <v>409334.986569</v>
      </c>
      <c r="R377" s="11">
        <v>3659139.186156</v>
      </c>
    </row>
    <row r="378" spans="1:18" x14ac:dyDescent="0.25">
      <c r="A378" s="17"/>
      <c r="B378" s="14" t="s">
        <v>4</v>
      </c>
      <c r="C378" s="15">
        <v>50</v>
      </c>
      <c r="D378" s="14">
        <v>20</v>
      </c>
      <c r="E378" s="13">
        <v>27</v>
      </c>
      <c r="F378" s="13">
        <f>1.8*E378+32</f>
        <v>80.599999999999994</v>
      </c>
      <c r="G378" s="13">
        <v>19</v>
      </c>
      <c r="H378" s="13">
        <f>IF(F378&gt;68,G378+(F378-68)*0.2,Y609-(68-F378)*0.2)</f>
        <v>21.52</v>
      </c>
      <c r="I378" s="13">
        <v>25</v>
      </c>
      <c r="J378" s="13">
        <f>1.8*I378+32</f>
        <v>77</v>
      </c>
      <c r="K378" s="13">
        <v>12</v>
      </c>
      <c r="L378" s="13">
        <f>IF(J378&gt;68,K378+(J378-68)*0.2,K378-(68-J378)*0.2)</f>
        <v>13.8</v>
      </c>
      <c r="M378" s="13">
        <f>(C378-H378)/C378*100</f>
        <v>56.96</v>
      </c>
      <c r="N378" s="13">
        <f>100-(M378+O378)</f>
        <v>15.439999999999998</v>
      </c>
      <c r="O378" s="13">
        <f>L378/C378*100</f>
        <v>27.6</v>
      </c>
      <c r="P378" s="12" t="s">
        <v>3</v>
      </c>
      <c r="Q378" s="11">
        <v>409334.986569</v>
      </c>
      <c r="R378" s="11">
        <v>3659139.186156</v>
      </c>
    </row>
    <row r="379" spans="1:18" x14ac:dyDescent="0.25">
      <c r="A379" s="16"/>
      <c r="B379" s="14" t="s">
        <v>2</v>
      </c>
      <c r="C379" s="15">
        <v>50</v>
      </c>
      <c r="D379" s="14">
        <v>20</v>
      </c>
      <c r="E379" s="13">
        <v>27</v>
      </c>
      <c r="F379" s="13">
        <f>1.8*E379+32</f>
        <v>80.599999999999994</v>
      </c>
      <c r="G379" s="13">
        <v>19</v>
      </c>
      <c r="H379" s="13">
        <f>IF(F379&gt;68,G379+(F379-68)*0.2,Y610-(68-F379)*0.2)</f>
        <v>21.52</v>
      </c>
      <c r="I379" s="13">
        <v>25</v>
      </c>
      <c r="J379" s="13">
        <f>1.8*I379+32</f>
        <v>77</v>
      </c>
      <c r="K379" s="13">
        <v>10</v>
      </c>
      <c r="L379" s="13">
        <f>IF(J379&gt;68,K379+(J379-68)*0.2,K379-(68-J379)*0.2)</f>
        <v>11.8</v>
      </c>
      <c r="M379" s="13">
        <f>(C379-H379)/C379*100</f>
        <v>56.96</v>
      </c>
      <c r="N379" s="13">
        <f>100-(M379+O379)</f>
        <v>19.439999999999998</v>
      </c>
      <c r="O379" s="13">
        <f>L379/C379*100</f>
        <v>23.6</v>
      </c>
      <c r="P379" s="12" t="s">
        <v>3</v>
      </c>
      <c r="Q379" s="11">
        <v>409334.986569</v>
      </c>
      <c r="R379" s="11">
        <v>3659139.186156</v>
      </c>
    </row>
    <row r="380" spans="1:18" x14ac:dyDescent="0.25">
      <c r="A380" s="16"/>
      <c r="B380" s="14" t="s">
        <v>1</v>
      </c>
      <c r="C380" s="15">
        <v>50</v>
      </c>
      <c r="D380" s="14">
        <v>20</v>
      </c>
      <c r="E380" s="13">
        <v>27</v>
      </c>
      <c r="F380" s="13">
        <f>1.8*E380+32</f>
        <v>80.599999999999994</v>
      </c>
      <c r="G380" s="13">
        <v>13</v>
      </c>
      <c r="H380" s="13">
        <f>IF(F380&gt;68,G380+(F380-68)*0.2,Y611-(68-F380)*0.2)</f>
        <v>15.52</v>
      </c>
      <c r="I380" s="13">
        <v>25</v>
      </c>
      <c r="J380" s="13">
        <f>1.8*I380+32</f>
        <v>77</v>
      </c>
      <c r="K380" s="13">
        <v>8</v>
      </c>
      <c r="L380" s="13">
        <f>IF(J380&gt;68,K380+(J380-68)*0.2,K380-(68-J380)*0.2)</f>
        <v>9.8000000000000007</v>
      </c>
      <c r="M380" s="13">
        <f>(C380-H380)/C380*100</f>
        <v>68.960000000000008</v>
      </c>
      <c r="N380" s="13">
        <f>100-(M380+O380)</f>
        <v>11.439999999999998</v>
      </c>
      <c r="O380" s="13">
        <f>L380/C380*100</f>
        <v>19.600000000000001</v>
      </c>
      <c r="P380" s="12" t="s">
        <v>0</v>
      </c>
      <c r="Q380" s="11">
        <v>409334.986569</v>
      </c>
      <c r="R380" s="11">
        <v>3659139.186156</v>
      </c>
    </row>
    <row r="381" spans="1:18" x14ac:dyDescent="0.25">
      <c r="A381" s="1"/>
    </row>
    <row r="382" spans="1:18" ht="51.75" x14ac:dyDescent="0.25">
      <c r="A382" s="19" t="s">
        <v>31</v>
      </c>
      <c r="B382" s="22" t="s">
        <v>26</v>
      </c>
      <c r="C382" s="26" t="s">
        <v>25</v>
      </c>
      <c r="D382" s="25" t="s">
        <v>24</v>
      </c>
      <c r="E382" s="24" t="s">
        <v>23</v>
      </c>
      <c r="F382" s="24" t="s">
        <v>22</v>
      </c>
      <c r="G382" s="24" t="s">
        <v>21</v>
      </c>
      <c r="H382" s="24" t="s">
        <v>20</v>
      </c>
      <c r="I382" s="24" t="s">
        <v>19</v>
      </c>
      <c r="J382" s="24" t="s">
        <v>18</v>
      </c>
      <c r="K382" s="24" t="s">
        <v>17</v>
      </c>
      <c r="L382" s="24" t="s">
        <v>16</v>
      </c>
      <c r="M382" s="23" t="s">
        <v>15</v>
      </c>
      <c r="N382" s="23" t="s">
        <v>14</v>
      </c>
      <c r="O382" s="23" t="s">
        <v>13</v>
      </c>
      <c r="P382" s="22" t="s">
        <v>12</v>
      </c>
      <c r="Q382" s="36" t="s">
        <v>11</v>
      </c>
      <c r="R382" s="35"/>
    </row>
    <row r="383" spans="1:18" x14ac:dyDescent="0.25">
      <c r="A383" s="20"/>
      <c r="B383" s="22"/>
      <c r="C383" s="26"/>
      <c r="D383" s="25"/>
      <c r="E383" s="24"/>
      <c r="F383" s="24"/>
      <c r="G383" s="24"/>
      <c r="H383" s="24"/>
      <c r="I383" s="24"/>
      <c r="J383" s="24"/>
      <c r="K383" s="24"/>
      <c r="L383" s="24"/>
      <c r="M383" s="23"/>
      <c r="N383" s="23"/>
      <c r="O383" s="23"/>
      <c r="P383" s="22"/>
      <c r="Q383" s="21" t="s">
        <v>10</v>
      </c>
      <c r="R383" s="21" t="s">
        <v>9</v>
      </c>
    </row>
    <row r="384" spans="1:18" x14ac:dyDescent="0.25">
      <c r="A384" s="20"/>
      <c r="B384" s="14" t="s">
        <v>8</v>
      </c>
      <c r="C384" s="15">
        <v>50</v>
      </c>
      <c r="D384" s="14">
        <v>20</v>
      </c>
      <c r="E384" s="13">
        <v>27</v>
      </c>
      <c r="F384" s="13">
        <f>1.8*E384+32</f>
        <v>80.599999999999994</v>
      </c>
      <c r="G384" s="13">
        <v>15</v>
      </c>
      <c r="H384" s="13">
        <f>IF(F384&gt;68,G384+(F384-68)*0.2,Y617-(68-F384)*0.2)</f>
        <v>17.52</v>
      </c>
      <c r="I384" s="13">
        <v>25</v>
      </c>
      <c r="J384" s="13">
        <f>1.8*I384+32</f>
        <v>77</v>
      </c>
      <c r="K384" s="13">
        <v>10</v>
      </c>
      <c r="L384" s="13">
        <f>IF(J384&gt;68,K384+(J384-68)*0.2,K384-(68-J384)*0.2)</f>
        <v>11.8</v>
      </c>
      <c r="M384" s="13">
        <f>(C384-H384)/C384*100</f>
        <v>64.960000000000008</v>
      </c>
      <c r="N384" s="13">
        <f>100-(M384+O384)</f>
        <v>11.439999999999998</v>
      </c>
      <c r="O384" s="13">
        <f>L384/C384*100</f>
        <v>23.6</v>
      </c>
      <c r="P384" s="12" t="s">
        <v>3</v>
      </c>
      <c r="Q384" s="11">
        <v>409335.05828100001</v>
      </c>
      <c r="R384" s="11">
        <v>3659152.6297050002</v>
      </c>
    </row>
    <row r="385" spans="1:18" x14ac:dyDescent="0.25">
      <c r="A385" s="19" t="s">
        <v>7</v>
      </c>
      <c r="B385" s="14" t="s">
        <v>6</v>
      </c>
      <c r="C385" s="15">
        <v>50</v>
      </c>
      <c r="D385" s="14">
        <v>20</v>
      </c>
      <c r="E385" s="13">
        <v>27</v>
      </c>
      <c r="F385" s="13">
        <f>1.8*E385+32</f>
        <v>80.599999999999994</v>
      </c>
      <c r="G385" s="13">
        <v>22</v>
      </c>
      <c r="H385" s="13">
        <f>IF(F385&gt;68,G385+(F385-68)*0.2,Y618-(68-F385)*0.2)</f>
        <v>24.52</v>
      </c>
      <c r="I385" s="13">
        <v>25</v>
      </c>
      <c r="J385" s="13">
        <f>1.8*I385+32</f>
        <v>77</v>
      </c>
      <c r="K385" s="13">
        <v>13</v>
      </c>
      <c r="L385" s="13">
        <f>IF(J385&gt;68,K385+(J385-68)*0.2,K385-(68-J385)*0.2)</f>
        <v>14.8</v>
      </c>
      <c r="M385" s="13">
        <f>(C385-H385)/C385*100</f>
        <v>50.960000000000008</v>
      </c>
      <c r="N385" s="13">
        <f>100-(M385+O385)</f>
        <v>19.439999999999984</v>
      </c>
      <c r="O385" s="13">
        <f>L385/C385*100</f>
        <v>29.600000000000005</v>
      </c>
      <c r="P385" s="12" t="s">
        <v>3</v>
      </c>
      <c r="Q385" s="11">
        <v>409335.05828100001</v>
      </c>
      <c r="R385" s="11">
        <v>3659152.6297050002</v>
      </c>
    </row>
    <row r="386" spans="1:18" x14ac:dyDescent="0.25">
      <c r="A386" s="18">
        <v>41457</v>
      </c>
      <c r="B386" s="14" t="s">
        <v>5</v>
      </c>
      <c r="C386" s="15">
        <v>50</v>
      </c>
      <c r="D386" s="14">
        <v>20</v>
      </c>
      <c r="E386" s="13">
        <v>28</v>
      </c>
      <c r="F386" s="13">
        <f>1.8*E386+32</f>
        <v>82.4</v>
      </c>
      <c r="G386" s="13">
        <v>25</v>
      </c>
      <c r="H386" s="13">
        <f>IF(F386&gt;68,G386+(F386-68)*0.2,Y619-(68-F386)*0.2)</f>
        <v>27.880000000000003</v>
      </c>
      <c r="I386" s="13">
        <v>25</v>
      </c>
      <c r="J386" s="13">
        <f>1.8*I386+32</f>
        <v>77</v>
      </c>
      <c r="K386" s="13">
        <v>12</v>
      </c>
      <c r="L386" s="13">
        <f>IF(J386&gt;68,K386+(J386-68)*0.2,K386-(68-J386)*0.2)</f>
        <v>13.8</v>
      </c>
      <c r="M386" s="13">
        <f>(C386-H386)/C386*100</f>
        <v>44.239999999999995</v>
      </c>
      <c r="N386" s="13">
        <f>100-(M386+O386)</f>
        <v>28.159999999999997</v>
      </c>
      <c r="O386" s="13">
        <f>L386/C386*100</f>
        <v>27.6</v>
      </c>
      <c r="P386" s="12" t="s">
        <v>30</v>
      </c>
      <c r="Q386" s="11">
        <v>409335.05828100001</v>
      </c>
      <c r="R386" s="11">
        <v>3659152.6297050002</v>
      </c>
    </row>
    <row r="387" spans="1:18" x14ac:dyDescent="0.25">
      <c r="A387" s="17"/>
      <c r="B387" s="14" t="s">
        <v>4</v>
      </c>
      <c r="C387" s="15">
        <v>50</v>
      </c>
      <c r="D387" s="14">
        <v>20</v>
      </c>
      <c r="E387" s="13">
        <v>28</v>
      </c>
      <c r="F387" s="13">
        <f>1.8*E387+32</f>
        <v>82.4</v>
      </c>
      <c r="G387" s="13">
        <v>24</v>
      </c>
      <c r="H387" s="13">
        <f>IF(F387&gt;68,G387+(F387-68)*0.2,Y620-(68-F387)*0.2)</f>
        <v>26.880000000000003</v>
      </c>
      <c r="I387" s="13">
        <v>25</v>
      </c>
      <c r="J387" s="13">
        <f>1.8*I387+32</f>
        <v>77</v>
      </c>
      <c r="K387" s="13">
        <v>12</v>
      </c>
      <c r="L387" s="13">
        <f>IF(J387&gt;68,K387+(J387-68)*0.2,K387-(68-J387)*0.2)</f>
        <v>13.8</v>
      </c>
      <c r="M387" s="13">
        <f>(C387-H387)/C387*100</f>
        <v>46.239999999999995</v>
      </c>
      <c r="N387" s="13">
        <f>100-(M387+O387)</f>
        <v>26.159999999999997</v>
      </c>
      <c r="O387" s="13">
        <f>L387/C387*100</f>
        <v>27.6</v>
      </c>
      <c r="P387" s="12" t="s">
        <v>3</v>
      </c>
      <c r="Q387" s="11">
        <v>409335.05828100001</v>
      </c>
      <c r="R387" s="11">
        <v>3659152.6297050002</v>
      </c>
    </row>
    <row r="388" spans="1:18" x14ac:dyDescent="0.25">
      <c r="A388" s="16"/>
      <c r="B388" s="14" t="s">
        <v>2</v>
      </c>
      <c r="C388" s="15">
        <v>50</v>
      </c>
      <c r="D388" s="14">
        <v>20</v>
      </c>
      <c r="E388" s="13">
        <v>28</v>
      </c>
      <c r="F388" s="13">
        <f>1.8*E388+32</f>
        <v>82.4</v>
      </c>
      <c r="G388" s="13">
        <v>14</v>
      </c>
      <c r="H388" s="13">
        <f>IF(F388&gt;68,G388+(F388-68)*0.2,Y621-(68-F388)*0.2)</f>
        <v>16.880000000000003</v>
      </c>
      <c r="I388" s="13">
        <v>25</v>
      </c>
      <c r="J388" s="13">
        <f>1.8*I388+32</f>
        <v>77</v>
      </c>
      <c r="K388" s="13">
        <v>9</v>
      </c>
      <c r="L388" s="13">
        <f>IF(J388&gt;68,K388+(J388-68)*0.2,K388-(68-J388)*0.2)</f>
        <v>10.8</v>
      </c>
      <c r="M388" s="13">
        <f>(C388-H388)/C388*100</f>
        <v>66.239999999999995</v>
      </c>
      <c r="N388" s="13">
        <f>100-(M388+O388)</f>
        <v>12.159999999999997</v>
      </c>
      <c r="O388" s="13">
        <f>L388/C388*100</f>
        <v>21.6</v>
      </c>
      <c r="P388" s="12" t="s">
        <v>3</v>
      </c>
      <c r="Q388" s="11">
        <v>409335.05828100001</v>
      </c>
      <c r="R388" s="11">
        <v>3659152.6297050002</v>
      </c>
    </row>
    <row r="389" spans="1:18" x14ac:dyDescent="0.25">
      <c r="A389" s="16"/>
      <c r="B389" s="14" t="s">
        <v>1</v>
      </c>
      <c r="C389" s="15">
        <v>50</v>
      </c>
      <c r="D389" s="14">
        <v>20</v>
      </c>
      <c r="E389" s="13">
        <v>28</v>
      </c>
      <c r="F389" s="13">
        <f>1.8*E389+32</f>
        <v>82.4</v>
      </c>
      <c r="G389" s="13">
        <v>18</v>
      </c>
      <c r="H389" s="13">
        <f>IF(F389&gt;68,G389+(F389-68)*0.2,Y622-(68-F389)*0.2)</f>
        <v>20.880000000000003</v>
      </c>
      <c r="I389" s="13">
        <v>25</v>
      </c>
      <c r="J389" s="13">
        <f>1.8*I389+32</f>
        <v>77</v>
      </c>
      <c r="K389" s="13">
        <v>9</v>
      </c>
      <c r="L389" s="13">
        <f>IF(J389&gt;68,K389+(J389-68)*0.2,K389-(68-J389)*0.2)</f>
        <v>10.8</v>
      </c>
      <c r="M389" s="13">
        <f>(C389-H389)/C389*100</f>
        <v>58.239999999999995</v>
      </c>
      <c r="N389" s="13">
        <f>100-(M389+O389)</f>
        <v>20.159999999999997</v>
      </c>
      <c r="O389" s="13">
        <f>L389/C389*100</f>
        <v>21.6</v>
      </c>
      <c r="P389" s="12" t="s">
        <v>3</v>
      </c>
      <c r="Q389" s="11">
        <v>409335.05828100001</v>
      </c>
      <c r="R389" s="11">
        <v>3659152.6297050002</v>
      </c>
    </row>
    <row r="390" spans="1:18" x14ac:dyDescent="0.25">
      <c r="A390" s="1"/>
    </row>
    <row r="391" spans="1:18" ht="51.75" x14ac:dyDescent="0.25">
      <c r="A391" s="19" t="s">
        <v>29</v>
      </c>
      <c r="B391" s="22" t="s">
        <v>26</v>
      </c>
      <c r="C391" s="26" t="s">
        <v>25</v>
      </c>
      <c r="D391" s="25" t="s">
        <v>24</v>
      </c>
      <c r="E391" s="24" t="s">
        <v>23</v>
      </c>
      <c r="F391" s="24" t="s">
        <v>22</v>
      </c>
      <c r="G391" s="24" t="s">
        <v>21</v>
      </c>
      <c r="H391" s="24" t="s">
        <v>20</v>
      </c>
      <c r="I391" s="24" t="s">
        <v>19</v>
      </c>
      <c r="J391" s="24" t="s">
        <v>18</v>
      </c>
      <c r="K391" s="24" t="s">
        <v>17</v>
      </c>
      <c r="L391" s="24" t="s">
        <v>16</v>
      </c>
      <c r="M391" s="23" t="s">
        <v>15</v>
      </c>
      <c r="N391" s="23" t="s">
        <v>14</v>
      </c>
      <c r="O391" s="23" t="s">
        <v>13</v>
      </c>
      <c r="P391" s="22" t="s">
        <v>12</v>
      </c>
      <c r="Q391" s="27" t="s">
        <v>11</v>
      </c>
      <c r="R391" s="27"/>
    </row>
    <row r="392" spans="1:18" x14ac:dyDescent="0.25">
      <c r="A392" s="20"/>
      <c r="B392" s="22"/>
      <c r="C392" s="26"/>
      <c r="D392" s="25"/>
      <c r="E392" s="24"/>
      <c r="F392" s="24"/>
      <c r="G392" s="24"/>
      <c r="H392" s="24"/>
      <c r="I392" s="24"/>
      <c r="J392" s="24"/>
      <c r="K392" s="24"/>
      <c r="L392" s="24"/>
      <c r="M392" s="23"/>
      <c r="N392" s="23"/>
      <c r="O392" s="23"/>
      <c r="P392" s="22"/>
      <c r="Q392" s="21" t="s">
        <v>10</v>
      </c>
      <c r="R392" s="21" t="s">
        <v>9</v>
      </c>
    </row>
    <row r="393" spans="1:18" x14ac:dyDescent="0.25">
      <c r="A393" s="20"/>
      <c r="B393" s="14" t="s">
        <v>8</v>
      </c>
      <c r="C393" s="15">
        <v>50</v>
      </c>
      <c r="D393" s="14">
        <v>20</v>
      </c>
      <c r="E393" s="13">
        <v>27</v>
      </c>
      <c r="F393" s="13">
        <f>1.8*E393+32</f>
        <v>80.599999999999994</v>
      </c>
      <c r="G393" s="13">
        <v>16</v>
      </c>
      <c r="H393" s="13">
        <f>IF(F393&gt;68,G393+(F393-68)*0.2,Y628-(68-F393)*0.2)</f>
        <v>18.52</v>
      </c>
      <c r="I393" s="13">
        <v>25</v>
      </c>
      <c r="J393" s="13">
        <f>1.8*I393+32</f>
        <v>77</v>
      </c>
      <c r="K393" s="13">
        <v>8</v>
      </c>
      <c r="L393" s="13">
        <f>IF(J393&gt;68,K393+(J393-68)*0.2,K393-(68-J393)*0.2)</f>
        <v>9.8000000000000007</v>
      </c>
      <c r="M393" s="13">
        <f>(C393-H393)/C393*100</f>
        <v>62.960000000000008</v>
      </c>
      <c r="N393" s="13">
        <f>100-(M393+O393)</f>
        <v>17.439999999999998</v>
      </c>
      <c r="O393" s="13">
        <f>L393/C393*100</f>
        <v>19.600000000000001</v>
      </c>
      <c r="P393" s="12" t="s">
        <v>0</v>
      </c>
      <c r="Q393" s="11">
        <v>409335.00505500002</v>
      </c>
      <c r="R393" s="11">
        <v>3659161.8437569998</v>
      </c>
    </row>
    <row r="394" spans="1:18" x14ac:dyDescent="0.25">
      <c r="A394" s="19" t="s">
        <v>7</v>
      </c>
      <c r="B394" s="14" t="s">
        <v>6</v>
      </c>
      <c r="C394" s="15">
        <v>50</v>
      </c>
      <c r="D394" s="14">
        <v>20</v>
      </c>
      <c r="E394" s="13">
        <v>27</v>
      </c>
      <c r="F394" s="13">
        <f>1.8*E394+32</f>
        <v>80.599999999999994</v>
      </c>
      <c r="G394" s="13">
        <v>20</v>
      </c>
      <c r="H394" s="13">
        <f>IF(F394&gt;68,G394+(F394-68)*0.2,Y629-(68-F394)*0.2)</f>
        <v>22.52</v>
      </c>
      <c r="I394" s="13">
        <v>25</v>
      </c>
      <c r="J394" s="13">
        <f>1.8*I394+32</f>
        <v>77</v>
      </c>
      <c r="K394" s="13">
        <v>13</v>
      </c>
      <c r="L394" s="13">
        <f>IF(J394&gt;68,K394+(J394-68)*0.2,K394-(68-J394)*0.2)</f>
        <v>14.8</v>
      </c>
      <c r="M394" s="13">
        <f>(C394-H394)/C394*100</f>
        <v>54.96</v>
      </c>
      <c r="N394" s="13">
        <f>100-(M394+O394)</f>
        <v>15.439999999999998</v>
      </c>
      <c r="O394" s="13">
        <f>L394/C394*100</f>
        <v>29.600000000000005</v>
      </c>
      <c r="P394" s="12" t="s">
        <v>3</v>
      </c>
      <c r="Q394" s="11">
        <v>409335.00505500002</v>
      </c>
      <c r="R394" s="11">
        <v>3659161.8437569998</v>
      </c>
    </row>
    <row r="395" spans="1:18" x14ac:dyDescent="0.25">
      <c r="A395" s="18">
        <v>41457</v>
      </c>
      <c r="B395" s="14" t="s">
        <v>5</v>
      </c>
      <c r="C395" s="15">
        <v>50</v>
      </c>
      <c r="D395" s="14">
        <v>20</v>
      </c>
      <c r="E395" s="13">
        <v>27</v>
      </c>
      <c r="F395" s="13">
        <f>1.8*E395+32</f>
        <v>80.599999999999994</v>
      </c>
      <c r="G395" s="13">
        <v>26</v>
      </c>
      <c r="H395" s="13">
        <f>IF(F395&gt;68,G395+(F395-68)*0.2,Y630-(68-F395)*0.2)</f>
        <v>28.52</v>
      </c>
      <c r="I395" s="13">
        <v>25</v>
      </c>
      <c r="J395" s="13">
        <f>1.8*I395+32</f>
        <v>77</v>
      </c>
      <c r="K395" s="13">
        <v>17</v>
      </c>
      <c r="L395" s="13">
        <f>IF(J395&gt;68,K395+(J395-68)*0.2,K395-(68-J395)*0.2)</f>
        <v>18.8</v>
      </c>
      <c r="M395" s="13">
        <f>(C395-H395)/C395*100</f>
        <v>42.96</v>
      </c>
      <c r="N395" s="13">
        <f>100-(M395+O395)</f>
        <v>19.439999999999998</v>
      </c>
      <c r="O395" s="13">
        <f>L395/C395*100</f>
        <v>37.6</v>
      </c>
      <c r="P395" s="12" t="s">
        <v>30</v>
      </c>
      <c r="Q395" s="11">
        <v>409335.00505500002</v>
      </c>
      <c r="R395" s="11">
        <v>3659161.8437569998</v>
      </c>
    </row>
    <row r="396" spans="1:18" x14ac:dyDescent="0.25">
      <c r="A396" s="17"/>
      <c r="B396" s="14" t="s">
        <v>4</v>
      </c>
      <c r="C396" s="15">
        <v>50</v>
      </c>
      <c r="D396" s="14">
        <v>20</v>
      </c>
      <c r="E396" s="13">
        <v>27</v>
      </c>
      <c r="F396" s="13">
        <f>1.8*E396+32</f>
        <v>80.599999999999994</v>
      </c>
      <c r="G396" s="13">
        <v>20</v>
      </c>
      <c r="H396" s="13">
        <f>IF(F396&gt;68,G396+(F396-68)*0.2,Y631-(68-F396)*0.2)</f>
        <v>22.52</v>
      </c>
      <c r="I396" s="13">
        <v>25</v>
      </c>
      <c r="J396" s="13">
        <f>1.8*I396+32</f>
        <v>77</v>
      </c>
      <c r="K396" s="13">
        <v>13</v>
      </c>
      <c r="L396" s="13">
        <f>IF(J396&gt;68,K396+(J396-68)*0.2,K396-(68-J396)*0.2)</f>
        <v>14.8</v>
      </c>
      <c r="M396" s="13">
        <f>(C396-H396)/C396*100</f>
        <v>54.96</v>
      </c>
      <c r="N396" s="13">
        <f>100-(M396+O396)</f>
        <v>15.439999999999998</v>
      </c>
      <c r="O396" s="13">
        <f>L396/C396*100</f>
        <v>29.600000000000005</v>
      </c>
      <c r="P396" s="12" t="s">
        <v>3</v>
      </c>
      <c r="Q396" s="11">
        <v>409335.00505500002</v>
      </c>
      <c r="R396" s="11">
        <v>3659161.8437569998</v>
      </c>
    </row>
    <row r="397" spans="1:18" x14ac:dyDescent="0.25">
      <c r="A397" s="16"/>
      <c r="B397" s="14" t="s">
        <v>2</v>
      </c>
      <c r="C397" s="15">
        <v>50</v>
      </c>
      <c r="D397" s="14">
        <v>20</v>
      </c>
      <c r="E397" s="13">
        <v>27</v>
      </c>
      <c r="F397" s="13">
        <f>1.8*E397+32</f>
        <v>80.599999999999994</v>
      </c>
      <c r="G397" s="13">
        <v>15</v>
      </c>
      <c r="H397" s="13">
        <f>IF(F397&gt;68,G397+(F397-68)*0.2,Y632-(68-F397)*0.2)</f>
        <v>17.52</v>
      </c>
      <c r="I397" s="13">
        <v>25</v>
      </c>
      <c r="J397" s="13">
        <f>1.8*I397+32</f>
        <v>77</v>
      </c>
      <c r="K397" s="13">
        <v>10</v>
      </c>
      <c r="L397" s="13">
        <f>IF(J397&gt;68,K397+(J397-68)*0.2,K397-(68-J397)*0.2)</f>
        <v>11.8</v>
      </c>
      <c r="M397" s="13">
        <f>(C397-H397)/C397*100</f>
        <v>64.960000000000008</v>
      </c>
      <c r="N397" s="13">
        <f>100-(M397+O397)</f>
        <v>11.439999999999998</v>
      </c>
      <c r="O397" s="13">
        <f>L397/C397*100</f>
        <v>23.6</v>
      </c>
      <c r="P397" s="12" t="s">
        <v>3</v>
      </c>
      <c r="Q397" s="11">
        <v>409335.00505500002</v>
      </c>
      <c r="R397" s="11">
        <v>3659161.8437569998</v>
      </c>
    </row>
    <row r="398" spans="1:18" x14ac:dyDescent="0.25">
      <c r="A398" s="16"/>
      <c r="B398" s="14" t="s">
        <v>1</v>
      </c>
      <c r="C398" s="15">
        <v>50</v>
      </c>
      <c r="D398" s="14">
        <v>20</v>
      </c>
      <c r="E398" s="13">
        <v>27</v>
      </c>
      <c r="F398" s="13">
        <f>1.8*E398+32</f>
        <v>80.599999999999994</v>
      </c>
      <c r="G398" s="13">
        <v>17</v>
      </c>
      <c r="H398" s="13">
        <f>IF(F398&gt;68,G398+(F398-68)*0.2,Y633-(68-F398)*0.2)</f>
        <v>19.52</v>
      </c>
      <c r="I398" s="13">
        <v>25</v>
      </c>
      <c r="J398" s="13">
        <f>1.8*I398+32</f>
        <v>77</v>
      </c>
      <c r="K398" s="13">
        <v>12</v>
      </c>
      <c r="L398" s="13">
        <f>IF(J398&gt;68,K398+(J398-68)*0.2,K398-(68-J398)*0.2)</f>
        <v>13.8</v>
      </c>
      <c r="M398" s="13">
        <f>(C398-H398)/C398*100</f>
        <v>60.96</v>
      </c>
      <c r="N398" s="13">
        <f>100-(M398+O398)</f>
        <v>11.439999999999998</v>
      </c>
      <c r="O398" s="13">
        <f>L398/C398*100</f>
        <v>27.6</v>
      </c>
      <c r="P398" s="12" t="s">
        <v>3</v>
      </c>
      <c r="Q398" s="11">
        <v>409335.00505500002</v>
      </c>
      <c r="R398" s="11">
        <v>3659161.8437569998</v>
      </c>
    </row>
    <row r="399" spans="1:18" x14ac:dyDescent="0.25">
      <c r="A399" s="1"/>
    </row>
    <row r="400" spans="1:18" ht="51.75" x14ac:dyDescent="0.25">
      <c r="A400" s="19" t="s">
        <v>27</v>
      </c>
      <c r="B400" s="22" t="s">
        <v>26</v>
      </c>
      <c r="C400" s="26" t="s">
        <v>25</v>
      </c>
      <c r="D400" s="25" t="s">
        <v>24</v>
      </c>
      <c r="E400" s="24" t="s">
        <v>23</v>
      </c>
      <c r="F400" s="24" t="s">
        <v>22</v>
      </c>
      <c r="G400" s="24" t="s">
        <v>21</v>
      </c>
      <c r="H400" s="24" t="s">
        <v>20</v>
      </c>
      <c r="I400" s="24" t="s">
        <v>19</v>
      </c>
      <c r="J400" s="24" t="s">
        <v>18</v>
      </c>
      <c r="K400" s="24" t="s">
        <v>17</v>
      </c>
      <c r="L400" s="24" t="s">
        <v>16</v>
      </c>
      <c r="M400" s="23" t="s">
        <v>15</v>
      </c>
      <c r="N400" s="23" t="s">
        <v>14</v>
      </c>
      <c r="O400" s="23" t="s">
        <v>13</v>
      </c>
      <c r="P400" s="22" t="s">
        <v>12</v>
      </c>
      <c r="Q400" s="36" t="s">
        <v>11</v>
      </c>
      <c r="R400" s="35"/>
    </row>
    <row r="401" spans="1:18" x14ac:dyDescent="0.25">
      <c r="A401" s="20"/>
      <c r="B401" s="22"/>
      <c r="C401" s="26"/>
      <c r="D401" s="25"/>
      <c r="E401" s="24"/>
      <c r="F401" s="24"/>
      <c r="G401" s="24"/>
      <c r="H401" s="24"/>
      <c r="I401" s="24"/>
      <c r="J401" s="24"/>
      <c r="K401" s="24"/>
      <c r="L401" s="24"/>
      <c r="M401" s="23"/>
      <c r="N401" s="23"/>
      <c r="O401" s="23"/>
      <c r="P401" s="22"/>
      <c r="Q401" s="21" t="s">
        <v>10</v>
      </c>
      <c r="R401" s="21" t="s">
        <v>9</v>
      </c>
    </row>
    <row r="402" spans="1:18" x14ac:dyDescent="0.25">
      <c r="A402" s="20"/>
      <c r="B402" s="14" t="s">
        <v>8</v>
      </c>
      <c r="C402" s="15">
        <v>50</v>
      </c>
      <c r="D402" s="14">
        <v>20</v>
      </c>
      <c r="E402" s="13">
        <v>27</v>
      </c>
      <c r="F402" s="13">
        <f>1.8*E402+32</f>
        <v>80.599999999999994</v>
      </c>
      <c r="G402" s="13">
        <v>15</v>
      </c>
      <c r="H402" s="13">
        <f>IF(F402&gt;68,G402+(F402-68)*0.2,Y639-(68-F402)*0.2)</f>
        <v>17.52</v>
      </c>
      <c r="I402" s="13">
        <v>25</v>
      </c>
      <c r="J402" s="13">
        <f>1.8*I402+32</f>
        <v>77</v>
      </c>
      <c r="K402" s="13">
        <v>10</v>
      </c>
      <c r="L402" s="13">
        <f>IF(J402&gt;68,K402+(J402-68)*0.2,K402-(68-J402)*0.2)</f>
        <v>11.8</v>
      </c>
      <c r="M402" s="13">
        <f>(C402-H402)/C402*100</f>
        <v>64.960000000000008</v>
      </c>
      <c r="N402" s="13">
        <f>100-(M402+O402)</f>
        <v>11.439999999999998</v>
      </c>
      <c r="O402" s="13">
        <f>L402/C402*100</f>
        <v>23.6</v>
      </c>
      <c r="P402" s="12" t="s">
        <v>3</v>
      </c>
      <c r="Q402" s="11">
        <v>409334.93427000003</v>
      </c>
      <c r="R402" s="11">
        <v>3659171.1682210001</v>
      </c>
    </row>
    <row r="403" spans="1:18" x14ac:dyDescent="0.25">
      <c r="A403" s="19" t="s">
        <v>7</v>
      </c>
      <c r="B403" s="14" t="s">
        <v>6</v>
      </c>
      <c r="C403" s="15">
        <v>50</v>
      </c>
      <c r="D403" s="14">
        <v>20</v>
      </c>
      <c r="E403" s="13">
        <v>27</v>
      </c>
      <c r="F403" s="13">
        <f>1.8*E403+32</f>
        <v>80.599999999999994</v>
      </c>
      <c r="G403" s="13">
        <v>16</v>
      </c>
      <c r="H403" s="13">
        <f>IF(F403&gt;68,G403+(F403-68)*0.2,Y640-(68-F403)*0.2)</f>
        <v>18.52</v>
      </c>
      <c r="I403" s="13">
        <v>25</v>
      </c>
      <c r="J403" s="13">
        <f>1.8*I403+32</f>
        <v>77</v>
      </c>
      <c r="K403" s="13">
        <v>10</v>
      </c>
      <c r="L403" s="13">
        <f>IF(J403&gt;68,K403+(J403-68)*0.2,K403-(68-J403)*0.2)</f>
        <v>11.8</v>
      </c>
      <c r="M403" s="13">
        <f>(C403-H403)/C403*100</f>
        <v>62.960000000000008</v>
      </c>
      <c r="N403" s="13">
        <f>100-(M403+O403)</f>
        <v>13.439999999999998</v>
      </c>
      <c r="O403" s="13">
        <f>L403/C403*100</f>
        <v>23.6</v>
      </c>
      <c r="P403" s="12" t="s">
        <v>3</v>
      </c>
      <c r="Q403" s="11">
        <v>409334.93427000003</v>
      </c>
      <c r="R403" s="11">
        <v>3659171.1682210001</v>
      </c>
    </row>
    <row r="404" spans="1:18" x14ac:dyDescent="0.25">
      <c r="A404" s="18">
        <v>41457</v>
      </c>
      <c r="B404" s="14" t="s">
        <v>5</v>
      </c>
      <c r="C404" s="15">
        <v>50</v>
      </c>
      <c r="D404" s="14">
        <v>20</v>
      </c>
      <c r="E404" s="13">
        <v>27</v>
      </c>
      <c r="F404" s="13">
        <f>1.8*E404+32</f>
        <v>80.599999999999994</v>
      </c>
      <c r="G404" s="13">
        <v>20</v>
      </c>
      <c r="H404" s="13">
        <f>IF(F404&gt;68,G404+(F404-68)*0.2,Y641-(68-F404)*0.2)</f>
        <v>22.52</v>
      </c>
      <c r="I404" s="13">
        <v>25</v>
      </c>
      <c r="J404" s="13">
        <f>1.8*I404+32</f>
        <v>77</v>
      </c>
      <c r="K404" s="13">
        <v>12</v>
      </c>
      <c r="L404" s="13">
        <f>IF(J404&gt;68,K404+(J404-68)*0.2,K404-(68-J404)*0.2)</f>
        <v>13.8</v>
      </c>
      <c r="M404" s="13">
        <f>(C404-H404)/C404*100</f>
        <v>54.96</v>
      </c>
      <c r="N404" s="13">
        <f>100-(M404+O404)</f>
        <v>17.439999999999998</v>
      </c>
      <c r="O404" s="13">
        <f>L404/C404*100</f>
        <v>27.6</v>
      </c>
      <c r="P404" s="12" t="s">
        <v>3</v>
      </c>
      <c r="Q404" s="11">
        <v>409334.93427000003</v>
      </c>
      <c r="R404" s="11">
        <v>3659171.1682210001</v>
      </c>
    </row>
    <row r="405" spans="1:18" x14ac:dyDescent="0.25">
      <c r="A405" s="17"/>
      <c r="B405" s="14" t="s">
        <v>4</v>
      </c>
      <c r="C405" s="15">
        <v>50</v>
      </c>
      <c r="D405" s="14">
        <v>20</v>
      </c>
      <c r="E405" s="13">
        <v>27</v>
      </c>
      <c r="F405" s="13">
        <f>1.8*E405+32</f>
        <v>80.599999999999994</v>
      </c>
      <c r="G405" s="13">
        <v>23</v>
      </c>
      <c r="H405" s="13">
        <f>IF(F405&gt;68,G405+(F405-68)*0.2,Y642-(68-F405)*0.2)</f>
        <v>25.52</v>
      </c>
      <c r="I405" s="13">
        <v>25</v>
      </c>
      <c r="J405" s="13">
        <f>1.8*I405+32</f>
        <v>77</v>
      </c>
      <c r="K405" s="13">
        <v>14</v>
      </c>
      <c r="L405" s="13">
        <f>IF(J405&gt;68,K405+(J405-68)*0.2,K405-(68-J405)*0.2)</f>
        <v>15.8</v>
      </c>
      <c r="M405" s="13">
        <f>(C405-H405)/C405*100</f>
        <v>48.96</v>
      </c>
      <c r="N405" s="13">
        <f>100-(M405+O405)</f>
        <v>19.439999999999998</v>
      </c>
      <c r="O405" s="13">
        <f>L405/C405*100</f>
        <v>31.6</v>
      </c>
      <c r="P405" s="12" t="s">
        <v>3</v>
      </c>
      <c r="Q405" s="11">
        <v>409334.93427000003</v>
      </c>
      <c r="R405" s="11">
        <v>3659171.1682210001</v>
      </c>
    </row>
    <row r="406" spans="1:18" x14ac:dyDescent="0.25">
      <c r="A406" s="16"/>
      <c r="B406" s="14" t="s">
        <v>2</v>
      </c>
      <c r="C406" s="15">
        <v>50</v>
      </c>
      <c r="D406" s="14">
        <v>20</v>
      </c>
      <c r="E406" s="13">
        <v>27</v>
      </c>
      <c r="F406" s="13">
        <f>1.8*E406+32</f>
        <v>80.599999999999994</v>
      </c>
      <c r="G406" s="13">
        <v>22</v>
      </c>
      <c r="H406" s="13">
        <f>IF(F406&gt;68,G406+(F406-68)*0.2,Y643-(68-F406)*0.2)</f>
        <v>24.52</v>
      </c>
      <c r="I406" s="13">
        <v>25</v>
      </c>
      <c r="J406" s="13">
        <f>1.8*I406+32</f>
        <v>77</v>
      </c>
      <c r="K406" s="13">
        <v>11</v>
      </c>
      <c r="L406" s="13">
        <f>IF(J406&gt;68,K406+(J406-68)*0.2,K406-(68-J406)*0.2)</f>
        <v>12.8</v>
      </c>
      <c r="M406" s="13">
        <f>(C406-H406)/C406*100</f>
        <v>50.960000000000008</v>
      </c>
      <c r="N406" s="13">
        <f>100-(M406+O406)</f>
        <v>23.439999999999998</v>
      </c>
      <c r="O406" s="13">
        <f>L406/C406*100</f>
        <v>25.6</v>
      </c>
      <c r="P406" s="12" t="s">
        <v>3</v>
      </c>
      <c r="Q406" s="11">
        <v>409334.93427000003</v>
      </c>
      <c r="R406" s="11">
        <v>3659171.1682210001</v>
      </c>
    </row>
    <row r="407" spans="1:18" x14ac:dyDescent="0.25">
      <c r="A407" s="16"/>
      <c r="B407" s="14" t="s">
        <v>1</v>
      </c>
      <c r="C407" s="15">
        <v>50</v>
      </c>
      <c r="D407" s="14">
        <v>20</v>
      </c>
      <c r="E407" s="13">
        <v>27</v>
      </c>
      <c r="F407" s="13">
        <f>1.8*E407+32</f>
        <v>80.599999999999994</v>
      </c>
      <c r="G407" s="13">
        <v>10</v>
      </c>
      <c r="H407" s="13">
        <f>IF(F407&gt;68,G407+(F407-68)*0.2,Y644-(68-F407)*0.2)</f>
        <v>12.52</v>
      </c>
      <c r="I407" s="13">
        <v>25</v>
      </c>
      <c r="J407" s="13">
        <f>1.8*I407+32</f>
        <v>77</v>
      </c>
      <c r="K407" s="13">
        <v>7</v>
      </c>
      <c r="L407" s="13">
        <f>IF(J407&gt;68,K407+(J407-68)*0.2,K407-(68-J407)*0.2)</f>
        <v>8.8000000000000007</v>
      </c>
      <c r="M407" s="13">
        <f>(C407-H407)/C407*100</f>
        <v>74.960000000000008</v>
      </c>
      <c r="N407" s="13">
        <f>100-(M407+O407)</f>
        <v>7.4399999999999977</v>
      </c>
      <c r="O407" s="13">
        <f>L407/C407*100</f>
        <v>17.600000000000001</v>
      </c>
      <c r="P407" s="12" t="s">
        <v>0</v>
      </c>
      <c r="Q407" s="11">
        <v>409334.93427000003</v>
      </c>
      <c r="R407" s="11">
        <v>3659171.1682210001</v>
      </c>
    </row>
  </sheetData>
  <mergeCells count="135">
    <mergeCell ref="Q247:R247"/>
    <mergeCell ref="Q256:R256"/>
    <mergeCell ref="Q400:R400"/>
    <mergeCell ref="Q103:R103"/>
    <mergeCell ref="Q112:R112"/>
    <mergeCell ref="Q121:R121"/>
    <mergeCell ref="Q130:R130"/>
    <mergeCell ref="Q139:R139"/>
    <mergeCell ref="Q148:R148"/>
    <mergeCell ref="Q157:R157"/>
    <mergeCell ref="Q166:R166"/>
    <mergeCell ref="Q175:R175"/>
    <mergeCell ref="A89:A90"/>
    <mergeCell ref="A95:A96"/>
    <mergeCell ref="Q364:R364"/>
    <mergeCell ref="Q373:R373"/>
    <mergeCell ref="Q382:R382"/>
    <mergeCell ref="Q391:R391"/>
    <mergeCell ref="Q184:R184"/>
    <mergeCell ref="Q193:R193"/>
    <mergeCell ref="Q202:R202"/>
    <mergeCell ref="Q229:R229"/>
    <mergeCell ref="A59:A60"/>
    <mergeCell ref="A62:A63"/>
    <mergeCell ref="A68:A69"/>
    <mergeCell ref="A71:A72"/>
    <mergeCell ref="A77:A78"/>
    <mergeCell ref="A86:A87"/>
    <mergeCell ref="A32:A33"/>
    <mergeCell ref="A35:A36"/>
    <mergeCell ref="A41:A42"/>
    <mergeCell ref="A44:A45"/>
    <mergeCell ref="A50:A51"/>
    <mergeCell ref="A53:A54"/>
    <mergeCell ref="A179:A180"/>
    <mergeCell ref="A185:A186"/>
    <mergeCell ref="A134:A135"/>
    <mergeCell ref="A26:A27"/>
    <mergeCell ref="A5:A6"/>
    <mergeCell ref="A8:A9"/>
    <mergeCell ref="A14:A15"/>
    <mergeCell ref="A17:A18"/>
    <mergeCell ref="A23:A24"/>
    <mergeCell ref="A80:A81"/>
    <mergeCell ref="A188:A189"/>
    <mergeCell ref="A140:A141"/>
    <mergeCell ref="A143:A144"/>
    <mergeCell ref="A149:A150"/>
    <mergeCell ref="A152:A153"/>
    <mergeCell ref="A158:A159"/>
    <mergeCell ref="A161:A162"/>
    <mergeCell ref="A167:A168"/>
    <mergeCell ref="A170:A171"/>
    <mergeCell ref="A176:A177"/>
    <mergeCell ref="A233:A234"/>
    <mergeCell ref="A239:A240"/>
    <mergeCell ref="A98:A99"/>
    <mergeCell ref="A104:A105"/>
    <mergeCell ref="A107:A108"/>
    <mergeCell ref="A113:A114"/>
    <mergeCell ref="A116:A117"/>
    <mergeCell ref="A122:A123"/>
    <mergeCell ref="A125:A126"/>
    <mergeCell ref="A131:A132"/>
    <mergeCell ref="A242:A243"/>
    <mergeCell ref="A194:A195"/>
    <mergeCell ref="A197:A198"/>
    <mergeCell ref="A203:A204"/>
    <mergeCell ref="A206:A207"/>
    <mergeCell ref="A212:A213"/>
    <mergeCell ref="A215:A216"/>
    <mergeCell ref="A221:A222"/>
    <mergeCell ref="A224:A225"/>
    <mergeCell ref="A230:A231"/>
    <mergeCell ref="A269:A270"/>
    <mergeCell ref="A275:A276"/>
    <mergeCell ref="A278:A279"/>
    <mergeCell ref="A284:A285"/>
    <mergeCell ref="A287:A288"/>
    <mergeCell ref="A293:A294"/>
    <mergeCell ref="A332:A333"/>
    <mergeCell ref="A338:A339"/>
    <mergeCell ref="A341:A342"/>
    <mergeCell ref="A347:A348"/>
    <mergeCell ref="A296:A297"/>
    <mergeCell ref="A248:A249"/>
    <mergeCell ref="A251:A252"/>
    <mergeCell ref="A257:A258"/>
    <mergeCell ref="A260:A261"/>
    <mergeCell ref="A266:A267"/>
    <mergeCell ref="A395:A396"/>
    <mergeCell ref="A401:A402"/>
    <mergeCell ref="A350:A351"/>
    <mergeCell ref="A302:A303"/>
    <mergeCell ref="A305:A306"/>
    <mergeCell ref="A311:A312"/>
    <mergeCell ref="A314:A315"/>
    <mergeCell ref="A320:A321"/>
    <mergeCell ref="A323:A324"/>
    <mergeCell ref="A329:A330"/>
    <mergeCell ref="A404:A405"/>
    <mergeCell ref="A356:A357"/>
    <mergeCell ref="A359:A360"/>
    <mergeCell ref="A365:A366"/>
    <mergeCell ref="A368:A369"/>
    <mergeCell ref="A374:A375"/>
    <mergeCell ref="A377:A378"/>
    <mergeCell ref="A383:A384"/>
    <mergeCell ref="A386:A387"/>
    <mergeCell ref="A392:A393"/>
    <mergeCell ref="Q49:R49"/>
    <mergeCell ref="Q58:R58"/>
    <mergeCell ref="Q67:R67"/>
    <mergeCell ref="Q76:R76"/>
    <mergeCell ref="Q4:R4"/>
    <mergeCell ref="Q13:R13"/>
    <mergeCell ref="Q22:R22"/>
    <mergeCell ref="Q31:R31"/>
    <mergeCell ref="Q40:R40"/>
    <mergeCell ref="Q220:R220"/>
    <mergeCell ref="Q85:R85"/>
    <mergeCell ref="Q94:R94"/>
    <mergeCell ref="Q211:R211"/>
    <mergeCell ref="Q292:R292"/>
    <mergeCell ref="Q301:R301"/>
    <mergeCell ref="Q265:R265"/>
    <mergeCell ref="Q274:R274"/>
    <mergeCell ref="Q283:R283"/>
    <mergeCell ref="Q238:R238"/>
    <mergeCell ref="Q319:R319"/>
    <mergeCell ref="Q310:R310"/>
    <mergeCell ref="Q328:R328"/>
    <mergeCell ref="Q337:R337"/>
    <mergeCell ref="Q346:R346"/>
    <mergeCell ref="Q355:R35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SoilDF</vt:lpstr>
      <vt:lpstr>F105-2011-2012-Camelina</vt:lpstr>
      <vt:lpstr>F105-2011-2012-Wheat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2025-06-23T21:42:18Z</dcterms:created>
  <dcterms:modified xsi:type="dcterms:W3CDTF">2025-06-23T21:48:52Z</dcterms:modified>
</cp:coreProperties>
</file>