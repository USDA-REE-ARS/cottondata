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Soil\"/>
    </mc:Choice>
  </mc:AlternateContent>
  <xr:revisionPtr revIDLastSave="0" documentId="13_ncr:1_{E98A0DC9-D313-483F-B44D-25F209B203DB}" xr6:coauthVersionLast="47" xr6:coauthVersionMax="47" xr10:uidLastSave="{00000000-0000-0000-0000-000000000000}"/>
  <bookViews>
    <workbookView xWindow="-1320" yWindow="-24510" windowWidth="17655" windowHeight="15615" xr2:uid="{A8C12209-3DAE-409F-9A20-7070310CE2BE}"/>
  </bookViews>
  <sheets>
    <sheet name="SoilDF" sheetId="1" r:id="rId1"/>
    <sheet name="F105-2008-Texture" sheetId="4" r:id="rId2"/>
    <sheet name="F105-2008-Extractions" sheetId="6" r:id="rId3"/>
    <sheet name="2002d092_EM38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1" i="1" l="1"/>
  <c r="L3" i="1"/>
  <c r="M3" i="1"/>
  <c r="N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N164" i="1"/>
  <c r="L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M2" i="1"/>
  <c r="N2" i="1"/>
  <c r="L2" i="1"/>
  <c r="R112" i="6" l="1"/>
  <c r="S111" i="6"/>
  <c r="U111" i="6"/>
  <c r="D5" i="6"/>
  <c r="F5" i="6"/>
  <c r="G5" i="6"/>
  <c r="H5" i="6"/>
  <c r="J5" i="6"/>
  <c r="O5" i="6"/>
  <c r="Q5" i="6"/>
  <c r="R5" i="6"/>
  <c r="S5" i="6"/>
  <c r="U5" i="6"/>
  <c r="Z5" i="6"/>
  <c r="AB5" i="6"/>
  <c r="AC5" i="6"/>
  <c r="AD5" i="6"/>
  <c r="AF5" i="6" s="1"/>
  <c r="AK5" i="6"/>
  <c r="AM5" i="6"/>
  <c r="AN5" i="6"/>
  <c r="AO5" i="6"/>
  <c r="AQ5" i="6"/>
  <c r="AV5" i="6"/>
  <c r="AX5" i="6"/>
  <c r="AY5" i="6"/>
  <c r="AZ5" i="6"/>
  <c r="BB5" i="6"/>
  <c r="BG5" i="6"/>
  <c r="BI5" i="6"/>
  <c r="BJ5" i="6"/>
  <c r="BK5" i="6"/>
  <c r="BM5" i="6"/>
  <c r="BR5" i="6"/>
  <c r="BT5" i="6"/>
  <c r="BU5" i="6"/>
  <c r="BV5" i="6" s="1"/>
  <c r="BX5" i="6" s="1"/>
  <c r="CC5" i="6"/>
  <c r="CE5" i="6"/>
  <c r="CF5" i="6"/>
  <c r="CG5" i="6"/>
  <c r="CI5" i="6"/>
  <c r="D6" i="6"/>
  <c r="F6" i="6"/>
  <c r="G6" i="6"/>
  <c r="H6" i="6"/>
  <c r="J6" i="6"/>
  <c r="B134" i="6" s="1"/>
  <c r="O6" i="6"/>
  <c r="R6" i="6" s="1"/>
  <c r="S6" i="6" s="1"/>
  <c r="U6" i="6" s="1"/>
  <c r="Q6" i="6"/>
  <c r="Z6" i="6"/>
  <c r="AB6" i="6"/>
  <c r="AC6" i="6"/>
  <c r="AD6" i="6"/>
  <c r="AF6" i="6"/>
  <c r="AK6" i="6"/>
  <c r="AM6" i="6"/>
  <c r="AN6" i="6"/>
  <c r="AO6" i="6"/>
  <c r="AQ6" i="6"/>
  <c r="AV6" i="6"/>
  <c r="AX6" i="6"/>
  <c r="AY6" i="6"/>
  <c r="AZ6" i="6"/>
  <c r="BB6" i="6"/>
  <c r="BG6" i="6"/>
  <c r="BJ6" i="6" s="1"/>
  <c r="BI6" i="6"/>
  <c r="BK6" i="6"/>
  <c r="BM6" i="6"/>
  <c r="BR6" i="6"/>
  <c r="BU6" i="6" s="1"/>
  <c r="BV6" i="6" s="1"/>
  <c r="BX6" i="6" s="1"/>
  <c r="BT6" i="6"/>
  <c r="CC6" i="6"/>
  <c r="CE6" i="6"/>
  <c r="CF6" i="6"/>
  <c r="CG6" i="6" s="1"/>
  <c r="CI6" i="6" s="1"/>
  <c r="D7" i="6"/>
  <c r="F7" i="6"/>
  <c r="O7" i="6"/>
  <c r="Q7" i="6"/>
  <c r="R7" i="6"/>
  <c r="S7" i="6"/>
  <c r="U7" i="6"/>
  <c r="Z7" i="6"/>
  <c r="AB7" i="6"/>
  <c r="AC7" i="6"/>
  <c r="AD7" i="6"/>
  <c r="AF7" i="6"/>
  <c r="AK7" i="6"/>
  <c r="AM7" i="6"/>
  <c r="AN7" i="6"/>
  <c r="AO7" i="6"/>
  <c r="AQ7" i="6"/>
  <c r="AV7" i="6"/>
  <c r="AX7" i="6"/>
  <c r="AY7" i="6"/>
  <c r="AZ7" i="6"/>
  <c r="BB7" i="6"/>
  <c r="BG7" i="6"/>
  <c r="BI7" i="6"/>
  <c r="BJ7" i="6"/>
  <c r="BK7" i="6" s="1"/>
  <c r="BM7" i="6" s="1"/>
  <c r="BR7" i="6"/>
  <c r="BT7" i="6"/>
  <c r="BU7" i="6"/>
  <c r="BV7" i="6"/>
  <c r="BX7" i="6" s="1"/>
  <c r="CC7" i="6"/>
  <c r="CE7" i="6"/>
  <c r="CF7" i="6"/>
  <c r="CG7" i="6"/>
  <c r="CI7" i="6"/>
  <c r="D8" i="6"/>
  <c r="F8" i="6"/>
  <c r="G8" i="6"/>
  <c r="H8" i="6" s="1"/>
  <c r="J8" i="6" s="1"/>
  <c r="B136" i="6" s="1"/>
  <c r="O8" i="6"/>
  <c r="Q8" i="6"/>
  <c r="R8" i="6"/>
  <c r="S8" i="6"/>
  <c r="U8" i="6"/>
  <c r="Z8" i="6"/>
  <c r="AB8" i="6"/>
  <c r="AK8" i="6"/>
  <c r="AM8" i="6"/>
  <c r="AN8" i="6"/>
  <c r="AO8" i="6"/>
  <c r="AQ8" i="6"/>
  <c r="AV8" i="6"/>
  <c r="AX8" i="6"/>
  <c r="BG8" i="6"/>
  <c r="BI8" i="6"/>
  <c r="BJ8" i="6"/>
  <c r="BK8" i="6" s="1"/>
  <c r="BM8" i="6" s="1"/>
  <c r="BR8" i="6"/>
  <c r="BT8" i="6"/>
  <c r="BU8" i="6"/>
  <c r="BV8" i="6"/>
  <c r="BX8" i="6"/>
  <c r="CC8" i="6"/>
  <c r="CE8" i="6"/>
  <c r="CF8" i="6"/>
  <c r="CG8" i="6"/>
  <c r="CI8" i="6"/>
  <c r="D9" i="6"/>
  <c r="G9" i="6" s="1"/>
  <c r="H9" i="6" s="1"/>
  <c r="J9" i="6" s="1"/>
  <c r="B137" i="6" s="1"/>
  <c r="F9" i="6"/>
  <c r="O9" i="6"/>
  <c r="R9" i="6" s="1"/>
  <c r="Q9" i="6"/>
  <c r="S9" i="6"/>
  <c r="U9" i="6"/>
  <c r="Z9" i="6"/>
  <c r="AB9" i="6"/>
  <c r="AC9" i="6"/>
  <c r="AD9" i="6"/>
  <c r="AF9" i="6" s="1"/>
  <c r="J137" i="6" s="1"/>
  <c r="AK9" i="6"/>
  <c r="AM9" i="6"/>
  <c r="AN9" i="6"/>
  <c r="AO9" i="6"/>
  <c r="AQ9" i="6"/>
  <c r="AV9" i="6"/>
  <c r="AY9" i="6" s="1"/>
  <c r="AZ9" i="6" s="1"/>
  <c r="BB9" i="6" s="1"/>
  <c r="AX9" i="6"/>
  <c r="BG9" i="6"/>
  <c r="BI9" i="6"/>
  <c r="BJ9" i="6"/>
  <c r="BK9" i="6"/>
  <c r="BM9" i="6"/>
  <c r="BR9" i="6"/>
  <c r="BT9" i="6"/>
  <c r="BU9" i="6"/>
  <c r="BV9" i="6"/>
  <c r="BX9" i="6"/>
  <c r="CC9" i="6"/>
  <c r="CE9" i="6"/>
  <c r="CF9" i="6"/>
  <c r="CG9" i="6" s="1"/>
  <c r="CI9" i="6" s="1"/>
  <c r="D10" i="6"/>
  <c r="F10" i="6"/>
  <c r="G10" i="6"/>
  <c r="H10" i="6"/>
  <c r="J10" i="6"/>
  <c r="O10" i="6"/>
  <c r="R10" i="6" s="1"/>
  <c r="Q10" i="6"/>
  <c r="S10" i="6"/>
  <c r="U10" i="6"/>
  <c r="Z10" i="6"/>
  <c r="AB10" i="6"/>
  <c r="AC10" i="6"/>
  <c r="AD10" i="6"/>
  <c r="AF10" i="6" s="1"/>
  <c r="J138" i="6" s="1"/>
  <c r="AK10" i="6"/>
  <c r="AM10" i="6"/>
  <c r="AN10" i="6"/>
  <c r="AO10" i="6"/>
  <c r="AQ10" i="6"/>
  <c r="AV10" i="6"/>
  <c r="AX10" i="6"/>
  <c r="AY10" i="6"/>
  <c r="AZ10" i="6"/>
  <c r="BB10" i="6"/>
  <c r="BG10" i="6"/>
  <c r="BI10" i="6"/>
  <c r="BJ10" i="6"/>
  <c r="BK10" i="6"/>
  <c r="BM10" i="6"/>
  <c r="BR10" i="6"/>
  <c r="BT10" i="6"/>
  <c r="CC10" i="6"/>
  <c r="CE10" i="6"/>
  <c r="CF10" i="6"/>
  <c r="CG10" i="6" s="1"/>
  <c r="CI10" i="6" s="1"/>
  <c r="D15" i="6"/>
  <c r="F15" i="6"/>
  <c r="G15" i="6"/>
  <c r="H15" i="6"/>
  <c r="J15" i="6"/>
  <c r="O15" i="6"/>
  <c r="Q15" i="6"/>
  <c r="R15" i="6"/>
  <c r="S15" i="6" s="1"/>
  <c r="U15" i="6" s="1"/>
  <c r="Z15" i="6"/>
  <c r="AB15" i="6"/>
  <c r="AC15" i="6"/>
  <c r="AD15" i="6"/>
  <c r="AF15" i="6"/>
  <c r="AK15" i="6"/>
  <c r="AM15" i="6"/>
  <c r="AV15" i="6"/>
  <c r="AX15" i="6"/>
  <c r="AY15" i="6"/>
  <c r="AZ15" i="6"/>
  <c r="BB15" i="6"/>
  <c r="BG15" i="6"/>
  <c r="BJ15" i="6" s="1"/>
  <c r="BI15" i="6"/>
  <c r="BK15" i="6"/>
  <c r="BM15" i="6"/>
  <c r="BR15" i="6"/>
  <c r="BT15" i="6"/>
  <c r="BU15" i="6"/>
  <c r="BV15" i="6"/>
  <c r="BX15" i="6"/>
  <c r="CC15" i="6"/>
  <c r="CE15" i="6"/>
  <c r="CF15" i="6"/>
  <c r="CG15" i="6"/>
  <c r="CI15" i="6"/>
  <c r="D16" i="6"/>
  <c r="F16" i="6"/>
  <c r="G16" i="6"/>
  <c r="H16" i="6"/>
  <c r="J16" i="6"/>
  <c r="O16" i="6"/>
  <c r="R16" i="6" s="1"/>
  <c r="S16" i="6" s="1"/>
  <c r="U16" i="6" s="1"/>
  <c r="Q16" i="6"/>
  <c r="Z16" i="6"/>
  <c r="AB16" i="6"/>
  <c r="AC16" i="6"/>
  <c r="AD16" i="6"/>
  <c r="AF16" i="6"/>
  <c r="AK16" i="6"/>
  <c r="AM16" i="6"/>
  <c r="AN16" i="6"/>
  <c r="AO16" i="6" s="1"/>
  <c r="AQ16" i="6" s="1"/>
  <c r="AV16" i="6"/>
  <c r="AX16" i="6"/>
  <c r="BG16" i="6"/>
  <c r="BI16" i="6"/>
  <c r="BJ16" i="6"/>
  <c r="BK16" i="6" s="1"/>
  <c r="BM16" i="6" s="1"/>
  <c r="BR16" i="6"/>
  <c r="BT16" i="6"/>
  <c r="BU16" i="6"/>
  <c r="BV16" i="6"/>
  <c r="BX16" i="6" s="1"/>
  <c r="CC16" i="6"/>
  <c r="CE16" i="6"/>
  <c r="CF16" i="6"/>
  <c r="CG16" i="6"/>
  <c r="CI16" i="6"/>
  <c r="D17" i="6"/>
  <c r="F17" i="6"/>
  <c r="G17" i="6"/>
  <c r="H17" i="6"/>
  <c r="J17" i="6"/>
  <c r="O17" i="6"/>
  <c r="Q17" i="6"/>
  <c r="Z17" i="6"/>
  <c r="AB17" i="6"/>
  <c r="AK17" i="6"/>
  <c r="AM17" i="6"/>
  <c r="AN17" i="6"/>
  <c r="AO17" i="6"/>
  <c r="AQ17" i="6"/>
  <c r="AV17" i="6"/>
  <c r="AX17" i="6"/>
  <c r="AY17" i="6"/>
  <c r="AZ17" i="6"/>
  <c r="BB17" i="6" s="1"/>
  <c r="BG17" i="6"/>
  <c r="BI17" i="6"/>
  <c r="BR17" i="6"/>
  <c r="BT17" i="6"/>
  <c r="BU17" i="6"/>
  <c r="BV17" i="6"/>
  <c r="BX17" i="6"/>
  <c r="CC17" i="6"/>
  <c r="CE17" i="6"/>
  <c r="CF17" i="6"/>
  <c r="CG17" i="6"/>
  <c r="CI17" i="6"/>
  <c r="D18" i="6"/>
  <c r="F18" i="6"/>
  <c r="G18" i="6"/>
  <c r="H18" i="6"/>
  <c r="J18" i="6"/>
  <c r="O18" i="6"/>
  <c r="R18" i="6" s="1"/>
  <c r="Q18" i="6"/>
  <c r="S18" i="6"/>
  <c r="U18" i="6"/>
  <c r="Z18" i="6"/>
  <c r="AB18" i="6"/>
  <c r="AC18" i="6"/>
  <c r="AD18" i="6"/>
  <c r="AF18" i="6"/>
  <c r="AK18" i="6"/>
  <c r="AM18" i="6"/>
  <c r="AN18" i="6"/>
  <c r="AO18" i="6"/>
  <c r="AQ18" i="6"/>
  <c r="AV18" i="6"/>
  <c r="AX18" i="6"/>
  <c r="AY18" i="6"/>
  <c r="AZ18" i="6"/>
  <c r="BB18" i="6"/>
  <c r="BG18" i="6"/>
  <c r="BI18" i="6"/>
  <c r="BJ18" i="6"/>
  <c r="BK18" i="6"/>
  <c r="BM18" i="6"/>
  <c r="BR18" i="6"/>
  <c r="BT18" i="6"/>
  <c r="BU18" i="6"/>
  <c r="BV18" i="6"/>
  <c r="BX18" i="6"/>
  <c r="CC18" i="6"/>
  <c r="CE18" i="6"/>
  <c r="CF18" i="6"/>
  <c r="CG18" i="6" s="1"/>
  <c r="CI18" i="6" s="1"/>
  <c r="D19" i="6"/>
  <c r="F19" i="6"/>
  <c r="G19" i="6"/>
  <c r="H19" i="6"/>
  <c r="J19" i="6"/>
  <c r="O19" i="6"/>
  <c r="Q19" i="6"/>
  <c r="R19" i="6"/>
  <c r="S19" i="6"/>
  <c r="U19" i="6"/>
  <c r="Z19" i="6"/>
  <c r="AB19" i="6"/>
  <c r="AC19" i="6"/>
  <c r="AD19" i="6"/>
  <c r="AF19" i="6" s="1"/>
  <c r="AK19" i="6"/>
  <c r="AM19" i="6"/>
  <c r="AN19" i="6"/>
  <c r="AO19" i="6"/>
  <c r="AQ19" i="6"/>
  <c r="AV19" i="6"/>
  <c r="AX19" i="6"/>
  <c r="AY19" i="6"/>
  <c r="AZ19" i="6"/>
  <c r="BB19" i="6"/>
  <c r="BG19" i="6"/>
  <c r="BI19" i="6"/>
  <c r="BJ19" i="6"/>
  <c r="BK19" i="6"/>
  <c r="BM19" i="6"/>
  <c r="BR19" i="6"/>
  <c r="BT19" i="6"/>
  <c r="BU19" i="6"/>
  <c r="BV19" i="6"/>
  <c r="BX19" i="6"/>
  <c r="CC19" i="6"/>
  <c r="CE19" i="6"/>
  <c r="CF19" i="6"/>
  <c r="CG19" i="6"/>
  <c r="CI19" i="6"/>
  <c r="D20" i="6"/>
  <c r="F20" i="6"/>
  <c r="G20" i="6"/>
  <c r="H20" i="6"/>
  <c r="J20" i="6"/>
  <c r="O20" i="6"/>
  <c r="R20" i="6" s="1"/>
  <c r="S20" i="6" s="1"/>
  <c r="U20" i="6" s="1"/>
  <c r="Q20" i="6"/>
  <c r="Z20" i="6"/>
  <c r="AB20" i="6"/>
  <c r="AC20" i="6"/>
  <c r="AD20" i="6"/>
  <c r="AF20" i="6"/>
  <c r="AK20" i="6"/>
  <c r="AM20" i="6"/>
  <c r="AN20" i="6"/>
  <c r="AO20" i="6"/>
  <c r="AQ20" i="6"/>
  <c r="AV20" i="6"/>
  <c r="AX20" i="6"/>
  <c r="BG20" i="6"/>
  <c r="BJ20" i="6" s="1"/>
  <c r="BI20" i="6"/>
  <c r="BK20" i="6"/>
  <c r="BM20" i="6"/>
  <c r="BR20" i="6"/>
  <c r="BU20" i="6" s="1"/>
  <c r="BV20" i="6" s="1"/>
  <c r="BX20" i="6" s="1"/>
  <c r="BT20" i="6"/>
  <c r="CC20" i="6"/>
  <c r="CE20" i="6"/>
  <c r="CF20" i="6"/>
  <c r="CG20" i="6"/>
  <c r="CI20" i="6"/>
  <c r="D25" i="6"/>
  <c r="F25" i="6"/>
  <c r="G25" i="6"/>
  <c r="H25" i="6"/>
  <c r="J25" i="6"/>
  <c r="O25" i="6"/>
  <c r="Q25" i="6"/>
  <c r="R25" i="6"/>
  <c r="S25" i="6"/>
  <c r="U25" i="6"/>
  <c r="I133" i="6" s="1"/>
  <c r="Z25" i="6"/>
  <c r="AB25" i="6"/>
  <c r="AC25" i="6"/>
  <c r="AD25" i="6"/>
  <c r="AF25" i="6" s="1"/>
  <c r="K133" i="6" s="1"/>
  <c r="AK25" i="6"/>
  <c r="AM25" i="6"/>
  <c r="AN25" i="6"/>
  <c r="AO25" i="6"/>
  <c r="AQ25" i="6" s="1"/>
  <c r="AV25" i="6"/>
  <c r="AX25" i="6"/>
  <c r="AY25" i="6"/>
  <c r="AZ25" i="6"/>
  <c r="BB25" i="6"/>
  <c r="BG25" i="6"/>
  <c r="BI25" i="6"/>
  <c r="BJ25" i="6"/>
  <c r="BK25" i="6"/>
  <c r="BM25" i="6"/>
  <c r="BR25" i="6"/>
  <c r="BT25" i="6"/>
  <c r="BU25" i="6"/>
  <c r="BV25" i="6" s="1"/>
  <c r="BX25" i="6" s="1"/>
  <c r="CC25" i="6"/>
  <c r="CE25" i="6"/>
  <c r="CF25" i="6"/>
  <c r="CG25" i="6"/>
  <c r="CI25" i="6"/>
  <c r="D26" i="6"/>
  <c r="G26" i="6" s="1"/>
  <c r="H26" i="6" s="1"/>
  <c r="J26" i="6" s="1"/>
  <c r="F26" i="6"/>
  <c r="O26" i="6"/>
  <c r="R26" i="6" s="1"/>
  <c r="Q26" i="6"/>
  <c r="S26" i="6"/>
  <c r="U26" i="6"/>
  <c r="Z26" i="6"/>
  <c r="AB26" i="6"/>
  <c r="AK26" i="6"/>
  <c r="AM26" i="6"/>
  <c r="AN26" i="6"/>
  <c r="AO26" i="6"/>
  <c r="AQ26" i="6" s="1"/>
  <c r="AV26" i="6"/>
  <c r="AX26" i="6"/>
  <c r="BG26" i="6"/>
  <c r="BJ26" i="6" s="1"/>
  <c r="BK26" i="6" s="1"/>
  <c r="BM26" i="6" s="1"/>
  <c r="BI26" i="6"/>
  <c r="BR26" i="6"/>
  <c r="BT26" i="6"/>
  <c r="BU26" i="6"/>
  <c r="BV26" i="6"/>
  <c r="BX26" i="6"/>
  <c r="CC26" i="6"/>
  <c r="CE26" i="6"/>
  <c r="CF26" i="6"/>
  <c r="CG26" i="6" s="1"/>
  <c r="CI26" i="6" s="1"/>
  <c r="G134" i="6" s="1"/>
  <c r="D27" i="6"/>
  <c r="G27" i="6" s="1"/>
  <c r="H27" i="6" s="1"/>
  <c r="J27" i="6" s="1"/>
  <c r="C135" i="6" s="1"/>
  <c r="F27" i="6"/>
  <c r="O27" i="6"/>
  <c r="R27" i="6" s="1"/>
  <c r="Q27" i="6"/>
  <c r="S27" i="6"/>
  <c r="U27" i="6"/>
  <c r="Z27" i="6"/>
  <c r="AB27" i="6"/>
  <c r="AC27" i="6"/>
  <c r="AD27" i="6"/>
  <c r="AF27" i="6"/>
  <c r="AK27" i="6"/>
  <c r="AM27" i="6"/>
  <c r="AN27" i="6"/>
  <c r="AO27" i="6"/>
  <c r="AQ27" i="6"/>
  <c r="AV27" i="6"/>
  <c r="AX27" i="6"/>
  <c r="AY27" i="6"/>
  <c r="AZ27" i="6"/>
  <c r="BB27" i="6"/>
  <c r="BG27" i="6"/>
  <c r="BI27" i="6"/>
  <c r="BJ27" i="6"/>
  <c r="BK27" i="6"/>
  <c r="BM27" i="6"/>
  <c r="BR27" i="6"/>
  <c r="BT27" i="6"/>
  <c r="BU27" i="6"/>
  <c r="BV27" i="6"/>
  <c r="BX27" i="6" s="1"/>
  <c r="CC27" i="6"/>
  <c r="CE27" i="6"/>
  <c r="CF27" i="6"/>
  <c r="CG27" i="6" s="1"/>
  <c r="CI27" i="6" s="1"/>
  <c r="D28" i="6"/>
  <c r="F28" i="6"/>
  <c r="G28" i="6"/>
  <c r="H28" i="6"/>
  <c r="J28" i="6"/>
  <c r="O28" i="6"/>
  <c r="Q28" i="6"/>
  <c r="R28" i="6"/>
  <c r="S28" i="6"/>
  <c r="U28" i="6"/>
  <c r="I136" i="6" s="1"/>
  <c r="Z28" i="6"/>
  <c r="AB28" i="6"/>
  <c r="AK28" i="6"/>
  <c r="AM28" i="6"/>
  <c r="AN28" i="6"/>
  <c r="AO28" i="6"/>
  <c r="AQ28" i="6"/>
  <c r="AV28" i="6"/>
  <c r="AX28" i="6"/>
  <c r="BG28" i="6"/>
  <c r="BI28" i="6"/>
  <c r="BJ28" i="6"/>
  <c r="BK28" i="6"/>
  <c r="BM28" i="6"/>
  <c r="BR28" i="6"/>
  <c r="BT28" i="6"/>
  <c r="CC28" i="6"/>
  <c r="CE28" i="6"/>
  <c r="CF28" i="6"/>
  <c r="CG28" i="6"/>
  <c r="CI28" i="6"/>
  <c r="D29" i="6"/>
  <c r="F29" i="6"/>
  <c r="G29" i="6"/>
  <c r="H29" i="6"/>
  <c r="J29" i="6"/>
  <c r="C137" i="6" s="1"/>
  <c r="O29" i="6"/>
  <c r="R29" i="6" s="1"/>
  <c r="S29" i="6" s="1"/>
  <c r="U29" i="6" s="1"/>
  <c r="Q29" i="6"/>
  <c r="Z29" i="6"/>
  <c r="AB29" i="6"/>
  <c r="AC29" i="6"/>
  <c r="AD29" i="6"/>
  <c r="AF29" i="6" s="1"/>
  <c r="K137" i="6" s="1"/>
  <c r="AK29" i="6"/>
  <c r="AM29" i="6"/>
  <c r="AN29" i="6" s="1"/>
  <c r="AO29" i="6" s="1"/>
  <c r="AQ29" i="6" s="1"/>
  <c r="AV29" i="6"/>
  <c r="AX29" i="6"/>
  <c r="AY29" i="6"/>
  <c r="AZ29" i="6"/>
  <c r="BB29" i="6"/>
  <c r="BG29" i="6"/>
  <c r="BI29" i="6"/>
  <c r="BJ29" i="6"/>
  <c r="BK29" i="6"/>
  <c r="BM29" i="6"/>
  <c r="BR29" i="6"/>
  <c r="BU29" i="6" s="1"/>
  <c r="BV29" i="6" s="1"/>
  <c r="BX29" i="6" s="1"/>
  <c r="BT29" i="6"/>
  <c r="CC29" i="6"/>
  <c r="CE29" i="6"/>
  <c r="CF29" i="6"/>
  <c r="CG29" i="6"/>
  <c r="CI29" i="6" s="1"/>
  <c r="D30" i="6"/>
  <c r="F30" i="6"/>
  <c r="G30" i="6"/>
  <c r="H30" i="6"/>
  <c r="J30" i="6"/>
  <c r="C138" i="6" s="1"/>
  <c r="O30" i="6"/>
  <c r="R30" i="6" s="1"/>
  <c r="Q30" i="6"/>
  <c r="S30" i="6"/>
  <c r="U30" i="6"/>
  <c r="Z30" i="6"/>
  <c r="AC30" i="6" s="1"/>
  <c r="AD30" i="6" s="1"/>
  <c r="AF30" i="6" s="1"/>
  <c r="K138" i="6" s="1"/>
  <c r="AB30" i="6"/>
  <c r="AK30" i="6"/>
  <c r="AM30" i="6"/>
  <c r="AN30" i="6"/>
  <c r="AO30" i="6" s="1"/>
  <c r="AQ30" i="6" s="1"/>
  <c r="AV30" i="6"/>
  <c r="AX30" i="6"/>
  <c r="AY30" i="6"/>
  <c r="AZ30" i="6"/>
  <c r="BB30" i="6"/>
  <c r="BG30" i="6"/>
  <c r="BI30" i="6"/>
  <c r="BR30" i="6"/>
  <c r="BT30" i="6"/>
  <c r="CC30" i="6"/>
  <c r="CE30" i="6"/>
  <c r="CF30" i="6"/>
  <c r="CG30" i="6" s="1"/>
  <c r="CI30" i="6" s="1"/>
  <c r="G31" i="6"/>
  <c r="R31" i="6"/>
  <c r="AC31" i="6"/>
  <c r="AN31" i="6"/>
  <c r="AY31" i="6"/>
  <c r="BJ31" i="6"/>
  <c r="CF31" i="6"/>
  <c r="D37" i="6"/>
  <c r="G37" i="6" s="1"/>
  <c r="H37" i="6" s="1"/>
  <c r="J37" i="6" s="1"/>
  <c r="F37" i="6"/>
  <c r="O37" i="6"/>
  <c r="Q37" i="6"/>
  <c r="R37" i="6"/>
  <c r="S37" i="6"/>
  <c r="U37" i="6"/>
  <c r="Z37" i="6"/>
  <c r="AB37" i="6"/>
  <c r="AC37" i="6"/>
  <c r="AD37" i="6"/>
  <c r="AF37" i="6"/>
  <c r="AK37" i="6"/>
  <c r="AM37" i="6"/>
  <c r="AV37" i="6"/>
  <c r="AX37" i="6"/>
  <c r="AY37" i="6"/>
  <c r="AZ37" i="6" s="1"/>
  <c r="BB37" i="6" s="1"/>
  <c r="BG37" i="6"/>
  <c r="BI37" i="6"/>
  <c r="BJ37" i="6"/>
  <c r="BK37" i="6"/>
  <c r="BM37" i="6"/>
  <c r="BR37" i="6"/>
  <c r="BT37" i="6"/>
  <c r="BU37" i="6"/>
  <c r="BV37" i="6"/>
  <c r="BX37" i="6"/>
  <c r="CC37" i="6"/>
  <c r="CE37" i="6"/>
  <c r="CF37" i="6"/>
  <c r="CG37" i="6" s="1"/>
  <c r="CI37" i="6" s="1"/>
  <c r="D133" i="6" s="1"/>
  <c r="D38" i="6"/>
  <c r="F38" i="6"/>
  <c r="G38" i="6"/>
  <c r="H38" i="6"/>
  <c r="J38" i="6"/>
  <c r="O38" i="6"/>
  <c r="Q38" i="6"/>
  <c r="R38" i="6"/>
  <c r="S38" i="6"/>
  <c r="U38" i="6"/>
  <c r="Z38" i="6"/>
  <c r="AB38" i="6"/>
  <c r="AC38" i="6"/>
  <c r="AD38" i="6" s="1"/>
  <c r="AF38" i="6" s="1"/>
  <c r="F134" i="6" s="1"/>
  <c r="AK38" i="6"/>
  <c r="AM38" i="6"/>
  <c r="AN38" i="6"/>
  <c r="AO38" i="6"/>
  <c r="AQ38" i="6"/>
  <c r="AV38" i="6"/>
  <c r="AX38" i="6"/>
  <c r="AY38" i="6"/>
  <c r="AZ38" i="6"/>
  <c r="BB38" i="6"/>
  <c r="BG38" i="6"/>
  <c r="BI38" i="6"/>
  <c r="BJ38" i="6"/>
  <c r="BK38" i="6"/>
  <c r="BM38" i="6"/>
  <c r="BR38" i="6"/>
  <c r="BU38" i="6" s="1"/>
  <c r="BT38" i="6"/>
  <c r="BV38" i="6"/>
  <c r="BX38" i="6" s="1"/>
  <c r="H134" i="6" s="1"/>
  <c r="CC38" i="6"/>
  <c r="CE38" i="6"/>
  <c r="CF38" i="6"/>
  <c r="CG38" i="6"/>
  <c r="CI38" i="6"/>
  <c r="D39" i="6"/>
  <c r="F39" i="6"/>
  <c r="G39" i="6"/>
  <c r="H39" i="6"/>
  <c r="J39" i="6"/>
  <c r="O39" i="6"/>
  <c r="Q39" i="6"/>
  <c r="Z39" i="6"/>
  <c r="AB39" i="6"/>
  <c r="AC39" i="6"/>
  <c r="AD39" i="6"/>
  <c r="AF39" i="6"/>
  <c r="AK39" i="6"/>
  <c r="AM39" i="6"/>
  <c r="AN39" i="6"/>
  <c r="AO39" i="6"/>
  <c r="AQ39" i="6"/>
  <c r="AV39" i="6"/>
  <c r="AX39" i="6"/>
  <c r="AY39" i="6"/>
  <c r="AZ39" i="6"/>
  <c r="BB39" i="6"/>
  <c r="BG39" i="6"/>
  <c r="BI39" i="6"/>
  <c r="BJ39" i="6"/>
  <c r="BK39" i="6"/>
  <c r="BM39" i="6" s="1"/>
  <c r="BR39" i="6"/>
  <c r="BT39" i="6"/>
  <c r="BU39" i="6"/>
  <c r="BV39" i="6"/>
  <c r="BX39" i="6"/>
  <c r="CC39" i="6"/>
  <c r="CE39" i="6"/>
  <c r="CF39" i="6"/>
  <c r="CG39" i="6"/>
  <c r="CI39" i="6" s="1"/>
  <c r="D135" i="6" s="1"/>
  <c r="D40" i="6"/>
  <c r="F40" i="6"/>
  <c r="G40" i="6"/>
  <c r="H40" i="6"/>
  <c r="J40" i="6"/>
  <c r="O40" i="6"/>
  <c r="Q40" i="6"/>
  <c r="R40" i="6"/>
  <c r="S40" i="6"/>
  <c r="U40" i="6"/>
  <c r="Z40" i="6"/>
  <c r="AB40" i="6"/>
  <c r="AC40" i="6"/>
  <c r="AD40" i="6"/>
  <c r="AF40" i="6"/>
  <c r="AK40" i="6"/>
  <c r="AM40" i="6"/>
  <c r="AN40" i="6"/>
  <c r="AO40" i="6" s="1"/>
  <c r="AQ40" i="6" s="1"/>
  <c r="AV40" i="6"/>
  <c r="AX40" i="6"/>
  <c r="AY40" i="6"/>
  <c r="AZ40" i="6"/>
  <c r="BB40" i="6" s="1"/>
  <c r="BG40" i="6"/>
  <c r="BI40" i="6"/>
  <c r="BJ40" i="6"/>
  <c r="BK40" i="6"/>
  <c r="BM40" i="6"/>
  <c r="BR40" i="6"/>
  <c r="BU40" i="6" s="1"/>
  <c r="BV40" i="6" s="1"/>
  <c r="BX40" i="6" s="1"/>
  <c r="BT40" i="6"/>
  <c r="CC40" i="6"/>
  <c r="CE40" i="6"/>
  <c r="CF40" i="6"/>
  <c r="CG40" i="6"/>
  <c r="CI40" i="6"/>
  <c r="D41" i="6"/>
  <c r="G41" i="6" s="1"/>
  <c r="H41" i="6" s="1"/>
  <c r="J41" i="6" s="1"/>
  <c r="F41" i="6"/>
  <c r="O41" i="6"/>
  <c r="Q41" i="6"/>
  <c r="R41" i="6"/>
  <c r="S41" i="6"/>
  <c r="U41" i="6"/>
  <c r="Z41" i="6"/>
  <c r="AC41" i="6" s="1"/>
  <c r="AB41" i="6"/>
  <c r="AD41" i="6"/>
  <c r="AF41" i="6"/>
  <c r="AK41" i="6"/>
  <c r="AN41" i="6" s="1"/>
  <c r="AO41" i="6" s="1"/>
  <c r="AQ41" i="6" s="1"/>
  <c r="AM41" i="6"/>
  <c r="AV41" i="6"/>
  <c r="AX41" i="6"/>
  <c r="AY41" i="6"/>
  <c r="AZ41" i="6" s="1"/>
  <c r="BB41" i="6" s="1"/>
  <c r="BG41" i="6"/>
  <c r="BI41" i="6"/>
  <c r="BR41" i="6"/>
  <c r="BT41" i="6"/>
  <c r="BU41" i="6"/>
  <c r="BV41" i="6"/>
  <c r="BX41" i="6"/>
  <c r="CC41" i="6"/>
  <c r="CE41" i="6"/>
  <c r="CF41" i="6"/>
  <c r="CG41" i="6"/>
  <c r="CI41" i="6" s="1"/>
  <c r="D42" i="6"/>
  <c r="F42" i="6"/>
  <c r="G42" i="6"/>
  <c r="H42" i="6"/>
  <c r="J42" i="6"/>
  <c r="O42" i="6"/>
  <c r="Q42" i="6"/>
  <c r="R42" i="6"/>
  <c r="S42" i="6"/>
  <c r="U42" i="6"/>
  <c r="Z42" i="6"/>
  <c r="AB42" i="6"/>
  <c r="AC42" i="6"/>
  <c r="AD42" i="6"/>
  <c r="AF42" i="6" s="1"/>
  <c r="AK42" i="6"/>
  <c r="AM42" i="6"/>
  <c r="AN42" i="6"/>
  <c r="AO42" i="6"/>
  <c r="AQ42" i="6" s="1"/>
  <c r="AV42" i="6"/>
  <c r="AX42" i="6"/>
  <c r="AY42" i="6"/>
  <c r="AZ42" i="6"/>
  <c r="BB42" i="6"/>
  <c r="BG42" i="6"/>
  <c r="BI42" i="6"/>
  <c r="BJ42" i="6"/>
  <c r="BK42" i="6"/>
  <c r="BM42" i="6"/>
  <c r="BR42" i="6"/>
  <c r="BT42" i="6"/>
  <c r="CC42" i="6"/>
  <c r="CE42" i="6"/>
  <c r="D47" i="6"/>
  <c r="F47" i="6"/>
  <c r="G47" i="6"/>
  <c r="H47" i="6"/>
  <c r="J47" i="6"/>
  <c r="O47" i="6"/>
  <c r="Q47" i="6"/>
  <c r="Z47" i="6"/>
  <c r="AB47" i="6"/>
  <c r="AC47" i="6"/>
  <c r="AD47" i="6" s="1"/>
  <c r="AF47" i="6" s="1"/>
  <c r="AK47" i="6"/>
  <c r="AM47" i="6"/>
  <c r="AN47" i="6"/>
  <c r="AO47" i="6"/>
  <c r="AQ47" i="6"/>
  <c r="AV47" i="6"/>
  <c r="AX47" i="6"/>
  <c r="AY47" i="6"/>
  <c r="AZ47" i="6"/>
  <c r="BB47" i="6"/>
  <c r="BG47" i="6"/>
  <c r="BI47" i="6"/>
  <c r="BJ47" i="6"/>
  <c r="BK47" i="6"/>
  <c r="BM47" i="6"/>
  <c r="BR47" i="6"/>
  <c r="BU47" i="6" s="1"/>
  <c r="BT47" i="6"/>
  <c r="BV47" i="6"/>
  <c r="BX47" i="6"/>
  <c r="CC47" i="6"/>
  <c r="CE47" i="6"/>
  <c r="CF47" i="6"/>
  <c r="CG47" i="6"/>
  <c r="CI47" i="6" s="1"/>
  <c r="D48" i="6"/>
  <c r="F48" i="6"/>
  <c r="G48" i="6"/>
  <c r="H48" i="6"/>
  <c r="J48" i="6"/>
  <c r="O48" i="6"/>
  <c r="R48" i="6" s="1"/>
  <c r="S48" i="6" s="1"/>
  <c r="U48" i="6" s="1"/>
  <c r="Q48" i="6"/>
  <c r="Z48" i="6"/>
  <c r="AB48" i="6"/>
  <c r="AC48" i="6"/>
  <c r="AD48" i="6" s="1"/>
  <c r="AF48" i="6" s="1"/>
  <c r="AK48" i="6"/>
  <c r="AM48" i="6"/>
  <c r="AN48" i="6"/>
  <c r="AO48" i="6"/>
  <c r="AQ48" i="6"/>
  <c r="AV48" i="6"/>
  <c r="AX48" i="6"/>
  <c r="AY48" i="6"/>
  <c r="AZ48" i="6"/>
  <c r="BB48" i="6" s="1"/>
  <c r="BG48" i="6"/>
  <c r="BI48" i="6"/>
  <c r="BJ48" i="6"/>
  <c r="BK48" i="6" s="1"/>
  <c r="BM48" i="6" s="1"/>
  <c r="BR48" i="6"/>
  <c r="BU48" i="6" s="1"/>
  <c r="BT48" i="6"/>
  <c r="BV48" i="6"/>
  <c r="BX48" i="6"/>
  <c r="CC48" i="6"/>
  <c r="CE48" i="6"/>
  <c r="CF48" i="6"/>
  <c r="CG48" i="6"/>
  <c r="CI48" i="6" s="1"/>
  <c r="D49" i="6"/>
  <c r="F49" i="6"/>
  <c r="G49" i="6"/>
  <c r="H49" i="6"/>
  <c r="J49" i="6"/>
  <c r="O49" i="6"/>
  <c r="Q49" i="6"/>
  <c r="R49" i="6"/>
  <c r="S49" i="6" s="1"/>
  <c r="U49" i="6" s="1"/>
  <c r="Z49" i="6"/>
  <c r="AB49" i="6"/>
  <c r="AC49" i="6"/>
  <c r="AD49" i="6"/>
  <c r="AF49" i="6"/>
  <c r="AK49" i="6"/>
  <c r="AM49" i="6"/>
  <c r="AV49" i="6"/>
  <c r="AX49" i="6"/>
  <c r="AY49" i="6"/>
  <c r="AZ49" i="6" s="1"/>
  <c r="BB49" i="6" s="1"/>
  <c r="BG49" i="6"/>
  <c r="BJ49" i="6" s="1"/>
  <c r="BK49" i="6" s="1"/>
  <c r="BM49" i="6" s="1"/>
  <c r="BI49" i="6"/>
  <c r="BR49" i="6"/>
  <c r="BT49" i="6"/>
  <c r="BU49" i="6"/>
  <c r="BV49" i="6" s="1"/>
  <c r="BX49" i="6" s="1"/>
  <c r="CC49" i="6"/>
  <c r="CE49" i="6"/>
  <c r="CF49" i="6"/>
  <c r="CG49" i="6"/>
  <c r="CI49" i="6"/>
  <c r="D50" i="6"/>
  <c r="F50" i="6"/>
  <c r="G50" i="6"/>
  <c r="H50" i="6"/>
  <c r="J50" i="6"/>
  <c r="O50" i="6"/>
  <c r="R50" i="6" s="1"/>
  <c r="S50" i="6" s="1"/>
  <c r="U50" i="6" s="1"/>
  <c r="Q50" i="6"/>
  <c r="Z50" i="6"/>
  <c r="AC50" i="6" s="1"/>
  <c r="AB50" i="6"/>
  <c r="AD50" i="6"/>
  <c r="AF50" i="6"/>
  <c r="AK50" i="6"/>
  <c r="AM50" i="6"/>
  <c r="AN50" i="6"/>
  <c r="AO50" i="6"/>
  <c r="AQ50" i="6"/>
  <c r="AV50" i="6"/>
  <c r="AY50" i="6" s="1"/>
  <c r="AZ50" i="6" s="1"/>
  <c r="BB50" i="6" s="1"/>
  <c r="AX50" i="6"/>
  <c r="BG50" i="6"/>
  <c r="BI50" i="6"/>
  <c r="BJ50" i="6"/>
  <c r="BK50" i="6"/>
  <c r="BM50" i="6"/>
  <c r="BR50" i="6"/>
  <c r="BT50" i="6"/>
  <c r="BU50" i="6"/>
  <c r="BV50" i="6"/>
  <c r="BX50" i="6"/>
  <c r="CC50" i="6"/>
  <c r="CE50" i="6"/>
  <c r="CF50" i="6"/>
  <c r="CG50" i="6" s="1"/>
  <c r="CI50" i="6" s="1"/>
  <c r="D51" i="6"/>
  <c r="F51" i="6"/>
  <c r="G51" i="6"/>
  <c r="H51" i="6" s="1"/>
  <c r="J51" i="6" s="1"/>
  <c r="O51" i="6"/>
  <c r="Q51" i="6"/>
  <c r="Z51" i="6"/>
  <c r="AB51" i="6"/>
  <c r="AC51" i="6"/>
  <c r="AD51" i="6"/>
  <c r="AF51" i="6"/>
  <c r="AK51" i="6"/>
  <c r="AM51" i="6"/>
  <c r="AV51" i="6"/>
  <c r="AX51" i="6"/>
  <c r="AY51" i="6"/>
  <c r="AZ51" i="6"/>
  <c r="BB51" i="6"/>
  <c r="BG51" i="6"/>
  <c r="BI51" i="6"/>
  <c r="BJ51" i="6"/>
  <c r="BK51" i="6"/>
  <c r="BM51" i="6"/>
  <c r="BR51" i="6"/>
  <c r="BT51" i="6"/>
  <c r="BU51" i="6"/>
  <c r="BV51" i="6"/>
  <c r="BX51" i="6"/>
  <c r="CC51" i="6"/>
  <c r="CF51" i="6" s="1"/>
  <c r="CG51" i="6" s="1"/>
  <c r="CI51" i="6" s="1"/>
  <c r="CE51" i="6"/>
  <c r="D52" i="6"/>
  <c r="F52" i="6"/>
  <c r="G52" i="6"/>
  <c r="H52" i="6"/>
  <c r="J52" i="6"/>
  <c r="O52" i="6"/>
  <c r="Q52" i="6"/>
  <c r="R52" i="6"/>
  <c r="S52" i="6"/>
  <c r="U52" i="6"/>
  <c r="Z52" i="6"/>
  <c r="AB52" i="6"/>
  <c r="AK52" i="6"/>
  <c r="AM52" i="6"/>
  <c r="AN52" i="6"/>
  <c r="AO52" i="6"/>
  <c r="AQ52" i="6"/>
  <c r="AV52" i="6"/>
  <c r="AX52" i="6"/>
  <c r="AY52" i="6"/>
  <c r="AZ52" i="6"/>
  <c r="BB52" i="6"/>
  <c r="BG52" i="6"/>
  <c r="BI52" i="6"/>
  <c r="BJ52" i="6"/>
  <c r="BK52" i="6"/>
  <c r="BM52" i="6"/>
  <c r="BR52" i="6"/>
  <c r="BU52" i="6" s="1"/>
  <c r="BT52" i="6"/>
  <c r="BV52" i="6"/>
  <c r="BX52" i="6"/>
  <c r="CC52" i="6"/>
  <c r="CE52" i="6"/>
  <c r="CF52" i="6"/>
  <c r="CG52" i="6"/>
  <c r="CI52" i="6"/>
  <c r="D57" i="6"/>
  <c r="F57" i="6"/>
  <c r="G57" i="6"/>
  <c r="H57" i="6"/>
  <c r="J57" i="6"/>
  <c r="O57" i="6"/>
  <c r="Q57" i="6"/>
  <c r="R57" i="6"/>
  <c r="S57" i="6"/>
  <c r="U57" i="6"/>
  <c r="Z57" i="6"/>
  <c r="AB57" i="6"/>
  <c r="AC57" i="6"/>
  <c r="AD57" i="6"/>
  <c r="AF57" i="6"/>
  <c r="AK57" i="6"/>
  <c r="AM57" i="6"/>
  <c r="AN57" i="6"/>
  <c r="AO57" i="6"/>
  <c r="AQ57" i="6"/>
  <c r="AV57" i="6"/>
  <c r="AX57" i="6"/>
  <c r="AY57" i="6"/>
  <c r="AZ57" i="6" s="1"/>
  <c r="BB57" i="6" s="1"/>
  <c r="BG57" i="6"/>
  <c r="BI57" i="6"/>
  <c r="BJ57" i="6"/>
  <c r="BK57" i="6"/>
  <c r="BM57" i="6" s="1"/>
  <c r="BR57" i="6"/>
  <c r="BT57" i="6"/>
  <c r="BU57" i="6"/>
  <c r="BV57" i="6"/>
  <c r="BX57" i="6"/>
  <c r="CC57" i="6"/>
  <c r="CE57" i="6"/>
  <c r="CF57" i="6"/>
  <c r="CG57" i="6"/>
  <c r="CI57" i="6" s="1"/>
  <c r="G58" i="6"/>
  <c r="H58" i="6"/>
  <c r="J58" i="6"/>
  <c r="O58" i="6"/>
  <c r="Q58" i="6"/>
  <c r="R58" i="6"/>
  <c r="S58" i="6"/>
  <c r="U58" i="6"/>
  <c r="Z58" i="6"/>
  <c r="AB58" i="6"/>
  <c r="AC58" i="6"/>
  <c r="AD58" i="6"/>
  <c r="AF58" i="6"/>
  <c r="AK58" i="6"/>
  <c r="AM58" i="6"/>
  <c r="AV58" i="6"/>
  <c r="AY58" i="6" s="1"/>
  <c r="AX58" i="6"/>
  <c r="AZ58" i="6"/>
  <c r="BB58" i="6"/>
  <c r="BG58" i="6"/>
  <c r="BI58" i="6"/>
  <c r="BR58" i="6"/>
  <c r="BT58" i="6"/>
  <c r="BU58" i="6"/>
  <c r="BV58" i="6"/>
  <c r="BX58" i="6"/>
  <c r="CC58" i="6"/>
  <c r="CE58" i="6"/>
  <c r="CF58" i="6"/>
  <c r="CG58" i="6"/>
  <c r="CI58" i="6"/>
  <c r="D59" i="6"/>
  <c r="G59" i="6" s="1"/>
  <c r="H59" i="6" s="1"/>
  <c r="J59" i="6" s="1"/>
  <c r="F59" i="6"/>
  <c r="O59" i="6"/>
  <c r="Q59" i="6"/>
  <c r="R59" i="6"/>
  <c r="S59" i="6"/>
  <c r="U59" i="6" s="1"/>
  <c r="Z59" i="6"/>
  <c r="AB59" i="6"/>
  <c r="AC59" i="6"/>
  <c r="AD59" i="6"/>
  <c r="AF59" i="6" s="1"/>
  <c r="G135" i="6" s="1"/>
  <c r="AK59" i="6"/>
  <c r="AM59" i="6"/>
  <c r="AN59" i="6"/>
  <c r="AO59" i="6" s="1"/>
  <c r="AQ59" i="6" s="1"/>
  <c r="AV59" i="6"/>
  <c r="AY59" i="6" s="1"/>
  <c r="AZ59" i="6" s="1"/>
  <c r="BB59" i="6" s="1"/>
  <c r="AX59" i="6"/>
  <c r="BG59" i="6"/>
  <c r="BI59" i="6"/>
  <c r="BJ59" i="6"/>
  <c r="BK59" i="6" s="1"/>
  <c r="BM59" i="6" s="1"/>
  <c r="BR59" i="6"/>
  <c r="BT59" i="6"/>
  <c r="BU59" i="6"/>
  <c r="BV59" i="6"/>
  <c r="BX59" i="6"/>
  <c r="CC59" i="6"/>
  <c r="CE59" i="6"/>
  <c r="D60" i="6"/>
  <c r="G60" i="6" s="1"/>
  <c r="F60" i="6"/>
  <c r="H60" i="6"/>
  <c r="J60" i="6"/>
  <c r="O60" i="6"/>
  <c r="Q60" i="6"/>
  <c r="Z60" i="6"/>
  <c r="AB60" i="6"/>
  <c r="AC60" i="6"/>
  <c r="AD60" i="6"/>
  <c r="AF60" i="6"/>
  <c r="G136" i="6" s="1"/>
  <c r="AK60" i="6"/>
  <c r="AM60" i="6"/>
  <c r="AN60" i="6"/>
  <c r="AO60" i="6" s="1"/>
  <c r="AQ60" i="6" s="1"/>
  <c r="AV60" i="6"/>
  <c r="AY60" i="6" s="1"/>
  <c r="AZ60" i="6" s="1"/>
  <c r="BB60" i="6" s="1"/>
  <c r="AX60" i="6"/>
  <c r="BG60" i="6"/>
  <c r="BI60" i="6"/>
  <c r="BJ60" i="6"/>
  <c r="BK60" i="6"/>
  <c r="BM60" i="6"/>
  <c r="BR60" i="6"/>
  <c r="BT60" i="6"/>
  <c r="BU60" i="6"/>
  <c r="BV60" i="6" s="1"/>
  <c r="BX60" i="6" s="1"/>
  <c r="CC60" i="6"/>
  <c r="CE60" i="6"/>
  <c r="D61" i="6"/>
  <c r="G61" i="6" s="1"/>
  <c r="F61" i="6"/>
  <c r="H61" i="6"/>
  <c r="J61" i="6"/>
  <c r="O61" i="6"/>
  <c r="Q61" i="6"/>
  <c r="R61" i="6"/>
  <c r="S61" i="6"/>
  <c r="U61" i="6"/>
  <c r="Z61" i="6"/>
  <c r="AB61" i="6"/>
  <c r="AC61" i="6"/>
  <c r="AD61" i="6"/>
  <c r="AF61" i="6"/>
  <c r="AK61" i="6"/>
  <c r="AM61" i="6"/>
  <c r="AN61" i="6"/>
  <c r="AO61" i="6"/>
  <c r="AQ61" i="6"/>
  <c r="AV61" i="6"/>
  <c r="AX61" i="6"/>
  <c r="AY61" i="6"/>
  <c r="AZ61" i="6"/>
  <c r="BB61" i="6"/>
  <c r="BG61" i="6"/>
  <c r="BI61" i="6"/>
  <c r="BJ61" i="6"/>
  <c r="BK61" i="6"/>
  <c r="BM61" i="6"/>
  <c r="BR61" i="6"/>
  <c r="BT61" i="6"/>
  <c r="BU61" i="6"/>
  <c r="BV61" i="6" s="1"/>
  <c r="BX61" i="6" s="1"/>
  <c r="CC61" i="6"/>
  <c r="CE61" i="6"/>
  <c r="CF61" i="6"/>
  <c r="CG61" i="6"/>
  <c r="CI61" i="6"/>
  <c r="E137" i="6" s="1"/>
  <c r="D62" i="6"/>
  <c r="F62" i="6"/>
  <c r="G62" i="6"/>
  <c r="H62" i="6"/>
  <c r="J62" i="6"/>
  <c r="O62" i="6"/>
  <c r="Q62" i="6"/>
  <c r="Z62" i="6"/>
  <c r="AB62" i="6"/>
  <c r="AC62" i="6"/>
  <c r="AD62" i="6" s="1"/>
  <c r="AF62" i="6" s="1"/>
  <c r="AK62" i="6"/>
  <c r="AM62" i="6"/>
  <c r="AV62" i="6"/>
  <c r="AX62" i="6"/>
  <c r="AY62" i="6"/>
  <c r="AZ62" i="6"/>
  <c r="BB62" i="6"/>
  <c r="BG62" i="6"/>
  <c r="BJ62" i="6" s="1"/>
  <c r="BI62" i="6"/>
  <c r="BK62" i="6"/>
  <c r="BM62" i="6" s="1"/>
  <c r="BR62" i="6"/>
  <c r="BT62" i="6"/>
  <c r="BU62" i="6"/>
  <c r="BV62" i="6"/>
  <c r="BX62" i="6"/>
  <c r="CC62" i="6"/>
  <c r="CE62" i="6"/>
  <c r="CF62" i="6"/>
  <c r="CG62" i="6"/>
  <c r="CI62" i="6"/>
  <c r="G63" i="6"/>
  <c r="R63" i="6"/>
  <c r="AC63" i="6"/>
  <c r="AN63" i="6"/>
  <c r="AY63" i="6"/>
  <c r="D69" i="6"/>
  <c r="F69" i="6"/>
  <c r="O69" i="6"/>
  <c r="Q69" i="6"/>
  <c r="R69" i="6"/>
  <c r="S69" i="6"/>
  <c r="U69" i="6"/>
  <c r="Z69" i="6"/>
  <c r="AB69" i="6"/>
  <c r="AC69" i="6"/>
  <c r="AD69" i="6"/>
  <c r="AF69" i="6" s="1"/>
  <c r="AK69" i="6"/>
  <c r="AM69" i="6"/>
  <c r="AN69" i="6"/>
  <c r="AO69" i="6" s="1"/>
  <c r="AQ69" i="6" s="1"/>
  <c r="AV69" i="6"/>
  <c r="AX69" i="6"/>
  <c r="AY69" i="6"/>
  <c r="AZ69" i="6"/>
  <c r="BB69" i="6"/>
  <c r="BG69" i="6"/>
  <c r="BI69" i="6"/>
  <c r="BJ69" i="6"/>
  <c r="BK69" i="6" s="1"/>
  <c r="BM69" i="6" s="1"/>
  <c r="BR69" i="6"/>
  <c r="BT69" i="6"/>
  <c r="BU69" i="6"/>
  <c r="BV69" i="6"/>
  <c r="BX69" i="6"/>
  <c r="CC69" i="6"/>
  <c r="CE69" i="6"/>
  <c r="CF69" i="6"/>
  <c r="CG69" i="6" s="1"/>
  <c r="CI69" i="6" s="1"/>
  <c r="D70" i="6"/>
  <c r="F70" i="6"/>
  <c r="G70" i="6"/>
  <c r="H70" i="6"/>
  <c r="J70" i="6"/>
  <c r="O70" i="6"/>
  <c r="R70" i="6" s="1"/>
  <c r="Q70" i="6"/>
  <c r="S70" i="6"/>
  <c r="U70" i="6"/>
  <c r="Z70" i="6"/>
  <c r="AB70" i="6"/>
  <c r="AC70" i="6"/>
  <c r="AD70" i="6" s="1"/>
  <c r="AF70" i="6" s="1"/>
  <c r="AK70" i="6"/>
  <c r="AM70" i="6"/>
  <c r="AN70" i="6"/>
  <c r="AO70" i="6"/>
  <c r="AQ70" i="6"/>
  <c r="AV70" i="6"/>
  <c r="AX70" i="6"/>
  <c r="AY70" i="6"/>
  <c r="AZ70" i="6"/>
  <c r="BB70" i="6"/>
  <c r="BG70" i="6"/>
  <c r="BI70" i="6"/>
  <c r="BJ70" i="6"/>
  <c r="BK70" i="6" s="1"/>
  <c r="BM70" i="6"/>
  <c r="BR70" i="6"/>
  <c r="BT70" i="6"/>
  <c r="CC70" i="6"/>
  <c r="CE70" i="6"/>
  <c r="CF70" i="6"/>
  <c r="CG70" i="6"/>
  <c r="CI70" i="6" s="1"/>
  <c r="D71" i="6"/>
  <c r="F71" i="6"/>
  <c r="G71" i="6"/>
  <c r="H71" i="6"/>
  <c r="J71" i="6"/>
  <c r="O71" i="6"/>
  <c r="Q71" i="6"/>
  <c r="Z71" i="6"/>
  <c r="AB71" i="6"/>
  <c r="AC71" i="6"/>
  <c r="AD71" i="6" s="1"/>
  <c r="AF71" i="6" s="1"/>
  <c r="AK71" i="6"/>
  <c r="AM71" i="6"/>
  <c r="AN71" i="6"/>
  <c r="AO71" i="6"/>
  <c r="AQ71" i="6"/>
  <c r="AV71" i="6"/>
  <c r="AX71" i="6"/>
  <c r="AY71" i="6"/>
  <c r="AZ71" i="6" s="1"/>
  <c r="BB71" i="6" s="1"/>
  <c r="BG71" i="6"/>
  <c r="BI71" i="6"/>
  <c r="BR71" i="6"/>
  <c r="BU71" i="6" s="1"/>
  <c r="BT71" i="6"/>
  <c r="BV71" i="6"/>
  <c r="BX71" i="6"/>
  <c r="CC71" i="6"/>
  <c r="CE71" i="6"/>
  <c r="CF71" i="6"/>
  <c r="CG71" i="6"/>
  <c r="CI71" i="6"/>
  <c r="J135" i="6" s="1"/>
  <c r="D72" i="6"/>
  <c r="G72" i="6" s="1"/>
  <c r="H72" i="6" s="1"/>
  <c r="J72" i="6" s="1"/>
  <c r="F72" i="6"/>
  <c r="O72" i="6"/>
  <c r="Q72" i="6"/>
  <c r="R72" i="6"/>
  <c r="S72" i="6"/>
  <c r="U72" i="6"/>
  <c r="Z72" i="6"/>
  <c r="AB72" i="6"/>
  <c r="AK72" i="6"/>
  <c r="AM72" i="6"/>
  <c r="AN72" i="6"/>
  <c r="AO72" i="6"/>
  <c r="AQ72" i="6"/>
  <c r="AV72" i="6"/>
  <c r="AY72" i="6" s="1"/>
  <c r="AZ72" i="6" s="1"/>
  <c r="BB72" i="6" s="1"/>
  <c r="AX72" i="6"/>
  <c r="BG72" i="6"/>
  <c r="BI72" i="6"/>
  <c r="BJ72" i="6"/>
  <c r="BK72" i="6"/>
  <c r="BM72" i="6"/>
  <c r="BR72" i="6"/>
  <c r="BT72" i="6"/>
  <c r="BU72" i="6"/>
  <c r="BV72" i="6"/>
  <c r="BX72" i="6"/>
  <c r="CC72" i="6"/>
  <c r="CF72" i="6" s="1"/>
  <c r="CG72" i="6" s="1"/>
  <c r="CI72" i="6" s="1"/>
  <c r="CE72" i="6"/>
  <c r="D73" i="6"/>
  <c r="F73" i="6"/>
  <c r="G73" i="6"/>
  <c r="H73" i="6"/>
  <c r="J73" i="6" s="1"/>
  <c r="O73" i="6"/>
  <c r="Q73" i="6"/>
  <c r="R73" i="6"/>
  <c r="S73" i="6"/>
  <c r="U73" i="6"/>
  <c r="Z73" i="6"/>
  <c r="AB73" i="6"/>
  <c r="AC73" i="6"/>
  <c r="AD73" i="6"/>
  <c r="AF73" i="6"/>
  <c r="AK73" i="6"/>
  <c r="AM73" i="6"/>
  <c r="AV73" i="6"/>
  <c r="AX73" i="6"/>
  <c r="AY73" i="6"/>
  <c r="AZ73" i="6"/>
  <c r="BB73" i="6"/>
  <c r="BG73" i="6"/>
  <c r="BI73" i="6"/>
  <c r="BJ73" i="6"/>
  <c r="BK73" i="6"/>
  <c r="BM73" i="6"/>
  <c r="BR73" i="6"/>
  <c r="BU73" i="6" s="1"/>
  <c r="BV73" i="6" s="1"/>
  <c r="BX73" i="6" s="1"/>
  <c r="BT73" i="6"/>
  <c r="CC73" i="6"/>
  <c r="CE73" i="6"/>
  <c r="CF73" i="6"/>
  <c r="CG73" i="6"/>
  <c r="CI73" i="6"/>
  <c r="D74" i="6"/>
  <c r="F74" i="6"/>
  <c r="G74" i="6"/>
  <c r="H74" i="6"/>
  <c r="J74" i="6"/>
  <c r="O74" i="6"/>
  <c r="Q74" i="6"/>
  <c r="R74" i="6"/>
  <c r="S74" i="6"/>
  <c r="U74" i="6" s="1"/>
  <c r="Z74" i="6"/>
  <c r="AB74" i="6"/>
  <c r="AC74" i="6"/>
  <c r="AD74" i="6"/>
  <c r="AF74" i="6"/>
  <c r="AK74" i="6"/>
  <c r="AM74" i="6"/>
  <c r="AN74" i="6"/>
  <c r="AO74" i="6"/>
  <c r="AQ74" i="6"/>
  <c r="AV74" i="6"/>
  <c r="AX74" i="6"/>
  <c r="AY74" i="6"/>
  <c r="AZ74" i="6" s="1"/>
  <c r="BB74" i="6" s="1"/>
  <c r="BG74" i="6"/>
  <c r="BI74" i="6"/>
  <c r="BJ74" i="6"/>
  <c r="BK74" i="6" s="1"/>
  <c r="BM74" i="6"/>
  <c r="BR74" i="6"/>
  <c r="BT74" i="6"/>
  <c r="CC74" i="6"/>
  <c r="CE74" i="6"/>
  <c r="CF74" i="6"/>
  <c r="CG74" i="6"/>
  <c r="CI74" i="6"/>
  <c r="D79" i="6"/>
  <c r="F79" i="6"/>
  <c r="O79" i="6"/>
  <c r="Q79" i="6"/>
  <c r="R79" i="6"/>
  <c r="S79" i="6"/>
  <c r="U79" i="6"/>
  <c r="Z79" i="6"/>
  <c r="AB79" i="6"/>
  <c r="AK79" i="6"/>
  <c r="AN79" i="6" s="1"/>
  <c r="AO79" i="6" s="1"/>
  <c r="AQ79" i="6" s="1"/>
  <c r="AM79" i="6"/>
  <c r="AV79" i="6"/>
  <c r="AX79" i="6"/>
  <c r="AY79" i="6"/>
  <c r="AZ79" i="6"/>
  <c r="BB79" i="6"/>
  <c r="BG79" i="6"/>
  <c r="BI79" i="6"/>
  <c r="BJ79" i="6"/>
  <c r="BK79" i="6"/>
  <c r="BM79" i="6" s="1"/>
  <c r="BR79" i="6"/>
  <c r="BT79" i="6"/>
  <c r="BU79" i="6"/>
  <c r="BV79" i="6"/>
  <c r="BX79" i="6" s="1"/>
  <c r="CC79" i="6"/>
  <c r="CE79" i="6"/>
  <c r="CF79" i="6"/>
  <c r="CG79" i="6"/>
  <c r="CI79" i="6"/>
  <c r="D80" i="6"/>
  <c r="F80" i="6"/>
  <c r="G80" i="6"/>
  <c r="H80" i="6"/>
  <c r="J80" i="6"/>
  <c r="O80" i="6"/>
  <c r="R80" i="6" s="1"/>
  <c r="S80" i="6" s="1"/>
  <c r="U80" i="6" s="1"/>
  <c r="Q80" i="6"/>
  <c r="Z80" i="6"/>
  <c r="AB80" i="6"/>
  <c r="AK80" i="6"/>
  <c r="AM80" i="6"/>
  <c r="AN80" i="6"/>
  <c r="AO80" i="6"/>
  <c r="AQ80" i="6"/>
  <c r="AV80" i="6"/>
  <c r="AX80" i="6"/>
  <c r="AY80" i="6"/>
  <c r="AZ80" i="6"/>
  <c r="BB80" i="6"/>
  <c r="BG80" i="6"/>
  <c r="BJ80" i="6" s="1"/>
  <c r="BK80" i="6" s="1"/>
  <c r="BM80" i="6" s="1"/>
  <c r="BI80" i="6"/>
  <c r="BR80" i="6"/>
  <c r="BT80" i="6"/>
  <c r="BU80" i="6"/>
  <c r="BV80" i="6"/>
  <c r="BX80" i="6"/>
  <c r="CC80" i="6"/>
  <c r="CE80" i="6"/>
  <c r="CF80" i="6"/>
  <c r="CG80" i="6"/>
  <c r="CI80" i="6"/>
  <c r="D81" i="6"/>
  <c r="G81" i="6" s="1"/>
  <c r="H81" i="6" s="1"/>
  <c r="J81" i="6" s="1"/>
  <c r="F81" i="6"/>
  <c r="O81" i="6"/>
  <c r="Q81" i="6"/>
  <c r="R81" i="6"/>
  <c r="S81" i="6" s="1"/>
  <c r="U81" i="6" s="1"/>
  <c r="Z81" i="6"/>
  <c r="AB81" i="6"/>
  <c r="AC81" i="6"/>
  <c r="AD81" i="6"/>
  <c r="AF81" i="6"/>
  <c r="AK81" i="6"/>
  <c r="AM81" i="6"/>
  <c r="AN81" i="6"/>
  <c r="AO81" i="6"/>
  <c r="AQ81" i="6"/>
  <c r="AV81" i="6"/>
  <c r="AX81" i="6"/>
  <c r="AY81" i="6" s="1"/>
  <c r="AZ81" i="6" s="1"/>
  <c r="BB81" i="6" s="1"/>
  <c r="BG81" i="6"/>
  <c r="BI81" i="6"/>
  <c r="BJ81" i="6"/>
  <c r="BK81" i="6"/>
  <c r="BM81" i="6"/>
  <c r="BR81" i="6"/>
  <c r="BT81" i="6"/>
  <c r="BU81" i="6"/>
  <c r="BV81" i="6"/>
  <c r="BX81" i="6" s="1"/>
  <c r="CC81" i="6"/>
  <c r="CE81" i="6"/>
  <c r="CF81" i="6"/>
  <c r="CG81" i="6"/>
  <c r="CI81" i="6"/>
  <c r="D82" i="6"/>
  <c r="G82" i="6" s="1"/>
  <c r="H82" i="6" s="1"/>
  <c r="J82" i="6" s="1"/>
  <c r="F82" i="6"/>
  <c r="O82" i="6"/>
  <c r="Q82" i="6"/>
  <c r="R82" i="6"/>
  <c r="S82" i="6"/>
  <c r="U82" i="6"/>
  <c r="Z82" i="6"/>
  <c r="AB82" i="6"/>
  <c r="AK82" i="6"/>
  <c r="AN82" i="6" s="1"/>
  <c r="AO82" i="6" s="1"/>
  <c r="AQ82" i="6" s="1"/>
  <c r="AM82" i="6"/>
  <c r="AV82" i="6"/>
  <c r="AX82" i="6"/>
  <c r="AY82" i="6"/>
  <c r="AZ82" i="6"/>
  <c r="BB82" i="6"/>
  <c r="BG82" i="6"/>
  <c r="BJ82" i="6" s="1"/>
  <c r="BK82" i="6" s="1"/>
  <c r="BM82" i="6" s="1"/>
  <c r="BI82" i="6"/>
  <c r="BR82" i="6"/>
  <c r="BT82" i="6"/>
  <c r="BU82" i="6"/>
  <c r="BV82" i="6"/>
  <c r="BX82" i="6"/>
  <c r="CC82" i="6"/>
  <c r="CE82" i="6"/>
  <c r="D83" i="6"/>
  <c r="F83" i="6"/>
  <c r="G83" i="6"/>
  <c r="H83" i="6"/>
  <c r="J83" i="6"/>
  <c r="O83" i="6"/>
  <c r="Q83" i="6"/>
  <c r="R83" i="6"/>
  <c r="S83" i="6"/>
  <c r="U83" i="6"/>
  <c r="Z83" i="6"/>
  <c r="AC83" i="6" s="1"/>
  <c r="AD83" i="6" s="1"/>
  <c r="AF83" i="6" s="1"/>
  <c r="AB83" i="6"/>
  <c r="AK83" i="6"/>
  <c r="AM83" i="6"/>
  <c r="AN83" i="6"/>
  <c r="AO83" i="6"/>
  <c r="AQ83" i="6" s="1"/>
  <c r="AV83" i="6"/>
  <c r="AX83" i="6"/>
  <c r="AY83" i="6"/>
  <c r="AZ83" i="6"/>
  <c r="BB83" i="6"/>
  <c r="BG83" i="6"/>
  <c r="BI83" i="6"/>
  <c r="BJ83" i="6"/>
  <c r="BK83" i="6"/>
  <c r="BM83" i="6"/>
  <c r="BR83" i="6"/>
  <c r="BT83" i="6"/>
  <c r="BU83" i="6"/>
  <c r="BV83" i="6"/>
  <c r="BX83" i="6"/>
  <c r="CC83" i="6"/>
  <c r="CE83" i="6"/>
  <c r="D84" i="6"/>
  <c r="F84" i="6"/>
  <c r="G84" i="6"/>
  <c r="H84" i="6"/>
  <c r="J84" i="6"/>
  <c r="O84" i="6"/>
  <c r="Q84" i="6"/>
  <c r="R84" i="6"/>
  <c r="S84" i="6"/>
  <c r="U84" i="6"/>
  <c r="Z84" i="6"/>
  <c r="AC84" i="6" s="1"/>
  <c r="AD84" i="6" s="1"/>
  <c r="AF84" i="6" s="1"/>
  <c r="AB84" i="6"/>
  <c r="AK84" i="6"/>
  <c r="AM84" i="6"/>
  <c r="AN84" i="6"/>
  <c r="AO84" i="6"/>
  <c r="AQ84" i="6"/>
  <c r="AV84" i="6"/>
  <c r="AX84" i="6"/>
  <c r="AY84" i="6"/>
  <c r="AZ84" i="6"/>
  <c r="BB84" i="6"/>
  <c r="BG84" i="6"/>
  <c r="BJ84" i="6" s="1"/>
  <c r="BK84" i="6" s="1"/>
  <c r="BM84" i="6" s="1"/>
  <c r="BI84" i="6"/>
  <c r="BR84" i="6"/>
  <c r="BT84" i="6"/>
  <c r="BU84" i="6"/>
  <c r="BV84" i="6"/>
  <c r="BX84" i="6"/>
  <c r="CC84" i="6"/>
  <c r="CE84" i="6"/>
  <c r="CF84" i="6"/>
  <c r="CG84" i="6"/>
  <c r="CI84" i="6"/>
  <c r="D89" i="6"/>
  <c r="F89" i="6"/>
  <c r="G89" i="6"/>
  <c r="H89" i="6"/>
  <c r="J89" i="6" s="1"/>
  <c r="O89" i="6"/>
  <c r="Q89" i="6"/>
  <c r="R89" i="6"/>
  <c r="S89" i="6"/>
  <c r="U89" i="6"/>
  <c r="Z89" i="6"/>
  <c r="AB89" i="6"/>
  <c r="AC89" i="6"/>
  <c r="AD89" i="6"/>
  <c r="AF89" i="6"/>
  <c r="AK89" i="6"/>
  <c r="AM89" i="6"/>
  <c r="AN89" i="6"/>
  <c r="AO89" i="6"/>
  <c r="AQ89" i="6" s="1"/>
  <c r="AV89" i="6"/>
  <c r="AX89" i="6"/>
  <c r="AY89" i="6"/>
  <c r="AZ89" i="6" s="1"/>
  <c r="BB89" i="6"/>
  <c r="BG89" i="6"/>
  <c r="BI89" i="6"/>
  <c r="BJ89" i="6"/>
  <c r="BK89" i="6"/>
  <c r="BM89" i="6"/>
  <c r="BR89" i="6"/>
  <c r="BT89" i="6"/>
  <c r="BU89" i="6"/>
  <c r="BV89" i="6"/>
  <c r="BX89" i="6" s="1"/>
  <c r="CC89" i="6"/>
  <c r="CF89" i="6" s="1"/>
  <c r="CG89" i="6" s="1"/>
  <c r="CI89" i="6" s="1"/>
  <c r="CE89" i="6"/>
  <c r="D90" i="6"/>
  <c r="F90" i="6"/>
  <c r="G90" i="6"/>
  <c r="H90" i="6"/>
  <c r="J90" i="6"/>
  <c r="O90" i="6"/>
  <c r="Q90" i="6"/>
  <c r="R90" i="6"/>
  <c r="S90" i="6"/>
  <c r="U90" i="6"/>
  <c r="I134" i="6" s="1"/>
  <c r="Z90" i="6"/>
  <c r="AB90" i="6"/>
  <c r="AC90" i="6"/>
  <c r="AD90" i="6"/>
  <c r="AF90" i="6"/>
  <c r="AK90" i="6"/>
  <c r="AM90" i="6"/>
  <c r="AN90" i="6"/>
  <c r="AO90" i="6"/>
  <c r="AQ90" i="6"/>
  <c r="AV90" i="6"/>
  <c r="AX90" i="6"/>
  <c r="AY90" i="6"/>
  <c r="AZ90" i="6"/>
  <c r="BB90" i="6"/>
  <c r="BG90" i="6"/>
  <c r="BI90" i="6"/>
  <c r="BJ90" i="6"/>
  <c r="BK90" i="6" s="1"/>
  <c r="BM90" i="6"/>
  <c r="BR90" i="6"/>
  <c r="BT90" i="6"/>
  <c r="BU90" i="6"/>
  <c r="BV90" i="6"/>
  <c r="BX90" i="6"/>
  <c r="CC90" i="6"/>
  <c r="CE90" i="6"/>
  <c r="CF90" i="6"/>
  <c r="CG90" i="6"/>
  <c r="CI90" i="6"/>
  <c r="D91" i="6"/>
  <c r="F91" i="6"/>
  <c r="G91" i="6"/>
  <c r="H91" i="6" s="1"/>
  <c r="J91" i="6" s="1"/>
  <c r="O91" i="6"/>
  <c r="Q91" i="6"/>
  <c r="R91" i="6"/>
  <c r="S91" i="6" s="1"/>
  <c r="U91" i="6" s="1"/>
  <c r="Z91" i="6"/>
  <c r="AB91" i="6"/>
  <c r="AC91" i="6"/>
  <c r="AD91" i="6"/>
  <c r="AF91" i="6"/>
  <c r="AK91" i="6"/>
  <c r="AM91" i="6"/>
  <c r="AN91" i="6"/>
  <c r="AO91" i="6"/>
  <c r="AQ91" i="6"/>
  <c r="AV91" i="6"/>
  <c r="AX91" i="6"/>
  <c r="AY91" i="6" s="1"/>
  <c r="AZ91" i="6" s="1"/>
  <c r="BB91" i="6" s="1"/>
  <c r="BG91" i="6"/>
  <c r="BI91" i="6"/>
  <c r="BJ91" i="6"/>
  <c r="BK91" i="6"/>
  <c r="BM91" i="6"/>
  <c r="BR91" i="6"/>
  <c r="BT91" i="6"/>
  <c r="BU91" i="6"/>
  <c r="BV91" i="6"/>
  <c r="BX91" i="6"/>
  <c r="CC91" i="6"/>
  <c r="CE91" i="6"/>
  <c r="CF91" i="6"/>
  <c r="CG91" i="6"/>
  <c r="CI91" i="6"/>
  <c r="D92" i="6"/>
  <c r="F92" i="6"/>
  <c r="G92" i="6"/>
  <c r="H92" i="6"/>
  <c r="J92" i="6" s="1"/>
  <c r="O92" i="6"/>
  <c r="Q92" i="6"/>
  <c r="R92" i="6"/>
  <c r="S92" i="6"/>
  <c r="U92" i="6"/>
  <c r="Z92" i="6"/>
  <c r="AB92" i="6"/>
  <c r="AK92" i="6"/>
  <c r="AM92" i="6"/>
  <c r="AN92" i="6"/>
  <c r="AO92" i="6"/>
  <c r="AQ92" i="6"/>
  <c r="AV92" i="6"/>
  <c r="AX92" i="6"/>
  <c r="AY92" i="6"/>
  <c r="AZ92" i="6"/>
  <c r="BB92" i="6"/>
  <c r="BG92" i="6"/>
  <c r="BI92" i="6"/>
  <c r="BJ92" i="6"/>
  <c r="BK92" i="6"/>
  <c r="BM92" i="6"/>
  <c r="BR92" i="6"/>
  <c r="BT92" i="6"/>
  <c r="BU92" i="6"/>
  <c r="BV92" i="6" s="1"/>
  <c r="BX92" i="6"/>
  <c r="CC92" i="6"/>
  <c r="CF92" i="6" s="1"/>
  <c r="CG92" i="6" s="1"/>
  <c r="CI92" i="6" s="1"/>
  <c r="CE92" i="6"/>
  <c r="D93" i="6"/>
  <c r="F93" i="6"/>
  <c r="G93" i="6"/>
  <c r="H93" i="6"/>
  <c r="J93" i="6" s="1"/>
  <c r="O93" i="6"/>
  <c r="Q93" i="6"/>
  <c r="R93" i="6"/>
  <c r="S93" i="6" s="1"/>
  <c r="U93" i="6" s="1"/>
  <c r="Z93" i="6"/>
  <c r="AB93" i="6"/>
  <c r="AC93" i="6"/>
  <c r="AD93" i="6"/>
  <c r="AF93" i="6"/>
  <c r="AK93" i="6"/>
  <c r="AM93" i="6"/>
  <c r="AN93" i="6"/>
  <c r="AO93" i="6"/>
  <c r="AQ93" i="6"/>
  <c r="AV93" i="6"/>
  <c r="AX93" i="6"/>
  <c r="AY93" i="6"/>
  <c r="AZ93" i="6"/>
  <c r="BB93" i="6"/>
  <c r="BG93" i="6"/>
  <c r="BI93" i="6"/>
  <c r="BJ93" i="6"/>
  <c r="BK93" i="6"/>
  <c r="BM93" i="6"/>
  <c r="BR93" i="6"/>
  <c r="BT93" i="6"/>
  <c r="BU93" i="6"/>
  <c r="BV93" i="6" s="1"/>
  <c r="BX93" i="6" s="1"/>
  <c r="CC93" i="6"/>
  <c r="CE93" i="6"/>
  <c r="CF93" i="6"/>
  <c r="CG93" i="6"/>
  <c r="CI93" i="6"/>
  <c r="D94" i="6"/>
  <c r="F94" i="6"/>
  <c r="G94" i="6"/>
  <c r="H94" i="6"/>
  <c r="J94" i="6"/>
  <c r="O94" i="6"/>
  <c r="Q94" i="6"/>
  <c r="Z94" i="6"/>
  <c r="AB94" i="6"/>
  <c r="AC94" i="6"/>
  <c r="AD94" i="6"/>
  <c r="AF94" i="6"/>
  <c r="AK94" i="6"/>
  <c r="AM94" i="6"/>
  <c r="AN94" i="6"/>
  <c r="AO94" i="6" s="1"/>
  <c r="AQ94" i="6"/>
  <c r="AV94" i="6"/>
  <c r="AX94" i="6"/>
  <c r="AY94" i="6"/>
  <c r="AZ94" i="6"/>
  <c r="BB94" i="6"/>
  <c r="BG94" i="6"/>
  <c r="BJ94" i="6" s="1"/>
  <c r="BK94" i="6" s="1"/>
  <c r="BM94" i="6" s="1"/>
  <c r="BI94" i="6"/>
  <c r="BR94" i="6"/>
  <c r="BT94" i="6"/>
  <c r="BU94" i="6"/>
  <c r="BV94" i="6" s="1"/>
  <c r="BX94" i="6" s="1"/>
  <c r="CC94" i="6"/>
  <c r="CE94" i="6"/>
  <c r="CF94" i="6"/>
  <c r="CG94" i="6"/>
  <c r="CI94" i="6"/>
  <c r="AN95" i="6"/>
  <c r="AY95" i="6"/>
  <c r="D101" i="6"/>
  <c r="G101" i="6" s="1"/>
  <c r="H101" i="6" s="1"/>
  <c r="J101" i="6" s="1"/>
  <c r="F101" i="6"/>
  <c r="O101" i="6"/>
  <c r="Q101" i="6"/>
  <c r="R101" i="6"/>
  <c r="S101" i="6"/>
  <c r="U101" i="6" s="1"/>
  <c r="Z101" i="6"/>
  <c r="AB101" i="6"/>
  <c r="AC101" i="6"/>
  <c r="AD101" i="6"/>
  <c r="AF101" i="6"/>
  <c r="L133" i="6" s="1"/>
  <c r="AK101" i="6"/>
  <c r="AN101" i="6" s="1"/>
  <c r="AO101" i="6" s="1"/>
  <c r="AQ101" i="6" s="1"/>
  <c r="F133" i="6" s="1"/>
  <c r="AM101" i="6"/>
  <c r="AV101" i="6"/>
  <c r="AY101" i="6" s="1"/>
  <c r="AZ101" i="6" s="1"/>
  <c r="BB101" i="6" s="1"/>
  <c r="AX101" i="6"/>
  <c r="BG101" i="6"/>
  <c r="BI101" i="6"/>
  <c r="BJ101" i="6"/>
  <c r="BK101" i="6"/>
  <c r="BM101" i="6"/>
  <c r="BR101" i="6"/>
  <c r="BT101" i="6"/>
  <c r="BU101" i="6"/>
  <c r="BV101" i="6"/>
  <c r="BX101" i="6"/>
  <c r="CC101" i="6"/>
  <c r="CF101" i="6" s="1"/>
  <c r="CG101" i="6" s="1"/>
  <c r="CI101" i="6" s="1"/>
  <c r="CE101" i="6"/>
  <c r="D102" i="6"/>
  <c r="F102" i="6"/>
  <c r="O102" i="6"/>
  <c r="Q102" i="6"/>
  <c r="R102" i="6"/>
  <c r="S102" i="6"/>
  <c r="U102" i="6"/>
  <c r="Z102" i="6"/>
  <c r="AB102" i="6"/>
  <c r="AC102" i="6"/>
  <c r="AD102" i="6"/>
  <c r="AF102" i="6"/>
  <c r="L134" i="6" s="1"/>
  <c r="AK102" i="6"/>
  <c r="AN102" i="6" s="1"/>
  <c r="AO102" i="6" s="1"/>
  <c r="AQ102" i="6" s="1"/>
  <c r="AM102" i="6"/>
  <c r="AV102" i="6"/>
  <c r="AX102" i="6"/>
  <c r="AY102" i="6"/>
  <c r="AZ102" i="6"/>
  <c r="BB102" i="6"/>
  <c r="BG102" i="6"/>
  <c r="BI102" i="6"/>
  <c r="BJ102" i="6"/>
  <c r="BK102" i="6"/>
  <c r="BM102" i="6"/>
  <c r="BR102" i="6"/>
  <c r="BT102" i="6"/>
  <c r="CC102" i="6"/>
  <c r="CE102" i="6"/>
  <c r="CF102" i="6"/>
  <c r="CG102" i="6"/>
  <c r="CI102" i="6"/>
  <c r="D103" i="6"/>
  <c r="F103" i="6"/>
  <c r="O103" i="6"/>
  <c r="Q103" i="6"/>
  <c r="R103" i="6"/>
  <c r="S103" i="6"/>
  <c r="U103" i="6" s="1"/>
  <c r="Z103" i="6"/>
  <c r="AB103" i="6"/>
  <c r="AC103" i="6"/>
  <c r="AD103" i="6"/>
  <c r="AF103" i="6"/>
  <c r="AK103" i="6"/>
  <c r="AM103" i="6"/>
  <c r="AN103" i="6"/>
  <c r="AO103" i="6"/>
  <c r="AQ103" i="6"/>
  <c r="AV103" i="6"/>
  <c r="AX103" i="6"/>
  <c r="AY103" i="6"/>
  <c r="AZ103" i="6"/>
  <c r="BB103" i="6"/>
  <c r="L135" i="6" s="1"/>
  <c r="BG103" i="6"/>
  <c r="BI103" i="6"/>
  <c r="BR103" i="6"/>
  <c r="BT103" i="6"/>
  <c r="BU103" i="6"/>
  <c r="BV103" i="6"/>
  <c r="BX103" i="6" s="1"/>
  <c r="CC103" i="6"/>
  <c r="CE103" i="6"/>
  <c r="CF103" i="6"/>
  <c r="CG103" i="6"/>
  <c r="CI103" i="6"/>
  <c r="D104" i="6"/>
  <c r="F104" i="6"/>
  <c r="O104" i="6"/>
  <c r="Q104" i="6"/>
  <c r="R104" i="6"/>
  <c r="S104" i="6"/>
  <c r="U104" i="6"/>
  <c r="Z104" i="6"/>
  <c r="AB104" i="6"/>
  <c r="AC104" i="6"/>
  <c r="AD104" i="6"/>
  <c r="AF104" i="6"/>
  <c r="L136" i="6" s="1"/>
  <c r="AK104" i="6"/>
  <c r="AM104" i="6"/>
  <c r="AN104" i="6"/>
  <c r="AO104" i="6"/>
  <c r="AQ104" i="6"/>
  <c r="AV104" i="6"/>
  <c r="AX104" i="6"/>
  <c r="AY104" i="6"/>
  <c r="AZ104" i="6"/>
  <c r="BB104" i="6" s="1"/>
  <c r="BG104" i="6"/>
  <c r="BI104" i="6"/>
  <c r="BJ104" i="6"/>
  <c r="BK104" i="6"/>
  <c r="BM104" i="6"/>
  <c r="BR104" i="6"/>
  <c r="BT104" i="6"/>
  <c r="BU104" i="6"/>
  <c r="BV104" i="6"/>
  <c r="BX104" i="6" s="1"/>
  <c r="CC104" i="6"/>
  <c r="CE104" i="6"/>
  <c r="CF104" i="6"/>
  <c r="CG104" i="6"/>
  <c r="CI104" i="6"/>
  <c r="D105" i="6"/>
  <c r="F105" i="6"/>
  <c r="G105" i="6"/>
  <c r="H105" i="6" s="1"/>
  <c r="J105" i="6" s="1"/>
  <c r="O105" i="6"/>
  <c r="Q105" i="6"/>
  <c r="R105" i="6"/>
  <c r="S105" i="6"/>
  <c r="U105" i="6"/>
  <c r="Z105" i="6"/>
  <c r="AB105" i="6"/>
  <c r="AK105" i="6"/>
  <c r="AM105" i="6"/>
  <c r="AN105" i="6"/>
  <c r="AO105" i="6" s="1"/>
  <c r="AQ105" i="6" s="1"/>
  <c r="AV105" i="6"/>
  <c r="AX105" i="6"/>
  <c r="AY105" i="6"/>
  <c r="AZ105" i="6"/>
  <c r="BB105" i="6"/>
  <c r="BG105" i="6"/>
  <c r="BI105" i="6"/>
  <c r="BR105" i="6"/>
  <c r="BT105" i="6"/>
  <c r="BU105" i="6"/>
  <c r="BV105" i="6"/>
  <c r="BX105" i="6"/>
  <c r="CC105" i="6"/>
  <c r="CE105" i="6"/>
  <c r="CF105" i="6"/>
  <c r="CG105" i="6" s="1"/>
  <c r="CI105" i="6" s="1"/>
  <c r="D106" i="6"/>
  <c r="F106" i="6"/>
  <c r="G106" i="6"/>
  <c r="H106" i="6"/>
  <c r="J106" i="6"/>
  <c r="O106" i="6"/>
  <c r="Q106" i="6"/>
  <c r="R106" i="6"/>
  <c r="S106" i="6"/>
  <c r="U106" i="6"/>
  <c r="Z106" i="6"/>
  <c r="AB106" i="6"/>
  <c r="AC106" i="6"/>
  <c r="AD106" i="6"/>
  <c r="AF106" i="6" s="1"/>
  <c r="L138" i="6" s="1"/>
  <c r="AK106" i="6"/>
  <c r="AM106" i="6"/>
  <c r="AN106" i="6"/>
  <c r="AO106" i="6"/>
  <c r="AQ106" i="6" s="1"/>
  <c r="AV106" i="6"/>
  <c r="AX106" i="6"/>
  <c r="AY106" i="6"/>
  <c r="AZ106" i="6"/>
  <c r="BB106" i="6"/>
  <c r="BG106" i="6"/>
  <c r="BI106" i="6"/>
  <c r="BJ106" i="6"/>
  <c r="BK106" i="6"/>
  <c r="BM106" i="6"/>
  <c r="BR106" i="6"/>
  <c r="BU106" i="6" s="1"/>
  <c r="BV106" i="6" s="1"/>
  <c r="BX106" i="6" s="1"/>
  <c r="BT106" i="6"/>
  <c r="CC106" i="6"/>
  <c r="CE106" i="6"/>
  <c r="D111" i="6"/>
  <c r="F111" i="6"/>
  <c r="O111" i="6"/>
  <c r="Q111" i="6"/>
  <c r="R111" i="6"/>
  <c r="Z111" i="6"/>
  <c r="AB111" i="6"/>
  <c r="AK111" i="6"/>
  <c r="AM111" i="6"/>
  <c r="AN111" i="6"/>
  <c r="AO111" i="6"/>
  <c r="AQ111" i="6"/>
  <c r="AV111" i="6"/>
  <c r="AX111" i="6"/>
  <c r="AY111" i="6"/>
  <c r="AZ111" i="6"/>
  <c r="BB111" i="6"/>
  <c r="BG111" i="6"/>
  <c r="BI111" i="6"/>
  <c r="BJ111" i="6"/>
  <c r="BK111" i="6"/>
  <c r="BM111" i="6"/>
  <c r="BR111" i="6"/>
  <c r="BT111" i="6"/>
  <c r="BU111" i="6"/>
  <c r="BV111" i="6"/>
  <c r="BX111" i="6" s="1"/>
  <c r="CC111" i="6"/>
  <c r="CE111" i="6"/>
  <c r="CF111" i="6"/>
  <c r="CG111" i="6"/>
  <c r="CI111" i="6"/>
  <c r="D112" i="6"/>
  <c r="F112" i="6"/>
  <c r="G112" i="6"/>
  <c r="H112" i="6"/>
  <c r="J112" i="6"/>
  <c r="O112" i="6"/>
  <c r="Q112" i="6"/>
  <c r="S112" i="6"/>
  <c r="U112" i="6"/>
  <c r="Z112" i="6"/>
  <c r="AB112" i="6"/>
  <c r="AC112" i="6"/>
  <c r="AD112" i="6"/>
  <c r="AF112" i="6"/>
  <c r="AK112" i="6"/>
  <c r="AM112" i="6"/>
  <c r="AN112" i="6"/>
  <c r="AO112" i="6"/>
  <c r="AQ112" i="6"/>
  <c r="AV112" i="6"/>
  <c r="AX112" i="6"/>
  <c r="AY112" i="6"/>
  <c r="AZ112" i="6" s="1"/>
  <c r="BB112" i="6" s="1"/>
  <c r="BG112" i="6"/>
  <c r="BI112" i="6"/>
  <c r="BJ112" i="6"/>
  <c r="BK112" i="6"/>
  <c r="BM112" i="6"/>
  <c r="BR112" i="6"/>
  <c r="BT112" i="6"/>
  <c r="BU112" i="6"/>
  <c r="BV112" i="6"/>
  <c r="BX112" i="6"/>
  <c r="CC112" i="6"/>
  <c r="CE112" i="6"/>
  <c r="D113" i="6"/>
  <c r="F113" i="6"/>
  <c r="G113" i="6"/>
  <c r="H113" i="6"/>
  <c r="J113" i="6"/>
  <c r="O113" i="6"/>
  <c r="Q113" i="6"/>
  <c r="R113" i="6"/>
  <c r="S113" i="6"/>
  <c r="U113" i="6"/>
  <c r="Z113" i="6"/>
  <c r="AB113" i="6"/>
  <c r="AC113" i="6"/>
  <c r="AD113" i="6" s="1"/>
  <c r="AF113" i="6" s="1"/>
  <c r="AK113" i="6"/>
  <c r="AM113" i="6"/>
  <c r="AN113" i="6"/>
  <c r="AO113" i="6" s="1"/>
  <c r="AQ113" i="6"/>
  <c r="AV113" i="6"/>
  <c r="AX113" i="6"/>
  <c r="AY113" i="6"/>
  <c r="AZ113" i="6"/>
  <c r="BB113" i="6"/>
  <c r="BG113" i="6"/>
  <c r="BI113" i="6"/>
  <c r="BJ113" i="6"/>
  <c r="BK113" i="6"/>
  <c r="BM113" i="6"/>
  <c r="BR113" i="6"/>
  <c r="BT113" i="6"/>
  <c r="BU113" i="6"/>
  <c r="BV113" i="6"/>
  <c r="BX113" i="6"/>
  <c r="CC113" i="6"/>
  <c r="CE113" i="6"/>
  <c r="CF113" i="6"/>
  <c r="CG113" i="6"/>
  <c r="CI113" i="6"/>
  <c r="D114" i="6"/>
  <c r="F114" i="6"/>
  <c r="G114" i="6"/>
  <c r="H114" i="6"/>
  <c r="J114" i="6"/>
  <c r="O114" i="6"/>
  <c r="R114" i="6" s="1"/>
  <c r="S114" i="6" s="1"/>
  <c r="U114" i="6" s="1"/>
  <c r="Q114" i="6"/>
  <c r="Z114" i="6"/>
  <c r="AB114" i="6"/>
  <c r="AC114" i="6"/>
  <c r="AD114" i="6" s="1"/>
  <c r="AF114" i="6" s="1"/>
  <c r="AK114" i="6"/>
  <c r="AM114" i="6"/>
  <c r="AN114" i="6"/>
  <c r="AO114" i="6"/>
  <c r="AQ114" i="6"/>
  <c r="AV114" i="6"/>
  <c r="AX114" i="6"/>
  <c r="BG114" i="6"/>
  <c r="BI114" i="6"/>
  <c r="BJ114" i="6"/>
  <c r="BK114" i="6"/>
  <c r="BM114" i="6"/>
  <c r="BR114" i="6"/>
  <c r="BT114" i="6"/>
  <c r="BU114" i="6"/>
  <c r="BV114" i="6"/>
  <c r="BX114" i="6"/>
  <c r="CC114" i="6"/>
  <c r="CE114" i="6"/>
  <c r="CF114" i="6"/>
  <c r="CG114" i="6"/>
  <c r="CI114" i="6"/>
  <c r="D115" i="6"/>
  <c r="F115" i="6"/>
  <c r="O115" i="6"/>
  <c r="Q115" i="6"/>
  <c r="R115" i="6"/>
  <c r="S115" i="6"/>
  <c r="U115" i="6" s="1"/>
  <c r="Z115" i="6"/>
  <c r="AB115" i="6"/>
  <c r="AC115" i="6"/>
  <c r="AD115" i="6"/>
  <c r="AF115" i="6"/>
  <c r="AK115" i="6"/>
  <c r="AM115" i="6"/>
  <c r="AN115" i="6"/>
  <c r="AO115" i="6"/>
  <c r="AQ115" i="6"/>
  <c r="AV115" i="6"/>
  <c r="AX115" i="6"/>
  <c r="AY115" i="6"/>
  <c r="AZ115" i="6" s="1"/>
  <c r="BB115" i="6" s="1"/>
  <c r="BG115" i="6"/>
  <c r="BI115" i="6"/>
  <c r="BJ115" i="6"/>
  <c r="BK115" i="6"/>
  <c r="BM115" i="6"/>
  <c r="BR115" i="6"/>
  <c r="BT115" i="6"/>
  <c r="BU115" i="6"/>
  <c r="BV115" i="6" s="1"/>
  <c r="BX115" i="6" s="1"/>
  <c r="CC115" i="6"/>
  <c r="CE115" i="6"/>
  <c r="CF115" i="6"/>
  <c r="CG115" i="6"/>
  <c r="CI115" i="6"/>
  <c r="D116" i="6"/>
  <c r="G116" i="6" s="1"/>
  <c r="H116" i="6" s="1"/>
  <c r="J116" i="6" s="1"/>
  <c r="F116" i="6"/>
  <c r="O116" i="6"/>
  <c r="Q116" i="6"/>
  <c r="R116" i="6"/>
  <c r="S116" i="6" s="1"/>
  <c r="U116" i="6" s="1"/>
  <c r="Z116" i="6"/>
  <c r="AB116" i="6"/>
  <c r="AC116" i="6"/>
  <c r="AD116" i="6"/>
  <c r="AF116" i="6"/>
  <c r="AK116" i="6"/>
  <c r="AM116" i="6"/>
  <c r="AN116" i="6"/>
  <c r="AO116" i="6"/>
  <c r="AQ116" i="6" s="1"/>
  <c r="AV116" i="6"/>
  <c r="AX116" i="6"/>
  <c r="AY116" i="6"/>
  <c r="AZ116" i="6"/>
  <c r="BB116" i="6"/>
  <c r="BG116" i="6"/>
  <c r="BI116" i="6"/>
  <c r="BJ116" i="6"/>
  <c r="BK116" i="6"/>
  <c r="BM116" i="6"/>
  <c r="BR116" i="6"/>
  <c r="BT116" i="6"/>
  <c r="BU116" i="6"/>
  <c r="BV116" i="6"/>
  <c r="BX116" i="6"/>
  <c r="CC116" i="6"/>
  <c r="CE116" i="6"/>
  <c r="D121" i="6"/>
  <c r="F121" i="6"/>
  <c r="G121" i="6"/>
  <c r="H121" i="6"/>
  <c r="J121" i="6"/>
  <c r="O121" i="6"/>
  <c r="Q121" i="6"/>
  <c r="R121" i="6"/>
  <c r="S121" i="6"/>
  <c r="U121" i="6"/>
  <c r="Z121" i="6"/>
  <c r="AC121" i="6" s="1"/>
  <c r="AD121" i="6" s="1"/>
  <c r="AF121" i="6" s="1"/>
  <c r="M133" i="6" s="1"/>
  <c r="AB121" i="6"/>
  <c r="AK121" i="6"/>
  <c r="AM121" i="6"/>
  <c r="AN121" i="6"/>
  <c r="AO121" i="6" s="1"/>
  <c r="AQ121" i="6" s="1"/>
  <c r="AV121" i="6"/>
  <c r="AX121" i="6"/>
  <c r="AY121" i="6"/>
  <c r="AZ121" i="6"/>
  <c r="BB121" i="6"/>
  <c r="BG121" i="6"/>
  <c r="BI121" i="6"/>
  <c r="BJ121" i="6"/>
  <c r="BK121" i="6"/>
  <c r="BM121" i="6"/>
  <c r="BR121" i="6"/>
  <c r="BU121" i="6" s="1"/>
  <c r="BV121" i="6" s="1"/>
  <c r="BX121" i="6" s="1"/>
  <c r="BT121" i="6"/>
  <c r="CC121" i="6"/>
  <c r="CE121" i="6"/>
  <c r="CF121" i="6"/>
  <c r="CG121" i="6"/>
  <c r="CI121" i="6"/>
  <c r="D122" i="6"/>
  <c r="F122" i="6"/>
  <c r="G122" i="6"/>
  <c r="H122" i="6"/>
  <c r="J122" i="6"/>
  <c r="O122" i="6"/>
  <c r="Q122" i="6"/>
  <c r="Z122" i="6"/>
  <c r="AB122" i="6"/>
  <c r="AC122" i="6"/>
  <c r="AD122" i="6"/>
  <c r="AF122" i="6"/>
  <c r="AK122" i="6"/>
  <c r="AM122" i="6"/>
  <c r="AN122" i="6"/>
  <c r="AO122" i="6"/>
  <c r="AQ122" i="6"/>
  <c r="AV122" i="6"/>
  <c r="AX122" i="6"/>
  <c r="AY122" i="6"/>
  <c r="AZ122" i="6"/>
  <c r="BB122" i="6"/>
  <c r="BG122" i="6"/>
  <c r="BI122" i="6"/>
  <c r="BJ122" i="6"/>
  <c r="BK122" i="6"/>
  <c r="BM122" i="6"/>
  <c r="BR122" i="6"/>
  <c r="BT122" i="6"/>
  <c r="BU122" i="6"/>
  <c r="BV122" i="6"/>
  <c r="BX122" i="6"/>
  <c r="CC122" i="6"/>
  <c r="CE122" i="6"/>
  <c r="CF122" i="6"/>
  <c r="CG122" i="6"/>
  <c r="CI122" i="6" s="1"/>
  <c r="D123" i="6"/>
  <c r="F123" i="6"/>
  <c r="O123" i="6"/>
  <c r="Q123" i="6"/>
  <c r="R123" i="6"/>
  <c r="S123" i="6"/>
  <c r="U123" i="6"/>
  <c r="Z123" i="6"/>
  <c r="AB123" i="6"/>
  <c r="AC123" i="6"/>
  <c r="AD123" i="6"/>
  <c r="AF123" i="6" s="1"/>
  <c r="M135" i="6" s="1"/>
  <c r="AK123" i="6"/>
  <c r="AM123" i="6"/>
  <c r="AN123" i="6"/>
  <c r="AO123" i="6" s="1"/>
  <c r="AQ123" i="6" s="1"/>
  <c r="AV123" i="6"/>
  <c r="AX123" i="6"/>
  <c r="AY123" i="6"/>
  <c r="AZ123" i="6"/>
  <c r="BB123" i="6"/>
  <c r="BG123" i="6"/>
  <c r="BI123" i="6"/>
  <c r="BJ123" i="6"/>
  <c r="BK123" i="6"/>
  <c r="BM123" i="6"/>
  <c r="BR123" i="6"/>
  <c r="BT123" i="6"/>
  <c r="BU123" i="6"/>
  <c r="BV123" i="6"/>
  <c r="BX123" i="6" s="1"/>
  <c r="CC123" i="6"/>
  <c r="CF123" i="6" s="1"/>
  <c r="CG123" i="6" s="1"/>
  <c r="CI123" i="6" s="1"/>
  <c r="CE123" i="6"/>
  <c r="D124" i="6"/>
  <c r="F124" i="6"/>
  <c r="G124" i="6"/>
  <c r="H124" i="6"/>
  <c r="J124" i="6"/>
  <c r="O124" i="6"/>
  <c r="Q124" i="6"/>
  <c r="R124" i="6"/>
  <c r="S124" i="6"/>
  <c r="U124" i="6"/>
  <c r="Z124" i="6"/>
  <c r="AC124" i="6" s="1"/>
  <c r="AD124" i="6" s="1"/>
  <c r="AF124" i="6" s="1"/>
  <c r="M136" i="6" s="1"/>
  <c r="AB124" i="6"/>
  <c r="AK124" i="6"/>
  <c r="AM124" i="6"/>
  <c r="AN124" i="6"/>
  <c r="AO124" i="6" s="1"/>
  <c r="AQ124" i="6" s="1"/>
  <c r="AV124" i="6"/>
  <c r="AX124" i="6"/>
  <c r="AY124" i="6"/>
  <c r="AZ124" i="6"/>
  <c r="BB124" i="6"/>
  <c r="BG124" i="6"/>
  <c r="BI124" i="6"/>
  <c r="BJ124" i="6"/>
  <c r="BK124" i="6"/>
  <c r="BM124" i="6" s="1"/>
  <c r="BR124" i="6"/>
  <c r="BT124" i="6"/>
  <c r="BU124" i="6"/>
  <c r="BV124" i="6" s="1"/>
  <c r="BX124" i="6" s="1"/>
  <c r="CC124" i="6"/>
  <c r="CE124" i="6"/>
  <c r="CF124" i="6"/>
  <c r="CG124" i="6"/>
  <c r="CI124" i="6"/>
  <c r="D125" i="6"/>
  <c r="F125" i="6"/>
  <c r="G125" i="6"/>
  <c r="H125" i="6" s="1"/>
  <c r="J125" i="6" s="1"/>
  <c r="O125" i="6"/>
  <c r="Q125" i="6"/>
  <c r="R125" i="6"/>
  <c r="S125" i="6"/>
  <c r="U125" i="6"/>
  <c r="Z125" i="6"/>
  <c r="AB125" i="6"/>
  <c r="AC125" i="6"/>
  <c r="AD125" i="6" s="1"/>
  <c r="AF125" i="6" s="1"/>
  <c r="AK125" i="6"/>
  <c r="AM125" i="6"/>
  <c r="AN125" i="6"/>
  <c r="AO125" i="6" s="1"/>
  <c r="AQ125" i="6"/>
  <c r="AV125" i="6"/>
  <c r="AX125" i="6"/>
  <c r="BG125" i="6"/>
  <c r="BI125" i="6"/>
  <c r="BJ125" i="6"/>
  <c r="BK125" i="6"/>
  <c r="BM125" i="6" s="1"/>
  <c r="BR125" i="6"/>
  <c r="BT125" i="6"/>
  <c r="BU125" i="6"/>
  <c r="BV125" i="6"/>
  <c r="BX125" i="6"/>
  <c r="CC125" i="6"/>
  <c r="CF125" i="6" s="1"/>
  <c r="CG125" i="6" s="1"/>
  <c r="CI125" i="6" s="1"/>
  <c r="CE125" i="6"/>
  <c r="D126" i="6"/>
  <c r="F126" i="6"/>
  <c r="G126" i="6"/>
  <c r="H126" i="6"/>
  <c r="J126" i="6"/>
  <c r="O126" i="6"/>
  <c r="Q126" i="6"/>
  <c r="R126" i="6"/>
  <c r="S126" i="6"/>
  <c r="U126" i="6"/>
  <c r="Z126" i="6"/>
  <c r="AB126" i="6"/>
  <c r="AC126" i="6"/>
  <c r="AD126" i="6"/>
  <c r="AF126" i="6" s="1"/>
  <c r="AK126" i="6"/>
  <c r="AM126" i="6"/>
  <c r="AN126" i="6"/>
  <c r="AO126" i="6"/>
  <c r="AQ126" i="6"/>
  <c r="AV126" i="6"/>
  <c r="AX126" i="6"/>
  <c r="AY126" i="6"/>
  <c r="AZ126" i="6"/>
  <c r="BB126" i="6"/>
  <c r="M138" i="6" s="1"/>
  <c r="BG126" i="6"/>
  <c r="BI126" i="6"/>
  <c r="BJ126" i="6"/>
  <c r="BK126" i="6" s="1"/>
  <c r="BM126" i="6" s="1"/>
  <c r="BR126" i="6"/>
  <c r="BT126" i="6"/>
  <c r="BU126" i="6"/>
  <c r="BV126" i="6"/>
  <c r="BX126" i="6"/>
  <c r="CC126" i="6"/>
  <c r="CE126" i="6"/>
  <c r="CF126" i="6"/>
  <c r="CG126" i="6"/>
  <c r="CI126" i="6"/>
  <c r="BU127" i="6"/>
  <c r="B133" i="6"/>
  <c r="E133" i="6"/>
  <c r="D134" i="6"/>
  <c r="E134" i="6"/>
  <c r="C136" i="6"/>
  <c r="D136" i="6"/>
  <c r="F136" i="6"/>
  <c r="H136" i="6"/>
  <c r="B138" i="6"/>
  <c r="E138" i="6"/>
  <c r="CF116" i="6" l="1"/>
  <c r="CG116" i="6" s="1"/>
  <c r="CI116" i="6" s="1"/>
  <c r="AN51" i="6"/>
  <c r="AO51" i="6" s="1"/>
  <c r="AQ51" i="6" s="1"/>
  <c r="AN37" i="6"/>
  <c r="AO37" i="6" s="1"/>
  <c r="AQ37" i="6" s="1"/>
  <c r="AC28" i="6"/>
  <c r="AD28" i="6" s="1"/>
  <c r="AF28" i="6" s="1"/>
  <c r="K136" i="6" s="1"/>
  <c r="R94" i="6"/>
  <c r="S94" i="6" s="1"/>
  <c r="U94" i="6" s="1"/>
  <c r="AN73" i="6"/>
  <c r="AO73" i="6" s="1"/>
  <c r="AQ73" i="6" s="1"/>
  <c r="D137" i="6" s="1"/>
  <c r="K135" i="6"/>
  <c r="AY8" i="6"/>
  <c r="AZ8" i="6" s="1"/>
  <c r="BB8" i="6" s="1"/>
  <c r="C134" i="6"/>
  <c r="R71" i="6"/>
  <c r="S71" i="6" s="1"/>
  <c r="U71" i="6" s="1"/>
  <c r="H135" i="6" s="1"/>
  <c r="I138" i="6"/>
  <c r="G133" i="6"/>
  <c r="AC79" i="6"/>
  <c r="AD79" i="6" s="1"/>
  <c r="AF79" i="6" s="1"/>
  <c r="R62" i="6"/>
  <c r="S62" i="6" s="1"/>
  <c r="U62" i="6" s="1"/>
  <c r="I135" i="6"/>
  <c r="AN15" i="6"/>
  <c r="AO15" i="6" s="1"/>
  <c r="AQ15" i="6" s="1"/>
  <c r="G69" i="6"/>
  <c r="H69" i="6" s="1"/>
  <c r="J69" i="6" s="1"/>
  <c r="G104" i="6"/>
  <c r="H104" i="6" s="1"/>
  <c r="J104" i="6" s="1"/>
  <c r="BU42" i="6"/>
  <c r="BV42" i="6" s="1"/>
  <c r="BX42" i="6" s="1"/>
  <c r="BJ30" i="6"/>
  <c r="BK30" i="6" s="1"/>
  <c r="BM30" i="6" s="1"/>
  <c r="H138" i="6"/>
  <c r="BU102" i="6"/>
  <c r="BV102" i="6" s="1"/>
  <c r="BX102" i="6" s="1"/>
  <c r="BU70" i="6"/>
  <c r="BV70" i="6" s="1"/>
  <c r="BX70" i="6" s="1"/>
  <c r="BJ58" i="6"/>
  <c r="BK58" i="6" s="1"/>
  <c r="BM58" i="6" s="1"/>
  <c r="CF60" i="6"/>
  <c r="CG60" i="6" s="1"/>
  <c r="CI60" i="6" s="1"/>
  <c r="BJ71" i="6"/>
  <c r="BK71" i="6" s="1"/>
  <c r="BM71" i="6" s="1"/>
  <c r="F137" i="6"/>
  <c r="AY26" i="6"/>
  <c r="AZ26" i="6" s="1"/>
  <c r="BB26" i="6" s="1"/>
  <c r="CF82" i="6"/>
  <c r="CG82" i="6" s="1"/>
  <c r="CI82" i="6" s="1"/>
  <c r="J133" i="6"/>
  <c r="CF59" i="6"/>
  <c r="CG59" i="6" s="1"/>
  <c r="CI59" i="6" s="1"/>
  <c r="E135" i="6" s="1"/>
  <c r="R17" i="6"/>
  <c r="S17" i="6" s="1"/>
  <c r="U17" i="6" s="1"/>
  <c r="R122" i="6"/>
  <c r="S122" i="6" s="1"/>
  <c r="U122" i="6" s="1"/>
  <c r="BU74" i="6"/>
  <c r="BV74" i="6" s="1"/>
  <c r="BX74" i="6" s="1"/>
  <c r="F138" i="6"/>
  <c r="R47" i="6"/>
  <c r="S47" i="6" s="1"/>
  <c r="U47" i="6" s="1"/>
  <c r="I137" i="6"/>
  <c r="AY20" i="6"/>
  <c r="AZ20" i="6" s="1"/>
  <c r="BB20" i="6" s="1"/>
  <c r="AN58" i="6"/>
  <c r="AO58" i="6" s="1"/>
  <c r="AQ58" i="6" s="1"/>
  <c r="G79" i="6"/>
  <c r="H79" i="6" s="1"/>
  <c r="J79" i="6" s="1"/>
  <c r="AC72" i="6"/>
  <c r="AD72" i="6" s="1"/>
  <c r="AF72" i="6" s="1"/>
  <c r="AC26" i="6"/>
  <c r="AD26" i="6" s="1"/>
  <c r="AF26" i="6" s="1"/>
  <c r="K134" i="6" s="1"/>
  <c r="M134" i="6"/>
  <c r="G103" i="6"/>
  <c r="H103" i="6" s="1"/>
  <c r="J103" i="6" s="1"/>
  <c r="R60" i="6"/>
  <c r="S60" i="6" s="1"/>
  <c r="U60" i="6" s="1"/>
  <c r="G138" i="6"/>
  <c r="G137" i="6"/>
  <c r="H137" i="6"/>
  <c r="AC8" i="6"/>
  <c r="AD8" i="6" s="1"/>
  <c r="AF8" i="6" s="1"/>
  <c r="J136" i="6" s="1"/>
  <c r="BJ105" i="6"/>
  <c r="BK105" i="6" s="1"/>
  <c r="BM105" i="6" s="1"/>
  <c r="G102" i="6"/>
  <c r="H102" i="6" s="1"/>
  <c r="J102" i="6" s="1"/>
  <c r="CF42" i="6"/>
  <c r="CG42" i="6" s="1"/>
  <c r="CI42" i="6" s="1"/>
  <c r="D138" i="6" s="1"/>
  <c r="BU30" i="6"/>
  <c r="BV30" i="6" s="1"/>
  <c r="BX30" i="6" s="1"/>
  <c r="J134" i="6"/>
  <c r="G123" i="6"/>
  <c r="H123" i="6" s="1"/>
  <c r="J123" i="6" s="1"/>
  <c r="AC111" i="6"/>
  <c r="AD111" i="6" s="1"/>
  <c r="AF111" i="6" s="1"/>
  <c r="BJ17" i="6"/>
  <c r="BK17" i="6" s="1"/>
  <c r="BM17" i="6" s="1"/>
  <c r="E136" i="6"/>
  <c r="BJ103" i="6"/>
  <c r="BK103" i="6" s="1"/>
  <c r="BM103" i="6" s="1"/>
  <c r="F135" i="6" s="1"/>
  <c r="CF112" i="6"/>
  <c r="CG112" i="6" s="1"/>
  <c r="CI112" i="6" s="1"/>
  <c r="AC52" i="6"/>
  <c r="AD52" i="6" s="1"/>
  <c r="AF52" i="6" s="1"/>
  <c r="BU28" i="6"/>
  <c r="BV28" i="6" s="1"/>
  <c r="BX28" i="6" s="1"/>
  <c r="BU10" i="6"/>
  <c r="BV10" i="6" s="1"/>
  <c r="BX10" i="6" s="1"/>
  <c r="AC82" i="6"/>
  <c r="AD82" i="6" s="1"/>
  <c r="AF82" i="6" s="1"/>
  <c r="H133" i="6"/>
  <c r="AY16" i="6"/>
  <c r="AZ16" i="6" s="1"/>
  <c r="BB16" i="6" s="1"/>
  <c r="AY114" i="6"/>
  <c r="AZ114" i="6" s="1"/>
  <c r="BB114" i="6" s="1"/>
  <c r="AC105" i="6"/>
  <c r="AD105" i="6" s="1"/>
  <c r="AF105" i="6" s="1"/>
  <c r="L137" i="6" s="1"/>
  <c r="AN49" i="6"/>
  <c r="AO49" i="6" s="1"/>
  <c r="AQ49" i="6" s="1"/>
  <c r="G7" i="6"/>
  <c r="H7" i="6" s="1"/>
  <c r="J7" i="6" s="1"/>
  <c r="B135" i="6" s="1"/>
  <c r="AY125" i="6"/>
  <c r="AZ125" i="6" s="1"/>
  <c r="BB125" i="6" s="1"/>
  <c r="M137" i="6" s="1"/>
  <c r="G111" i="6"/>
  <c r="H111" i="6" s="1"/>
  <c r="J111" i="6" s="1"/>
  <c r="AC92" i="6"/>
  <c r="AD92" i="6" s="1"/>
  <c r="AF92" i="6" s="1"/>
  <c r="CF83" i="6"/>
  <c r="CG83" i="6" s="1"/>
  <c r="CI83" i="6" s="1"/>
  <c r="R51" i="6"/>
  <c r="S51" i="6" s="1"/>
  <c r="U51" i="6" s="1"/>
  <c r="BJ41" i="6"/>
  <c r="BK41" i="6" s="1"/>
  <c r="BM41" i="6" s="1"/>
  <c r="AY28" i="6"/>
  <c r="AZ28" i="6" s="1"/>
  <c r="BB28" i="6" s="1"/>
  <c r="AC17" i="6"/>
  <c r="AD17" i="6" s="1"/>
  <c r="AF17" i="6" s="1"/>
  <c r="CF106" i="6"/>
  <c r="CG106" i="6" s="1"/>
  <c r="CI106" i="6" s="1"/>
  <c r="AN62" i="6"/>
  <c r="AO62" i="6" s="1"/>
  <c r="AQ62" i="6" s="1"/>
  <c r="C133" i="6"/>
  <c r="AC80" i="6"/>
  <c r="AD80" i="6" s="1"/>
  <c r="AF80" i="6" s="1"/>
  <c r="R39" i="6"/>
  <c r="S39" i="6" s="1"/>
  <c r="U39" i="6" s="1"/>
  <c r="G115" i="6"/>
  <c r="H115" i="6" s="1"/>
  <c r="J115" i="6" s="1"/>
  <c r="F5" i="4"/>
  <c r="H5" i="4" s="1"/>
  <c r="M5" i="4" s="1"/>
  <c r="J5" i="4"/>
  <c r="L5" i="4"/>
  <c r="O5" i="4"/>
  <c r="F6" i="4"/>
  <c r="H6" i="4"/>
  <c r="J6" i="4"/>
  <c r="L6" i="4"/>
  <c r="M6" i="4"/>
  <c r="O6" i="4"/>
  <c r="N6" i="4" s="1"/>
  <c r="B299" i="4" s="1"/>
  <c r="F7" i="4"/>
  <c r="H7" i="4"/>
  <c r="M7" i="4" s="1"/>
  <c r="J7" i="4"/>
  <c r="L7" i="4"/>
  <c r="O7" i="4"/>
  <c r="C300" i="4" s="1"/>
  <c r="F8" i="4"/>
  <c r="H8" i="4" s="1"/>
  <c r="M8" i="4" s="1"/>
  <c r="N8" i="4" s="1"/>
  <c r="J8" i="4"/>
  <c r="L8" i="4"/>
  <c r="O8" i="4"/>
  <c r="F9" i="4"/>
  <c r="H9" i="4"/>
  <c r="J9" i="4"/>
  <c r="L9" i="4"/>
  <c r="O9" i="4" s="1"/>
  <c r="C302" i="4" s="1"/>
  <c r="M9" i="4"/>
  <c r="N9" i="4" s="1"/>
  <c r="B302" i="4" s="1"/>
  <c r="F10" i="4"/>
  <c r="H10" i="4"/>
  <c r="J10" i="4"/>
  <c r="L10" i="4" s="1"/>
  <c r="O10" i="4" s="1"/>
  <c r="M10" i="4"/>
  <c r="N10" i="4" s="1"/>
  <c r="B303" i="4" s="1"/>
  <c r="F14" i="4"/>
  <c r="H14" i="4"/>
  <c r="J14" i="4"/>
  <c r="L14" i="4"/>
  <c r="M14" i="4"/>
  <c r="O14" i="4"/>
  <c r="N14" i="4" s="1"/>
  <c r="F15" i="4"/>
  <c r="H15" i="4" s="1"/>
  <c r="J15" i="4"/>
  <c r="L15" i="4"/>
  <c r="M15" i="4"/>
  <c r="O15" i="4"/>
  <c r="F16" i="4"/>
  <c r="H16" i="4" s="1"/>
  <c r="M16" i="4" s="1"/>
  <c r="J16" i="4"/>
  <c r="L16" i="4"/>
  <c r="O16" i="4"/>
  <c r="I300" i="4" s="1"/>
  <c r="F17" i="4"/>
  <c r="H17" i="4"/>
  <c r="M17" i="4" s="1"/>
  <c r="N17" i="4" s="1"/>
  <c r="J17" i="4"/>
  <c r="L17" i="4"/>
  <c r="O17" i="4"/>
  <c r="F18" i="4"/>
  <c r="H18" i="4"/>
  <c r="M18" i="4" s="1"/>
  <c r="J18" i="4"/>
  <c r="L18" i="4" s="1"/>
  <c r="O18" i="4" s="1"/>
  <c r="F19" i="4"/>
  <c r="H19" i="4"/>
  <c r="J19" i="4"/>
  <c r="L19" i="4"/>
  <c r="O19" i="4" s="1"/>
  <c r="M19" i="4"/>
  <c r="N19" i="4" s="1"/>
  <c r="F23" i="4"/>
  <c r="H23" i="4"/>
  <c r="M23" i="4" s="1"/>
  <c r="J23" i="4"/>
  <c r="L23" i="4" s="1"/>
  <c r="O23" i="4" s="1"/>
  <c r="K298" i="4" s="1"/>
  <c r="F24" i="4"/>
  <c r="H24" i="4"/>
  <c r="M24" i="4" s="1"/>
  <c r="N24" i="4" s="1"/>
  <c r="J24" i="4"/>
  <c r="L24" i="4"/>
  <c r="O24" i="4" s="1"/>
  <c r="F25" i="4"/>
  <c r="H25" i="4"/>
  <c r="J25" i="4"/>
  <c r="L25" i="4"/>
  <c r="M25" i="4"/>
  <c r="O25" i="4"/>
  <c r="K300" i="4" s="1"/>
  <c r="F26" i="4"/>
  <c r="H26" i="4"/>
  <c r="M26" i="4" s="1"/>
  <c r="J26" i="4"/>
  <c r="L26" i="4" s="1"/>
  <c r="O26" i="4" s="1"/>
  <c r="K301" i="4" s="1"/>
  <c r="F27" i="4"/>
  <c r="H27" i="4"/>
  <c r="J27" i="4"/>
  <c r="L27" i="4"/>
  <c r="M27" i="4"/>
  <c r="O27" i="4"/>
  <c r="F28" i="4"/>
  <c r="H28" i="4" s="1"/>
  <c r="M28" i="4" s="1"/>
  <c r="N28" i="4" s="1"/>
  <c r="J303" i="4" s="1"/>
  <c r="J28" i="4"/>
  <c r="L28" i="4"/>
  <c r="O28" i="4"/>
  <c r="K303" i="4" s="1"/>
  <c r="F32" i="4"/>
  <c r="H32" i="4"/>
  <c r="M32" i="4" s="1"/>
  <c r="J32" i="4"/>
  <c r="L32" i="4" s="1"/>
  <c r="O32" i="4" s="1"/>
  <c r="F33" i="4"/>
  <c r="H33" i="4"/>
  <c r="J33" i="4"/>
  <c r="L33" i="4"/>
  <c r="M33" i="4"/>
  <c r="O33" i="4"/>
  <c r="N33" i="4" s="1"/>
  <c r="F34" i="4"/>
  <c r="H34" i="4"/>
  <c r="M34" i="4" s="1"/>
  <c r="J34" i="4"/>
  <c r="L34" i="4"/>
  <c r="O34" i="4" s="1"/>
  <c r="F35" i="4"/>
  <c r="H35" i="4"/>
  <c r="J35" i="4"/>
  <c r="L35" i="4"/>
  <c r="M35" i="4"/>
  <c r="O35" i="4"/>
  <c r="N35" i="4" s="1"/>
  <c r="F36" i="4"/>
  <c r="H36" i="4"/>
  <c r="J36" i="4"/>
  <c r="L36" i="4"/>
  <c r="O36" i="4" s="1"/>
  <c r="M36" i="4"/>
  <c r="N36" i="4" s="1"/>
  <c r="F37" i="4"/>
  <c r="H37" i="4"/>
  <c r="J37" i="4"/>
  <c r="L37" i="4"/>
  <c r="M37" i="4"/>
  <c r="O37" i="4"/>
  <c r="N37" i="4" s="1"/>
  <c r="F41" i="4"/>
  <c r="H41" i="4"/>
  <c r="J41" i="4"/>
  <c r="L41" i="4"/>
  <c r="M41" i="4"/>
  <c r="O41" i="4"/>
  <c r="N41" i="4" s="1"/>
  <c r="F42" i="4"/>
  <c r="H42" i="4"/>
  <c r="M42" i="4" s="1"/>
  <c r="N42" i="4" s="1"/>
  <c r="J42" i="4"/>
  <c r="L42" i="4" s="1"/>
  <c r="O42" i="4"/>
  <c r="F43" i="4"/>
  <c r="H43" i="4"/>
  <c r="J43" i="4"/>
  <c r="L43" i="4"/>
  <c r="M43" i="4"/>
  <c r="N43" i="4" s="1"/>
  <c r="O43" i="4"/>
  <c r="F44" i="4"/>
  <c r="H44" i="4"/>
  <c r="M44" i="4" s="1"/>
  <c r="J44" i="4"/>
  <c r="L44" i="4"/>
  <c r="O44" i="4" s="1"/>
  <c r="F45" i="4"/>
  <c r="H45" i="4"/>
  <c r="M45" i="4" s="1"/>
  <c r="N45" i="4" s="1"/>
  <c r="J45" i="4"/>
  <c r="L45" i="4"/>
  <c r="O45" i="4" s="1"/>
  <c r="F46" i="4"/>
  <c r="H46" i="4"/>
  <c r="M46" i="4" s="1"/>
  <c r="J46" i="4"/>
  <c r="L46" i="4"/>
  <c r="O46" i="4" s="1"/>
  <c r="F50" i="4"/>
  <c r="H50" i="4"/>
  <c r="J50" i="4"/>
  <c r="L50" i="4"/>
  <c r="O50" i="4" s="1"/>
  <c r="N50" i="4" s="1"/>
  <c r="M50" i="4"/>
  <c r="F51" i="4"/>
  <c r="H51" i="4"/>
  <c r="J51" i="4"/>
  <c r="L51" i="4"/>
  <c r="M51" i="4"/>
  <c r="O51" i="4"/>
  <c r="N51" i="4" s="1"/>
  <c r="F52" i="4"/>
  <c r="H52" i="4" s="1"/>
  <c r="M52" i="4" s="1"/>
  <c r="N52" i="4" s="1"/>
  <c r="J52" i="4"/>
  <c r="L52" i="4"/>
  <c r="O52" i="4"/>
  <c r="F53" i="4"/>
  <c r="H53" i="4"/>
  <c r="M53" i="4" s="1"/>
  <c r="J53" i="4"/>
  <c r="L53" i="4" s="1"/>
  <c r="O53" i="4" s="1"/>
  <c r="F54" i="4"/>
  <c r="H54" i="4"/>
  <c r="M54" i="4" s="1"/>
  <c r="J54" i="4"/>
  <c r="L54" i="4" s="1"/>
  <c r="O54" i="4" s="1"/>
  <c r="F55" i="4"/>
  <c r="H55" i="4"/>
  <c r="M55" i="4" s="1"/>
  <c r="N55" i="4" s="1"/>
  <c r="J55" i="4"/>
  <c r="L55" i="4"/>
  <c r="O55" i="4" s="1"/>
  <c r="F59" i="4"/>
  <c r="H59" i="4"/>
  <c r="J59" i="4"/>
  <c r="L59" i="4"/>
  <c r="O59" i="4" s="1"/>
  <c r="M59" i="4"/>
  <c r="N59" i="4" s="1"/>
  <c r="F60" i="4"/>
  <c r="H60" i="4"/>
  <c r="J60" i="4"/>
  <c r="L60" i="4"/>
  <c r="M60" i="4"/>
  <c r="O60" i="4"/>
  <c r="N60" i="4" s="1"/>
  <c r="F61" i="4"/>
  <c r="H61" i="4"/>
  <c r="M61" i="4" s="1"/>
  <c r="J61" i="4"/>
  <c r="L61" i="4"/>
  <c r="O61" i="4" s="1"/>
  <c r="F62" i="4"/>
  <c r="H62" i="4" s="1"/>
  <c r="J62" i="4"/>
  <c r="L62" i="4"/>
  <c r="M62" i="4"/>
  <c r="O62" i="4"/>
  <c r="N62" i="4" s="1"/>
  <c r="F63" i="4"/>
  <c r="H63" i="4"/>
  <c r="M63" i="4" s="1"/>
  <c r="J63" i="4"/>
  <c r="L63" i="4" s="1"/>
  <c r="O63" i="4" s="1"/>
  <c r="F64" i="4"/>
  <c r="H64" i="4"/>
  <c r="M64" i="4" s="1"/>
  <c r="J64" i="4"/>
  <c r="L64" i="4"/>
  <c r="O64" i="4"/>
  <c r="F68" i="4"/>
  <c r="H68" i="4" s="1"/>
  <c r="M68" i="4" s="1"/>
  <c r="N68" i="4" s="1"/>
  <c r="J68" i="4"/>
  <c r="L68" i="4"/>
  <c r="O68" i="4"/>
  <c r="F69" i="4"/>
  <c r="H69" i="4"/>
  <c r="M69" i="4" s="1"/>
  <c r="J69" i="4"/>
  <c r="L69" i="4"/>
  <c r="O69" i="4" s="1"/>
  <c r="F70" i="4"/>
  <c r="H70" i="4"/>
  <c r="J70" i="4"/>
  <c r="L70" i="4"/>
  <c r="O70" i="4" s="1"/>
  <c r="M70" i="4"/>
  <c r="F71" i="4"/>
  <c r="H71" i="4"/>
  <c r="J71" i="4"/>
  <c r="L71" i="4"/>
  <c r="O71" i="4" s="1"/>
  <c r="M71" i="4"/>
  <c r="N71" i="4"/>
  <c r="F72" i="4"/>
  <c r="H72" i="4"/>
  <c r="J72" i="4"/>
  <c r="L72" i="4"/>
  <c r="M72" i="4"/>
  <c r="O72" i="4"/>
  <c r="N72" i="4" s="1"/>
  <c r="F73" i="4"/>
  <c r="H73" i="4" s="1"/>
  <c r="M73" i="4" s="1"/>
  <c r="J73" i="4"/>
  <c r="L73" i="4" s="1"/>
  <c r="O73" i="4" s="1"/>
  <c r="G303" i="4" s="1"/>
  <c r="F77" i="4"/>
  <c r="H77" i="4"/>
  <c r="M77" i="4" s="1"/>
  <c r="N77" i="4" s="1"/>
  <c r="J77" i="4"/>
  <c r="L77" i="4"/>
  <c r="O77" i="4"/>
  <c r="F78" i="4"/>
  <c r="H78" i="4"/>
  <c r="J78" i="4"/>
  <c r="L78" i="4"/>
  <c r="M78" i="4"/>
  <c r="O78" i="4"/>
  <c r="N78" i="4" s="1"/>
  <c r="F79" i="4"/>
  <c r="H79" i="4"/>
  <c r="M79" i="4" s="1"/>
  <c r="J79" i="4"/>
  <c r="L79" i="4" s="1"/>
  <c r="O79" i="4" s="1"/>
  <c r="F80" i="4"/>
  <c r="H80" i="4" s="1"/>
  <c r="M80" i="4" s="1"/>
  <c r="J80" i="4"/>
  <c r="L80" i="4" s="1"/>
  <c r="O80" i="4" s="1"/>
  <c r="F81" i="4"/>
  <c r="H81" i="4"/>
  <c r="M81" i="4" s="1"/>
  <c r="J81" i="4"/>
  <c r="L81" i="4" s="1"/>
  <c r="O81" i="4" s="1"/>
  <c r="F82" i="4"/>
  <c r="H82" i="4"/>
  <c r="M82" i="4" s="1"/>
  <c r="J82" i="4"/>
  <c r="L82" i="4" s="1"/>
  <c r="O82" i="4" s="1"/>
  <c r="F86" i="4"/>
  <c r="H86" i="4"/>
  <c r="J86" i="4"/>
  <c r="L86" i="4"/>
  <c r="M86" i="4"/>
  <c r="O86" i="4"/>
  <c r="N86" i="4" s="1"/>
  <c r="F87" i="4"/>
  <c r="H87" i="4"/>
  <c r="J87" i="4"/>
  <c r="L87" i="4"/>
  <c r="M87" i="4"/>
  <c r="N87" i="4"/>
  <c r="O87" i="4"/>
  <c r="F88" i="4"/>
  <c r="H88" i="4" s="1"/>
  <c r="M88" i="4" s="1"/>
  <c r="N88" i="4" s="1"/>
  <c r="J88" i="4"/>
  <c r="L88" i="4"/>
  <c r="O88" i="4"/>
  <c r="F89" i="4"/>
  <c r="H89" i="4"/>
  <c r="J89" i="4"/>
  <c r="L89" i="4" s="1"/>
  <c r="O89" i="4" s="1"/>
  <c r="N89" i="4" s="1"/>
  <c r="M89" i="4"/>
  <c r="F90" i="4"/>
  <c r="H90" i="4"/>
  <c r="M90" i="4" s="1"/>
  <c r="J90" i="4"/>
  <c r="L90" i="4"/>
  <c r="O90" i="4" s="1"/>
  <c r="F91" i="4"/>
  <c r="H91" i="4"/>
  <c r="M91" i="4" s="1"/>
  <c r="J91" i="4"/>
  <c r="L91" i="4" s="1"/>
  <c r="O91" i="4" s="1"/>
  <c r="F95" i="4"/>
  <c r="H95" i="4"/>
  <c r="J95" i="4"/>
  <c r="L95" i="4"/>
  <c r="M95" i="4"/>
  <c r="O95" i="4"/>
  <c r="N95" i="4" s="1"/>
  <c r="F96" i="4"/>
  <c r="H96" i="4"/>
  <c r="J96" i="4"/>
  <c r="L96" i="4"/>
  <c r="M96" i="4"/>
  <c r="O96" i="4"/>
  <c r="N96" i="4" s="1"/>
  <c r="F97" i="4"/>
  <c r="H97" i="4"/>
  <c r="M97" i="4" s="1"/>
  <c r="N97" i="4" s="1"/>
  <c r="J97" i="4"/>
  <c r="L97" i="4"/>
  <c r="O97" i="4"/>
  <c r="F98" i="4"/>
  <c r="H98" i="4"/>
  <c r="M98" i="4" s="1"/>
  <c r="J98" i="4"/>
  <c r="L98" i="4" s="1"/>
  <c r="O98" i="4" s="1"/>
  <c r="G301" i="4" s="1"/>
  <c r="F99" i="4"/>
  <c r="H99" i="4" s="1"/>
  <c r="M99" i="4" s="1"/>
  <c r="J99" i="4"/>
  <c r="L99" i="4"/>
  <c r="O99" i="4"/>
  <c r="G302" i="4" s="1"/>
  <c r="F100" i="4"/>
  <c r="H100" i="4" s="1"/>
  <c r="M100" i="4" s="1"/>
  <c r="N100" i="4" s="1"/>
  <c r="J100" i="4"/>
  <c r="L100" i="4"/>
  <c r="O100" i="4" s="1"/>
  <c r="F104" i="4"/>
  <c r="H104" i="4" s="1"/>
  <c r="M104" i="4" s="1"/>
  <c r="N104" i="4" s="1"/>
  <c r="J104" i="4"/>
  <c r="L104" i="4"/>
  <c r="O104" i="4"/>
  <c r="F105" i="4"/>
  <c r="H105" i="4"/>
  <c r="J105" i="4"/>
  <c r="L105" i="4"/>
  <c r="M105" i="4"/>
  <c r="O105" i="4"/>
  <c r="N105" i="4" s="1"/>
  <c r="F106" i="4"/>
  <c r="H106" i="4" s="1"/>
  <c r="M106" i="4" s="1"/>
  <c r="N106" i="4" s="1"/>
  <c r="J106" i="4"/>
  <c r="L106" i="4"/>
  <c r="O106" i="4" s="1"/>
  <c r="F107" i="4"/>
  <c r="H107" i="4"/>
  <c r="J107" i="4"/>
  <c r="L107" i="4"/>
  <c r="O107" i="4" s="1"/>
  <c r="M107" i="4"/>
  <c r="N107" i="4" s="1"/>
  <c r="F108" i="4"/>
  <c r="H108" i="4"/>
  <c r="M108" i="4" s="1"/>
  <c r="N108" i="4" s="1"/>
  <c r="J108" i="4"/>
  <c r="L108" i="4"/>
  <c r="O108" i="4" s="1"/>
  <c r="F109" i="4"/>
  <c r="H109" i="4" s="1"/>
  <c r="J109" i="4"/>
  <c r="L109" i="4"/>
  <c r="M109" i="4"/>
  <c r="O109" i="4"/>
  <c r="N109" i="4" s="1"/>
  <c r="F113" i="4"/>
  <c r="H113" i="4"/>
  <c r="J113" i="4"/>
  <c r="L113" i="4"/>
  <c r="M113" i="4"/>
  <c r="O113" i="4"/>
  <c r="N113" i="4" s="1"/>
  <c r="F114" i="4"/>
  <c r="H114" i="4"/>
  <c r="M114" i="4" s="1"/>
  <c r="N114" i="4" s="1"/>
  <c r="J114" i="4"/>
  <c r="L114" i="4"/>
  <c r="O114" i="4"/>
  <c r="F115" i="4"/>
  <c r="H115" i="4"/>
  <c r="J115" i="4"/>
  <c r="L115" i="4"/>
  <c r="M115" i="4"/>
  <c r="O115" i="4"/>
  <c r="N115" i="4" s="1"/>
  <c r="F116" i="4"/>
  <c r="H116" i="4"/>
  <c r="J116" i="4"/>
  <c r="L116" i="4"/>
  <c r="M116" i="4"/>
  <c r="O116" i="4"/>
  <c r="F117" i="4"/>
  <c r="H117" i="4"/>
  <c r="J117" i="4"/>
  <c r="L117" i="4"/>
  <c r="M117" i="4"/>
  <c r="O117" i="4"/>
  <c r="N117" i="4" s="1"/>
  <c r="F118" i="4"/>
  <c r="H118" i="4"/>
  <c r="J118" i="4"/>
  <c r="L118" i="4"/>
  <c r="O118" i="4" s="1"/>
  <c r="C303" i="4" s="1"/>
  <c r="M118" i="4"/>
  <c r="N118" i="4"/>
  <c r="F122" i="4"/>
  <c r="H122" i="4"/>
  <c r="J122" i="4"/>
  <c r="L122" i="4"/>
  <c r="O122" i="4" s="1"/>
  <c r="M122" i="4"/>
  <c r="N122" i="4" s="1"/>
  <c r="F123" i="4"/>
  <c r="H123" i="4"/>
  <c r="J123" i="4"/>
  <c r="L123" i="4"/>
  <c r="M123" i="4"/>
  <c r="O123" i="4"/>
  <c r="N123" i="4" s="1"/>
  <c r="F124" i="4"/>
  <c r="H124" i="4"/>
  <c r="M124" i="4" s="1"/>
  <c r="N124" i="4" s="1"/>
  <c r="J124" i="4"/>
  <c r="L124" i="4"/>
  <c r="O124" i="4" s="1"/>
  <c r="F125" i="4"/>
  <c r="H125" i="4"/>
  <c r="J125" i="4"/>
  <c r="L125" i="4"/>
  <c r="M125" i="4"/>
  <c r="O125" i="4"/>
  <c r="N125" i="4" s="1"/>
  <c r="F126" i="4"/>
  <c r="H126" i="4"/>
  <c r="M126" i="4" s="1"/>
  <c r="J126" i="4"/>
  <c r="L126" i="4" s="1"/>
  <c r="O126" i="4" s="1"/>
  <c r="F127" i="4"/>
  <c r="H127" i="4"/>
  <c r="J127" i="4"/>
  <c r="L127" i="4"/>
  <c r="O127" i="4" s="1"/>
  <c r="M127" i="4"/>
  <c r="N127" i="4"/>
  <c r="F131" i="4"/>
  <c r="H131" i="4"/>
  <c r="J131" i="4"/>
  <c r="L131" i="4"/>
  <c r="O131" i="4" s="1"/>
  <c r="I298" i="4" s="1"/>
  <c r="M131" i="4"/>
  <c r="N131" i="4" s="1"/>
  <c r="F132" i="4"/>
  <c r="H132" i="4"/>
  <c r="J132" i="4"/>
  <c r="L132" i="4"/>
  <c r="M132" i="4"/>
  <c r="O132" i="4"/>
  <c r="N132" i="4" s="1"/>
  <c r="F133" i="4"/>
  <c r="H133" i="4"/>
  <c r="J133" i="4"/>
  <c r="L133" i="4"/>
  <c r="M133" i="4"/>
  <c r="O133" i="4"/>
  <c r="N133" i="4" s="1"/>
  <c r="F134" i="4"/>
  <c r="H134" i="4"/>
  <c r="J134" i="4"/>
  <c r="L134" i="4"/>
  <c r="M134" i="4"/>
  <c r="O134" i="4"/>
  <c r="N134" i="4" s="1"/>
  <c r="F135" i="4"/>
  <c r="H135" i="4"/>
  <c r="M135" i="4" s="1"/>
  <c r="J135" i="4"/>
  <c r="L135" i="4"/>
  <c r="O135" i="4" s="1"/>
  <c r="F136" i="4"/>
  <c r="H136" i="4"/>
  <c r="J136" i="4"/>
  <c r="L136" i="4" s="1"/>
  <c r="M136" i="4"/>
  <c r="O136" i="4"/>
  <c r="F140" i="4"/>
  <c r="H140" i="4" s="1"/>
  <c r="M140" i="4" s="1"/>
  <c r="N140" i="4" s="1"/>
  <c r="J140" i="4"/>
  <c r="L140" i="4"/>
  <c r="O140" i="4" s="1"/>
  <c r="F141" i="4"/>
  <c r="H141" i="4"/>
  <c r="M141" i="4" s="1"/>
  <c r="J141" i="4"/>
  <c r="L141" i="4"/>
  <c r="O141" i="4" s="1"/>
  <c r="F142" i="4"/>
  <c r="H142" i="4"/>
  <c r="J142" i="4"/>
  <c r="L142" i="4"/>
  <c r="O142" i="4" s="1"/>
  <c r="M142" i="4"/>
  <c r="F143" i="4"/>
  <c r="H143" i="4" s="1"/>
  <c r="M143" i="4" s="1"/>
  <c r="N143" i="4" s="1"/>
  <c r="J143" i="4"/>
  <c r="L143" i="4"/>
  <c r="O143" i="4" s="1"/>
  <c r="F144" i="4"/>
  <c r="H144" i="4"/>
  <c r="J144" i="4"/>
  <c r="L144" i="4"/>
  <c r="M144" i="4"/>
  <c r="O144" i="4"/>
  <c r="E302" i="4" s="1"/>
  <c r="F145" i="4"/>
  <c r="H145" i="4"/>
  <c r="J145" i="4"/>
  <c r="L145" i="4"/>
  <c r="O145" i="4" s="1"/>
  <c r="E303" i="4" s="1"/>
  <c r="M145" i="4"/>
  <c r="N145" i="4" s="1"/>
  <c r="D303" i="4" s="1"/>
  <c r="F149" i="4"/>
  <c r="H149" i="4" s="1"/>
  <c r="M149" i="4" s="1"/>
  <c r="J149" i="4"/>
  <c r="L149" i="4"/>
  <c r="O149" i="4"/>
  <c r="N149" i="4" s="1"/>
  <c r="F150" i="4"/>
  <c r="H150" i="4"/>
  <c r="M150" i="4" s="1"/>
  <c r="J150" i="4"/>
  <c r="L150" i="4"/>
  <c r="O150" i="4" s="1"/>
  <c r="F151" i="4"/>
  <c r="H151" i="4"/>
  <c r="M151" i="4" s="1"/>
  <c r="J151" i="4"/>
  <c r="L151" i="4" s="1"/>
  <c r="O151" i="4" s="1"/>
  <c r="F152" i="4"/>
  <c r="H152" i="4"/>
  <c r="J152" i="4"/>
  <c r="L152" i="4"/>
  <c r="M152" i="4"/>
  <c r="O152" i="4"/>
  <c r="N152" i="4" s="1"/>
  <c r="F153" i="4"/>
  <c r="H153" i="4"/>
  <c r="J153" i="4"/>
  <c r="L153" i="4"/>
  <c r="O153" i="4" s="1"/>
  <c r="M153" i="4"/>
  <c r="N153" i="4" s="1"/>
  <c r="F154" i="4"/>
  <c r="H154" i="4"/>
  <c r="J154" i="4"/>
  <c r="L154" i="4"/>
  <c r="M154" i="4"/>
  <c r="O154" i="4"/>
  <c r="N154" i="4" s="1"/>
  <c r="F158" i="4"/>
  <c r="H158" i="4"/>
  <c r="J158" i="4"/>
  <c r="L158" i="4"/>
  <c r="M158" i="4"/>
  <c r="O158" i="4"/>
  <c r="N158" i="4" s="1"/>
  <c r="F159" i="4"/>
  <c r="H159" i="4" s="1"/>
  <c r="J159" i="4"/>
  <c r="L159" i="4"/>
  <c r="O159" i="4" s="1"/>
  <c r="M159" i="4"/>
  <c r="N159" i="4" s="1"/>
  <c r="F160" i="4"/>
  <c r="H160" i="4"/>
  <c r="J160" i="4"/>
  <c r="L160" i="4" s="1"/>
  <c r="O160" i="4" s="1"/>
  <c r="N160" i="4" s="1"/>
  <c r="M160" i="4"/>
  <c r="F161" i="4"/>
  <c r="H161" i="4"/>
  <c r="M161" i="4" s="1"/>
  <c r="J161" i="4"/>
  <c r="L161" i="4"/>
  <c r="N161" i="4"/>
  <c r="O161" i="4"/>
  <c r="F162" i="4"/>
  <c r="H162" i="4"/>
  <c r="J162" i="4"/>
  <c r="L162" i="4"/>
  <c r="M162" i="4"/>
  <c r="O162" i="4"/>
  <c r="N162" i="4" s="1"/>
  <c r="F163" i="4"/>
  <c r="H163" i="4" s="1"/>
  <c r="M163" i="4" s="1"/>
  <c r="N163" i="4" s="1"/>
  <c r="J163" i="4"/>
  <c r="L163" i="4"/>
  <c r="O163" i="4"/>
  <c r="F167" i="4"/>
  <c r="H167" i="4"/>
  <c r="M167" i="4" s="1"/>
  <c r="J167" i="4"/>
  <c r="L167" i="4" s="1"/>
  <c r="O167" i="4" s="1"/>
  <c r="F168" i="4"/>
  <c r="H168" i="4"/>
  <c r="J168" i="4"/>
  <c r="L168" i="4"/>
  <c r="O168" i="4" s="1"/>
  <c r="M168" i="4"/>
  <c r="N168" i="4" s="1"/>
  <c r="F169" i="4"/>
  <c r="H169" i="4"/>
  <c r="J169" i="4"/>
  <c r="L169" i="4"/>
  <c r="O169" i="4" s="1"/>
  <c r="M169" i="4"/>
  <c r="N169" i="4" s="1"/>
  <c r="F170" i="4"/>
  <c r="H170" i="4"/>
  <c r="J170" i="4"/>
  <c r="L170" i="4"/>
  <c r="M170" i="4"/>
  <c r="O170" i="4"/>
  <c r="N170" i="4" s="1"/>
  <c r="F171" i="4"/>
  <c r="H171" i="4"/>
  <c r="J171" i="4"/>
  <c r="L171" i="4"/>
  <c r="O171" i="4" s="1"/>
  <c r="M171" i="4"/>
  <c r="N171" i="4" s="1"/>
  <c r="F172" i="4"/>
  <c r="H172" i="4"/>
  <c r="M172" i="4" s="1"/>
  <c r="J172" i="4"/>
  <c r="L172" i="4"/>
  <c r="O172" i="4"/>
  <c r="F176" i="4"/>
  <c r="H176" i="4" s="1"/>
  <c r="M176" i="4" s="1"/>
  <c r="N176" i="4" s="1"/>
  <c r="J176" i="4"/>
  <c r="L176" i="4" s="1"/>
  <c r="O176" i="4"/>
  <c r="F177" i="4"/>
  <c r="H177" i="4"/>
  <c r="M177" i="4" s="1"/>
  <c r="J177" i="4"/>
  <c r="L177" i="4" s="1"/>
  <c r="O177" i="4" s="1"/>
  <c r="F178" i="4"/>
  <c r="H178" i="4"/>
  <c r="J178" i="4"/>
  <c r="L178" i="4"/>
  <c r="O178" i="4" s="1"/>
  <c r="M178" i="4"/>
  <c r="N178" i="4"/>
  <c r="F179" i="4"/>
  <c r="H179" i="4"/>
  <c r="J179" i="4"/>
  <c r="L179" i="4"/>
  <c r="M179" i="4"/>
  <c r="O179" i="4"/>
  <c r="E301" i="4" s="1"/>
  <c r="F180" i="4"/>
  <c r="H180" i="4"/>
  <c r="M180" i="4" s="1"/>
  <c r="J180" i="4"/>
  <c r="L180" i="4" s="1"/>
  <c r="O180" i="4" s="1"/>
  <c r="F181" i="4"/>
  <c r="H181" i="4"/>
  <c r="J181" i="4"/>
  <c r="L181" i="4"/>
  <c r="M181" i="4"/>
  <c r="O181" i="4"/>
  <c r="N181" i="4" s="1"/>
  <c r="F185" i="4"/>
  <c r="H185" i="4" s="1"/>
  <c r="M185" i="4" s="1"/>
  <c r="N185" i="4" s="1"/>
  <c r="J185" i="4"/>
  <c r="L185" i="4" s="1"/>
  <c r="O185" i="4" s="1"/>
  <c r="F186" i="4"/>
  <c r="H186" i="4"/>
  <c r="J186" i="4"/>
  <c r="L186" i="4" s="1"/>
  <c r="M186" i="4"/>
  <c r="N186" i="4" s="1"/>
  <c r="O186" i="4"/>
  <c r="F187" i="4"/>
  <c r="H187" i="4"/>
  <c r="J187" i="4"/>
  <c r="L187" i="4"/>
  <c r="M187" i="4"/>
  <c r="O187" i="4"/>
  <c r="N187" i="4" s="1"/>
  <c r="F188" i="4"/>
  <c r="H188" i="4" s="1"/>
  <c r="M188" i="4" s="1"/>
  <c r="N188" i="4" s="1"/>
  <c r="J188" i="4"/>
  <c r="L188" i="4"/>
  <c r="O188" i="4" s="1"/>
  <c r="F189" i="4"/>
  <c r="H189" i="4"/>
  <c r="J189" i="4"/>
  <c r="L189" i="4"/>
  <c r="O189" i="4" s="1"/>
  <c r="N189" i="4" s="1"/>
  <c r="M189" i="4"/>
  <c r="F190" i="4"/>
  <c r="H190" i="4"/>
  <c r="M190" i="4" s="1"/>
  <c r="J190" i="4"/>
  <c r="L190" i="4"/>
  <c r="O190" i="4" s="1"/>
  <c r="F194" i="4"/>
  <c r="H194" i="4"/>
  <c r="J194" i="4"/>
  <c r="L194" i="4"/>
  <c r="M194" i="4"/>
  <c r="O194" i="4"/>
  <c r="N194" i="4" s="1"/>
  <c r="F195" i="4"/>
  <c r="H195" i="4"/>
  <c r="M195" i="4" s="1"/>
  <c r="N195" i="4" s="1"/>
  <c r="J195" i="4"/>
  <c r="L195" i="4" s="1"/>
  <c r="O195" i="4" s="1"/>
  <c r="F196" i="4"/>
  <c r="H196" i="4" s="1"/>
  <c r="M196" i="4" s="1"/>
  <c r="J196" i="4"/>
  <c r="L196" i="4"/>
  <c r="O196" i="4"/>
  <c r="F197" i="4"/>
  <c r="H197" i="4"/>
  <c r="J197" i="4"/>
  <c r="L197" i="4"/>
  <c r="M197" i="4"/>
  <c r="O197" i="4"/>
  <c r="N197" i="4" s="1"/>
  <c r="F198" i="4"/>
  <c r="H198" i="4"/>
  <c r="M198" i="4" s="1"/>
  <c r="N198" i="4" s="1"/>
  <c r="J198" i="4"/>
  <c r="L198" i="4"/>
  <c r="O198" i="4"/>
  <c r="F199" i="4"/>
  <c r="H199" i="4"/>
  <c r="J199" i="4"/>
  <c r="L199" i="4"/>
  <c r="O199" i="4" s="1"/>
  <c r="M199" i="4"/>
  <c r="N199" i="4" s="1"/>
  <c r="F203" i="4"/>
  <c r="H203" i="4"/>
  <c r="M203" i="4" s="1"/>
  <c r="N203" i="4" s="1"/>
  <c r="J203" i="4"/>
  <c r="L203" i="4"/>
  <c r="O203" i="4" s="1"/>
  <c r="F204" i="4"/>
  <c r="H204" i="4"/>
  <c r="M204" i="4" s="1"/>
  <c r="J204" i="4"/>
  <c r="L204" i="4"/>
  <c r="O204" i="4"/>
  <c r="F205" i="4"/>
  <c r="H205" i="4"/>
  <c r="J205" i="4"/>
  <c r="L205" i="4"/>
  <c r="M205" i="4"/>
  <c r="O205" i="4"/>
  <c r="N205" i="4" s="1"/>
  <c r="F206" i="4"/>
  <c r="H206" i="4" s="1"/>
  <c r="M206" i="4" s="1"/>
  <c r="J206" i="4"/>
  <c r="L206" i="4" s="1"/>
  <c r="O206" i="4" s="1"/>
  <c r="F207" i="4"/>
  <c r="H207" i="4"/>
  <c r="J207" i="4"/>
  <c r="L207" i="4"/>
  <c r="M207" i="4"/>
  <c r="O207" i="4"/>
  <c r="N207" i="4" s="1"/>
  <c r="F208" i="4"/>
  <c r="H208" i="4"/>
  <c r="M208" i="4" s="1"/>
  <c r="N208" i="4" s="1"/>
  <c r="J208" i="4"/>
  <c r="L208" i="4"/>
  <c r="O208" i="4"/>
  <c r="F212" i="4"/>
  <c r="H212" i="4" s="1"/>
  <c r="M212" i="4" s="1"/>
  <c r="J212" i="4"/>
  <c r="L212" i="4"/>
  <c r="N212" i="4"/>
  <c r="O212" i="4"/>
  <c r="F213" i="4"/>
  <c r="H213" i="4" s="1"/>
  <c r="M213" i="4" s="1"/>
  <c r="N213" i="4" s="1"/>
  <c r="J213" i="4"/>
  <c r="L213" i="4"/>
  <c r="O213" i="4"/>
  <c r="F214" i="4"/>
  <c r="H214" i="4"/>
  <c r="M214" i="4" s="1"/>
  <c r="N214" i="4" s="1"/>
  <c r="J214" i="4"/>
  <c r="L214" i="4"/>
  <c r="O214" i="4"/>
  <c r="F215" i="4"/>
  <c r="H215" i="4"/>
  <c r="J215" i="4"/>
  <c r="L215" i="4"/>
  <c r="O215" i="4" s="1"/>
  <c r="M215" i="4"/>
  <c r="N215" i="4"/>
  <c r="F216" i="4"/>
  <c r="H216" i="4"/>
  <c r="J216" i="4"/>
  <c r="L216" i="4"/>
  <c r="M216" i="4"/>
  <c r="O216" i="4"/>
  <c r="N216" i="4" s="1"/>
  <c r="F217" i="4"/>
  <c r="H217" i="4"/>
  <c r="J217" i="4"/>
  <c r="L217" i="4"/>
  <c r="M217" i="4"/>
  <c r="O217" i="4"/>
  <c r="N217" i="4" s="1"/>
  <c r="F221" i="4"/>
  <c r="H221" i="4" s="1"/>
  <c r="M221" i="4" s="1"/>
  <c r="N221" i="4" s="1"/>
  <c r="J221" i="4"/>
  <c r="L221" i="4"/>
  <c r="O221" i="4"/>
  <c r="F222" i="4"/>
  <c r="H222" i="4"/>
  <c r="J222" i="4"/>
  <c r="L222" i="4"/>
  <c r="M222" i="4"/>
  <c r="O222" i="4"/>
  <c r="N222" i="4" s="1"/>
  <c r="F223" i="4"/>
  <c r="H223" i="4"/>
  <c r="M223" i="4" s="1"/>
  <c r="J223" i="4"/>
  <c r="L223" i="4" s="1"/>
  <c r="O223" i="4"/>
  <c r="F224" i="4"/>
  <c r="H224" i="4" s="1"/>
  <c r="M224" i="4" s="1"/>
  <c r="N224" i="4" s="1"/>
  <c r="J224" i="4"/>
  <c r="L224" i="4"/>
  <c r="O224" i="4"/>
  <c r="F225" i="4"/>
  <c r="H225" i="4"/>
  <c r="J225" i="4"/>
  <c r="L225" i="4"/>
  <c r="O225" i="4" s="1"/>
  <c r="M225" i="4"/>
  <c r="N225" i="4"/>
  <c r="F226" i="4"/>
  <c r="H226" i="4"/>
  <c r="M226" i="4" s="1"/>
  <c r="J226" i="4"/>
  <c r="L226" i="4" s="1"/>
  <c r="O226" i="4" s="1"/>
  <c r="F230" i="4"/>
  <c r="H230" i="4" s="1"/>
  <c r="M230" i="4" s="1"/>
  <c r="N230" i="4" s="1"/>
  <c r="J230" i="4"/>
  <c r="L230" i="4"/>
  <c r="O230" i="4"/>
  <c r="F231" i="4"/>
  <c r="H231" i="4"/>
  <c r="J231" i="4"/>
  <c r="L231" i="4"/>
  <c r="M231" i="4"/>
  <c r="O231" i="4"/>
  <c r="N231" i="4" s="1"/>
  <c r="F232" i="4"/>
  <c r="H232" i="4"/>
  <c r="M232" i="4" s="1"/>
  <c r="N232" i="4" s="1"/>
  <c r="J232" i="4"/>
  <c r="L232" i="4"/>
  <c r="O232" i="4" s="1"/>
  <c r="F233" i="4"/>
  <c r="H233" i="4"/>
  <c r="J233" i="4"/>
  <c r="L233" i="4" s="1"/>
  <c r="O233" i="4" s="1"/>
  <c r="N233" i="4" s="1"/>
  <c r="M233" i="4"/>
  <c r="F234" i="4"/>
  <c r="H234" i="4"/>
  <c r="J234" i="4"/>
  <c r="L234" i="4"/>
  <c r="O234" i="4" s="1"/>
  <c r="M234" i="4"/>
  <c r="N234" i="4" s="1"/>
  <c r="F235" i="4"/>
  <c r="H235" i="4"/>
  <c r="M235" i="4" s="1"/>
  <c r="J235" i="4"/>
  <c r="L235" i="4"/>
  <c r="O235" i="4" s="1"/>
  <c r="F239" i="4"/>
  <c r="H239" i="4"/>
  <c r="J239" i="4"/>
  <c r="L239" i="4"/>
  <c r="M239" i="4"/>
  <c r="O239" i="4"/>
  <c r="N239" i="4" s="1"/>
  <c r="L298" i="4" s="1"/>
  <c r="F240" i="4"/>
  <c r="H240" i="4"/>
  <c r="J240" i="4"/>
  <c r="L240" i="4"/>
  <c r="O240" i="4" s="1"/>
  <c r="M299" i="4" s="1"/>
  <c r="M240" i="4"/>
  <c r="N240" i="4"/>
  <c r="L299" i="4" s="1"/>
  <c r="F241" i="4"/>
  <c r="H241" i="4"/>
  <c r="J241" i="4"/>
  <c r="L241" i="4"/>
  <c r="M241" i="4"/>
  <c r="O241" i="4"/>
  <c r="M300" i="4" s="1"/>
  <c r="F242" i="4"/>
  <c r="H242" i="4" s="1"/>
  <c r="M242" i="4" s="1"/>
  <c r="N242" i="4" s="1"/>
  <c r="J242" i="4"/>
  <c r="L242" i="4"/>
  <c r="O242" i="4" s="1"/>
  <c r="F243" i="4"/>
  <c r="H243" i="4" s="1"/>
  <c r="J243" i="4"/>
  <c r="L243" i="4"/>
  <c r="M243" i="4"/>
  <c r="O243" i="4"/>
  <c r="N243" i="4" s="1"/>
  <c r="F244" i="4"/>
  <c r="H244" i="4"/>
  <c r="J244" i="4"/>
  <c r="L244" i="4"/>
  <c r="M244" i="4"/>
  <c r="O244" i="4"/>
  <c r="N244" i="4" s="1"/>
  <c r="L303" i="4" s="1"/>
  <c r="F248" i="4"/>
  <c r="H248" i="4"/>
  <c r="M248" i="4" s="1"/>
  <c r="J248" i="4"/>
  <c r="L248" i="4"/>
  <c r="O248" i="4" s="1"/>
  <c r="F249" i="4"/>
  <c r="H249" i="4"/>
  <c r="J249" i="4"/>
  <c r="L249" i="4" s="1"/>
  <c r="O249" i="4" s="1"/>
  <c r="N249" i="4" s="1"/>
  <c r="M249" i="4"/>
  <c r="F250" i="4"/>
  <c r="H250" i="4"/>
  <c r="M250" i="4" s="1"/>
  <c r="N250" i="4" s="1"/>
  <c r="J250" i="4"/>
  <c r="L250" i="4"/>
  <c r="O250" i="4" s="1"/>
  <c r="F251" i="4"/>
  <c r="H251" i="4"/>
  <c r="J251" i="4"/>
  <c r="L251" i="4"/>
  <c r="M251" i="4"/>
  <c r="O251" i="4"/>
  <c r="N251" i="4" s="1"/>
  <c r="F252" i="4"/>
  <c r="H252" i="4" s="1"/>
  <c r="M252" i="4" s="1"/>
  <c r="N252" i="4" s="1"/>
  <c r="J252" i="4"/>
  <c r="L252" i="4"/>
  <c r="O252" i="4"/>
  <c r="F253" i="4"/>
  <c r="H253" i="4" s="1"/>
  <c r="J253" i="4"/>
  <c r="L253" i="4"/>
  <c r="O253" i="4" s="1"/>
  <c r="M253" i="4"/>
  <c r="N253" i="4" s="1"/>
  <c r="F257" i="4"/>
  <c r="H257" i="4"/>
  <c r="J257" i="4"/>
  <c r="L257" i="4"/>
  <c r="O257" i="4" s="1"/>
  <c r="N257" i="4" s="1"/>
  <c r="M257" i="4"/>
  <c r="F258" i="4"/>
  <c r="H258" i="4"/>
  <c r="M258" i="4" s="1"/>
  <c r="J258" i="4"/>
  <c r="L258" i="4"/>
  <c r="N258" i="4"/>
  <c r="O258" i="4"/>
  <c r="F259" i="4"/>
  <c r="H259" i="4"/>
  <c r="J259" i="4"/>
  <c r="L259" i="4"/>
  <c r="M259" i="4"/>
  <c r="O259" i="4"/>
  <c r="N259" i="4" s="1"/>
  <c r="F260" i="4"/>
  <c r="H260" i="4" s="1"/>
  <c r="M260" i="4" s="1"/>
  <c r="J260" i="4"/>
  <c r="L260" i="4" s="1"/>
  <c r="O260" i="4" s="1"/>
  <c r="F261" i="4"/>
  <c r="H261" i="4"/>
  <c r="M261" i="4" s="1"/>
  <c r="J261" i="4"/>
  <c r="L261" i="4"/>
  <c r="O261" i="4" s="1"/>
  <c r="F262" i="4"/>
  <c r="H262" i="4"/>
  <c r="J262" i="4"/>
  <c r="L262" i="4"/>
  <c r="O262" i="4" s="1"/>
  <c r="M262" i="4"/>
  <c r="N262" i="4"/>
  <c r="F266" i="4"/>
  <c r="H266" i="4"/>
  <c r="J266" i="4"/>
  <c r="L266" i="4" s="1"/>
  <c r="O266" i="4" s="1"/>
  <c r="M266" i="4"/>
  <c r="F267" i="4"/>
  <c r="H267" i="4"/>
  <c r="J267" i="4"/>
  <c r="L267" i="4"/>
  <c r="M267" i="4"/>
  <c r="N267" i="4"/>
  <c r="O267" i="4"/>
  <c r="F268" i="4"/>
  <c r="H268" i="4"/>
  <c r="J268" i="4"/>
  <c r="L268" i="4"/>
  <c r="O268" i="4" s="1"/>
  <c r="M268" i="4"/>
  <c r="N268" i="4" s="1"/>
  <c r="F269" i="4"/>
  <c r="H269" i="4"/>
  <c r="M269" i="4" s="1"/>
  <c r="J269" i="4"/>
  <c r="L269" i="4"/>
  <c r="O269" i="4"/>
  <c r="F270" i="4"/>
  <c r="H270" i="4"/>
  <c r="M270" i="4" s="1"/>
  <c r="J270" i="4"/>
  <c r="L270" i="4" s="1"/>
  <c r="O270" i="4"/>
  <c r="F271" i="4"/>
  <c r="H271" i="4"/>
  <c r="J271" i="4"/>
  <c r="L271" i="4"/>
  <c r="O271" i="4" s="1"/>
  <c r="M271" i="4"/>
  <c r="N271" i="4" s="1"/>
  <c r="F275" i="4"/>
  <c r="H275" i="4"/>
  <c r="J275" i="4"/>
  <c r="L275" i="4"/>
  <c r="O275" i="4" s="1"/>
  <c r="M275" i="4"/>
  <c r="N275" i="4"/>
  <c r="F276" i="4"/>
  <c r="H276" i="4"/>
  <c r="M276" i="4" s="1"/>
  <c r="J276" i="4"/>
  <c r="L276" i="4"/>
  <c r="O276" i="4" s="1"/>
  <c r="F277" i="4"/>
  <c r="H277" i="4"/>
  <c r="M277" i="4" s="1"/>
  <c r="J277" i="4"/>
  <c r="L277" i="4" s="1"/>
  <c r="O277" i="4" s="1"/>
  <c r="F278" i="4"/>
  <c r="H278" i="4"/>
  <c r="J278" i="4"/>
  <c r="L278" i="4"/>
  <c r="M278" i="4"/>
  <c r="O278" i="4"/>
  <c r="N278" i="4" s="1"/>
  <c r="F279" i="4"/>
  <c r="H279" i="4"/>
  <c r="M279" i="4" s="1"/>
  <c r="J279" i="4"/>
  <c r="L279" i="4" s="1"/>
  <c r="O279" i="4" s="1"/>
  <c r="F280" i="4"/>
  <c r="H280" i="4"/>
  <c r="J280" i="4"/>
  <c r="L280" i="4" s="1"/>
  <c r="M280" i="4"/>
  <c r="O280" i="4"/>
  <c r="N280" i="4" s="1"/>
  <c r="F284" i="4"/>
  <c r="H284" i="4"/>
  <c r="M284" i="4" s="1"/>
  <c r="N284" i="4" s="1"/>
  <c r="J284" i="4"/>
  <c r="L284" i="4"/>
  <c r="O284" i="4"/>
  <c r="F285" i="4"/>
  <c r="H285" i="4" s="1"/>
  <c r="M285" i="4" s="1"/>
  <c r="N285" i="4" s="1"/>
  <c r="J285" i="4"/>
  <c r="L285" i="4"/>
  <c r="O285" i="4" s="1"/>
  <c r="F286" i="4"/>
  <c r="H286" i="4"/>
  <c r="J286" i="4"/>
  <c r="L286" i="4"/>
  <c r="O286" i="4" s="1"/>
  <c r="N286" i="4" s="1"/>
  <c r="M286" i="4"/>
  <c r="F287" i="4"/>
  <c r="H287" i="4" s="1"/>
  <c r="M287" i="4" s="1"/>
  <c r="N287" i="4" s="1"/>
  <c r="J287" i="4"/>
  <c r="L287" i="4"/>
  <c r="O287" i="4" s="1"/>
  <c r="F288" i="4"/>
  <c r="H288" i="4"/>
  <c r="J288" i="4"/>
  <c r="L288" i="4"/>
  <c r="M288" i="4"/>
  <c r="O288" i="4"/>
  <c r="N288" i="4" s="1"/>
  <c r="F289" i="4"/>
  <c r="H289" i="4"/>
  <c r="J289" i="4"/>
  <c r="L289" i="4"/>
  <c r="O289" i="4" s="1"/>
  <c r="N289" i="4" s="1"/>
  <c r="M289" i="4"/>
  <c r="K299" i="4"/>
  <c r="C301" i="4"/>
  <c r="I301" i="4"/>
  <c r="M302" i="4"/>
  <c r="N226" i="4" l="1"/>
  <c r="N177" i="4"/>
  <c r="N73" i="4"/>
  <c r="F303" i="4" s="1"/>
  <c r="N63" i="4"/>
  <c r="N23" i="4"/>
  <c r="J298" i="4" s="1"/>
  <c r="N276" i="4"/>
  <c r="N82" i="4"/>
  <c r="E300" i="4"/>
  <c r="N142" i="4"/>
  <c r="D300" i="4" s="1"/>
  <c r="B301" i="4"/>
  <c r="G300" i="4"/>
  <c r="O300" i="4" s="1"/>
  <c r="N70" i="4"/>
  <c r="F300" i="4" s="1"/>
  <c r="N46" i="4"/>
  <c r="D298" i="4"/>
  <c r="N260" i="4"/>
  <c r="L301" i="4" s="1"/>
  <c r="N150" i="4"/>
  <c r="I303" i="4"/>
  <c r="N81" i="4"/>
  <c r="H298" i="4"/>
  <c r="N26" i="4"/>
  <c r="J301" i="4" s="1"/>
  <c r="N16" i="4"/>
  <c r="H300" i="4" s="1"/>
  <c r="N179" i="4"/>
  <c r="D301" i="4" s="1"/>
  <c r="N144" i="4"/>
  <c r="G299" i="4"/>
  <c r="N277" i="4"/>
  <c r="N151" i="4"/>
  <c r="N116" i="4"/>
  <c r="N99" i="4"/>
  <c r="F302" i="4" s="1"/>
  <c r="C299" i="4"/>
  <c r="M301" i="4"/>
  <c r="N90" i="4"/>
  <c r="H303" i="4"/>
  <c r="N303" i="4" s="1"/>
  <c r="H301" i="4"/>
  <c r="M298" i="4"/>
  <c r="E299" i="4"/>
  <c r="N167" i="4"/>
  <c r="N98" i="4"/>
  <c r="F301" i="4" s="1"/>
  <c r="N54" i="4"/>
  <c r="K302" i="4"/>
  <c r="O302" i="4" s="1"/>
  <c r="N241" i="4"/>
  <c r="L300" i="4" s="1"/>
  <c r="N27" i="4"/>
  <c r="J302" i="4" s="1"/>
  <c r="I302" i="4"/>
  <c r="N18" i="4"/>
  <c r="N172" i="4"/>
  <c r="N80" i="4"/>
  <c r="N53" i="4"/>
  <c r="N44" i="4"/>
  <c r="N190" i="4"/>
  <c r="E298" i="4"/>
  <c r="N266" i="4"/>
  <c r="N79" i="4"/>
  <c r="N61" i="4"/>
  <c r="N7" i="4"/>
  <c r="B300" i="4" s="1"/>
  <c r="O301" i="4"/>
  <c r="I299" i="4"/>
  <c r="N136" i="4"/>
  <c r="N206" i="4"/>
  <c r="N15" i="4"/>
  <c r="H299" i="4" s="1"/>
  <c r="N261" i="4"/>
  <c r="L302" i="4" s="1"/>
  <c r="N126" i="4"/>
  <c r="N269" i="4"/>
  <c r="N204" i="4"/>
  <c r="N25" i="4"/>
  <c r="J300" i="4" s="1"/>
  <c r="N279" i="4"/>
  <c r="G298" i="4"/>
  <c r="N196" i="4"/>
  <c r="J299" i="4"/>
  <c r="M303" i="4"/>
  <c r="O303" i="4" s="1"/>
  <c r="N180" i="4"/>
  <c r="N223" i="4"/>
  <c r="N248" i="4"/>
  <c r="F298" i="4" s="1"/>
  <c r="N34" i="4"/>
  <c r="N69" i="4"/>
  <c r="F299" i="4" s="1"/>
  <c r="N270" i="4"/>
  <c r="N135" i="4"/>
  <c r="N91" i="4"/>
  <c r="N32" i="4"/>
  <c r="C298" i="4"/>
  <c r="N141" i="4"/>
  <c r="D299" i="4" s="1"/>
  <c r="N299" i="4" s="1"/>
  <c r="N64" i="4"/>
  <c r="N235" i="4"/>
  <c r="N5" i="4"/>
  <c r="B298" i="4" s="1"/>
  <c r="N300" i="4" l="1"/>
  <c r="N298" i="4"/>
  <c r="N294" i="4" s="1"/>
  <c r="O298" i="4"/>
  <c r="H302" i="4"/>
  <c r="O299" i="4"/>
  <c r="N301" i="4"/>
  <c r="D302" i="4"/>
  <c r="N302" i="4" s="1"/>
  <c r="O29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Kelly Thorp</author>
  </authors>
  <commentList>
    <comment ref="AD1" authorId="0" shapeId="0" xr:uid="{00000000-0006-0000-0500-000001000000}">
      <text>
        <r>
          <rPr>
            <b/>
            <sz val="8"/>
            <color rgb="FF000000"/>
            <rFont val="Tahoma"/>
            <family val="2"/>
          </rPr>
          <t>Kelly Thorp:</t>
        </r>
        <r>
          <rPr>
            <sz val="8"/>
            <color rgb="FF000000"/>
            <rFont val="Tahoma"/>
            <family val="2"/>
          </rPr>
          <t xml:space="preserve">
Ksat from Rosetta based on texture and bulk density</t>
        </r>
      </text>
    </comment>
  </commentList>
</comments>
</file>

<file path=xl/sharedStrings.xml><?xml version="1.0" encoding="utf-8"?>
<sst xmlns="http://schemas.openxmlformats.org/spreadsheetml/2006/main" count="2736" uniqueCount="178">
  <si>
    <t>Sandy Loam</t>
  </si>
  <si>
    <t>Sandy Clay Loam</t>
  </si>
  <si>
    <t>mNorth</t>
  </si>
  <si>
    <t>mEast</t>
  </si>
  <si>
    <t>Location:</t>
  </si>
  <si>
    <t>Soil Texture Class</t>
  </si>
  <si>
    <t>% Clay</t>
  </si>
  <si>
    <t>% Silt</t>
  </si>
  <si>
    <t>% Sand</t>
  </si>
  <si>
    <t>Adjusted    2hr Hydrometer   Reading</t>
  </si>
  <si>
    <t>2hr Hydrometer Reading</t>
  </si>
  <si>
    <t>2hr    Temp Farenheit</t>
  </si>
  <si>
    <t>2hr Temp Celcius</t>
  </si>
  <si>
    <t>Adjusted      40 sec Hydrometer Reading</t>
  </si>
  <si>
    <t>40 sec Hydrometer Reading</t>
  </si>
  <si>
    <t>40 sec. Farenheit</t>
  </si>
  <si>
    <t>40 sec. Celcius</t>
  </si>
  <si>
    <t>Vol. (mL) (NaPO3)6</t>
  </si>
  <si>
    <t>Soil   Weight gm</t>
  </si>
  <si>
    <t>Depth</t>
  </si>
  <si>
    <t>Sandy Clay</t>
  </si>
  <si>
    <t>cm/day</t>
  </si>
  <si>
    <t>1/cm</t>
  </si>
  <si>
    <t>cm3/cm3</t>
  </si>
  <si>
    <t>L</t>
  </si>
  <si>
    <t>Ko</t>
  </si>
  <si>
    <t>Ks</t>
  </si>
  <si>
    <t>N</t>
  </si>
  <si>
    <t>Alpha</t>
  </si>
  <si>
    <t>Theta_s</t>
  </si>
  <si>
    <t>Theta_r</t>
  </si>
  <si>
    <t>Description</t>
  </si>
  <si>
    <t>Code</t>
  </si>
  <si>
    <t>Loamy Sand</t>
  </si>
  <si>
    <t>SAT</t>
  </si>
  <si>
    <t>Field</t>
  </si>
  <si>
    <t>FDL</t>
  </si>
  <si>
    <t>FDH</t>
  </si>
  <si>
    <t>FTL</t>
  </si>
  <si>
    <t>FTH</t>
  </si>
  <si>
    <t>FSL</t>
  </si>
  <si>
    <t>FSH</t>
  </si>
  <si>
    <t>%Clay</t>
  </si>
  <si>
    <t>%Silt</t>
  </si>
  <si>
    <t>FLDAVG</t>
  </si>
  <si>
    <t>Max</t>
  </si>
  <si>
    <t>DUL</t>
  </si>
  <si>
    <t>Adjusted    2hr. Hydrom.   Reading</t>
  </si>
  <si>
    <t>2hr. Hydrom. Reading</t>
  </si>
  <si>
    <t>2hr.    Temp. (Farenheit)</t>
  </si>
  <si>
    <t>2hr. Temp. (Celcius)</t>
  </si>
  <si>
    <t>Adjusted      40 sec Hydrom. Reading</t>
  </si>
  <si>
    <t>40 sec. Hydrom. Reading</t>
  </si>
  <si>
    <t>DEPTH</t>
  </si>
  <si>
    <t>Sample</t>
  </si>
  <si>
    <t>Average</t>
  </si>
  <si>
    <t xml:space="preserve">Sandy Clay Loam </t>
  </si>
  <si>
    <t>LL</t>
  </si>
  <si>
    <t>Min</t>
  </si>
  <si>
    <t>%</t>
  </si>
  <si>
    <t>cm/hr</t>
  </si>
  <si>
    <t>LL1500</t>
  </si>
  <si>
    <t>DUL333</t>
  </si>
  <si>
    <t>DUL100</t>
  </si>
  <si>
    <t>SAT1</t>
  </si>
  <si>
    <t>Ksat</t>
  </si>
  <si>
    <t>Median</t>
  </si>
  <si>
    <t>pppddd</t>
  </si>
  <si>
    <t xml:space="preserve">Sandy Loam </t>
  </si>
  <si>
    <t>Plot</t>
  </si>
  <si>
    <t>No units</t>
  </si>
  <si>
    <t>L(cm/day)</t>
  </si>
  <si>
    <t>Log10</t>
  </si>
  <si>
    <t>log(1/cm)</t>
  </si>
  <si>
    <t>AvgDUL</t>
  </si>
  <si>
    <t>LL15000</t>
  </si>
  <si>
    <t>Rosetta:</t>
  </si>
  <si>
    <t>Collected from neutron locations of previous FISE Wheat experiments in 2003-2004 and 2004-2005 in F105.</t>
  </si>
  <si>
    <t>SLTX</t>
  </si>
  <si>
    <t>p101</t>
  </si>
  <si>
    <t>p102</t>
  </si>
  <si>
    <t>p103</t>
  </si>
  <si>
    <t>p104</t>
  </si>
  <si>
    <t>p105</t>
  </si>
  <si>
    <t>p106</t>
  </si>
  <si>
    <t>p107</t>
  </si>
  <si>
    <t>p108</t>
  </si>
  <si>
    <t>p201</t>
  </si>
  <si>
    <t>p202</t>
  </si>
  <si>
    <t>p203</t>
  </si>
  <si>
    <t>p204</t>
  </si>
  <si>
    <t>p205</t>
  </si>
  <si>
    <t>p206</t>
  </si>
  <si>
    <t>p207</t>
  </si>
  <si>
    <t>p208</t>
  </si>
  <si>
    <t>p301</t>
  </si>
  <si>
    <t>p302</t>
  </si>
  <si>
    <t>p303</t>
  </si>
  <si>
    <t>p304</t>
  </si>
  <si>
    <t>p305</t>
  </si>
  <si>
    <t>p306</t>
  </si>
  <si>
    <t>p307</t>
  </si>
  <si>
    <t>p308</t>
  </si>
  <si>
    <t>p401</t>
  </si>
  <si>
    <t>p402</t>
  </si>
  <si>
    <t>p403</t>
  </si>
  <si>
    <t>p404</t>
  </si>
  <si>
    <t>p405</t>
  </si>
  <si>
    <t>p406</t>
  </si>
  <si>
    <t>p407</t>
  </si>
  <si>
    <t>p408</t>
  </si>
  <si>
    <t>Core</t>
  </si>
  <si>
    <t>Year</t>
  </si>
  <si>
    <t>SOIL_DATE</t>
  </si>
  <si>
    <t>Vol. Water</t>
  </si>
  <si>
    <t>Field Avg. Bulk Density</t>
  </si>
  <si>
    <t>% Moisture Retained</t>
  </si>
  <si>
    <t>Total Moisture Retained</t>
  </si>
  <si>
    <t>Soil Dry Weight</t>
  </si>
  <si>
    <t>Total Dry Weight</t>
  </si>
  <si>
    <t>Soil Wet Weight</t>
  </si>
  <si>
    <t>Total Wet Weight</t>
  </si>
  <si>
    <t>Metal Tray + Ring Weight</t>
  </si>
  <si>
    <t>Pressure: 1/3 Bar</t>
  </si>
  <si>
    <t>Pressure: 5 Bar</t>
  </si>
  <si>
    <t>Sample depth</t>
  </si>
  <si>
    <t>Pressure: 15 Bar</t>
  </si>
  <si>
    <t>Tube No 408</t>
  </si>
  <si>
    <t>Tube No 407</t>
  </si>
  <si>
    <t>Tube No 406</t>
  </si>
  <si>
    <t>Tube No 405</t>
  </si>
  <si>
    <t>Tube No 404</t>
  </si>
  <si>
    <t>Tube No 403</t>
  </si>
  <si>
    <t>Tube No 402</t>
  </si>
  <si>
    <t>Tube No 401</t>
  </si>
  <si>
    <t>Template</t>
  </si>
  <si>
    <t>Tube No 308</t>
  </si>
  <si>
    <t>Tube No 307</t>
  </si>
  <si>
    <t>Tube No 306</t>
  </si>
  <si>
    <t>Tube No 305</t>
  </si>
  <si>
    <t>Tube No 304</t>
  </si>
  <si>
    <t>Tube No 303</t>
  </si>
  <si>
    <t>Tube No 302</t>
  </si>
  <si>
    <t>Tube No 301</t>
  </si>
  <si>
    <t>Tube No 208</t>
  </si>
  <si>
    <t>Tube No 207</t>
  </si>
  <si>
    <t>Tube No 206</t>
  </si>
  <si>
    <t>Tube No 205</t>
  </si>
  <si>
    <t>Tube No 204</t>
  </si>
  <si>
    <t>Tube No 203</t>
  </si>
  <si>
    <t>Tube No 202</t>
  </si>
  <si>
    <t>Tube No 201</t>
  </si>
  <si>
    <t>Tube No 108</t>
  </si>
  <si>
    <t>Tube No 107</t>
  </si>
  <si>
    <t>Tube No 106</t>
  </si>
  <si>
    <t>Tube No 105</t>
  </si>
  <si>
    <t>Tube No 104</t>
  </si>
  <si>
    <t>Tube No 103</t>
  </si>
  <si>
    <t>Tube No 102</t>
  </si>
  <si>
    <t>Tube No 101</t>
  </si>
  <si>
    <t>SLWP2</t>
  </si>
  <si>
    <t>SLFC1</t>
  </si>
  <si>
    <t>EM38V</t>
  </si>
  <si>
    <t>EM38H</t>
  </si>
  <si>
    <t>UTMX</t>
  </si>
  <si>
    <t>UTMY</t>
  </si>
  <si>
    <t>1st-PCS</t>
  </si>
  <si>
    <t>2nd-PCS</t>
  </si>
  <si>
    <t>ID</t>
  </si>
  <si>
    <t>Pass</t>
  </si>
  <si>
    <t>?</t>
  </si>
  <si>
    <t>GWC15</t>
  </si>
  <si>
    <t>GWC05</t>
  </si>
  <si>
    <t>GWC.3</t>
  </si>
  <si>
    <t>SLSND_M</t>
  </si>
  <si>
    <t>SLSLT_M</t>
  </si>
  <si>
    <t>SLCLY_M</t>
  </si>
  <si>
    <t>SLWP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</si>
</sst>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"/>
    <numFmt numFmtId="167" formatCode="0.00000"/>
    <numFmt numFmtId="168" formatCode="mm/yyyy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 wrapText="1"/>
    </xf>
    <xf numFmtId="164" fontId="0" fillId="0" borderId="0" xfId="0" applyNumberFormat="1"/>
    <xf numFmtId="2" fontId="0" fillId="0" borderId="0" xfId="0" applyNumberFormat="1"/>
    <xf numFmtId="0" fontId="0" fillId="0" borderId="2" xfId="0" applyBorder="1"/>
    <xf numFmtId="165" fontId="3" fillId="0" borderId="3" xfId="0" applyNumberFormat="1" applyFont="1" applyBorder="1" applyAlignment="1">
      <alignment horizontal="center"/>
    </xf>
    <xf numFmtId="0" fontId="4" fillId="0" borderId="0" xfId="0" applyFont="1"/>
    <xf numFmtId="164" fontId="4" fillId="0" borderId="0" xfId="0" applyNumberFormat="1" applyFont="1"/>
    <xf numFmtId="166" fontId="4" fillId="0" borderId="0" xfId="0" applyNumberFormat="1" applyFont="1"/>
    <xf numFmtId="0" fontId="4" fillId="0" borderId="1" xfId="0" applyFont="1" applyBorder="1"/>
    <xf numFmtId="167" fontId="4" fillId="0" borderId="0" xfId="0" applyNumberFormat="1" applyFon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2" fontId="2" fillId="0" borderId="1" xfId="0" applyNumberFormat="1" applyFont="1" applyBorder="1" applyAlignment="1">
      <alignment horizontal="right" wrapText="1"/>
    </xf>
    <xf numFmtId="0" fontId="5" fillId="2" borderId="0" xfId="0" applyFont="1" applyFill="1"/>
    <xf numFmtId="0" fontId="4" fillId="0" borderId="0" xfId="1"/>
    <xf numFmtId="165" fontId="4" fillId="0" borderId="0" xfId="1" applyNumberFormat="1"/>
    <xf numFmtId="2" fontId="4" fillId="0" borderId="0" xfId="1" applyNumberFormat="1"/>
    <xf numFmtId="166" fontId="4" fillId="0" borderId="0" xfId="1" applyNumberFormat="1"/>
    <xf numFmtId="2" fontId="4" fillId="0" borderId="8" xfId="1" applyNumberFormat="1" applyBorder="1"/>
    <xf numFmtId="0" fontId="4" fillId="0" borderId="8" xfId="1" applyBorder="1"/>
    <xf numFmtId="0" fontId="4" fillId="0" borderId="9" xfId="1" applyBorder="1"/>
    <xf numFmtId="0" fontId="4" fillId="0" borderId="10" xfId="1" applyBorder="1"/>
    <xf numFmtId="0" fontId="4" fillId="0" borderId="11" xfId="1" applyBorder="1"/>
    <xf numFmtId="2" fontId="4" fillId="0" borderId="9" xfId="1" applyNumberFormat="1" applyBorder="1"/>
    <xf numFmtId="2" fontId="4" fillId="0" borderId="12" xfId="1" applyNumberFormat="1" applyBorder="1"/>
    <xf numFmtId="2" fontId="4" fillId="0" borderId="1" xfId="1" applyNumberFormat="1" applyBorder="1"/>
    <xf numFmtId="2" fontId="4" fillId="0" borderId="7" xfId="1" applyNumberFormat="1" applyBorder="1"/>
    <xf numFmtId="0" fontId="4" fillId="0" borderId="13" xfId="1" applyBorder="1"/>
    <xf numFmtId="2" fontId="4" fillId="0" borderId="14" xfId="1" applyNumberFormat="1" applyBorder="1"/>
    <xf numFmtId="2" fontId="4" fillId="0" borderId="15" xfId="1" applyNumberFormat="1" applyBorder="1"/>
    <xf numFmtId="2" fontId="4" fillId="0" borderId="16" xfId="1" applyNumberFormat="1" applyBorder="1"/>
    <xf numFmtId="0" fontId="4" fillId="0" borderId="17" xfId="1" applyBorder="1"/>
    <xf numFmtId="166" fontId="2" fillId="0" borderId="0" xfId="1" applyNumberFormat="1" applyFont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 wrapText="1"/>
    </xf>
    <xf numFmtId="2" fontId="2" fillId="0" borderId="18" xfId="1" applyNumberFormat="1" applyFont="1" applyBorder="1" applyAlignment="1">
      <alignment horizontal="center" vertical="center" wrapText="1"/>
    </xf>
    <xf numFmtId="2" fontId="2" fillId="0" borderId="19" xfId="1" applyNumberFormat="1" applyFont="1" applyBorder="1" applyAlignment="1">
      <alignment horizontal="center" vertical="center" wrapText="1"/>
    </xf>
    <xf numFmtId="0" fontId="4" fillId="0" borderId="18" xfId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 wrapText="1"/>
    </xf>
    <xf numFmtId="2" fontId="4" fillId="0" borderId="18" xfId="1" applyNumberFormat="1" applyBorder="1" applyAlignment="1">
      <alignment horizontal="center" vertical="center" wrapText="1"/>
    </xf>
    <xf numFmtId="0" fontId="4" fillId="0" borderId="18" xfId="1" applyBorder="1" applyAlignment="1">
      <alignment horizontal="center" vertical="center"/>
    </xf>
    <xf numFmtId="2" fontId="4" fillId="0" borderId="20" xfId="1" applyNumberFormat="1" applyBorder="1"/>
    <xf numFmtId="0" fontId="4" fillId="0" borderId="21" xfId="1" applyBorder="1"/>
    <xf numFmtId="2" fontId="4" fillId="0" borderId="22" xfId="1" applyNumberFormat="1" applyBorder="1"/>
    <xf numFmtId="2" fontId="4" fillId="0" borderId="23" xfId="1" applyNumberFormat="1" applyBorder="1"/>
    <xf numFmtId="0" fontId="4" fillId="0" borderId="0" xfId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2" fontId="4" fillId="0" borderId="0" xfId="1" applyNumberFormat="1" applyAlignment="1">
      <alignment horizontal="center" vertical="center" wrapText="1"/>
    </xf>
    <xf numFmtId="0" fontId="4" fillId="0" borderId="0" xfId="1" applyAlignment="1">
      <alignment horizontal="center" vertical="center"/>
    </xf>
    <xf numFmtId="165" fontId="2" fillId="0" borderId="0" xfId="1" applyNumberFormat="1" applyFont="1" applyAlignment="1">
      <alignment horizontal="center" vertical="center" wrapText="1"/>
    </xf>
    <xf numFmtId="166" fontId="0" fillId="0" borderId="0" xfId="0" applyNumberFormat="1"/>
    <xf numFmtId="168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521F3FF6-993D-4111-9E41-E853B1C915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0453-65CB-4502-9245-C9B27AEBB60F}">
  <dimension ref="A1:N198"/>
  <sheetViews>
    <sheetView tabSelected="1" workbookViewId="0"/>
  </sheetViews>
  <sheetFormatPr defaultRowHeight="15" x14ac:dyDescent="0.25"/>
  <cols>
    <col min="8" max="8" width="16.28515625" bestFit="1" customWidth="1"/>
  </cols>
  <sheetData>
    <row r="1" spans="1:14" x14ac:dyDescent="0.25">
      <c r="A1" t="s">
        <v>112</v>
      </c>
      <c r="B1" t="s">
        <v>113</v>
      </c>
      <c r="C1" t="s">
        <v>111</v>
      </c>
      <c r="D1" t="s">
        <v>19</v>
      </c>
      <c r="E1" t="s">
        <v>174</v>
      </c>
      <c r="F1" t="s">
        <v>175</v>
      </c>
      <c r="G1" t="s">
        <v>176</v>
      </c>
      <c r="H1" t="s">
        <v>78</v>
      </c>
      <c r="I1" t="s">
        <v>171</v>
      </c>
      <c r="J1" t="s">
        <v>172</v>
      </c>
      <c r="K1" t="s">
        <v>173</v>
      </c>
      <c r="L1" t="s">
        <v>177</v>
      </c>
      <c r="M1" t="s">
        <v>160</v>
      </c>
      <c r="N1" t="s">
        <v>161</v>
      </c>
    </row>
    <row r="2" spans="1:14" x14ac:dyDescent="0.25">
      <c r="A2">
        <v>2008</v>
      </c>
      <c r="B2" s="66">
        <v>39630</v>
      </c>
      <c r="C2" t="s">
        <v>79</v>
      </c>
      <c r="D2">
        <v>15</v>
      </c>
      <c r="E2" s="16">
        <v>77.2</v>
      </c>
      <c r="F2" s="16">
        <v>5.1333333333333258</v>
      </c>
      <c r="G2" s="16">
        <v>17.666666666666668</v>
      </c>
      <c r="H2" t="s">
        <v>0</v>
      </c>
      <c r="I2" s="65">
        <v>7.4567901234567802E-2</v>
      </c>
      <c r="J2" s="65">
        <v>8.3163473298002721E-2</v>
      </c>
      <c r="K2" s="65">
        <v>0.12415654520917635</v>
      </c>
      <c r="L2" s="65">
        <f>I2*1.6</f>
        <v>0.11930864197530849</v>
      </c>
      <c r="M2" s="65">
        <f t="shared" ref="M2:N2" si="0">J2*1.6</f>
        <v>0.13306155727680435</v>
      </c>
      <c r="N2" s="65">
        <f t="shared" si="0"/>
        <v>0.19865047233468217</v>
      </c>
    </row>
    <row r="3" spans="1:14" x14ac:dyDescent="0.25">
      <c r="A3">
        <v>2008</v>
      </c>
      <c r="B3" s="66">
        <v>39630</v>
      </c>
      <c r="C3" t="s">
        <v>79</v>
      </c>
      <c r="D3">
        <v>45</v>
      </c>
      <c r="E3" s="16">
        <v>77.2</v>
      </c>
      <c r="F3" s="16">
        <v>3.4666666666666686</v>
      </c>
      <c r="G3" s="16">
        <v>19.333333333333332</v>
      </c>
      <c r="H3" t="s">
        <v>0</v>
      </c>
      <c r="I3" s="65">
        <v>6.0541004723057269E-2</v>
      </c>
      <c r="J3" s="65">
        <v>6.7130577159230473E-2</v>
      </c>
      <c r="K3" s="65">
        <v>0.10503018108651908</v>
      </c>
      <c r="L3" s="65">
        <f t="shared" ref="L3:L66" si="1">I3*1.6</f>
        <v>9.6865607556891636E-2</v>
      </c>
      <c r="M3" s="65">
        <f t="shared" ref="M3:M66" si="2">J3*1.6</f>
        <v>0.10740892345476877</v>
      </c>
      <c r="N3" s="65">
        <f t="shared" ref="N3:N66" si="3">K3*1.6</f>
        <v>0.16804828973843056</v>
      </c>
    </row>
    <row r="4" spans="1:14" x14ac:dyDescent="0.25">
      <c r="A4">
        <v>2008</v>
      </c>
      <c r="B4" s="66">
        <v>39630</v>
      </c>
      <c r="C4" t="s">
        <v>79</v>
      </c>
      <c r="D4">
        <v>75</v>
      </c>
      <c r="E4" s="16">
        <v>80.533333333333331</v>
      </c>
      <c r="F4" s="16">
        <v>4.0666666666666771</v>
      </c>
      <c r="G4" s="16">
        <v>15.399999999999997</v>
      </c>
      <c r="H4" t="s">
        <v>0</v>
      </c>
      <c r="I4" s="65">
        <v>4.6232085067036535E-2</v>
      </c>
      <c r="J4" s="65">
        <v>5.2840158520475682E-2</v>
      </c>
      <c r="K4" s="65">
        <v>8.9578713968958001E-2</v>
      </c>
      <c r="L4" s="65">
        <f t="shared" si="1"/>
        <v>7.3971336107258465E-2</v>
      </c>
      <c r="M4" s="65">
        <f t="shared" si="2"/>
        <v>8.4544253632761093E-2</v>
      </c>
      <c r="N4" s="65">
        <f t="shared" si="3"/>
        <v>0.1433259423503328</v>
      </c>
    </row>
    <row r="5" spans="1:14" x14ac:dyDescent="0.25">
      <c r="A5">
        <v>2008</v>
      </c>
      <c r="B5" s="66">
        <v>39630</v>
      </c>
      <c r="C5" t="s">
        <v>79</v>
      </c>
      <c r="D5">
        <v>105</v>
      </c>
      <c r="E5" s="16">
        <v>74.466666666666654</v>
      </c>
      <c r="F5" s="16">
        <v>6.8000000000000114</v>
      </c>
      <c r="G5" s="16">
        <v>18.733333333333331</v>
      </c>
      <c r="H5" t="s">
        <v>0</v>
      </c>
      <c r="I5" s="65">
        <v>5.4855195911414446E-2</v>
      </c>
      <c r="J5" s="65">
        <v>6.3393708293613238E-2</v>
      </c>
      <c r="K5" s="65">
        <v>0.12337371018393899</v>
      </c>
      <c r="L5" s="65">
        <f t="shared" si="1"/>
        <v>8.7768313458263122E-2</v>
      </c>
      <c r="M5" s="65">
        <f t="shared" si="2"/>
        <v>0.10142993326978118</v>
      </c>
      <c r="N5" s="65">
        <f t="shared" si="3"/>
        <v>0.19739793629430238</v>
      </c>
    </row>
    <row r="6" spans="1:14" x14ac:dyDescent="0.25">
      <c r="A6">
        <v>2008</v>
      </c>
      <c r="B6" s="66">
        <v>39630</v>
      </c>
      <c r="C6" t="s">
        <v>79</v>
      </c>
      <c r="D6">
        <v>135</v>
      </c>
      <c r="E6" s="16">
        <v>68.266666666666666</v>
      </c>
      <c r="F6" s="16">
        <v>9.0666666666666629</v>
      </c>
      <c r="G6" s="16">
        <v>22.666666666666664</v>
      </c>
      <c r="H6" t="s">
        <v>1</v>
      </c>
      <c r="I6" s="65">
        <v>8.6956521739130432E-2</v>
      </c>
      <c r="J6" s="65">
        <v>0.10141394441735728</v>
      </c>
      <c r="K6" s="65">
        <v>0.15688209176122345</v>
      </c>
      <c r="L6" s="65">
        <f t="shared" si="1"/>
        <v>0.1391304347826087</v>
      </c>
      <c r="M6" s="65">
        <f t="shared" si="2"/>
        <v>0.16226231106777167</v>
      </c>
      <c r="N6" s="65">
        <f t="shared" si="3"/>
        <v>0.2510113468179575</v>
      </c>
    </row>
    <row r="7" spans="1:14" x14ac:dyDescent="0.25">
      <c r="A7">
        <v>2008</v>
      </c>
      <c r="B7" s="66">
        <v>39630</v>
      </c>
      <c r="C7" t="s">
        <v>79</v>
      </c>
      <c r="D7">
        <v>165</v>
      </c>
      <c r="E7" s="16">
        <v>78.86666666666666</v>
      </c>
      <c r="F7" s="16">
        <v>5.13333333333334</v>
      </c>
      <c r="G7" s="16">
        <v>16</v>
      </c>
      <c r="H7" t="s">
        <v>0</v>
      </c>
      <c r="I7" s="65">
        <v>8.6370262390670721E-2</v>
      </c>
      <c r="J7" s="65">
        <v>9.344660194174767E-2</v>
      </c>
      <c r="K7" s="65">
        <v>0.15184308420696632</v>
      </c>
      <c r="L7" s="65">
        <f t="shared" si="1"/>
        <v>0.13819241982507316</v>
      </c>
      <c r="M7" s="65">
        <f t="shared" si="2"/>
        <v>0.14951456310679628</v>
      </c>
      <c r="N7" s="65">
        <f t="shared" si="3"/>
        <v>0.24294893473114612</v>
      </c>
    </row>
    <row r="8" spans="1:14" x14ac:dyDescent="0.25">
      <c r="A8">
        <v>2008</v>
      </c>
      <c r="B8" s="66">
        <v>39630</v>
      </c>
      <c r="C8" t="s">
        <v>80</v>
      </c>
      <c r="D8">
        <v>15</v>
      </c>
      <c r="E8" s="16">
        <v>72.333333333333329</v>
      </c>
      <c r="F8" s="16">
        <v>9.5333333333333314</v>
      </c>
      <c r="G8" s="16">
        <v>18.133333333333333</v>
      </c>
      <c r="H8" t="s">
        <v>0</v>
      </c>
      <c r="I8" s="65">
        <v>7.0332480818414256E-2</v>
      </c>
      <c r="J8" s="65">
        <v>7.6923076923076761E-2</v>
      </c>
      <c r="K8" s="65">
        <v>0.13161405068919524</v>
      </c>
      <c r="L8" s="65">
        <f t="shared" si="1"/>
        <v>0.11253196930946281</v>
      </c>
      <c r="M8" s="65">
        <f t="shared" si="2"/>
        <v>0.12307692307692282</v>
      </c>
      <c r="N8" s="65">
        <f t="shared" si="3"/>
        <v>0.21058248110271238</v>
      </c>
    </row>
    <row r="9" spans="1:14" x14ac:dyDescent="0.25">
      <c r="A9">
        <v>2008</v>
      </c>
      <c r="B9" s="66">
        <v>39630</v>
      </c>
      <c r="C9" t="s">
        <v>80</v>
      </c>
      <c r="D9">
        <v>45</v>
      </c>
      <c r="E9" s="16">
        <v>76.266666666666666</v>
      </c>
      <c r="F9" s="16">
        <v>8.9333333333333371</v>
      </c>
      <c r="G9" s="16">
        <v>14.800000000000002</v>
      </c>
      <c r="H9" t="s">
        <v>0</v>
      </c>
      <c r="I9" s="65">
        <v>6.32961783439486E-2</v>
      </c>
      <c r="J9" s="65">
        <v>6.5789473684210814E-2</v>
      </c>
      <c r="K9" s="65">
        <v>0.124883504193849</v>
      </c>
      <c r="L9" s="65">
        <f t="shared" si="1"/>
        <v>0.10127388535031777</v>
      </c>
      <c r="M9" s="65">
        <f t="shared" si="2"/>
        <v>0.10526315789473731</v>
      </c>
      <c r="N9" s="65">
        <f t="shared" si="3"/>
        <v>0.19981360671015841</v>
      </c>
    </row>
    <row r="10" spans="1:14" x14ac:dyDescent="0.25">
      <c r="A10">
        <v>2008</v>
      </c>
      <c r="B10" s="66">
        <v>39630</v>
      </c>
      <c r="C10" t="s">
        <v>80</v>
      </c>
      <c r="D10">
        <v>75</v>
      </c>
      <c r="E10" s="16">
        <v>79.466666666666654</v>
      </c>
      <c r="F10" s="16">
        <v>8.4666666666666828</v>
      </c>
      <c r="G10" s="16">
        <v>12.066666666666665</v>
      </c>
      <c r="H10" t="s">
        <v>0</v>
      </c>
      <c r="I10" s="65">
        <v>6.1605206073752812E-2</v>
      </c>
      <c r="J10" s="65">
        <v>7.8594544613961884E-2</v>
      </c>
      <c r="K10" s="65">
        <v>0.1122350674373795</v>
      </c>
      <c r="L10" s="65">
        <f t="shared" si="1"/>
        <v>9.8568329718004499E-2</v>
      </c>
      <c r="M10" s="65">
        <f t="shared" si="2"/>
        <v>0.12575127138233902</v>
      </c>
      <c r="N10" s="65">
        <f t="shared" si="3"/>
        <v>0.17957610789980721</v>
      </c>
    </row>
    <row r="11" spans="1:14" x14ac:dyDescent="0.25">
      <c r="A11">
        <v>2008</v>
      </c>
      <c r="B11" s="66">
        <v>39630</v>
      </c>
      <c r="C11" t="s">
        <v>80</v>
      </c>
      <c r="D11">
        <v>105</v>
      </c>
      <c r="E11" s="16">
        <v>77.8</v>
      </c>
      <c r="F11" s="16">
        <v>6.8000000000000114</v>
      </c>
      <c r="G11" s="16">
        <v>15.399999999999997</v>
      </c>
      <c r="H11" t="s">
        <v>0</v>
      </c>
      <c r="I11" s="65">
        <v>7.5905974534769688E-2</v>
      </c>
      <c r="J11" s="65">
        <v>8.1936685288640843E-2</v>
      </c>
      <c r="K11" s="65">
        <v>0.14228255404725984</v>
      </c>
      <c r="L11" s="65">
        <f t="shared" si="1"/>
        <v>0.1214495592556315</v>
      </c>
      <c r="M11" s="65">
        <f t="shared" si="2"/>
        <v>0.13109869646182534</v>
      </c>
      <c r="N11" s="65">
        <f t="shared" si="3"/>
        <v>0.22765208647561574</v>
      </c>
    </row>
    <row r="12" spans="1:14" x14ac:dyDescent="0.25">
      <c r="A12">
        <v>2008</v>
      </c>
      <c r="B12" s="66">
        <v>39630</v>
      </c>
      <c r="C12" t="s">
        <v>80</v>
      </c>
      <c r="D12">
        <v>135</v>
      </c>
      <c r="E12" s="16">
        <v>79.466666666666654</v>
      </c>
      <c r="F12" s="16">
        <v>5.1333333333333542</v>
      </c>
      <c r="G12" s="16">
        <v>15.399999999999997</v>
      </c>
      <c r="H12" t="s">
        <v>0</v>
      </c>
      <c r="I12" s="65">
        <v>8.452041785375089E-2</v>
      </c>
      <c r="J12" s="65">
        <v>8.74190564292322E-2</v>
      </c>
      <c r="K12" s="65">
        <v>0.16612510154346047</v>
      </c>
      <c r="L12" s="65">
        <f t="shared" si="1"/>
        <v>0.13523266856600144</v>
      </c>
      <c r="M12" s="65">
        <f t="shared" si="2"/>
        <v>0.13987049028677154</v>
      </c>
      <c r="N12" s="65">
        <f t="shared" si="3"/>
        <v>0.26580016246953675</v>
      </c>
    </row>
    <row r="13" spans="1:14" x14ac:dyDescent="0.25">
      <c r="A13">
        <v>2008</v>
      </c>
      <c r="B13" s="66">
        <v>39630</v>
      </c>
      <c r="C13" t="s">
        <v>80</v>
      </c>
      <c r="D13">
        <v>165</v>
      </c>
      <c r="E13" s="16">
        <v>76.133333333333326</v>
      </c>
      <c r="F13" s="16">
        <v>7.8666666666666742</v>
      </c>
      <c r="G13" s="16">
        <v>16</v>
      </c>
      <c r="H13" t="s">
        <v>0</v>
      </c>
      <c r="I13" s="65">
        <v>8.3873427373236872E-2</v>
      </c>
      <c r="J13" s="65">
        <v>9.0946843853820486E-2</v>
      </c>
      <c r="K13" s="65">
        <v>0.16284013605442169</v>
      </c>
      <c r="L13" s="65">
        <f t="shared" si="1"/>
        <v>0.134197483797179</v>
      </c>
      <c r="M13" s="65">
        <f t="shared" si="2"/>
        <v>0.14551495016611279</v>
      </c>
      <c r="N13" s="65">
        <f t="shared" si="3"/>
        <v>0.2605442176870747</v>
      </c>
    </row>
    <row r="14" spans="1:14" x14ac:dyDescent="0.25">
      <c r="A14">
        <v>2008</v>
      </c>
      <c r="B14" s="66">
        <v>39630</v>
      </c>
      <c r="C14" t="s">
        <v>81</v>
      </c>
      <c r="D14">
        <v>15</v>
      </c>
      <c r="E14" s="16">
        <v>72.799999999999983</v>
      </c>
      <c r="F14" s="16">
        <v>8.6000000000000227</v>
      </c>
      <c r="G14" s="16">
        <v>18.600000000000001</v>
      </c>
      <c r="H14" t="s">
        <v>1</v>
      </c>
      <c r="I14" s="65">
        <v>6.1582381729200872E-2</v>
      </c>
      <c r="J14" s="65">
        <v>8.5264133456904354E-2</v>
      </c>
      <c r="K14" s="65">
        <v>0.13365896980461836</v>
      </c>
      <c r="L14" s="65">
        <f t="shared" si="1"/>
        <v>9.8531810766721406E-2</v>
      </c>
      <c r="M14" s="65">
        <f t="shared" si="2"/>
        <v>0.13642261353104698</v>
      </c>
      <c r="N14" s="65">
        <f t="shared" si="3"/>
        <v>0.21385435168738939</v>
      </c>
    </row>
    <row r="15" spans="1:14" x14ac:dyDescent="0.25">
      <c r="A15">
        <v>2008</v>
      </c>
      <c r="B15" s="66">
        <v>39630</v>
      </c>
      <c r="C15" t="s">
        <v>81</v>
      </c>
      <c r="D15">
        <v>45</v>
      </c>
      <c r="E15" s="16">
        <v>66.133333333333326</v>
      </c>
      <c r="F15" s="16">
        <v>9.0666666666666629</v>
      </c>
      <c r="G15" s="16">
        <v>24.800000000000004</v>
      </c>
      <c r="H15" t="s">
        <v>1</v>
      </c>
      <c r="I15" s="65">
        <v>9.3320235756384998E-2</v>
      </c>
      <c r="J15" s="65">
        <v>0.12068965517241352</v>
      </c>
      <c r="K15" s="65">
        <v>0.1887784921098771</v>
      </c>
      <c r="L15" s="65">
        <f t="shared" si="1"/>
        <v>0.14931237721021601</v>
      </c>
      <c r="M15" s="65">
        <f t="shared" si="2"/>
        <v>0.19310344827586165</v>
      </c>
      <c r="N15" s="65">
        <f t="shared" si="3"/>
        <v>0.30204558737580339</v>
      </c>
    </row>
    <row r="16" spans="1:14" x14ac:dyDescent="0.25">
      <c r="A16">
        <v>2008</v>
      </c>
      <c r="B16" s="66">
        <v>39630</v>
      </c>
      <c r="C16" t="s">
        <v>81</v>
      </c>
      <c r="D16">
        <v>75</v>
      </c>
      <c r="E16" s="16">
        <v>57.333333333333336</v>
      </c>
      <c r="F16" s="16">
        <v>14.533333333333331</v>
      </c>
      <c r="G16" s="16">
        <v>28.133333333333336</v>
      </c>
      <c r="H16" t="s">
        <v>1</v>
      </c>
      <c r="I16" s="65">
        <v>9.254627313656838E-2</v>
      </c>
      <c r="J16" s="65">
        <v>0.14725069897483745</v>
      </c>
      <c r="K16" s="65">
        <v>0.22496147919876702</v>
      </c>
      <c r="L16" s="65">
        <f t="shared" si="1"/>
        <v>0.14807403701850941</v>
      </c>
      <c r="M16" s="65">
        <f t="shared" si="2"/>
        <v>0.23560111835973993</v>
      </c>
      <c r="N16" s="65">
        <f t="shared" si="3"/>
        <v>0.35993836671802726</v>
      </c>
    </row>
    <row r="17" spans="1:14" x14ac:dyDescent="0.25">
      <c r="A17">
        <v>2008</v>
      </c>
      <c r="B17" s="66">
        <v>39630</v>
      </c>
      <c r="C17" t="s">
        <v>81</v>
      </c>
      <c r="D17">
        <v>105</v>
      </c>
      <c r="E17" s="16">
        <v>63.4</v>
      </c>
      <c r="F17" s="16">
        <v>11.799999999999997</v>
      </c>
      <c r="G17" s="16">
        <v>24.800000000000004</v>
      </c>
      <c r="H17" t="s">
        <v>1</v>
      </c>
      <c r="I17" s="65">
        <v>7.0993031358885461E-2</v>
      </c>
      <c r="J17" s="65">
        <v>0.10674964097654331</v>
      </c>
      <c r="K17" s="65">
        <v>0.18015521064301554</v>
      </c>
      <c r="L17" s="65">
        <f t="shared" si="1"/>
        <v>0.11358885017421674</v>
      </c>
      <c r="M17" s="65">
        <f t="shared" si="2"/>
        <v>0.1707994255624693</v>
      </c>
      <c r="N17" s="65">
        <f t="shared" si="3"/>
        <v>0.28824833702882485</v>
      </c>
    </row>
    <row r="18" spans="1:14" x14ac:dyDescent="0.25">
      <c r="A18">
        <v>2008</v>
      </c>
      <c r="B18" s="66">
        <v>39630</v>
      </c>
      <c r="C18" t="s">
        <v>81</v>
      </c>
      <c r="D18">
        <v>135</v>
      </c>
      <c r="E18" s="16">
        <v>82.799999999999983</v>
      </c>
      <c r="F18" s="16">
        <v>5.7333333333333485</v>
      </c>
      <c r="G18" s="16">
        <v>11.466666666666669</v>
      </c>
      <c r="H18" t="s">
        <v>33</v>
      </c>
      <c r="I18" s="65">
        <v>5.0717703349282411E-2</v>
      </c>
      <c r="J18" s="65">
        <v>6.8540433925049341E-2</v>
      </c>
      <c r="K18" s="65">
        <v>0.11462631820265932</v>
      </c>
      <c r="L18" s="65">
        <f t="shared" si="1"/>
        <v>8.1148325358851858E-2</v>
      </c>
      <c r="M18" s="65">
        <f t="shared" si="2"/>
        <v>0.10966469428007895</v>
      </c>
      <c r="N18" s="65">
        <f t="shared" si="3"/>
        <v>0.18340210912425492</v>
      </c>
    </row>
    <row r="19" spans="1:14" x14ac:dyDescent="0.25">
      <c r="A19">
        <v>2008</v>
      </c>
      <c r="B19" s="66">
        <v>39630</v>
      </c>
      <c r="C19" t="s">
        <v>81</v>
      </c>
      <c r="D19">
        <v>165</v>
      </c>
      <c r="E19" s="16">
        <v>72.799999999999983</v>
      </c>
      <c r="F19" s="16">
        <v>10.733333333333348</v>
      </c>
      <c r="G19" s="16">
        <v>16.466666666666669</v>
      </c>
      <c r="H19" t="s">
        <v>0</v>
      </c>
      <c r="I19" s="65">
        <v>7.0640176600441029E-2</v>
      </c>
      <c r="J19" s="65">
        <v>0.10561056105610599</v>
      </c>
      <c r="K19" s="65">
        <v>0.13594890510948923</v>
      </c>
      <c r="L19" s="65">
        <f t="shared" si="1"/>
        <v>0.11302428256070565</v>
      </c>
      <c r="M19" s="65">
        <f t="shared" si="2"/>
        <v>0.16897689768976959</v>
      </c>
      <c r="N19" s="65">
        <f t="shared" si="3"/>
        <v>0.21751824817518278</v>
      </c>
    </row>
    <row r="20" spans="1:14" x14ac:dyDescent="0.25">
      <c r="A20">
        <v>2008</v>
      </c>
      <c r="B20" s="66">
        <v>39630</v>
      </c>
      <c r="C20" t="s">
        <v>82</v>
      </c>
      <c r="D20">
        <v>15</v>
      </c>
      <c r="E20" s="16">
        <v>69.466666666666654</v>
      </c>
      <c r="F20" s="16">
        <v>10.733333333333348</v>
      </c>
      <c r="G20" s="16">
        <v>19.8</v>
      </c>
      <c r="H20" t="s">
        <v>1</v>
      </c>
      <c r="I20" s="65">
        <v>6.5292096219931095E-2</v>
      </c>
      <c r="J20" s="65">
        <v>6.5292096219931095E-2</v>
      </c>
      <c r="K20" s="65">
        <v>0.14104141041410403</v>
      </c>
      <c r="L20" s="65">
        <f t="shared" si="1"/>
        <v>0.10446735395188976</v>
      </c>
      <c r="M20" s="65">
        <f t="shared" si="2"/>
        <v>0.10446735395188976</v>
      </c>
      <c r="N20" s="65">
        <f t="shared" si="3"/>
        <v>0.22566625666256646</v>
      </c>
    </row>
    <row r="21" spans="1:14" x14ac:dyDescent="0.25">
      <c r="A21">
        <v>2008</v>
      </c>
      <c r="B21" s="66">
        <v>39630</v>
      </c>
      <c r="C21" t="s">
        <v>82</v>
      </c>
      <c r="D21">
        <v>45</v>
      </c>
      <c r="E21" s="16">
        <v>76.133333333333326</v>
      </c>
      <c r="F21" s="16">
        <v>5.7333333333333485</v>
      </c>
      <c r="G21" s="16">
        <v>18.133333333333333</v>
      </c>
      <c r="H21" t="s">
        <v>0</v>
      </c>
      <c r="I21" s="65">
        <v>5.3311793214862409E-2</v>
      </c>
      <c r="J21" s="65">
        <v>7.816200852676447E-2</v>
      </c>
      <c r="K21" s="65">
        <v>0.12815715622076682</v>
      </c>
      <c r="L21" s="65">
        <f t="shared" si="1"/>
        <v>8.5298869143779862E-2</v>
      </c>
      <c r="M21" s="65">
        <f t="shared" si="2"/>
        <v>0.12505921364282316</v>
      </c>
      <c r="N21" s="65">
        <f t="shared" si="3"/>
        <v>0.20505144995322691</v>
      </c>
    </row>
    <row r="22" spans="1:14" x14ac:dyDescent="0.25">
      <c r="A22">
        <v>2008</v>
      </c>
      <c r="B22" s="66">
        <v>39630</v>
      </c>
      <c r="C22" t="s">
        <v>82</v>
      </c>
      <c r="D22">
        <v>75</v>
      </c>
      <c r="E22" s="16">
        <v>69.466666666666654</v>
      </c>
      <c r="F22" s="16">
        <v>10.733333333333348</v>
      </c>
      <c r="G22" s="16">
        <v>19.8</v>
      </c>
      <c r="H22" t="s">
        <v>1</v>
      </c>
      <c r="I22" s="65">
        <v>6.4037319762510828E-2</v>
      </c>
      <c r="J22" s="65">
        <v>0.10061855670103054</v>
      </c>
      <c r="K22" s="65">
        <v>0.15566037735849042</v>
      </c>
      <c r="L22" s="65">
        <f t="shared" si="1"/>
        <v>0.10245971162001732</v>
      </c>
      <c r="M22" s="65">
        <f t="shared" si="2"/>
        <v>0.16098969072164887</v>
      </c>
      <c r="N22" s="65">
        <f t="shared" si="3"/>
        <v>0.24905660377358468</v>
      </c>
    </row>
    <row r="23" spans="1:14" x14ac:dyDescent="0.25">
      <c r="A23">
        <v>2008</v>
      </c>
      <c r="B23" s="66">
        <v>39630</v>
      </c>
      <c r="C23" t="s">
        <v>82</v>
      </c>
      <c r="D23">
        <v>105</v>
      </c>
      <c r="E23" s="16">
        <v>70.533333333333331</v>
      </c>
      <c r="F23" s="16">
        <v>8</v>
      </c>
      <c r="G23" s="16">
        <v>21.466666666666669</v>
      </c>
      <c r="H23" t="s">
        <v>1</v>
      </c>
      <c r="I23" s="65">
        <v>6.0076693651469816E-2</v>
      </c>
      <c r="J23" s="65">
        <v>9.1386979377274788E-2</v>
      </c>
      <c r="K23" s="65">
        <v>0.1541850220264317</v>
      </c>
      <c r="L23" s="65">
        <f t="shared" si="1"/>
        <v>9.6122709842351717E-2</v>
      </c>
      <c r="M23" s="65">
        <f t="shared" si="2"/>
        <v>0.14621916700363966</v>
      </c>
      <c r="N23" s="65">
        <f t="shared" si="3"/>
        <v>0.24669603524229072</v>
      </c>
    </row>
    <row r="24" spans="1:14" x14ac:dyDescent="0.25">
      <c r="A24">
        <v>2008</v>
      </c>
      <c r="B24" s="66">
        <v>39630</v>
      </c>
      <c r="C24" t="s">
        <v>82</v>
      </c>
      <c r="D24">
        <v>135</v>
      </c>
      <c r="E24" s="16">
        <v>76.133333333333326</v>
      </c>
      <c r="F24" s="16">
        <v>6.3333333333333286</v>
      </c>
      <c r="G24" s="16">
        <v>17.533333333333342</v>
      </c>
      <c r="H24" t="s">
        <v>0</v>
      </c>
      <c r="I24" s="65">
        <v>5.2093023255814164E-2</v>
      </c>
      <c r="J24" s="65">
        <v>7.8848560700876119E-2</v>
      </c>
      <c r="K24" s="65">
        <v>0.1712408194820258</v>
      </c>
      <c r="L24" s="65">
        <f t="shared" si="1"/>
        <v>8.3348837209302667E-2</v>
      </c>
      <c r="M24" s="65">
        <f t="shared" si="2"/>
        <v>0.12615769712140179</v>
      </c>
      <c r="N24" s="65">
        <f t="shared" si="3"/>
        <v>0.27398531117124131</v>
      </c>
    </row>
    <row r="25" spans="1:14" x14ac:dyDescent="0.25">
      <c r="A25">
        <v>2008</v>
      </c>
      <c r="B25" s="66">
        <v>39630</v>
      </c>
      <c r="C25" t="s">
        <v>82</v>
      </c>
      <c r="D25">
        <v>165</v>
      </c>
      <c r="E25" s="16">
        <v>76.733333333333334</v>
      </c>
      <c r="F25" s="16">
        <v>5.7333333333333201</v>
      </c>
      <c r="G25" s="16">
        <v>17.533333333333342</v>
      </c>
      <c r="H25" t="s">
        <v>0</v>
      </c>
      <c r="I25" s="65">
        <v>6.3258232235702261E-2</v>
      </c>
      <c r="J25" s="65">
        <v>0.1094570928196147</v>
      </c>
      <c r="K25" s="65">
        <v>0.17871576111360596</v>
      </c>
      <c r="L25" s="65">
        <f t="shared" si="1"/>
        <v>0.10121317157712362</v>
      </c>
      <c r="M25" s="65">
        <f t="shared" si="2"/>
        <v>0.17513134851138354</v>
      </c>
      <c r="N25" s="65">
        <f t="shared" si="3"/>
        <v>0.28594521778176957</v>
      </c>
    </row>
    <row r="26" spans="1:14" x14ac:dyDescent="0.25">
      <c r="A26">
        <v>2008</v>
      </c>
      <c r="B26" s="66">
        <v>39630</v>
      </c>
      <c r="C26" t="s">
        <v>83</v>
      </c>
      <c r="D26">
        <v>15</v>
      </c>
      <c r="E26" s="16">
        <v>74.600000000000009</v>
      </c>
      <c r="F26" s="16">
        <v>8.9333333333333229</v>
      </c>
      <c r="G26" s="16">
        <v>16.466666666666669</v>
      </c>
      <c r="H26" t="s">
        <v>0</v>
      </c>
      <c r="I26" s="65">
        <v>8.4859813084112001E-2</v>
      </c>
      <c r="J26" s="65">
        <v>8.9085072231139886E-2</v>
      </c>
      <c r="K26" s="65">
        <v>0.14086814086814073</v>
      </c>
      <c r="L26" s="65">
        <f t="shared" si="1"/>
        <v>0.13577570093457922</v>
      </c>
      <c r="M26" s="65">
        <f t="shared" si="2"/>
        <v>0.14253611556982382</v>
      </c>
      <c r="N26" s="65">
        <f t="shared" si="3"/>
        <v>0.22538902538902517</v>
      </c>
    </row>
    <row r="27" spans="1:14" x14ac:dyDescent="0.25">
      <c r="A27">
        <v>2008</v>
      </c>
      <c r="B27" s="66">
        <v>39630</v>
      </c>
      <c r="C27" t="s">
        <v>83</v>
      </c>
      <c r="D27">
        <v>45</v>
      </c>
      <c r="E27" s="16">
        <v>67.333333333333329</v>
      </c>
      <c r="F27" s="16">
        <v>8.9333333333333371</v>
      </c>
      <c r="G27" s="16">
        <v>23.733333333333331</v>
      </c>
      <c r="H27" t="s">
        <v>1</v>
      </c>
      <c r="I27" s="65">
        <v>0.12546125461254609</v>
      </c>
      <c r="J27" s="65">
        <v>0.1285878300803675</v>
      </c>
      <c r="K27" s="65">
        <v>0.19055649241146716</v>
      </c>
      <c r="L27" s="65">
        <f t="shared" si="1"/>
        <v>0.20073800738007375</v>
      </c>
      <c r="M27" s="65">
        <f t="shared" si="2"/>
        <v>0.20574052812858801</v>
      </c>
      <c r="N27" s="65">
        <f t="shared" si="3"/>
        <v>0.30489038785834749</v>
      </c>
    </row>
    <row r="28" spans="1:14" x14ac:dyDescent="0.25">
      <c r="A28">
        <v>2008</v>
      </c>
      <c r="B28" s="66">
        <v>39630</v>
      </c>
      <c r="C28" t="s">
        <v>83</v>
      </c>
      <c r="D28">
        <v>75</v>
      </c>
      <c r="E28" s="16">
        <v>53.999999999999993</v>
      </c>
      <c r="F28" s="16">
        <v>17.866666666666674</v>
      </c>
      <c r="G28" s="16">
        <v>28.133333333333336</v>
      </c>
      <c r="H28" t="s">
        <v>1</v>
      </c>
      <c r="I28" s="65">
        <v>0.12403452975920055</v>
      </c>
      <c r="J28" s="65">
        <v>0.11548331907613359</v>
      </c>
      <c r="K28" s="65">
        <v>0.19949811794228342</v>
      </c>
      <c r="L28" s="65">
        <f t="shared" si="1"/>
        <v>0.19845524761472089</v>
      </c>
      <c r="M28" s="65">
        <f t="shared" si="2"/>
        <v>0.18477331052181376</v>
      </c>
      <c r="N28" s="65">
        <f t="shared" si="3"/>
        <v>0.31919698870765351</v>
      </c>
    </row>
    <row r="29" spans="1:14" x14ac:dyDescent="0.25">
      <c r="A29">
        <v>2008</v>
      </c>
      <c r="B29" s="66">
        <v>39630</v>
      </c>
      <c r="C29" t="s">
        <v>83</v>
      </c>
      <c r="D29">
        <v>105</v>
      </c>
      <c r="E29" s="16">
        <v>60.666666666666671</v>
      </c>
      <c r="F29" s="16">
        <v>14.533333333333331</v>
      </c>
      <c r="G29" s="16">
        <v>24.800000000000004</v>
      </c>
      <c r="H29" t="s">
        <v>1</v>
      </c>
      <c r="I29" s="65">
        <v>0.11441765007696274</v>
      </c>
      <c r="J29" s="65">
        <v>0.11638853230637562</v>
      </c>
      <c r="K29" s="65">
        <v>0.18396226415094369</v>
      </c>
      <c r="L29" s="65">
        <f t="shared" si="1"/>
        <v>0.18306824012314038</v>
      </c>
      <c r="M29" s="65">
        <f t="shared" si="2"/>
        <v>0.186221651690201</v>
      </c>
      <c r="N29" s="65">
        <f t="shared" si="3"/>
        <v>0.29433962264150992</v>
      </c>
    </row>
    <row r="30" spans="1:14" x14ac:dyDescent="0.25">
      <c r="A30">
        <v>2008</v>
      </c>
      <c r="B30" s="66">
        <v>39630</v>
      </c>
      <c r="C30" t="s">
        <v>83</v>
      </c>
      <c r="D30">
        <v>135</v>
      </c>
      <c r="E30" s="16">
        <v>76.733333333333334</v>
      </c>
      <c r="F30" s="16">
        <v>6.7999999999999972</v>
      </c>
      <c r="G30" s="16">
        <v>16.466666666666669</v>
      </c>
      <c r="H30" t="s">
        <v>0</v>
      </c>
      <c r="I30" s="65">
        <v>8.0848005749191529E-2</v>
      </c>
      <c r="J30" s="65">
        <v>9.5967139656460337E-2</v>
      </c>
      <c r="K30" s="65">
        <v>0.15481901439162657</v>
      </c>
      <c r="L30" s="65">
        <f t="shared" si="1"/>
        <v>0.12935680919870646</v>
      </c>
      <c r="M30" s="65">
        <f t="shared" si="2"/>
        <v>0.15354742345033656</v>
      </c>
      <c r="N30" s="65">
        <f t="shared" si="3"/>
        <v>0.24771042302660251</v>
      </c>
    </row>
    <row r="31" spans="1:14" x14ac:dyDescent="0.25">
      <c r="A31">
        <v>2008</v>
      </c>
      <c r="B31" s="66">
        <v>39630</v>
      </c>
      <c r="C31" t="s">
        <v>83</v>
      </c>
      <c r="D31">
        <v>165</v>
      </c>
      <c r="E31" s="16">
        <v>79.466666666666654</v>
      </c>
      <c r="F31" s="16">
        <v>5.1333333333333542</v>
      </c>
      <c r="G31" s="16">
        <v>15.399999999999997</v>
      </c>
      <c r="H31" t="s">
        <v>0</v>
      </c>
      <c r="I31" s="65">
        <v>0.10434782608695653</v>
      </c>
      <c r="J31" s="65">
        <v>0.1044025157232702</v>
      </c>
      <c r="K31" s="65">
        <v>0.18939096267190575</v>
      </c>
      <c r="L31" s="65">
        <f t="shared" si="1"/>
        <v>0.16695652173913045</v>
      </c>
      <c r="M31" s="65">
        <f t="shared" si="2"/>
        <v>0.16704402515723232</v>
      </c>
      <c r="N31" s="65">
        <f t="shared" si="3"/>
        <v>0.30302554027504924</v>
      </c>
    </row>
    <row r="32" spans="1:14" x14ac:dyDescent="0.25">
      <c r="A32">
        <v>2008</v>
      </c>
      <c r="B32" s="66">
        <v>39630</v>
      </c>
      <c r="C32" t="s">
        <v>84</v>
      </c>
      <c r="D32">
        <v>15</v>
      </c>
      <c r="E32" s="16">
        <v>70.666666666666671</v>
      </c>
      <c r="F32" s="16">
        <v>10.026666666666657</v>
      </c>
      <c r="G32" s="16">
        <v>19.306666666666672</v>
      </c>
      <c r="H32" t="s">
        <v>0</v>
      </c>
      <c r="I32" s="65">
        <v>5.3312219583003709E-2</v>
      </c>
      <c r="J32" s="65">
        <v>8.3007047768206915E-2</v>
      </c>
      <c r="K32" s="65">
        <v>0.15126050420168077</v>
      </c>
      <c r="L32" s="65">
        <f t="shared" si="1"/>
        <v>8.5299551332805937E-2</v>
      </c>
      <c r="M32" s="65">
        <f t="shared" si="2"/>
        <v>0.13281127642913107</v>
      </c>
      <c r="N32" s="65">
        <f t="shared" si="3"/>
        <v>0.24201680672268924</v>
      </c>
    </row>
    <row r="33" spans="1:14" x14ac:dyDescent="0.25">
      <c r="A33">
        <v>2008</v>
      </c>
      <c r="B33" s="66">
        <v>39630</v>
      </c>
      <c r="C33" t="s">
        <v>84</v>
      </c>
      <c r="D33">
        <v>45</v>
      </c>
      <c r="E33" s="16">
        <v>66.26666666666668</v>
      </c>
      <c r="F33" s="16">
        <v>13.466666666666654</v>
      </c>
      <c r="G33" s="16">
        <v>20.266666666666669</v>
      </c>
      <c r="H33" t="s">
        <v>1</v>
      </c>
      <c r="I33" s="65">
        <v>0.10781178620374597</v>
      </c>
      <c r="J33" s="65">
        <v>0.1092394078611537</v>
      </c>
      <c r="K33" s="65">
        <v>0.18719689621726479</v>
      </c>
      <c r="L33" s="65">
        <f t="shared" si="1"/>
        <v>0.17249885792599357</v>
      </c>
      <c r="M33" s="65">
        <f t="shared" si="2"/>
        <v>0.17478305257784593</v>
      </c>
      <c r="N33" s="65">
        <f t="shared" si="3"/>
        <v>0.29951503394762369</v>
      </c>
    </row>
    <row r="34" spans="1:14" x14ac:dyDescent="0.25">
      <c r="A34">
        <v>2008</v>
      </c>
      <c r="B34" s="66">
        <v>39630</v>
      </c>
      <c r="C34" t="s">
        <v>84</v>
      </c>
      <c r="D34">
        <v>75</v>
      </c>
      <c r="E34" s="16">
        <v>53.999999999999993</v>
      </c>
      <c r="F34" s="16">
        <v>15.733333333333334</v>
      </c>
      <c r="G34" s="16">
        <v>30.266666666666676</v>
      </c>
      <c r="H34" t="s">
        <v>1</v>
      </c>
      <c r="I34" s="65">
        <v>0.13541666666666644</v>
      </c>
      <c r="J34" s="65">
        <v>0.13402061855670125</v>
      </c>
      <c r="K34" s="65">
        <v>0.22413793103448265</v>
      </c>
      <c r="L34" s="65">
        <f t="shared" si="1"/>
        <v>0.21666666666666631</v>
      </c>
      <c r="M34" s="65">
        <f t="shared" si="2"/>
        <v>0.214432989690722</v>
      </c>
      <c r="N34" s="65">
        <f t="shared" si="3"/>
        <v>0.35862068965517224</v>
      </c>
    </row>
    <row r="35" spans="1:14" x14ac:dyDescent="0.25">
      <c r="A35">
        <v>2008</v>
      </c>
      <c r="B35" s="66">
        <v>39630</v>
      </c>
      <c r="C35" t="s">
        <v>84</v>
      </c>
      <c r="D35">
        <v>105</v>
      </c>
      <c r="E35" s="16">
        <v>56.733333333333334</v>
      </c>
      <c r="F35" s="16">
        <v>19.666666666666657</v>
      </c>
      <c r="G35" s="16">
        <v>23.600000000000005</v>
      </c>
      <c r="H35" t="s">
        <v>1</v>
      </c>
      <c r="I35" s="65">
        <v>0.10309278350515491</v>
      </c>
      <c r="J35" s="65">
        <v>0.10450534138411521</v>
      </c>
      <c r="K35" s="65">
        <v>0.19091710758377417</v>
      </c>
      <c r="L35" s="65">
        <f t="shared" si="1"/>
        <v>0.16494845360824786</v>
      </c>
      <c r="M35" s="65">
        <f t="shared" si="2"/>
        <v>0.16720854621458436</v>
      </c>
      <c r="N35" s="65">
        <f t="shared" si="3"/>
        <v>0.30546737213403868</v>
      </c>
    </row>
    <row r="36" spans="1:14" x14ac:dyDescent="0.25">
      <c r="A36">
        <v>2008</v>
      </c>
      <c r="B36" s="66">
        <v>39630</v>
      </c>
      <c r="C36" t="s">
        <v>84</v>
      </c>
      <c r="D36">
        <v>135</v>
      </c>
      <c r="E36" s="16">
        <v>67.933333333333351</v>
      </c>
      <c r="F36" s="16">
        <v>17.266666666666652</v>
      </c>
      <c r="G36" s="16">
        <v>14.800000000000002</v>
      </c>
      <c r="H36" t="s">
        <v>0</v>
      </c>
      <c r="I36" s="65">
        <v>8.5999312005503953E-2</v>
      </c>
      <c r="J36" s="65">
        <v>9.1326296466268664E-2</v>
      </c>
      <c r="K36" s="65">
        <v>0.16508254127063515</v>
      </c>
      <c r="L36" s="65">
        <f t="shared" si="1"/>
        <v>0.13759889920880633</v>
      </c>
      <c r="M36" s="65">
        <f t="shared" si="2"/>
        <v>0.14612207434602986</v>
      </c>
      <c r="N36" s="65">
        <f t="shared" si="3"/>
        <v>0.26413206603301626</v>
      </c>
    </row>
    <row r="37" spans="1:14" x14ac:dyDescent="0.25">
      <c r="A37">
        <v>2008</v>
      </c>
      <c r="B37" s="66">
        <v>39630</v>
      </c>
      <c r="C37" t="s">
        <v>84</v>
      </c>
      <c r="D37">
        <v>165</v>
      </c>
      <c r="E37" s="16">
        <v>77.933333333333337</v>
      </c>
      <c r="F37" s="16">
        <v>3.9333333333333371</v>
      </c>
      <c r="G37" s="16">
        <v>18.133333333333333</v>
      </c>
      <c r="H37" t="s">
        <v>0</v>
      </c>
      <c r="I37" s="65">
        <v>9.1866376180101739E-2</v>
      </c>
      <c r="J37" s="65">
        <v>9.9179206566347169E-2</v>
      </c>
      <c r="K37" s="65">
        <v>0.18678054214630527</v>
      </c>
      <c r="L37" s="65">
        <f t="shared" si="1"/>
        <v>0.14698620188816278</v>
      </c>
      <c r="M37" s="65">
        <f t="shared" si="2"/>
        <v>0.15868673050615548</v>
      </c>
      <c r="N37" s="65">
        <f t="shared" si="3"/>
        <v>0.29884886743408845</v>
      </c>
    </row>
    <row r="38" spans="1:14" x14ac:dyDescent="0.25">
      <c r="A38">
        <v>2008</v>
      </c>
      <c r="B38" s="66">
        <v>39630</v>
      </c>
      <c r="C38" t="s">
        <v>85</v>
      </c>
      <c r="D38">
        <v>15</v>
      </c>
      <c r="E38" s="16">
        <v>75.933333333333337</v>
      </c>
      <c r="F38" s="16">
        <v>6.6666666666666714</v>
      </c>
      <c r="G38" s="16">
        <v>17.399999999999995</v>
      </c>
      <c r="H38" t="s">
        <v>0</v>
      </c>
      <c r="I38" s="65">
        <v>7.6612903225806397E-2</v>
      </c>
      <c r="J38" s="65">
        <v>9.057971014492755E-2</v>
      </c>
      <c r="K38" s="65">
        <v>0.13338755591703952</v>
      </c>
      <c r="L38" s="65">
        <f t="shared" si="1"/>
        <v>0.12258064516129025</v>
      </c>
      <c r="M38" s="65">
        <f t="shared" si="2"/>
        <v>0.14492753623188409</v>
      </c>
      <c r="N38" s="65">
        <f t="shared" si="3"/>
        <v>0.21342008946726324</v>
      </c>
    </row>
    <row r="39" spans="1:14" x14ac:dyDescent="0.25">
      <c r="A39">
        <v>2008</v>
      </c>
      <c r="B39" s="66">
        <v>39630</v>
      </c>
      <c r="C39" t="s">
        <v>85</v>
      </c>
      <c r="D39">
        <v>45</v>
      </c>
      <c r="E39" s="16">
        <v>78.666666666666671</v>
      </c>
      <c r="F39" s="16">
        <v>5.5999999999999943</v>
      </c>
      <c r="G39" s="16">
        <v>15.733333333333329</v>
      </c>
      <c r="H39" t="s">
        <v>0</v>
      </c>
      <c r="I39" s="65">
        <v>7.6846802181457827E-2</v>
      </c>
      <c r="J39" s="65">
        <v>8.9552238805970005E-2</v>
      </c>
      <c r="K39" s="65">
        <v>0.12982929020664868</v>
      </c>
      <c r="L39" s="65">
        <f t="shared" si="1"/>
        <v>0.12295488349033253</v>
      </c>
      <c r="M39" s="65">
        <f t="shared" si="2"/>
        <v>0.14328358208955203</v>
      </c>
      <c r="N39" s="65">
        <f t="shared" si="3"/>
        <v>0.20772686433063792</v>
      </c>
    </row>
    <row r="40" spans="1:14" x14ac:dyDescent="0.25">
      <c r="A40">
        <v>2008</v>
      </c>
      <c r="B40" s="66">
        <v>39630</v>
      </c>
      <c r="C40" t="s">
        <v>85</v>
      </c>
      <c r="D40">
        <v>75</v>
      </c>
      <c r="E40" s="16">
        <v>77.600000000000009</v>
      </c>
      <c r="F40" s="16">
        <v>6.6666666666666572</v>
      </c>
      <c r="G40" s="16">
        <v>15.733333333333329</v>
      </c>
      <c r="H40" t="s">
        <v>0</v>
      </c>
      <c r="I40" s="65">
        <v>8.1793157687770304E-2</v>
      </c>
      <c r="J40" s="65">
        <v>9.4401307723743458E-2</v>
      </c>
      <c r="K40" s="65">
        <v>0.16471571906354504</v>
      </c>
      <c r="L40" s="65">
        <f t="shared" si="1"/>
        <v>0.1308690523004325</v>
      </c>
      <c r="M40" s="65">
        <f t="shared" si="2"/>
        <v>0.15104209235798954</v>
      </c>
      <c r="N40" s="65">
        <f t="shared" si="3"/>
        <v>0.2635451505016721</v>
      </c>
    </row>
    <row r="41" spans="1:14" x14ac:dyDescent="0.25">
      <c r="A41">
        <v>2008</v>
      </c>
      <c r="B41" s="66">
        <v>39630</v>
      </c>
      <c r="C41" t="s">
        <v>85</v>
      </c>
      <c r="D41">
        <v>105</v>
      </c>
      <c r="E41" s="16">
        <v>75.2</v>
      </c>
      <c r="F41" s="16">
        <v>9.0666666666666629</v>
      </c>
      <c r="G41" s="16">
        <v>15.733333333333329</v>
      </c>
      <c r="H41" t="s">
        <v>0</v>
      </c>
      <c r="I41" s="65">
        <v>8.9017900338655212E-2</v>
      </c>
      <c r="J41" s="65">
        <v>9.2750101255569317E-2</v>
      </c>
      <c r="K41" s="65">
        <v>0.15661206552137441</v>
      </c>
      <c r="L41" s="65">
        <f t="shared" si="1"/>
        <v>0.14242864054184834</v>
      </c>
      <c r="M41" s="65">
        <f t="shared" si="2"/>
        <v>0.1484001620089109</v>
      </c>
      <c r="N41" s="65">
        <f t="shared" si="3"/>
        <v>0.25057930483419905</v>
      </c>
    </row>
    <row r="42" spans="1:14" x14ac:dyDescent="0.25">
      <c r="A42">
        <v>2008</v>
      </c>
      <c r="B42" s="66">
        <v>39630</v>
      </c>
      <c r="C42" t="s">
        <v>85</v>
      </c>
      <c r="D42">
        <v>135</v>
      </c>
      <c r="E42" s="16">
        <v>70.666666666666671</v>
      </c>
      <c r="F42" s="16">
        <v>9.0666666666666629</v>
      </c>
      <c r="G42" s="16">
        <v>20.266666666666669</v>
      </c>
      <c r="H42" t="s">
        <v>1</v>
      </c>
      <c r="I42" s="65">
        <v>0.11522633744855949</v>
      </c>
      <c r="J42" s="65">
        <v>0.11499999999999984</v>
      </c>
      <c r="K42" s="65">
        <v>0.1797457255589654</v>
      </c>
      <c r="L42" s="65">
        <f t="shared" si="1"/>
        <v>0.18436213991769521</v>
      </c>
      <c r="M42" s="65">
        <f t="shared" si="2"/>
        <v>0.18399999999999975</v>
      </c>
      <c r="N42" s="65">
        <f t="shared" si="3"/>
        <v>0.28759316089434467</v>
      </c>
    </row>
    <row r="43" spans="1:14" x14ac:dyDescent="0.25">
      <c r="A43">
        <v>2008</v>
      </c>
      <c r="B43" s="66">
        <v>39630</v>
      </c>
      <c r="C43" t="s">
        <v>85</v>
      </c>
      <c r="D43">
        <v>165</v>
      </c>
      <c r="E43" s="16">
        <v>73.400000000000006</v>
      </c>
      <c r="F43" s="16">
        <v>8</v>
      </c>
      <c r="G43" s="16">
        <v>18.600000000000001</v>
      </c>
      <c r="H43" t="s">
        <v>0</v>
      </c>
      <c r="I43" s="65">
        <v>0.13145539906103307</v>
      </c>
      <c r="J43" s="65">
        <v>0.12376237623762375</v>
      </c>
      <c r="K43" s="65">
        <v>0.21818181818181828</v>
      </c>
      <c r="L43" s="65">
        <f t="shared" si="1"/>
        <v>0.21032863849765293</v>
      </c>
      <c r="M43" s="65">
        <f t="shared" si="2"/>
        <v>0.198019801980198</v>
      </c>
      <c r="N43" s="65">
        <f t="shared" si="3"/>
        <v>0.34909090909090928</v>
      </c>
    </row>
    <row r="44" spans="1:14" x14ac:dyDescent="0.25">
      <c r="A44">
        <v>2008</v>
      </c>
      <c r="B44" s="66">
        <v>39630</v>
      </c>
      <c r="C44" t="s">
        <v>86</v>
      </c>
      <c r="D44">
        <v>15</v>
      </c>
      <c r="E44" s="16">
        <v>67.333333333333329</v>
      </c>
      <c r="F44" s="16">
        <v>15.733333333333334</v>
      </c>
      <c r="G44" s="16">
        <v>16.933333333333337</v>
      </c>
      <c r="H44" t="s">
        <v>0</v>
      </c>
      <c r="I44" s="65">
        <v>8.2610912799591915E-2</v>
      </c>
      <c r="J44" s="65">
        <v>0.11720581340834506</v>
      </c>
      <c r="K44" s="65">
        <v>0.14321110009910806</v>
      </c>
      <c r="L44" s="65">
        <f t="shared" si="1"/>
        <v>0.13217746047934706</v>
      </c>
      <c r="M44" s="65">
        <f t="shared" si="2"/>
        <v>0.18752930145335212</v>
      </c>
      <c r="N44" s="65">
        <f t="shared" si="3"/>
        <v>0.2291377601585729</v>
      </c>
    </row>
    <row r="45" spans="1:14" x14ac:dyDescent="0.25">
      <c r="A45">
        <v>2008</v>
      </c>
      <c r="B45" s="66">
        <v>39630</v>
      </c>
      <c r="C45" t="s">
        <v>86</v>
      </c>
      <c r="D45">
        <v>45</v>
      </c>
      <c r="E45" s="16">
        <v>67.333333333333329</v>
      </c>
      <c r="F45" s="16">
        <v>10.733333333333334</v>
      </c>
      <c r="G45" s="16">
        <v>21.933333333333334</v>
      </c>
      <c r="H45" t="s">
        <v>1</v>
      </c>
      <c r="I45" s="65">
        <v>0.12396313364055288</v>
      </c>
      <c r="J45" s="65">
        <v>0.11249497790277208</v>
      </c>
      <c r="K45" s="65">
        <v>0.18177757927646271</v>
      </c>
      <c r="L45" s="65">
        <f t="shared" si="1"/>
        <v>0.19834101382488462</v>
      </c>
      <c r="M45" s="65">
        <f t="shared" si="2"/>
        <v>0.17999196464443534</v>
      </c>
      <c r="N45" s="65">
        <f t="shared" si="3"/>
        <v>0.29084412684234034</v>
      </c>
    </row>
    <row r="46" spans="1:14" x14ac:dyDescent="0.25">
      <c r="A46">
        <v>2008</v>
      </c>
      <c r="B46" s="66">
        <v>39630</v>
      </c>
      <c r="C46" t="s">
        <v>86</v>
      </c>
      <c r="D46">
        <v>75</v>
      </c>
      <c r="E46" s="16">
        <v>57.333333333333336</v>
      </c>
      <c r="F46" s="16">
        <v>12.399999999999991</v>
      </c>
      <c r="G46" s="16">
        <v>30.266666666666676</v>
      </c>
      <c r="H46" t="s">
        <v>1</v>
      </c>
      <c r="I46" s="65">
        <v>0.12105263157894722</v>
      </c>
      <c r="J46" s="65">
        <v>8.4000000000000061E-2</v>
      </c>
      <c r="K46" s="65">
        <v>0.20511811023622079</v>
      </c>
      <c r="L46" s="65">
        <f t="shared" si="1"/>
        <v>0.19368421052631557</v>
      </c>
      <c r="M46" s="65">
        <f t="shared" si="2"/>
        <v>0.1344000000000001</v>
      </c>
      <c r="N46" s="65">
        <f t="shared" si="3"/>
        <v>0.3281889763779533</v>
      </c>
    </row>
    <row r="47" spans="1:14" x14ac:dyDescent="0.25">
      <c r="A47">
        <v>2008</v>
      </c>
      <c r="B47" s="66">
        <v>39630</v>
      </c>
      <c r="C47" t="s">
        <v>86</v>
      </c>
      <c r="D47">
        <v>105</v>
      </c>
      <c r="E47" s="16">
        <v>70.666666666666671</v>
      </c>
      <c r="F47" s="16">
        <v>9.0666666666666629</v>
      </c>
      <c r="G47" s="16">
        <v>20.266666666666669</v>
      </c>
      <c r="H47" t="s">
        <v>1</v>
      </c>
      <c r="I47" s="65">
        <v>0.11602671118530893</v>
      </c>
      <c r="J47" s="65">
        <v>0.14169675090252712</v>
      </c>
      <c r="K47" s="65">
        <v>0.1644970414201184</v>
      </c>
      <c r="L47" s="65">
        <f t="shared" si="1"/>
        <v>0.1856427378964943</v>
      </c>
      <c r="M47" s="65">
        <f t="shared" si="2"/>
        <v>0.22671480144404341</v>
      </c>
      <c r="N47" s="65">
        <f t="shared" si="3"/>
        <v>0.26319526627218942</v>
      </c>
    </row>
    <row r="48" spans="1:14" x14ac:dyDescent="0.25">
      <c r="A48">
        <v>2008</v>
      </c>
      <c r="B48" s="66">
        <v>39630</v>
      </c>
      <c r="C48" t="s">
        <v>86</v>
      </c>
      <c r="D48">
        <v>135</v>
      </c>
      <c r="E48" s="16">
        <v>77.600000000000009</v>
      </c>
      <c r="F48" s="16">
        <v>3.3333333333333286</v>
      </c>
      <c r="G48" s="16">
        <v>19.066666666666663</v>
      </c>
      <c r="H48" t="s">
        <v>1</v>
      </c>
      <c r="I48" s="65">
        <v>0.11572472126105307</v>
      </c>
      <c r="J48" s="65">
        <v>0.1154801324503311</v>
      </c>
      <c r="K48" s="65">
        <v>0.17366841710427589</v>
      </c>
      <c r="L48" s="65">
        <f t="shared" si="1"/>
        <v>0.18515955401768491</v>
      </c>
      <c r="M48" s="65">
        <f t="shared" si="2"/>
        <v>0.18476821192052978</v>
      </c>
      <c r="N48" s="65">
        <f t="shared" si="3"/>
        <v>0.27786946736684143</v>
      </c>
    </row>
    <row r="49" spans="1:14" x14ac:dyDescent="0.25">
      <c r="A49">
        <v>2008</v>
      </c>
      <c r="B49" s="66">
        <v>39630</v>
      </c>
      <c r="C49" t="s">
        <v>86</v>
      </c>
      <c r="D49">
        <v>165</v>
      </c>
      <c r="E49" s="16">
        <v>80.933333333333337</v>
      </c>
      <c r="F49" s="16">
        <v>3.3333333333333286</v>
      </c>
      <c r="G49" s="16">
        <v>15.733333333333329</v>
      </c>
      <c r="H49" t="s">
        <v>0</v>
      </c>
      <c r="I49" s="65">
        <v>8.4606783451360273E-2</v>
      </c>
      <c r="J49" s="65">
        <v>8.4210526315789153E-2</v>
      </c>
      <c r="K49" s="65">
        <v>0.13485040033712581</v>
      </c>
      <c r="L49" s="65">
        <f t="shared" si="1"/>
        <v>0.13537085352217645</v>
      </c>
      <c r="M49" s="65">
        <f t="shared" si="2"/>
        <v>0.13473684210526266</v>
      </c>
      <c r="N49" s="65">
        <f t="shared" si="3"/>
        <v>0.2157606405394013</v>
      </c>
    </row>
    <row r="50" spans="1:14" x14ac:dyDescent="0.25">
      <c r="A50">
        <v>2008</v>
      </c>
      <c r="B50" s="66">
        <v>39630</v>
      </c>
      <c r="C50" t="s">
        <v>87</v>
      </c>
      <c r="D50">
        <v>15</v>
      </c>
      <c r="E50" s="16">
        <v>71.26666666666668</v>
      </c>
      <c r="F50" s="16">
        <v>11.799999999999983</v>
      </c>
      <c r="G50" s="16">
        <v>16.933333333333337</v>
      </c>
      <c r="H50" t="s">
        <v>0</v>
      </c>
      <c r="I50" s="65">
        <v>7.3170731707317041E-2</v>
      </c>
      <c r="J50" s="65">
        <v>9.2715231788079361E-2</v>
      </c>
      <c r="K50" s="65">
        <v>9.2715231788079361E-2</v>
      </c>
      <c r="L50" s="65">
        <f t="shared" si="1"/>
        <v>0.11707317073170727</v>
      </c>
      <c r="M50" s="65">
        <f t="shared" si="2"/>
        <v>0.14834437086092697</v>
      </c>
      <c r="N50" s="65">
        <f t="shared" si="3"/>
        <v>0.14834437086092697</v>
      </c>
    </row>
    <row r="51" spans="1:14" x14ac:dyDescent="0.25">
      <c r="A51">
        <v>2008</v>
      </c>
      <c r="B51" s="66">
        <v>39630</v>
      </c>
      <c r="C51" t="s">
        <v>87</v>
      </c>
      <c r="D51">
        <v>45</v>
      </c>
      <c r="E51" s="16">
        <v>60.666666666666671</v>
      </c>
      <c r="F51" s="16">
        <v>15.73333333333332</v>
      </c>
      <c r="G51" s="16">
        <v>23.600000000000005</v>
      </c>
      <c r="H51" t="s">
        <v>1</v>
      </c>
      <c r="I51" s="65">
        <v>0.11574074074074073</v>
      </c>
      <c r="J51" s="65">
        <v>0.14678899082568786</v>
      </c>
      <c r="K51" s="65">
        <v>7.5999999999999943E-2</v>
      </c>
      <c r="L51" s="65">
        <f t="shared" si="1"/>
        <v>0.18518518518518517</v>
      </c>
      <c r="M51" s="65">
        <f t="shared" si="2"/>
        <v>0.2348623853211006</v>
      </c>
      <c r="N51" s="65">
        <f t="shared" si="3"/>
        <v>0.12159999999999992</v>
      </c>
    </row>
    <row r="52" spans="1:14" x14ac:dyDescent="0.25">
      <c r="A52">
        <v>2008</v>
      </c>
      <c r="B52" s="66">
        <v>39630</v>
      </c>
      <c r="C52" t="s">
        <v>87</v>
      </c>
      <c r="D52">
        <v>75</v>
      </c>
      <c r="E52" s="16">
        <v>51.86666666666666</v>
      </c>
      <c r="F52" s="16">
        <v>21.800000000000011</v>
      </c>
      <c r="G52" s="16">
        <v>26.333333333333336</v>
      </c>
      <c r="H52" t="s">
        <v>1</v>
      </c>
      <c r="I52" s="65">
        <v>0.11353711790392987</v>
      </c>
      <c r="J52" s="65">
        <v>0.12444444444444464</v>
      </c>
      <c r="K52" s="65">
        <v>0.19718969555035137</v>
      </c>
      <c r="L52" s="65">
        <f t="shared" si="1"/>
        <v>0.18165938864628781</v>
      </c>
      <c r="M52" s="65">
        <f t="shared" si="2"/>
        <v>0.19911111111111143</v>
      </c>
      <c r="N52" s="65">
        <f t="shared" si="3"/>
        <v>0.31550351288056222</v>
      </c>
    </row>
    <row r="53" spans="1:14" x14ac:dyDescent="0.25">
      <c r="A53">
        <v>2008</v>
      </c>
      <c r="B53" s="66">
        <v>39630</v>
      </c>
      <c r="C53" t="s">
        <v>87</v>
      </c>
      <c r="D53">
        <v>105</v>
      </c>
      <c r="E53" s="16">
        <v>64</v>
      </c>
      <c r="F53" s="16">
        <v>12.399999999999991</v>
      </c>
      <c r="G53" s="16">
        <v>23.600000000000005</v>
      </c>
      <c r="H53" t="s">
        <v>1</v>
      </c>
      <c r="I53" s="65">
        <v>8.0168776371307954E-2</v>
      </c>
      <c r="J53" s="65">
        <v>9.0163934426229636E-2</v>
      </c>
      <c r="K53" s="65">
        <v>0.13559322033898294</v>
      </c>
      <c r="L53" s="65">
        <f t="shared" si="1"/>
        <v>0.12827004219409274</v>
      </c>
      <c r="M53" s="65">
        <f t="shared" si="2"/>
        <v>0.14426229508196742</v>
      </c>
      <c r="N53" s="65">
        <f t="shared" si="3"/>
        <v>0.21694915254237271</v>
      </c>
    </row>
    <row r="54" spans="1:14" x14ac:dyDescent="0.25">
      <c r="A54">
        <v>2008</v>
      </c>
      <c r="B54" s="66">
        <v>39630</v>
      </c>
      <c r="C54" t="s">
        <v>87</v>
      </c>
      <c r="D54">
        <v>135</v>
      </c>
      <c r="E54" s="16">
        <v>72.799999999999983</v>
      </c>
      <c r="F54" s="16">
        <v>10.26666666666668</v>
      </c>
      <c r="G54" s="16">
        <v>16.933333333333337</v>
      </c>
      <c r="H54" t="s">
        <v>0</v>
      </c>
      <c r="I54" s="65">
        <v>7.5697211155378419E-2</v>
      </c>
      <c r="J54" s="65">
        <v>9.7142857142856878E-2</v>
      </c>
      <c r="K54" s="65">
        <v>0.1045454545454544</v>
      </c>
      <c r="L54" s="65">
        <f t="shared" si="1"/>
        <v>0.12111553784860547</v>
      </c>
      <c r="M54" s="65">
        <f t="shared" si="2"/>
        <v>0.15542857142857103</v>
      </c>
      <c r="N54" s="65">
        <f t="shared" si="3"/>
        <v>0.16727272727272705</v>
      </c>
    </row>
    <row r="55" spans="1:14" x14ac:dyDescent="0.25">
      <c r="A55">
        <v>2008</v>
      </c>
      <c r="B55" s="66">
        <v>39630</v>
      </c>
      <c r="C55" t="s">
        <v>87</v>
      </c>
      <c r="D55">
        <v>165</v>
      </c>
      <c r="E55" s="16">
        <v>76.133333333333326</v>
      </c>
      <c r="F55" s="16">
        <v>8.6000000000000085</v>
      </c>
      <c r="G55" s="16">
        <v>15.266666666666669</v>
      </c>
      <c r="H55" t="s">
        <v>0</v>
      </c>
      <c r="I55" s="65">
        <v>9.5419847328244267E-2</v>
      </c>
      <c r="J55" s="65">
        <v>0.11152416356877325</v>
      </c>
      <c r="K55" s="65">
        <v>0.15611814345991576</v>
      </c>
      <c r="L55" s="65">
        <f t="shared" si="1"/>
        <v>0.15267175572519084</v>
      </c>
      <c r="M55" s="65">
        <f t="shared" si="2"/>
        <v>0.17843866171003719</v>
      </c>
      <c r="N55" s="65">
        <f t="shared" si="3"/>
        <v>0.24978902953586524</v>
      </c>
    </row>
    <row r="56" spans="1:14" x14ac:dyDescent="0.25">
      <c r="A56">
        <v>2008</v>
      </c>
      <c r="B56" s="66">
        <v>39630</v>
      </c>
      <c r="C56" t="s">
        <v>88</v>
      </c>
      <c r="D56">
        <v>15</v>
      </c>
      <c r="E56" s="16">
        <v>70.666666666666671</v>
      </c>
      <c r="F56" s="16">
        <v>12.399999999999991</v>
      </c>
      <c r="G56" s="16">
        <v>16.933333333333337</v>
      </c>
      <c r="H56" t="s">
        <v>0</v>
      </c>
      <c r="I56" s="65">
        <v>0.12566137566137572</v>
      </c>
      <c r="J56" s="65">
        <v>9.4248429192846928E-2</v>
      </c>
      <c r="K56" s="65">
        <v>0.12322274881516559</v>
      </c>
      <c r="L56" s="65">
        <f t="shared" si="1"/>
        <v>0.20105820105820116</v>
      </c>
      <c r="M56" s="65">
        <f t="shared" si="2"/>
        <v>0.15079748670855508</v>
      </c>
      <c r="N56" s="65">
        <f t="shared" si="3"/>
        <v>0.19715639810426497</v>
      </c>
    </row>
    <row r="57" spans="1:14" x14ac:dyDescent="0.25">
      <c r="A57">
        <v>2008</v>
      </c>
      <c r="B57" s="66">
        <v>39630</v>
      </c>
      <c r="C57" t="s">
        <v>88</v>
      </c>
      <c r="D57">
        <v>45</v>
      </c>
      <c r="E57" s="16">
        <v>76.733333333333334</v>
      </c>
      <c r="F57" s="16">
        <v>9.0666666666666629</v>
      </c>
      <c r="G57" s="16">
        <v>14.200000000000006</v>
      </c>
      <c r="H57" t="s">
        <v>0</v>
      </c>
      <c r="I57" s="65">
        <v>7.506471095772195E-2</v>
      </c>
      <c r="J57" s="65">
        <v>7.2132848988063991E-2</v>
      </c>
      <c r="K57" s="65">
        <v>0.10731707317073184</v>
      </c>
      <c r="L57" s="65">
        <f t="shared" si="1"/>
        <v>0.12010353753235513</v>
      </c>
      <c r="M57" s="65">
        <f t="shared" si="2"/>
        <v>0.11541255838090239</v>
      </c>
      <c r="N57" s="65">
        <f t="shared" si="3"/>
        <v>0.17170731707317097</v>
      </c>
    </row>
    <row r="58" spans="1:14" x14ac:dyDescent="0.25">
      <c r="A58">
        <v>2008</v>
      </c>
      <c r="B58" s="66">
        <v>39630</v>
      </c>
      <c r="C58" t="s">
        <v>88</v>
      </c>
      <c r="D58">
        <v>75</v>
      </c>
      <c r="E58" s="16">
        <v>72.799999999999983</v>
      </c>
      <c r="F58" s="16">
        <v>15.733333333333348</v>
      </c>
      <c r="G58" s="16">
        <v>11.466666666666669</v>
      </c>
      <c r="H58" t="s">
        <v>0</v>
      </c>
      <c r="I58" s="65">
        <v>6.6326530612244985E-2</v>
      </c>
      <c r="J58" s="65">
        <v>0.17005545286506468</v>
      </c>
      <c r="K58" s="65">
        <v>9.2920353982300946E-2</v>
      </c>
      <c r="L58" s="65">
        <f t="shared" si="1"/>
        <v>0.10612244897959199</v>
      </c>
      <c r="M58" s="65">
        <f t="shared" si="2"/>
        <v>0.27208872458410349</v>
      </c>
      <c r="N58" s="65">
        <f t="shared" si="3"/>
        <v>0.14867256637168152</v>
      </c>
    </row>
    <row r="59" spans="1:14" x14ac:dyDescent="0.25">
      <c r="A59">
        <v>2008</v>
      </c>
      <c r="B59" s="66">
        <v>39630</v>
      </c>
      <c r="C59" t="s">
        <v>88</v>
      </c>
      <c r="D59">
        <v>105</v>
      </c>
      <c r="E59" s="16">
        <v>72.799999999999983</v>
      </c>
      <c r="F59" s="16">
        <v>12.40000000000002</v>
      </c>
      <c r="G59" s="16">
        <v>14.800000000000002</v>
      </c>
      <c r="H59" t="s">
        <v>0</v>
      </c>
      <c r="I59" s="65">
        <v>9.0199140960562085E-2</v>
      </c>
      <c r="J59" s="65">
        <v>8.5399449035812647E-2</v>
      </c>
      <c r="K59" s="65">
        <v>0.12962962962962982</v>
      </c>
      <c r="L59" s="65">
        <f t="shared" si="1"/>
        <v>0.14431862553689934</v>
      </c>
      <c r="M59" s="65">
        <f t="shared" si="2"/>
        <v>0.13663911845730023</v>
      </c>
      <c r="N59" s="65">
        <f t="shared" si="3"/>
        <v>0.20740740740740771</v>
      </c>
    </row>
    <row r="60" spans="1:14" x14ac:dyDescent="0.25">
      <c r="A60">
        <v>2008</v>
      </c>
      <c r="B60" s="66">
        <v>39630</v>
      </c>
      <c r="C60" t="s">
        <v>88</v>
      </c>
      <c r="D60">
        <v>135</v>
      </c>
      <c r="E60" s="16">
        <v>70.666666666666671</v>
      </c>
      <c r="F60" s="16">
        <v>13</v>
      </c>
      <c r="G60" s="16">
        <v>16.333333333333336</v>
      </c>
      <c r="H60" t="s">
        <v>0</v>
      </c>
      <c r="I60" s="65">
        <v>0.11782094594594621</v>
      </c>
      <c r="J60" s="65">
        <v>0.13624678663239057</v>
      </c>
      <c r="K60" s="65">
        <v>0.14732142857142846</v>
      </c>
      <c r="L60" s="65">
        <f t="shared" si="1"/>
        <v>0.18851351351351395</v>
      </c>
      <c r="M60" s="65">
        <f t="shared" si="2"/>
        <v>0.21799485861182491</v>
      </c>
      <c r="N60" s="65">
        <f t="shared" si="3"/>
        <v>0.23571428571428554</v>
      </c>
    </row>
    <row r="61" spans="1:14" x14ac:dyDescent="0.25">
      <c r="A61">
        <v>2008</v>
      </c>
      <c r="B61" s="66">
        <v>39630</v>
      </c>
      <c r="C61" t="s">
        <v>88</v>
      </c>
      <c r="D61">
        <v>165</v>
      </c>
      <c r="E61" s="16">
        <v>77.933333333333337</v>
      </c>
      <c r="F61" s="16">
        <v>9.0666666666666629</v>
      </c>
      <c r="G61" s="16">
        <v>13</v>
      </c>
      <c r="H61" t="s">
        <v>0</v>
      </c>
      <c r="I61" s="65">
        <v>9.7249900358708563E-2</v>
      </c>
      <c r="J61" s="65">
        <v>9.9510603588907232E-2</v>
      </c>
      <c r="K61" s="65">
        <v>0.12875536480686697</v>
      </c>
      <c r="L61" s="65">
        <f t="shared" si="1"/>
        <v>0.15559984057393372</v>
      </c>
      <c r="M61" s="65">
        <f t="shared" si="2"/>
        <v>0.15921696574225158</v>
      </c>
      <c r="N61" s="65">
        <f t="shared" si="3"/>
        <v>0.20600858369098718</v>
      </c>
    </row>
    <row r="62" spans="1:14" x14ac:dyDescent="0.25">
      <c r="A62">
        <v>2008</v>
      </c>
      <c r="B62" s="66">
        <v>39630</v>
      </c>
      <c r="C62" t="s">
        <v>89</v>
      </c>
      <c r="D62">
        <v>15</v>
      </c>
      <c r="E62" s="16">
        <v>75.799999999999983</v>
      </c>
      <c r="F62" s="16">
        <v>7.2666666666666799</v>
      </c>
      <c r="G62" s="16">
        <v>16.933333333333337</v>
      </c>
      <c r="H62" t="s">
        <v>0</v>
      </c>
      <c r="I62" s="65">
        <v>6.1199510403916774E-2</v>
      </c>
      <c r="J62" s="65">
        <v>9.3333333333333338E-2</v>
      </c>
      <c r="K62" s="65">
        <v>0.11281543790202837</v>
      </c>
      <c r="L62" s="65">
        <f t="shared" si="1"/>
        <v>9.7919216646266849E-2</v>
      </c>
      <c r="M62" s="65">
        <f t="shared" si="2"/>
        <v>0.14933333333333335</v>
      </c>
      <c r="N62" s="65">
        <f t="shared" si="3"/>
        <v>0.18050470064324542</v>
      </c>
    </row>
    <row r="63" spans="1:14" x14ac:dyDescent="0.25">
      <c r="A63">
        <v>2008</v>
      </c>
      <c r="B63" s="66">
        <v>39630</v>
      </c>
      <c r="C63" t="s">
        <v>89</v>
      </c>
      <c r="D63">
        <v>45</v>
      </c>
      <c r="E63" s="16">
        <v>75.799999999999983</v>
      </c>
      <c r="F63" s="16">
        <v>8.9333333333333513</v>
      </c>
      <c r="G63" s="16">
        <v>15.266666666666669</v>
      </c>
      <c r="H63" t="s">
        <v>0</v>
      </c>
      <c r="I63" s="65">
        <v>6.8610634648370236E-2</v>
      </c>
      <c r="J63" s="65">
        <v>9.4786729857819899E-2</v>
      </c>
      <c r="K63" s="65">
        <v>0.11834625322997411</v>
      </c>
      <c r="L63" s="65">
        <f t="shared" si="1"/>
        <v>0.10977701543739238</v>
      </c>
      <c r="M63" s="65">
        <f t="shared" si="2"/>
        <v>0.15165876777251186</v>
      </c>
      <c r="N63" s="65">
        <f t="shared" si="3"/>
        <v>0.18935400516795858</v>
      </c>
    </row>
    <row r="64" spans="1:14" x14ac:dyDescent="0.25">
      <c r="A64">
        <v>2008</v>
      </c>
      <c r="B64" s="66">
        <v>39630</v>
      </c>
      <c r="C64" t="s">
        <v>89</v>
      </c>
      <c r="D64">
        <v>75</v>
      </c>
      <c r="E64" s="16">
        <v>70.066666666666663</v>
      </c>
      <c r="F64" s="16">
        <v>13</v>
      </c>
      <c r="G64" s="16">
        <v>16.933333333333337</v>
      </c>
      <c r="H64" t="s">
        <v>0</v>
      </c>
      <c r="I64" s="65">
        <v>9.0776699029126079E-2</v>
      </c>
      <c r="J64" s="65">
        <v>0.11000944287063293</v>
      </c>
      <c r="K64" s="65">
        <v>0.15529905561385066</v>
      </c>
      <c r="L64" s="65">
        <f t="shared" si="1"/>
        <v>0.14524271844660172</v>
      </c>
      <c r="M64" s="65">
        <f t="shared" si="2"/>
        <v>0.1760151085930127</v>
      </c>
      <c r="N64" s="65">
        <f t="shared" si="3"/>
        <v>0.24847848898216107</v>
      </c>
    </row>
    <row r="65" spans="1:14" x14ac:dyDescent="0.25">
      <c r="A65">
        <v>2008</v>
      </c>
      <c r="B65" s="66">
        <v>39630</v>
      </c>
      <c r="C65" t="s">
        <v>89</v>
      </c>
      <c r="D65">
        <v>105</v>
      </c>
      <c r="E65" s="16">
        <v>60.666666666666671</v>
      </c>
      <c r="F65" s="16">
        <v>15.73333333333332</v>
      </c>
      <c r="G65" s="16">
        <v>23.600000000000005</v>
      </c>
      <c r="H65" t="s">
        <v>1</v>
      </c>
      <c r="I65" s="65">
        <v>0.10337726523887997</v>
      </c>
      <c r="J65" s="65">
        <v>0.11111111111111092</v>
      </c>
      <c r="K65" s="65">
        <v>0.18418418418418414</v>
      </c>
      <c r="L65" s="65">
        <f t="shared" si="1"/>
        <v>0.16540362438220796</v>
      </c>
      <c r="M65" s="65">
        <f t="shared" si="2"/>
        <v>0.17777777777777748</v>
      </c>
      <c r="N65" s="65">
        <f t="shared" si="3"/>
        <v>0.29469469469469461</v>
      </c>
    </row>
    <row r="66" spans="1:14" x14ac:dyDescent="0.25">
      <c r="A66">
        <v>2008</v>
      </c>
      <c r="B66" s="66">
        <v>39630</v>
      </c>
      <c r="C66" t="s">
        <v>89</v>
      </c>
      <c r="D66">
        <v>135</v>
      </c>
      <c r="E66" s="16">
        <v>72.799999999999983</v>
      </c>
      <c r="F66" s="16">
        <v>9.0666666666666913</v>
      </c>
      <c r="G66" s="16">
        <v>18.133333333333333</v>
      </c>
      <c r="H66" t="s">
        <v>0</v>
      </c>
      <c r="I66" s="65">
        <v>7.1976149914821042E-2</v>
      </c>
      <c r="J66" s="65">
        <v>9.9128040385497759E-2</v>
      </c>
      <c r="K66" s="65">
        <v>0.16045380875202594</v>
      </c>
      <c r="L66" s="65">
        <f t="shared" si="1"/>
        <v>0.11516183986371367</v>
      </c>
      <c r="M66" s="65">
        <f t="shared" si="2"/>
        <v>0.15860486461679643</v>
      </c>
      <c r="N66" s="65">
        <f t="shared" si="3"/>
        <v>0.25672609400324153</v>
      </c>
    </row>
    <row r="67" spans="1:14" x14ac:dyDescent="0.25">
      <c r="A67">
        <v>2008</v>
      </c>
      <c r="B67" s="66">
        <v>39630</v>
      </c>
      <c r="C67" t="s">
        <v>89</v>
      </c>
      <c r="D67">
        <v>165</v>
      </c>
      <c r="E67" s="16">
        <v>69.466666666666654</v>
      </c>
      <c r="F67" s="16">
        <v>9.0666666666666771</v>
      </c>
      <c r="G67" s="16">
        <v>21.466666666666669</v>
      </c>
      <c r="H67" t="s">
        <v>1</v>
      </c>
      <c r="I67" s="65">
        <v>0.10416666666666667</v>
      </c>
      <c r="J67" s="65">
        <v>0.1145291055371507</v>
      </c>
      <c r="K67" s="65">
        <v>0.16880146386093312</v>
      </c>
      <c r="L67" s="65">
        <f t="shared" ref="L67:L130" si="4">I67*1.6</f>
        <v>0.16666666666666669</v>
      </c>
      <c r="M67" s="65">
        <f t="shared" ref="M67:M130" si="5">J67*1.6</f>
        <v>0.18324656885944113</v>
      </c>
      <c r="N67" s="65">
        <f t="shared" ref="N67:N130" si="6">K67*1.6</f>
        <v>0.270082342177493</v>
      </c>
    </row>
    <row r="68" spans="1:14" x14ac:dyDescent="0.25">
      <c r="A68">
        <v>2008</v>
      </c>
      <c r="B68" s="66">
        <v>39630</v>
      </c>
      <c r="C68" t="s">
        <v>90</v>
      </c>
      <c r="D68">
        <v>15</v>
      </c>
      <c r="E68" s="16">
        <v>77.333333333333329</v>
      </c>
      <c r="F68" s="16">
        <v>5.7333333333333343</v>
      </c>
      <c r="G68" s="16">
        <v>16.933333333333337</v>
      </c>
      <c r="H68" t="s">
        <v>0</v>
      </c>
      <c r="I68" s="65">
        <v>6.6376496191512854E-2</v>
      </c>
      <c r="J68" s="65">
        <v>8.5742283194512478E-2</v>
      </c>
      <c r="K68" s="65">
        <v>0.1354062186559673</v>
      </c>
      <c r="L68" s="65">
        <f t="shared" si="4"/>
        <v>0.10620239390642057</v>
      </c>
      <c r="M68" s="65">
        <f t="shared" si="5"/>
        <v>0.13718765311121997</v>
      </c>
      <c r="N68" s="65">
        <f t="shared" si="6"/>
        <v>0.21664994984954769</v>
      </c>
    </row>
    <row r="69" spans="1:14" x14ac:dyDescent="0.25">
      <c r="A69">
        <v>2008</v>
      </c>
      <c r="B69" s="66">
        <v>39630</v>
      </c>
      <c r="C69" t="s">
        <v>90</v>
      </c>
      <c r="D69">
        <v>45</v>
      </c>
      <c r="E69" s="16">
        <v>78.533333333333331</v>
      </c>
      <c r="F69" s="16">
        <v>4.5333333333333314</v>
      </c>
      <c r="G69" s="16">
        <v>16.933333333333337</v>
      </c>
      <c r="H69" t="s">
        <v>0</v>
      </c>
      <c r="I69" s="65">
        <v>8.2025316455696065E-2</v>
      </c>
      <c r="J69" s="65">
        <v>9.0325538743695491E-2</v>
      </c>
      <c r="K69" s="65">
        <v>0.14200092208390952</v>
      </c>
      <c r="L69" s="65">
        <f t="shared" si="4"/>
        <v>0.13124050632911372</v>
      </c>
      <c r="M69" s="65">
        <f t="shared" si="5"/>
        <v>0.14452086198991279</v>
      </c>
      <c r="N69" s="65">
        <f t="shared" si="6"/>
        <v>0.22720147533425525</v>
      </c>
    </row>
    <row r="70" spans="1:14" x14ac:dyDescent="0.25">
      <c r="A70">
        <v>2008</v>
      </c>
      <c r="B70" s="66">
        <v>39630</v>
      </c>
      <c r="C70" t="s">
        <v>90</v>
      </c>
      <c r="D70">
        <v>75</v>
      </c>
      <c r="E70" s="16">
        <v>68.533333333333317</v>
      </c>
      <c r="F70" s="16">
        <v>7.2666666666666799</v>
      </c>
      <c r="G70" s="16">
        <v>24.200000000000006</v>
      </c>
      <c r="H70" t="s">
        <v>1</v>
      </c>
      <c r="I70" s="65">
        <v>9.4852240228789061E-2</v>
      </c>
      <c r="J70" s="65">
        <v>0.12278031456113619</v>
      </c>
      <c r="K70" s="65">
        <v>0.19001454192922898</v>
      </c>
      <c r="L70" s="65">
        <f t="shared" si="4"/>
        <v>0.15176358436606252</v>
      </c>
      <c r="M70" s="65">
        <f t="shared" si="5"/>
        <v>0.19644850329781793</v>
      </c>
      <c r="N70" s="65">
        <f t="shared" si="6"/>
        <v>0.30402326708676641</v>
      </c>
    </row>
    <row r="71" spans="1:14" x14ac:dyDescent="0.25">
      <c r="A71">
        <v>2008</v>
      </c>
      <c r="B71" s="66">
        <v>39630</v>
      </c>
      <c r="C71" t="s">
        <v>90</v>
      </c>
      <c r="D71">
        <v>105</v>
      </c>
      <c r="E71" s="16">
        <v>70.666666666666671</v>
      </c>
      <c r="F71" s="16">
        <v>7.86666666666666</v>
      </c>
      <c r="G71" s="16">
        <v>21.466666666666669</v>
      </c>
      <c r="H71" t="s">
        <v>1</v>
      </c>
      <c r="I71" s="65">
        <v>8.9363557105492777E-2</v>
      </c>
      <c r="J71" s="65">
        <v>0.12085514834205949</v>
      </c>
      <c r="K71" s="65">
        <v>0.18428437792329266</v>
      </c>
      <c r="L71" s="65">
        <f t="shared" si="4"/>
        <v>0.14298169136878844</v>
      </c>
      <c r="M71" s="65">
        <f t="shared" si="5"/>
        <v>0.19336823734729519</v>
      </c>
      <c r="N71" s="65">
        <f t="shared" si="6"/>
        <v>0.29485500467726827</v>
      </c>
    </row>
    <row r="72" spans="1:14" x14ac:dyDescent="0.25">
      <c r="A72">
        <v>2008</v>
      </c>
      <c r="B72" s="66">
        <v>39630</v>
      </c>
      <c r="C72" t="s">
        <v>90</v>
      </c>
      <c r="D72">
        <v>135</v>
      </c>
      <c r="E72" s="16">
        <v>75.799999999999983</v>
      </c>
      <c r="F72" s="16">
        <v>10.600000000000009</v>
      </c>
      <c r="G72" s="16">
        <v>13.600000000000003</v>
      </c>
      <c r="H72" t="s">
        <v>0</v>
      </c>
      <c r="I72" s="65">
        <v>7.835972391392608E-2</v>
      </c>
      <c r="J72" s="65">
        <v>9.5655989469065367E-2</v>
      </c>
      <c r="K72" s="65">
        <v>0.16211374832064476</v>
      </c>
      <c r="L72" s="65">
        <f t="shared" si="4"/>
        <v>0.12537555826228172</v>
      </c>
      <c r="M72" s="65">
        <f t="shared" si="5"/>
        <v>0.1530495831505046</v>
      </c>
      <c r="N72" s="65">
        <f t="shared" si="6"/>
        <v>0.25938199731303163</v>
      </c>
    </row>
    <row r="73" spans="1:14" x14ac:dyDescent="0.25">
      <c r="A73">
        <v>2008</v>
      </c>
      <c r="B73" s="66">
        <v>39630</v>
      </c>
      <c r="C73" t="s">
        <v>90</v>
      </c>
      <c r="D73">
        <v>165</v>
      </c>
      <c r="E73" s="16">
        <v>79.73333333333332</v>
      </c>
      <c r="F73" s="16">
        <v>6.6666666666666714</v>
      </c>
      <c r="G73" s="16">
        <v>13.600000000000003</v>
      </c>
      <c r="H73" t="s">
        <v>0</v>
      </c>
      <c r="I73" s="65">
        <v>8.3521444695259558E-2</v>
      </c>
      <c r="J73" s="65">
        <v>0.10612916495269428</v>
      </c>
      <c r="K73" s="65">
        <v>0.14285714285714313</v>
      </c>
      <c r="L73" s="65">
        <f t="shared" si="4"/>
        <v>0.13363431151241531</v>
      </c>
      <c r="M73" s="65">
        <f t="shared" si="5"/>
        <v>0.16980666392431087</v>
      </c>
      <c r="N73" s="65">
        <f t="shared" si="6"/>
        <v>0.22857142857142901</v>
      </c>
    </row>
    <row r="74" spans="1:14" x14ac:dyDescent="0.25">
      <c r="A74">
        <v>2008</v>
      </c>
      <c r="B74" s="66">
        <v>39630</v>
      </c>
      <c r="C74" t="s">
        <v>91</v>
      </c>
      <c r="D74">
        <v>15</v>
      </c>
      <c r="E74" s="16">
        <v>74</v>
      </c>
      <c r="F74" s="16">
        <v>7.8666666666666742</v>
      </c>
      <c r="G74" s="16">
        <v>18.133333333333333</v>
      </c>
      <c r="H74" t="s">
        <v>0</v>
      </c>
      <c r="I74" s="65">
        <v>0.13240250361097738</v>
      </c>
      <c r="J74" s="65">
        <v>9.5703125000000056E-2</v>
      </c>
      <c r="K74" s="65">
        <v>0.16897081413210427</v>
      </c>
      <c r="L74" s="65">
        <f t="shared" si="4"/>
        <v>0.21184400577756382</v>
      </c>
      <c r="M74" s="65">
        <f t="shared" si="5"/>
        <v>0.15312500000000009</v>
      </c>
      <c r="N74" s="65">
        <f t="shared" si="6"/>
        <v>0.27035330261136686</v>
      </c>
    </row>
    <row r="75" spans="1:14" x14ac:dyDescent="0.25">
      <c r="A75">
        <v>2008</v>
      </c>
      <c r="B75" s="66">
        <v>39630</v>
      </c>
      <c r="C75" t="s">
        <v>91</v>
      </c>
      <c r="D75">
        <v>45</v>
      </c>
      <c r="E75" s="16">
        <v>63.4</v>
      </c>
      <c r="F75" s="16">
        <v>8.4666666666666686</v>
      </c>
      <c r="G75" s="16">
        <v>28.133333333333336</v>
      </c>
      <c r="H75" t="s">
        <v>1</v>
      </c>
      <c r="I75" s="65">
        <v>0.13333333333333364</v>
      </c>
      <c r="J75" s="65">
        <v>0.14452473596442436</v>
      </c>
      <c r="K75" s="65">
        <v>0.22840172786177129</v>
      </c>
      <c r="L75" s="65">
        <f t="shared" si="4"/>
        <v>0.21333333333333382</v>
      </c>
      <c r="M75" s="65">
        <f t="shared" si="5"/>
        <v>0.231239577543079</v>
      </c>
      <c r="N75" s="65">
        <f t="shared" si="6"/>
        <v>0.36544276457883407</v>
      </c>
    </row>
    <row r="76" spans="1:14" x14ac:dyDescent="0.25">
      <c r="A76">
        <v>2008</v>
      </c>
      <c r="B76" s="66">
        <v>39630</v>
      </c>
      <c r="C76" t="s">
        <v>91</v>
      </c>
      <c r="D76">
        <v>75</v>
      </c>
      <c r="E76" s="16">
        <v>60.666666666666671</v>
      </c>
      <c r="F76" s="16">
        <v>12.399999999999991</v>
      </c>
      <c r="G76" s="16">
        <v>26.933333333333337</v>
      </c>
      <c r="H76" t="s">
        <v>1</v>
      </c>
      <c r="I76" s="65">
        <v>0.1220657276995306</v>
      </c>
      <c r="J76" s="65">
        <v>0.1431902985074627</v>
      </c>
      <c r="K76" s="65">
        <v>0.2190144350423095</v>
      </c>
      <c r="L76" s="65">
        <f t="shared" si="4"/>
        <v>0.19530516431924896</v>
      </c>
      <c r="M76" s="65">
        <f t="shared" si="5"/>
        <v>0.22910447761194033</v>
      </c>
      <c r="N76" s="65">
        <f t="shared" si="6"/>
        <v>0.35042309606769523</v>
      </c>
    </row>
    <row r="77" spans="1:14" x14ac:dyDescent="0.25">
      <c r="A77">
        <v>2008</v>
      </c>
      <c r="B77" s="66">
        <v>39630</v>
      </c>
      <c r="C77" t="s">
        <v>91</v>
      </c>
      <c r="D77">
        <v>105</v>
      </c>
      <c r="E77" s="16">
        <v>73.400000000000006</v>
      </c>
      <c r="F77" s="16">
        <v>9.0666666666666487</v>
      </c>
      <c r="G77" s="16">
        <v>17.533333333333342</v>
      </c>
      <c r="H77" t="s">
        <v>0</v>
      </c>
      <c r="I77" s="65">
        <v>7.9069767441860603E-2</v>
      </c>
      <c r="J77" s="65">
        <v>9.1588785046728668E-2</v>
      </c>
      <c r="K77" s="65">
        <v>0.15325842696629266</v>
      </c>
      <c r="L77" s="65">
        <f t="shared" si="4"/>
        <v>0.12651162790697698</v>
      </c>
      <c r="M77" s="65">
        <f t="shared" si="5"/>
        <v>0.14654205607476586</v>
      </c>
      <c r="N77" s="65">
        <f t="shared" si="6"/>
        <v>0.24521348314606828</v>
      </c>
    </row>
    <row r="78" spans="1:14" x14ac:dyDescent="0.25">
      <c r="A78">
        <v>2008</v>
      </c>
      <c r="B78" s="66">
        <v>39630</v>
      </c>
      <c r="C78" t="s">
        <v>91</v>
      </c>
      <c r="D78">
        <v>135</v>
      </c>
      <c r="E78" s="16">
        <v>76.133333333333326</v>
      </c>
      <c r="F78" s="16">
        <v>9.0666666666666771</v>
      </c>
      <c r="G78" s="16">
        <v>14.800000000000002</v>
      </c>
      <c r="H78" t="s">
        <v>0</v>
      </c>
      <c r="I78" s="65">
        <v>6.6371681415929196E-2</v>
      </c>
      <c r="J78" s="65">
        <v>8.1293706293706289E-2</v>
      </c>
      <c r="K78" s="65">
        <v>0.11872146118721466</v>
      </c>
      <c r="L78" s="65">
        <f t="shared" si="4"/>
        <v>0.10619469026548672</v>
      </c>
      <c r="M78" s="65">
        <f t="shared" si="5"/>
        <v>0.13006993006993006</v>
      </c>
      <c r="N78" s="65">
        <f t="shared" si="6"/>
        <v>0.18995433789954347</v>
      </c>
    </row>
    <row r="79" spans="1:14" x14ac:dyDescent="0.25">
      <c r="A79">
        <v>2008</v>
      </c>
      <c r="B79" s="66">
        <v>39630</v>
      </c>
      <c r="C79" t="s">
        <v>91</v>
      </c>
      <c r="D79">
        <v>165</v>
      </c>
      <c r="E79" s="16">
        <v>79.466666666666654</v>
      </c>
      <c r="F79" s="16">
        <v>5.7333333333333485</v>
      </c>
      <c r="G79" s="16">
        <v>14.800000000000002</v>
      </c>
      <c r="H79" t="s">
        <v>0</v>
      </c>
      <c r="I79" s="65">
        <v>8.4388185654008449E-2</v>
      </c>
      <c r="J79" s="65">
        <v>9.6073517126148894E-2</v>
      </c>
      <c r="K79" s="65">
        <v>0.1451951321863198</v>
      </c>
      <c r="L79" s="65">
        <f t="shared" si="4"/>
        <v>0.13502109704641352</v>
      </c>
      <c r="M79" s="65">
        <f t="shared" si="5"/>
        <v>0.15371762740183825</v>
      </c>
      <c r="N79" s="65">
        <f t="shared" si="6"/>
        <v>0.23231221149811168</v>
      </c>
    </row>
    <row r="80" spans="1:14" x14ac:dyDescent="0.25">
      <c r="A80">
        <v>2008</v>
      </c>
      <c r="B80" s="66">
        <v>39630</v>
      </c>
      <c r="C80" t="s">
        <v>92</v>
      </c>
      <c r="D80">
        <v>15</v>
      </c>
      <c r="E80" s="16">
        <v>68.533333333333317</v>
      </c>
      <c r="F80" s="16">
        <v>14.533333333333346</v>
      </c>
      <c r="G80" s="16">
        <v>16.933333333333337</v>
      </c>
      <c r="H80" t="s">
        <v>0</v>
      </c>
      <c r="I80" s="65">
        <v>8.489208633093541E-2</v>
      </c>
      <c r="J80" s="65">
        <v>7.8104993597951575E-2</v>
      </c>
      <c r="K80" s="65">
        <v>0.14148559878726616</v>
      </c>
      <c r="L80" s="65">
        <f t="shared" si="4"/>
        <v>0.13582733812949666</v>
      </c>
      <c r="M80" s="65">
        <f t="shared" si="5"/>
        <v>0.12496798975672252</v>
      </c>
      <c r="N80" s="65">
        <f t="shared" si="6"/>
        <v>0.22637695805962588</v>
      </c>
    </row>
    <row r="81" spans="1:14" x14ac:dyDescent="0.25">
      <c r="A81">
        <v>2008</v>
      </c>
      <c r="B81" s="66">
        <v>39630</v>
      </c>
      <c r="C81" t="s">
        <v>92</v>
      </c>
      <c r="D81">
        <v>45</v>
      </c>
      <c r="E81" s="16">
        <v>71.866666666666674</v>
      </c>
      <c r="F81" s="16">
        <v>11.199999999999989</v>
      </c>
      <c r="G81" s="16">
        <v>16.933333333333337</v>
      </c>
      <c r="H81" t="s">
        <v>0</v>
      </c>
      <c r="I81" s="65">
        <v>9.4107299912049275E-2</v>
      </c>
      <c r="J81" s="65">
        <v>0.10376811594202894</v>
      </c>
      <c r="K81" s="65">
        <v>0.15065298507462668</v>
      </c>
      <c r="L81" s="65">
        <f t="shared" si="4"/>
        <v>0.15057167985927886</v>
      </c>
      <c r="M81" s="65">
        <f t="shared" si="5"/>
        <v>0.16602898550724632</v>
      </c>
      <c r="N81" s="65">
        <f t="shared" si="6"/>
        <v>0.2410447761194027</v>
      </c>
    </row>
    <row r="82" spans="1:14" x14ac:dyDescent="0.25">
      <c r="A82">
        <v>2008</v>
      </c>
      <c r="B82" s="66">
        <v>39630</v>
      </c>
      <c r="C82" t="s">
        <v>92</v>
      </c>
      <c r="D82">
        <v>75</v>
      </c>
      <c r="E82" s="16">
        <v>67.933333333333351</v>
      </c>
      <c r="F82" s="16">
        <v>11.199999999999974</v>
      </c>
      <c r="G82" s="16">
        <v>20.866666666666674</v>
      </c>
      <c r="H82" t="s">
        <v>1</v>
      </c>
      <c r="I82" s="65">
        <v>0.10739363899215205</v>
      </c>
      <c r="J82" s="65">
        <v>0.10801239486498443</v>
      </c>
      <c r="K82" s="65">
        <v>0.14494163424124534</v>
      </c>
      <c r="L82" s="65">
        <f t="shared" si="4"/>
        <v>0.17182982238744329</v>
      </c>
      <c r="M82" s="65">
        <f t="shared" si="5"/>
        <v>0.17281983178397509</v>
      </c>
      <c r="N82" s="65">
        <f t="shared" si="6"/>
        <v>0.23190661478599256</v>
      </c>
    </row>
    <row r="83" spans="1:14" x14ac:dyDescent="0.25">
      <c r="A83">
        <v>2008</v>
      </c>
      <c r="B83" s="66">
        <v>39630</v>
      </c>
      <c r="C83" t="s">
        <v>92</v>
      </c>
      <c r="D83">
        <v>105</v>
      </c>
      <c r="E83" s="16">
        <v>71.866666666666674</v>
      </c>
      <c r="F83" s="16">
        <v>14.533333333333317</v>
      </c>
      <c r="G83" s="16">
        <v>13.600000000000003</v>
      </c>
      <c r="H83" t="s">
        <v>0</v>
      </c>
      <c r="I83" s="65">
        <v>9.5571095571095319E-2</v>
      </c>
      <c r="J83" s="65">
        <v>9.3150684931506814E-2</v>
      </c>
      <c r="K83" s="65">
        <v>0.15743305632502291</v>
      </c>
      <c r="L83" s="65">
        <f t="shared" si="4"/>
        <v>0.15291375291375253</v>
      </c>
      <c r="M83" s="65">
        <f t="shared" si="5"/>
        <v>0.1490410958904109</v>
      </c>
      <c r="N83" s="65">
        <f t="shared" si="6"/>
        <v>0.25189289012003668</v>
      </c>
    </row>
    <row r="84" spans="1:14" x14ac:dyDescent="0.25">
      <c r="A84">
        <v>2008</v>
      </c>
      <c r="B84" s="66">
        <v>39630</v>
      </c>
      <c r="C84" t="s">
        <v>92</v>
      </c>
      <c r="D84">
        <v>135</v>
      </c>
      <c r="E84" s="16">
        <v>64</v>
      </c>
      <c r="F84" s="16">
        <v>22.399999999999991</v>
      </c>
      <c r="G84" s="16">
        <v>13.600000000000003</v>
      </c>
      <c r="H84" t="s">
        <v>0</v>
      </c>
      <c r="I84" s="65">
        <v>8.9733542319748894E-2</v>
      </c>
      <c r="J84" s="65">
        <v>9.0440301467671597E-2</v>
      </c>
      <c r="K84" s="65">
        <v>0.15127175368139226</v>
      </c>
      <c r="L84" s="65">
        <f t="shared" si="4"/>
        <v>0.14357366771159824</v>
      </c>
      <c r="M84" s="65">
        <f t="shared" si="5"/>
        <v>0.14470448234827457</v>
      </c>
      <c r="N84" s="65">
        <f t="shared" si="6"/>
        <v>0.24203480589022763</v>
      </c>
    </row>
    <row r="85" spans="1:14" x14ac:dyDescent="0.25">
      <c r="A85">
        <v>2008</v>
      </c>
      <c r="B85" s="66">
        <v>39630</v>
      </c>
      <c r="C85" t="s">
        <v>92</v>
      </c>
      <c r="D85">
        <v>165</v>
      </c>
      <c r="E85" s="16">
        <v>74</v>
      </c>
      <c r="F85" s="16">
        <v>8.4666666666666544</v>
      </c>
      <c r="G85" s="16">
        <v>17.533333333333342</v>
      </c>
      <c r="H85" t="s">
        <v>0</v>
      </c>
      <c r="I85" s="65">
        <v>0.12427409988385571</v>
      </c>
      <c r="J85" s="65">
        <v>0.12282309807516038</v>
      </c>
      <c r="K85" s="65">
        <v>0.1844262295081967</v>
      </c>
      <c r="L85" s="65">
        <f t="shared" si="4"/>
        <v>0.19883855981416915</v>
      </c>
      <c r="M85" s="65">
        <f t="shared" si="5"/>
        <v>0.19651695692025661</v>
      </c>
      <c r="N85" s="65">
        <f t="shared" si="6"/>
        <v>0.29508196721311475</v>
      </c>
    </row>
    <row r="86" spans="1:14" x14ac:dyDescent="0.25">
      <c r="A86">
        <v>2008</v>
      </c>
      <c r="B86" s="66">
        <v>39630</v>
      </c>
      <c r="C86" t="s">
        <v>93</v>
      </c>
      <c r="D86">
        <v>15</v>
      </c>
      <c r="E86" s="16">
        <v>70.666666666666671</v>
      </c>
      <c r="F86" s="16">
        <v>11.799999999999983</v>
      </c>
      <c r="G86" s="16">
        <v>17.533333333333342</v>
      </c>
      <c r="H86" t="s">
        <v>0</v>
      </c>
      <c r="I86" s="65">
        <v>9.0690978886756257E-2</v>
      </c>
      <c r="J86" s="65">
        <v>9.1859936334697398E-2</v>
      </c>
      <c r="K86" s="65">
        <v>0.13837730214036842</v>
      </c>
      <c r="L86" s="65">
        <f t="shared" si="4"/>
        <v>0.14510556621881002</v>
      </c>
      <c r="M86" s="65">
        <f t="shared" si="5"/>
        <v>0.14697589813551584</v>
      </c>
      <c r="N86" s="65">
        <f t="shared" si="6"/>
        <v>0.22140368342458949</v>
      </c>
    </row>
    <row r="87" spans="1:14" x14ac:dyDescent="0.25">
      <c r="A87">
        <v>2008</v>
      </c>
      <c r="B87" s="66">
        <v>39630</v>
      </c>
      <c r="C87" t="s">
        <v>93</v>
      </c>
      <c r="D87">
        <v>45</v>
      </c>
      <c r="E87" s="16">
        <v>66.733333333333334</v>
      </c>
      <c r="F87" s="16">
        <v>11.799999999999997</v>
      </c>
      <c r="G87" s="16">
        <v>21.466666666666669</v>
      </c>
      <c r="H87" t="s">
        <v>1</v>
      </c>
      <c r="I87" s="65">
        <v>0.11448598130841135</v>
      </c>
      <c r="J87" s="65">
        <v>0.1075268817204301</v>
      </c>
      <c r="K87" s="65">
        <v>0.20776147657359206</v>
      </c>
      <c r="L87" s="65">
        <f t="shared" si="4"/>
        <v>0.18317757009345817</v>
      </c>
      <c r="M87" s="65">
        <f t="shared" si="5"/>
        <v>0.17204301075268816</v>
      </c>
      <c r="N87" s="65">
        <f t="shared" si="6"/>
        <v>0.33241836251774731</v>
      </c>
    </row>
    <row r="88" spans="1:14" x14ac:dyDescent="0.25">
      <c r="A88">
        <v>2008</v>
      </c>
      <c r="B88" s="66">
        <v>39630</v>
      </c>
      <c r="C88" t="s">
        <v>93</v>
      </c>
      <c r="D88">
        <v>75</v>
      </c>
      <c r="E88" s="16">
        <v>57.333333333333336</v>
      </c>
      <c r="F88" s="16">
        <v>18.466666666666654</v>
      </c>
      <c r="G88" s="16">
        <v>24.200000000000006</v>
      </c>
      <c r="H88" t="s">
        <v>1</v>
      </c>
      <c r="I88" s="65">
        <v>0.14637826961770606</v>
      </c>
      <c r="J88" s="65">
        <v>0.13149999999999976</v>
      </c>
      <c r="K88" s="65">
        <v>0.19483204134366902</v>
      </c>
      <c r="L88" s="65">
        <f t="shared" si="4"/>
        <v>0.23420523138832972</v>
      </c>
      <c r="M88" s="65">
        <f t="shared" si="5"/>
        <v>0.21039999999999962</v>
      </c>
      <c r="N88" s="65">
        <f t="shared" si="6"/>
        <v>0.31173126614987046</v>
      </c>
    </row>
    <row r="89" spans="1:14" x14ac:dyDescent="0.25">
      <c r="A89">
        <v>2008</v>
      </c>
      <c r="B89" s="66">
        <v>39630</v>
      </c>
      <c r="C89" t="s">
        <v>93</v>
      </c>
      <c r="D89">
        <v>105</v>
      </c>
      <c r="E89" s="16">
        <v>64</v>
      </c>
      <c r="F89" s="16">
        <v>15.733333333333334</v>
      </c>
      <c r="G89" s="16">
        <v>20.266666666666669</v>
      </c>
      <c r="H89" t="s">
        <v>1</v>
      </c>
      <c r="I89" s="65">
        <v>0.10034602076124569</v>
      </c>
      <c r="J89" s="65">
        <v>9.5679012345678993E-2</v>
      </c>
      <c r="K89" s="65">
        <v>0.15964912280701754</v>
      </c>
      <c r="L89" s="65">
        <f t="shared" si="4"/>
        <v>0.1605536332179931</v>
      </c>
      <c r="M89" s="65">
        <f t="shared" si="5"/>
        <v>0.1530864197530864</v>
      </c>
      <c r="N89" s="65">
        <f t="shared" si="6"/>
        <v>0.25543859649122808</v>
      </c>
    </row>
    <row r="90" spans="1:14" x14ac:dyDescent="0.25">
      <c r="A90">
        <v>2008</v>
      </c>
      <c r="B90" s="66">
        <v>39630</v>
      </c>
      <c r="C90" t="s">
        <v>93</v>
      </c>
      <c r="D90">
        <v>135</v>
      </c>
      <c r="E90" s="16">
        <v>73.400000000000006</v>
      </c>
      <c r="F90" s="16">
        <v>10.73333333333332</v>
      </c>
      <c r="G90" s="16">
        <v>15.866666666666676</v>
      </c>
      <c r="H90" t="s">
        <v>0</v>
      </c>
      <c r="I90" s="65">
        <v>9.7152428810720573E-2</v>
      </c>
      <c r="J90" s="65">
        <v>8.6550700042427084E-2</v>
      </c>
      <c r="K90" s="65">
        <v>0.1271701388888889</v>
      </c>
      <c r="L90" s="65">
        <f t="shared" si="4"/>
        <v>0.15544388609715293</v>
      </c>
      <c r="M90" s="65">
        <f t="shared" si="5"/>
        <v>0.13848112006788335</v>
      </c>
      <c r="N90" s="65">
        <f t="shared" si="6"/>
        <v>0.20347222222222225</v>
      </c>
    </row>
    <row r="91" spans="1:14" x14ac:dyDescent="0.25">
      <c r="A91">
        <v>2008</v>
      </c>
      <c r="B91" s="66">
        <v>39630</v>
      </c>
      <c r="C91" t="s">
        <v>93</v>
      </c>
      <c r="D91">
        <v>165</v>
      </c>
      <c r="E91" s="16">
        <v>76.133333333333326</v>
      </c>
      <c r="F91" s="16">
        <v>9.0666666666666771</v>
      </c>
      <c r="G91" s="16">
        <v>14.800000000000002</v>
      </c>
      <c r="H91" t="s">
        <v>0</v>
      </c>
      <c r="I91" s="65">
        <v>9.9209486166008123E-2</v>
      </c>
      <c r="J91" s="65">
        <v>8.0206378986867166E-2</v>
      </c>
      <c r="K91" s="65">
        <v>0.13403614457831306</v>
      </c>
      <c r="L91" s="65">
        <f t="shared" si="4"/>
        <v>0.158735177865613</v>
      </c>
      <c r="M91" s="65">
        <f t="shared" si="5"/>
        <v>0.12833020637898748</v>
      </c>
      <c r="N91" s="65">
        <f t="shared" si="6"/>
        <v>0.21445783132530091</v>
      </c>
    </row>
    <row r="92" spans="1:14" x14ac:dyDescent="0.25">
      <c r="A92">
        <v>2008</v>
      </c>
      <c r="B92" s="66">
        <v>39630</v>
      </c>
      <c r="C92" t="s">
        <v>94</v>
      </c>
      <c r="D92">
        <v>15</v>
      </c>
      <c r="E92" s="16">
        <v>65.8</v>
      </c>
      <c r="F92" s="16">
        <v>17.266666666666666</v>
      </c>
      <c r="G92" s="16">
        <v>16.933333333333337</v>
      </c>
      <c r="H92" t="s">
        <v>0</v>
      </c>
      <c r="I92" s="65">
        <v>8.156203657933718E-2</v>
      </c>
      <c r="J92" s="65">
        <v>7.863974495217875E-2</v>
      </c>
      <c r="K92" s="65">
        <v>0.12077294685990336</v>
      </c>
      <c r="L92" s="65">
        <f t="shared" si="4"/>
        <v>0.1304992585269395</v>
      </c>
      <c r="M92" s="65">
        <f t="shared" si="5"/>
        <v>0.12582359192348599</v>
      </c>
      <c r="N92" s="65">
        <f t="shared" si="6"/>
        <v>0.19323671497584538</v>
      </c>
    </row>
    <row r="93" spans="1:14" x14ac:dyDescent="0.25">
      <c r="A93">
        <v>2008</v>
      </c>
      <c r="B93" s="66">
        <v>39630</v>
      </c>
      <c r="C93" t="s">
        <v>94</v>
      </c>
      <c r="D93">
        <v>45</v>
      </c>
      <c r="E93" s="16">
        <v>69.133333333333326</v>
      </c>
      <c r="F93" s="16">
        <v>13.333333333333329</v>
      </c>
      <c r="G93" s="16">
        <v>17.533333333333342</v>
      </c>
      <c r="H93" t="s">
        <v>0</v>
      </c>
      <c r="I93" s="65">
        <v>9.9426386233269506E-2</v>
      </c>
      <c r="J93" s="65">
        <v>8.2380952380952596E-2</v>
      </c>
      <c r="K93" s="65">
        <v>0.12820512820512822</v>
      </c>
      <c r="L93" s="65">
        <f t="shared" si="4"/>
        <v>0.15908221797323122</v>
      </c>
      <c r="M93" s="65">
        <f t="shared" si="5"/>
        <v>0.13180952380952415</v>
      </c>
      <c r="N93" s="65">
        <f t="shared" si="6"/>
        <v>0.20512820512820518</v>
      </c>
    </row>
    <row r="94" spans="1:14" x14ac:dyDescent="0.25">
      <c r="A94">
        <v>2008</v>
      </c>
      <c r="B94" s="66">
        <v>39630</v>
      </c>
      <c r="C94" t="s">
        <v>94</v>
      </c>
      <c r="D94">
        <v>75</v>
      </c>
      <c r="E94" s="16">
        <v>61.86666666666666</v>
      </c>
      <c r="F94" s="16">
        <v>13.933333333333337</v>
      </c>
      <c r="G94" s="16">
        <v>24.200000000000006</v>
      </c>
      <c r="H94" t="s">
        <v>1</v>
      </c>
      <c r="I94" s="65">
        <v>0.14285714285714257</v>
      </c>
      <c r="J94" s="65">
        <v>0.12156215621562118</v>
      </c>
      <c r="K94" s="65">
        <v>0.19819819819819814</v>
      </c>
      <c r="L94" s="65">
        <f t="shared" si="4"/>
        <v>0.22857142857142812</v>
      </c>
      <c r="M94" s="65">
        <f t="shared" si="5"/>
        <v>0.19449944994499391</v>
      </c>
      <c r="N94" s="65">
        <f t="shared" si="6"/>
        <v>0.31711711711711704</v>
      </c>
    </row>
    <row r="95" spans="1:14" x14ac:dyDescent="0.25">
      <c r="A95">
        <v>2008</v>
      </c>
      <c r="B95" s="66">
        <v>39630</v>
      </c>
      <c r="C95" t="s">
        <v>94</v>
      </c>
      <c r="D95">
        <v>105</v>
      </c>
      <c r="E95" s="16">
        <v>69.133333333333326</v>
      </c>
      <c r="F95" s="16">
        <v>11.666666666666657</v>
      </c>
      <c r="G95" s="16">
        <v>19.20000000000001</v>
      </c>
      <c r="H95" t="s">
        <v>0</v>
      </c>
      <c r="I95" s="65">
        <v>0.10752248569092376</v>
      </c>
      <c r="J95" s="65">
        <v>8.9604175728577762E-2</v>
      </c>
      <c r="K95" s="65">
        <v>0.15175097276264585</v>
      </c>
      <c r="L95" s="65">
        <f t="shared" si="4"/>
        <v>0.17203597710547802</v>
      </c>
      <c r="M95" s="65">
        <f t="shared" si="5"/>
        <v>0.14336668116572443</v>
      </c>
      <c r="N95" s="65">
        <f t="shared" si="6"/>
        <v>0.24280155642023338</v>
      </c>
    </row>
    <row r="96" spans="1:14" x14ac:dyDescent="0.25">
      <c r="A96">
        <v>2008</v>
      </c>
      <c r="B96" s="66">
        <v>39630</v>
      </c>
      <c r="C96" t="s">
        <v>94</v>
      </c>
      <c r="D96">
        <v>135</v>
      </c>
      <c r="E96" s="16">
        <v>70.666666666666671</v>
      </c>
      <c r="F96" s="16">
        <v>15.73333333333332</v>
      </c>
      <c r="G96" s="16">
        <v>13.600000000000003</v>
      </c>
      <c r="H96" t="s">
        <v>0</v>
      </c>
      <c r="I96" s="65">
        <v>0.10576506285218921</v>
      </c>
      <c r="J96" s="65">
        <v>8.3449235048678586E-2</v>
      </c>
      <c r="K96" s="65">
        <v>0.14693877551020382</v>
      </c>
      <c r="L96" s="65">
        <f t="shared" si="4"/>
        <v>0.16922410056350276</v>
      </c>
      <c r="M96" s="65">
        <f t="shared" si="5"/>
        <v>0.13351877607788573</v>
      </c>
      <c r="N96" s="65">
        <f t="shared" si="6"/>
        <v>0.23510204081632613</v>
      </c>
    </row>
    <row r="97" spans="1:14" x14ac:dyDescent="0.25">
      <c r="A97">
        <v>2008</v>
      </c>
      <c r="B97" s="66">
        <v>39630</v>
      </c>
      <c r="C97" t="s">
        <v>94</v>
      </c>
      <c r="D97">
        <v>165</v>
      </c>
      <c r="E97" s="16">
        <v>74.600000000000009</v>
      </c>
      <c r="F97" s="16">
        <v>7.8666666666666458</v>
      </c>
      <c r="G97" s="16">
        <v>17.533333333333342</v>
      </c>
      <c r="H97" t="s">
        <v>0</v>
      </c>
      <c r="I97" s="65">
        <v>9.6000000000000224E-2</v>
      </c>
      <c r="J97" s="65">
        <v>8.1208316987054052E-2</v>
      </c>
      <c r="K97" s="65">
        <v>0.14644351464435149</v>
      </c>
      <c r="L97" s="65">
        <f t="shared" si="4"/>
        <v>0.15360000000000038</v>
      </c>
      <c r="M97" s="65">
        <f t="shared" si="5"/>
        <v>0.1299333071792865</v>
      </c>
      <c r="N97" s="65">
        <f t="shared" si="6"/>
        <v>0.2343096234309624</v>
      </c>
    </row>
    <row r="98" spans="1:14" x14ac:dyDescent="0.25">
      <c r="A98">
        <v>2008</v>
      </c>
      <c r="B98" s="66">
        <v>39630</v>
      </c>
      <c r="C98" t="s">
        <v>95</v>
      </c>
      <c r="D98">
        <v>15</v>
      </c>
      <c r="E98" s="16">
        <v>72.799999999999983</v>
      </c>
      <c r="F98" s="16">
        <v>5.7333333333333485</v>
      </c>
      <c r="G98" s="16">
        <v>21.466666666666669</v>
      </c>
      <c r="H98" t="s">
        <v>1</v>
      </c>
      <c r="I98" s="65">
        <v>7.2129748186086112E-2</v>
      </c>
      <c r="J98" s="65">
        <v>0.12257281553398031</v>
      </c>
      <c r="K98" s="65">
        <v>0.11865942028985496</v>
      </c>
      <c r="L98" s="65">
        <f t="shared" si="4"/>
        <v>0.11540759709773779</v>
      </c>
      <c r="M98" s="65">
        <f t="shared" si="5"/>
        <v>0.19611650485436849</v>
      </c>
      <c r="N98" s="65">
        <f t="shared" si="6"/>
        <v>0.18985507246376795</v>
      </c>
    </row>
    <row r="99" spans="1:14" x14ac:dyDescent="0.25">
      <c r="A99">
        <v>2008</v>
      </c>
      <c r="B99" s="66">
        <v>39630</v>
      </c>
      <c r="C99" t="s">
        <v>95</v>
      </c>
      <c r="D99">
        <v>45</v>
      </c>
      <c r="E99" s="16">
        <v>52.79999999999999</v>
      </c>
      <c r="F99" s="16">
        <v>15.733333333333334</v>
      </c>
      <c r="G99" s="16">
        <v>31.466666666666672</v>
      </c>
      <c r="H99" t="s">
        <v>1</v>
      </c>
      <c r="I99" s="65">
        <v>0.10977242302543509</v>
      </c>
      <c r="J99" s="65">
        <v>0.15910931174089099</v>
      </c>
      <c r="K99" s="65">
        <v>0.17625570776255706</v>
      </c>
      <c r="L99" s="65">
        <f t="shared" si="4"/>
        <v>0.17563587684069615</v>
      </c>
      <c r="M99" s="65">
        <f t="shared" si="5"/>
        <v>0.25457489878542561</v>
      </c>
      <c r="N99" s="65">
        <f t="shared" si="6"/>
        <v>0.28200913242009129</v>
      </c>
    </row>
    <row r="100" spans="1:14" x14ac:dyDescent="0.25">
      <c r="A100">
        <v>2008</v>
      </c>
      <c r="B100" s="66">
        <v>39630</v>
      </c>
      <c r="C100" t="s">
        <v>95</v>
      </c>
      <c r="D100">
        <v>75</v>
      </c>
      <c r="E100" s="16">
        <v>48.866666666666667</v>
      </c>
      <c r="F100" s="16">
        <v>16.333333333333329</v>
      </c>
      <c r="G100" s="16">
        <v>34.800000000000004</v>
      </c>
      <c r="H100" t="s">
        <v>1</v>
      </c>
      <c r="I100" s="65">
        <v>9.9861303744798721E-2</v>
      </c>
      <c r="J100" s="65">
        <v>0.1678863538527765</v>
      </c>
      <c r="K100" s="65">
        <v>0.1886569515557309</v>
      </c>
      <c r="L100" s="65">
        <f t="shared" si="4"/>
        <v>0.15977808599167798</v>
      </c>
      <c r="M100" s="65">
        <f t="shared" si="5"/>
        <v>0.2686181661644424</v>
      </c>
      <c r="N100" s="65">
        <f t="shared" si="6"/>
        <v>0.30185112248916945</v>
      </c>
    </row>
    <row r="101" spans="1:14" x14ac:dyDescent="0.25">
      <c r="A101">
        <v>2008</v>
      </c>
      <c r="B101" s="66">
        <v>39630</v>
      </c>
      <c r="C101" t="s">
        <v>95</v>
      </c>
      <c r="D101">
        <v>105</v>
      </c>
      <c r="E101" s="16">
        <v>76.133333333333326</v>
      </c>
      <c r="F101" s="16">
        <v>9.0666666666666771</v>
      </c>
      <c r="G101" s="16">
        <v>14.800000000000002</v>
      </c>
      <c r="H101" t="s">
        <v>0</v>
      </c>
      <c r="I101" s="65">
        <v>5.3542673107890439E-2</v>
      </c>
      <c r="J101" s="65">
        <v>7.717171717171703E-2</v>
      </c>
      <c r="K101" s="65">
        <v>0.12132352941176459</v>
      </c>
      <c r="L101" s="65">
        <f t="shared" si="4"/>
        <v>8.5668276972624705E-2</v>
      </c>
      <c r="M101" s="65">
        <f t="shared" si="5"/>
        <v>0.12347474747474725</v>
      </c>
      <c r="N101" s="65">
        <f t="shared" si="6"/>
        <v>0.19411764705882337</v>
      </c>
    </row>
    <row r="102" spans="1:14" x14ac:dyDescent="0.25">
      <c r="A102">
        <v>2008</v>
      </c>
      <c r="B102" s="66">
        <v>39630</v>
      </c>
      <c r="C102" t="s">
        <v>95</v>
      </c>
      <c r="D102">
        <v>135</v>
      </c>
      <c r="E102" s="16">
        <v>78.26666666666668</v>
      </c>
      <c r="F102" s="16">
        <v>8.5999999999999801</v>
      </c>
      <c r="G102" s="16">
        <v>13.133333333333336</v>
      </c>
      <c r="H102" t="s">
        <v>0</v>
      </c>
      <c r="I102" s="65">
        <v>5.6278713629402712E-2</v>
      </c>
      <c r="J102" s="65">
        <v>5.9668853483286356E-2</v>
      </c>
      <c r="K102" s="65">
        <v>0.11497890295358634</v>
      </c>
      <c r="L102" s="65">
        <f t="shared" si="4"/>
        <v>9.0045941807044338E-2</v>
      </c>
      <c r="M102" s="65">
        <f t="shared" si="5"/>
        <v>9.5470165573258173E-2</v>
      </c>
      <c r="N102" s="65">
        <f t="shared" si="6"/>
        <v>0.18396624472573817</v>
      </c>
    </row>
    <row r="103" spans="1:14" x14ac:dyDescent="0.25">
      <c r="A103">
        <v>2008</v>
      </c>
      <c r="B103" s="66">
        <v>39630</v>
      </c>
      <c r="C103" t="s">
        <v>95</v>
      </c>
      <c r="D103">
        <v>165</v>
      </c>
      <c r="E103" s="16">
        <v>74.933333333333323</v>
      </c>
      <c r="F103" s="16">
        <v>8.0000000000000142</v>
      </c>
      <c r="G103" s="16">
        <v>17.066666666666663</v>
      </c>
      <c r="H103" t="s">
        <v>0</v>
      </c>
      <c r="I103" s="65">
        <v>7.6831210191082772E-2</v>
      </c>
      <c r="J103" s="65">
        <v>0.12868332711674757</v>
      </c>
      <c r="K103" s="65">
        <v>0.12959866220735791</v>
      </c>
      <c r="L103" s="65">
        <f t="shared" si="4"/>
        <v>0.12292993630573244</v>
      </c>
      <c r="M103" s="65">
        <f t="shared" si="5"/>
        <v>0.20589332338679611</v>
      </c>
      <c r="N103" s="65">
        <f t="shared" si="6"/>
        <v>0.20735785953177266</v>
      </c>
    </row>
    <row r="104" spans="1:14" x14ac:dyDescent="0.25">
      <c r="A104">
        <v>2008</v>
      </c>
      <c r="B104" s="66">
        <v>39630</v>
      </c>
      <c r="C104" t="s">
        <v>96</v>
      </c>
      <c r="D104">
        <v>15</v>
      </c>
      <c r="E104" s="16">
        <v>67.799999999999983</v>
      </c>
      <c r="F104" s="16">
        <v>10.733333333333348</v>
      </c>
      <c r="G104" s="16">
        <v>21.466666666666669</v>
      </c>
      <c r="H104" t="s">
        <v>1</v>
      </c>
      <c r="I104" s="65">
        <v>7.6312307013674321E-2</v>
      </c>
      <c r="J104" s="65">
        <v>0.11003372681281613</v>
      </c>
      <c r="K104" s="65">
        <v>0.12753950338600459</v>
      </c>
      <c r="L104" s="65">
        <f t="shared" si="4"/>
        <v>0.12209969122187891</v>
      </c>
      <c r="M104" s="65">
        <f t="shared" si="5"/>
        <v>0.17605396290050582</v>
      </c>
      <c r="N104" s="65">
        <f t="shared" si="6"/>
        <v>0.20406320541760736</v>
      </c>
    </row>
    <row r="105" spans="1:14" x14ac:dyDescent="0.25">
      <c r="A105">
        <v>2008</v>
      </c>
      <c r="B105" s="66">
        <v>39630</v>
      </c>
      <c r="C105" t="s">
        <v>96</v>
      </c>
      <c r="D105">
        <v>45</v>
      </c>
      <c r="E105" s="16">
        <v>49.466666666666661</v>
      </c>
      <c r="F105" s="16">
        <v>15.733333333333334</v>
      </c>
      <c r="G105" s="16">
        <v>34.800000000000004</v>
      </c>
      <c r="H105" t="s">
        <v>1</v>
      </c>
      <c r="I105" s="65">
        <v>0.11615245009074388</v>
      </c>
      <c r="J105" s="65">
        <v>0.16825775656324601</v>
      </c>
      <c r="K105" s="65">
        <v>0.19091796874999981</v>
      </c>
      <c r="L105" s="65">
        <f t="shared" si="4"/>
        <v>0.18584392014519022</v>
      </c>
      <c r="M105" s="65">
        <f t="shared" si="5"/>
        <v>0.26921241050119366</v>
      </c>
      <c r="N105" s="65">
        <f t="shared" si="6"/>
        <v>0.30546874999999973</v>
      </c>
    </row>
    <row r="106" spans="1:14" x14ac:dyDescent="0.25">
      <c r="A106">
        <v>2008</v>
      </c>
      <c r="B106" s="66">
        <v>39630</v>
      </c>
      <c r="C106" t="s">
        <v>96</v>
      </c>
      <c r="D106">
        <v>75</v>
      </c>
      <c r="E106" s="16">
        <v>51.6</v>
      </c>
      <c r="F106" s="16">
        <v>15.266666666666652</v>
      </c>
      <c r="G106" s="16">
        <v>33.13333333333334</v>
      </c>
      <c r="H106" t="s">
        <v>1</v>
      </c>
      <c r="I106" s="65">
        <v>0.10584250635055036</v>
      </c>
      <c r="J106" s="65">
        <v>0.15971394517282522</v>
      </c>
      <c r="K106" s="65">
        <v>0.18933574333483985</v>
      </c>
      <c r="L106" s="65">
        <f t="shared" si="4"/>
        <v>0.16934801016088058</v>
      </c>
      <c r="M106" s="65">
        <f t="shared" si="5"/>
        <v>0.25554231227652036</v>
      </c>
      <c r="N106" s="65">
        <f t="shared" si="6"/>
        <v>0.30293718933574376</v>
      </c>
    </row>
    <row r="107" spans="1:14" x14ac:dyDescent="0.25">
      <c r="A107">
        <v>2008</v>
      </c>
      <c r="B107" s="66">
        <v>39630</v>
      </c>
      <c r="C107" t="s">
        <v>96</v>
      </c>
      <c r="D107">
        <v>105</v>
      </c>
      <c r="E107" s="16">
        <v>54.933333333333337</v>
      </c>
      <c r="F107" s="16">
        <v>16.933333333333323</v>
      </c>
      <c r="G107" s="16">
        <v>28.133333333333336</v>
      </c>
      <c r="H107" t="s">
        <v>1</v>
      </c>
      <c r="I107" s="65">
        <v>8.4918793503480194E-2</v>
      </c>
      <c r="J107" s="65">
        <v>0.13261296660117858</v>
      </c>
      <c r="K107" s="65">
        <v>0.16239316239316229</v>
      </c>
      <c r="L107" s="65">
        <f t="shared" si="4"/>
        <v>0.13587006960556833</v>
      </c>
      <c r="M107" s="65">
        <f t="shared" si="5"/>
        <v>0.21218074656188574</v>
      </c>
      <c r="N107" s="65">
        <f t="shared" si="6"/>
        <v>0.25982905982905968</v>
      </c>
    </row>
    <row r="108" spans="1:14" x14ac:dyDescent="0.25">
      <c r="A108">
        <v>2008</v>
      </c>
      <c r="B108" s="66">
        <v>39630</v>
      </c>
      <c r="C108" t="s">
        <v>96</v>
      </c>
      <c r="D108">
        <v>135</v>
      </c>
      <c r="E108" s="16">
        <v>74.466666666666654</v>
      </c>
      <c r="F108" s="16">
        <v>7.4000000000000057</v>
      </c>
      <c r="G108" s="16">
        <v>18.133333333333333</v>
      </c>
      <c r="H108" t="s">
        <v>0</v>
      </c>
      <c r="I108" s="65">
        <v>7.0945945945945929E-2</v>
      </c>
      <c r="J108" s="65">
        <v>9.5391705069124422E-2</v>
      </c>
      <c r="K108" s="65">
        <v>0.12134831460674193</v>
      </c>
      <c r="L108" s="65">
        <f t="shared" si="4"/>
        <v>0.11351351351351349</v>
      </c>
      <c r="M108" s="65">
        <f t="shared" si="5"/>
        <v>0.15262672811059907</v>
      </c>
      <c r="N108" s="65">
        <f t="shared" si="6"/>
        <v>0.1941573033707871</v>
      </c>
    </row>
    <row r="109" spans="1:14" x14ac:dyDescent="0.25">
      <c r="A109">
        <v>2008</v>
      </c>
      <c r="B109" s="66">
        <v>39630</v>
      </c>
      <c r="C109" t="s">
        <v>96</v>
      </c>
      <c r="D109">
        <v>165</v>
      </c>
      <c r="E109" s="16">
        <v>66.133333333333326</v>
      </c>
      <c r="F109" s="16">
        <v>9.6666666666666714</v>
      </c>
      <c r="G109" s="16">
        <v>24.200000000000006</v>
      </c>
      <c r="H109" t="s">
        <v>1</v>
      </c>
      <c r="I109" s="65">
        <v>0.11625663289917974</v>
      </c>
      <c r="J109" s="65">
        <v>0.17787188988883004</v>
      </c>
      <c r="K109" s="65">
        <v>0.23051487954652822</v>
      </c>
      <c r="L109" s="65">
        <f t="shared" si="4"/>
        <v>0.18601061263868759</v>
      </c>
      <c r="M109" s="65">
        <f t="shared" si="5"/>
        <v>0.28459502382212809</v>
      </c>
      <c r="N109" s="65">
        <f t="shared" si="6"/>
        <v>0.36882380727444519</v>
      </c>
    </row>
    <row r="110" spans="1:14" x14ac:dyDescent="0.25">
      <c r="A110">
        <v>2008</v>
      </c>
      <c r="B110" s="66">
        <v>39630</v>
      </c>
      <c r="C110" t="s">
        <v>97</v>
      </c>
      <c r="D110">
        <v>15</v>
      </c>
      <c r="E110" s="16">
        <v>70.8</v>
      </c>
      <c r="F110" s="16">
        <v>8.3333333333333286</v>
      </c>
      <c r="G110" s="16">
        <v>20.866666666666674</v>
      </c>
      <c r="H110" t="s">
        <v>1</v>
      </c>
      <c r="I110" s="65">
        <v>7.8596802841918126E-2</v>
      </c>
      <c r="J110" s="65">
        <v>0.10798122065727687</v>
      </c>
      <c r="K110" s="65">
        <v>0.11687725631768935</v>
      </c>
      <c r="L110" s="65">
        <f t="shared" si="4"/>
        <v>0.12575488454706901</v>
      </c>
      <c r="M110" s="65">
        <f t="shared" si="5"/>
        <v>0.172769953051643</v>
      </c>
      <c r="N110" s="65">
        <f t="shared" si="6"/>
        <v>0.18700361010830296</v>
      </c>
    </row>
    <row r="111" spans="1:14" x14ac:dyDescent="0.25">
      <c r="A111">
        <v>2008</v>
      </c>
      <c r="B111" s="66">
        <v>39630</v>
      </c>
      <c r="C111" t="s">
        <v>97</v>
      </c>
      <c r="D111">
        <v>45</v>
      </c>
      <c r="E111" s="16">
        <v>59.133333333333326</v>
      </c>
      <c r="F111" s="16">
        <v>10</v>
      </c>
      <c r="G111" s="16">
        <v>30.866666666666671</v>
      </c>
      <c r="H111" t="s">
        <v>1</v>
      </c>
      <c r="I111" s="65">
        <v>0.10900243309002405</v>
      </c>
      <c r="J111" s="65">
        <v>0.14720812182741108</v>
      </c>
      <c r="K111" s="65">
        <v>0.15623687526249469</v>
      </c>
      <c r="L111" s="65">
        <f t="shared" si="4"/>
        <v>0.17440389294403849</v>
      </c>
      <c r="M111" s="65">
        <f t="shared" si="5"/>
        <v>0.23553299492385774</v>
      </c>
      <c r="N111" s="65">
        <f t="shared" si="6"/>
        <v>0.24997900041999152</v>
      </c>
    </row>
    <row r="112" spans="1:14" x14ac:dyDescent="0.25">
      <c r="A112">
        <v>2008</v>
      </c>
      <c r="B112" s="66">
        <v>39630</v>
      </c>
      <c r="C112" t="s">
        <v>97</v>
      </c>
      <c r="D112">
        <v>75</v>
      </c>
      <c r="E112" s="16">
        <v>53.400000000000006</v>
      </c>
      <c r="F112" s="16">
        <v>21.799999999999983</v>
      </c>
      <c r="G112" s="16">
        <v>24.800000000000004</v>
      </c>
      <c r="H112" t="s">
        <v>1</v>
      </c>
      <c r="I112" s="65">
        <v>0.10877350044762756</v>
      </c>
      <c r="J112" s="65">
        <v>0.15652173913043455</v>
      </c>
      <c r="K112" s="65">
        <v>0.16702263989747984</v>
      </c>
      <c r="L112" s="65">
        <f t="shared" si="4"/>
        <v>0.17403760071620411</v>
      </c>
      <c r="M112" s="65">
        <f t="shared" si="5"/>
        <v>0.25043478260869528</v>
      </c>
      <c r="N112" s="65">
        <f t="shared" si="6"/>
        <v>0.26723622383596773</v>
      </c>
    </row>
    <row r="113" spans="1:14" x14ac:dyDescent="0.25">
      <c r="A113">
        <v>2008</v>
      </c>
      <c r="B113" s="66">
        <v>39630</v>
      </c>
      <c r="C113" t="s">
        <v>97</v>
      </c>
      <c r="D113">
        <v>105</v>
      </c>
      <c r="E113" s="16">
        <v>66.733333333333334</v>
      </c>
      <c r="F113" s="16">
        <v>9.0666666666666629</v>
      </c>
      <c r="G113" s="16">
        <v>24.200000000000006</v>
      </c>
      <c r="H113" t="s">
        <v>1</v>
      </c>
      <c r="I113" s="65">
        <v>7.5507314771118522E-2</v>
      </c>
      <c r="J113" s="65">
        <v>0.10697674418604639</v>
      </c>
      <c r="K113" s="65">
        <v>0.20024271844660202</v>
      </c>
      <c r="L113" s="65">
        <f t="shared" si="4"/>
        <v>0.12081170363378964</v>
      </c>
      <c r="M113" s="65">
        <f t="shared" si="5"/>
        <v>0.17116279069767423</v>
      </c>
      <c r="N113" s="65">
        <f t="shared" si="6"/>
        <v>0.32038834951456324</v>
      </c>
    </row>
    <row r="114" spans="1:14" x14ac:dyDescent="0.25">
      <c r="A114">
        <v>2008</v>
      </c>
      <c r="B114" s="66">
        <v>39630</v>
      </c>
      <c r="C114" t="s">
        <v>97</v>
      </c>
      <c r="D114">
        <v>135</v>
      </c>
      <c r="E114" s="16">
        <v>72.799999999999983</v>
      </c>
      <c r="F114" s="16">
        <v>5.7333333333333485</v>
      </c>
      <c r="G114" s="16">
        <v>21.466666666666669</v>
      </c>
      <c r="H114" t="s">
        <v>1</v>
      </c>
      <c r="I114" s="65">
        <v>6.8798449612403181E-2</v>
      </c>
      <c r="J114" s="65">
        <v>0.10396039603960401</v>
      </c>
      <c r="K114" s="65">
        <v>0.12380952380952377</v>
      </c>
      <c r="L114" s="65">
        <f t="shared" si="4"/>
        <v>0.1100775193798451</v>
      </c>
      <c r="M114" s="65">
        <f t="shared" si="5"/>
        <v>0.16633663366336643</v>
      </c>
      <c r="N114" s="65">
        <f t="shared" si="6"/>
        <v>0.19809523809523805</v>
      </c>
    </row>
    <row r="115" spans="1:14" x14ac:dyDescent="0.25">
      <c r="A115">
        <v>2008</v>
      </c>
      <c r="B115" s="66">
        <v>39630</v>
      </c>
      <c r="C115" t="s">
        <v>97</v>
      </c>
      <c r="D115">
        <v>165</v>
      </c>
      <c r="E115" s="16">
        <v>69.466666666666654</v>
      </c>
      <c r="F115" s="16">
        <v>9.0666666666666771</v>
      </c>
      <c r="G115" s="16">
        <v>21.466666666666669</v>
      </c>
      <c r="H115" t="s">
        <v>1</v>
      </c>
      <c r="I115" s="65">
        <v>8.6244070720137997E-2</v>
      </c>
      <c r="J115" s="65">
        <v>0.1702127659574468</v>
      </c>
      <c r="K115" s="65">
        <v>0.12983327421071292</v>
      </c>
      <c r="L115" s="65">
        <f t="shared" si="4"/>
        <v>0.1379905131522208</v>
      </c>
      <c r="M115" s="65">
        <f t="shared" si="5"/>
        <v>0.2723404255319149</v>
      </c>
      <c r="N115" s="65">
        <f t="shared" si="6"/>
        <v>0.20773323873714067</v>
      </c>
    </row>
    <row r="116" spans="1:14" x14ac:dyDescent="0.25">
      <c r="A116">
        <v>2008</v>
      </c>
      <c r="B116" s="66">
        <v>39630</v>
      </c>
      <c r="C116" t="s">
        <v>98</v>
      </c>
      <c r="D116">
        <v>15</v>
      </c>
      <c r="E116" s="16">
        <v>63.4</v>
      </c>
      <c r="F116" s="16">
        <v>11.200000000000003</v>
      </c>
      <c r="G116" s="16">
        <v>25.399999999999995</v>
      </c>
      <c r="H116" t="s">
        <v>1</v>
      </c>
      <c r="I116" s="65">
        <v>8.7360594795539134E-2</v>
      </c>
      <c r="J116" s="65">
        <v>0.10050251256281408</v>
      </c>
      <c r="K116" s="65">
        <v>0.14323374340949058</v>
      </c>
      <c r="L116" s="65">
        <f t="shared" si="4"/>
        <v>0.13977695167286261</v>
      </c>
      <c r="M116" s="65">
        <f t="shared" si="5"/>
        <v>0.16080402010050254</v>
      </c>
      <c r="N116" s="65">
        <f t="shared" si="6"/>
        <v>0.22917398945518494</v>
      </c>
    </row>
    <row r="117" spans="1:14" x14ac:dyDescent="0.25">
      <c r="A117">
        <v>2008</v>
      </c>
      <c r="B117" s="66">
        <v>39630</v>
      </c>
      <c r="C117" t="s">
        <v>98</v>
      </c>
      <c r="D117">
        <v>45</v>
      </c>
      <c r="E117" s="16">
        <v>60.666666666666671</v>
      </c>
      <c r="F117" s="16">
        <v>14.533333333333331</v>
      </c>
      <c r="G117" s="16">
        <v>24.800000000000004</v>
      </c>
      <c r="H117" t="s">
        <v>1</v>
      </c>
      <c r="I117" s="65">
        <v>7.7777777777777821E-2</v>
      </c>
      <c r="J117" s="65">
        <v>0.13139931740614325</v>
      </c>
      <c r="K117" s="65">
        <v>0.16834617664493198</v>
      </c>
      <c r="L117" s="65">
        <f t="shared" si="4"/>
        <v>0.12444444444444452</v>
      </c>
      <c r="M117" s="65">
        <f t="shared" si="5"/>
        <v>0.21023890784982921</v>
      </c>
      <c r="N117" s="65">
        <f t="shared" si="6"/>
        <v>0.26935388263189119</v>
      </c>
    </row>
    <row r="118" spans="1:14" x14ac:dyDescent="0.25">
      <c r="A118">
        <v>2008</v>
      </c>
      <c r="B118" s="66">
        <v>39630</v>
      </c>
      <c r="C118" t="s">
        <v>98</v>
      </c>
      <c r="D118">
        <v>75</v>
      </c>
      <c r="E118" s="16">
        <v>65.533333333333331</v>
      </c>
      <c r="F118" s="16">
        <v>12.400000000000006</v>
      </c>
      <c r="G118" s="16">
        <v>22.066666666666666</v>
      </c>
      <c r="H118" t="s">
        <v>1</v>
      </c>
      <c r="I118" s="65">
        <v>7.8705939159825947E-2</v>
      </c>
      <c r="J118" s="65">
        <v>0.17563361493997348</v>
      </c>
      <c r="K118" s="65">
        <v>0.11571254567600463</v>
      </c>
      <c r="L118" s="65">
        <f t="shared" si="4"/>
        <v>0.12592950265572153</v>
      </c>
      <c r="M118" s="65">
        <f t="shared" si="5"/>
        <v>0.28101378390395759</v>
      </c>
      <c r="N118" s="65">
        <f t="shared" si="6"/>
        <v>0.1851400730816074</v>
      </c>
    </row>
    <row r="119" spans="1:14" x14ac:dyDescent="0.25">
      <c r="A119">
        <v>2008</v>
      </c>
      <c r="B119" s="66">
        <v>39630</v>
      </c>
      <c r="C119" t="s">
        <v>98</v>
      </c>
      <c r="D119">
        <v>105</v>
      </c>
      <c r="E119" s="16">
        <v>65.533333333333331</v>
      </c>
      <c r="F119" s="16">
        <v>12.400000000000006</v>
      </c>
      <c r="G119" s="16">
        <v>22.066666666666666</v>
      </c>
      <c r="H119" t="s">
        <v>1</v>
      </c>
      <c r="I119" s="65">
        <v>7.913998170173818E-2</v>
      </c>
      <c r="J119" s="65">
        <v>0.16245136186770409</v>
      </c>
      <c r="K119" s="65">
        <v>0.13426514188903016</v>
      </c>
      <c r="L119" s="65">
        <f t="shared" si="4"/>
        <v>0.12662397072278109</v>
      </c>
      <c r="M119" s="65">
        <f t="shared" si="5"/>
        <v>0.25992217898832654</v>
      </c>
      <c r="N119" s="65">
        <f t="shared" si="6"/>
        <v>0.21482422702244827</v>
      </c>
    </row>
    <row r="120" spans="1:14" x14ac:dyDescent="0.25">
      <c r="A120">
        <v>2008</v>
      </c>
      <c r="B120" s="66">
        <v>39630</v>
      </c>
      <c r="C120" t="s">
        <v>98</v>
      </c>
      <c r="D120">
        <v>135</v>
      </c>
      <c r="E120" s="16">
        <v>75.799999999999983</v>
      </c>
      <c r="F120" s="16">
        <v>6.6666666666666714</v>
      </c>
      <c r="G120" s="16">
        <v>17.533333333333342</v>
      </c>
      <c r="H120" t="s">
        <v>0</v>
      </c>
      <c r="I120" s="65">
        <v>5.4724409448818921E-2</v>
      </c>
      <c r="J120" s="65">
        <v>0.12406839105655405</v>
      </c>
      <c r="K120" s="65">
        <v>0.10335917312661493</v>
      </c>
      <c r="L120" s="65">
        <f t="shared" si="4"/>
        <v>8.7559055118110282E-2</v>
      </c>
      <c r="M120" s="65">
        <f t="shared" si="5"/>
        <v>0.19850942569048649</v>
      </c>
      <c r="N120" s="65">
        <f t="shared" si="6"/>
        <v>0.1653746770025839</v>
      </c>
    </row>
    <row r="121" spans="1:14" x14ac:dyDescent="0.25">
      <c r="A121">
        <v>2008</v>
      </c>
      <c r="B121" s="66">
        <v>39630</v>
      </c>
      <c r="C121" t="s">
        <v>98</v>
      </c>
      <c r="D121">
        <v>165</v>
      </c>
      <c r="E121" s="16">
        <v>65.8</v>
      </c>
      <c r="F121" s="16">
        <v>10</v>
      </c>
      <c r="G121" s="16">
        <v>24.200000000000006</v>
      </c>
      <c r="H121" t="s">
        <v>1</v>
      </c>
      <c r="I121" s="65">
        <v>0.10473588342440786</v>
      </c>
      <c r="J121" s="65">
        <v>0.12446351931330467</v>
      </c>
      <c r="K121" s="65">
        <v>0.16430469441984061</v>
      </c>
      <c r="L121" s="65">
        <f t="shared" si="4"/>
        <v>0.16757741347905258</v>
      </c>
      <c r="M121" s="65">
        <f t="shared" si="5"/>
        <v>0.19914163090128748</v>
      </c>
      <c r="N121" s="65">
        <f t="shared" si="6"/>
        <v>0.26288751107174496</v>
      </c>
    </row>
    <row r="122" spans="1:14" x14ac:dyDescent="0.25">
      <c r="A122">
        <v>2008</v>
      </c>
      <c r="B122" s="66">
        <v>39630</v>
      </c>
      <c r="C122" t="s">
        <v>99</v>
      </c>
      <c r="D122">
        <v>15</v>
      </c>
      <c r="E122" s="16">
        <v>77.333333333333329</v>
      </c>
      <c r="F122" s="16">
        <v>7.8666666666666742</v>
      </c>
      <c r="G122" s="16">
        <v>14.800000000000002</v>
      </c>
      <c r="H122" t="s">
        <v>0</v>
      </c>
      <c r="I122" s="65">
        <v>8.1272084805653538E-2</v>
      </c>
      <c r="J122" s="65">
        <v>0.11259842519685037</v>
      </c>
      <c r="K122" s="65">
        <v>0.12731481481481469</v>
      </c>
      <c r="L122" s="65">
        <f t="shared" si="4"/>
        <v>0.13003533568904566</v>
      </c>
      <c r="M122" s="65">
        <f t="shared" si="5"/>
        <v>0.18015748031496059</v>
      </c>
      <c r="N122" s="65">
        <f t="shared" si="6"/>
        <v>0.2037037037037035</v>
      </c>
    </row>
    <row r="123" spans="1:14" x14ac:dyDescent="0.25">
      <c r="A123">
        <v>2008</v>
      </c>
      <c r="B123" s="66">
        <v>39630</v>
      </c>
      <c r="C123" t="s">
        <v>99</v>
      </c>
      <c r="D123">
        <v>45</v>
      </c>
      <c r="E123" s="16">
        <v>66.133333333333326</v>
      </c>
      <c r="F123" s="16">
        <v>12.400000000000006</v>
      </c>
      <c r="G123" s="16">
        <v>21.466666666666669</v>
      </c>
      <c r="H123" t="s">
        <v>1</v>
      </c>
      <c r="I123" s="65">
        <v>9.3535749265426238E-2</v>
      </c>
      <c r="J123" s="65">
        <v>0.13694581280788184</v>
      </c>
      <c r="K123" s="65">
        <v>0.17130518234165071</v>
      </c>
      <c r="L123" s="65">
        <f t="shared" si="4"/>
        <v>0.14965719882468198</v>
      </c>
      <c r="M123" s="65">
        <f t="shared" si="5"/>
        <v>0.21911330049261096</v>
      </c>
      <c r="N123" s="65">
        <f t="shared" si="6"/>
        <v>0.27408829174664112</v>
      </c>
    </row>
    <row r="124" spans="1:14" x14ac:dyDescent="0.25">
      <c r="A124">
        <v>2008</v>
      </c>
      <c r="B124" s="66">
        <v>39630</v>
      </c>
      <c r="C124" t="s">
        <v>99</v>
      </c>
      <c r="D124">
        <v>75</v>
      </c>
      <c r="E124" s="16">
        <v>58.266666666666666</v>
      </c>
      <c r="F124" s="16">
        <v>16.933333333333337</v>
      </c>
      <c r="G124" s="16">
        <v>24.800000000000004</v>
      </c>
      <c r="H124" t="s">
        <v>1</v>
      </c>
      <c r="I124" s="65">
        <v>9.8712446351931313E-2</v>
      </c>
      <c r="J124" s="65">
        <v>0.14875730994152017</v>
      </c>
      <c r="K124" s="65">
        <v>0.17155525238744884</v>
      </c>
      <c r="L124" s="65">
        <f t="shared" si="4"/>
        <v>0.15793991416309011</v>
      </c>
      <c r="M124" s="65">
        <f t="shared" si="5"/>
        <v>0.23801169590643229</v>
      </c>
      <c r="N124" s="65">
        <f t="shared" si="6"/>
        <v>0.27448840381991818</v>
      </c>
    </row>
    <row r="125" spans="1:14" x14ac:dyDescent="0.25">
      <c r="A125">
        <v>2008</v>
      </c>
      <c r="B125" s="66">
        <v>39630</v>
      </c>
      <c r="C125" t="s">
        <v>99</v>
      </c>
      <c r="D125">
        <v>105</v>
      </c>
      <c r="E125" s="16">
        <v>61.6</v>
      </c>
      <c r="F125" s="16">
        <v>16.933333333333337</v>
      </c>
      <c r="G125" s="16">
        <v>21.466666666666669</v>
      </c>
      <c r="H125" t="s">
        <v>1</v>
      </c>
      <c r="I125" s="65">
        <v>8.8207985143918227E-2</v>
      </c>
      <c r="J125" s="65">
        <v>0.13338503295851098</v>
      </c>
      <c r="K125" s="65">
        <v>0.16395394998015098</v>
      </c>
      <c r="L125" s="65">
        <f t="shared" si="4"/>
        <v>0.14113277623026918</v>
      </c>
      <c r="M125" s="65">
        <f t="shared" si="5"/>
        <v>0.21341605273361758</v>
      </c>
      <c r="N125" s="65">
        <f t="shared" si="6"/>
        <v>0.26232631996824157</v>
      </c>
    </row>
    <row r="126" spans="1:14" x14ac:dyDescent="0.25">
      <c r="A126">
        <v>2008</v>
      </c>
      <c r="B126" s="66">
        <v>39630</v>
      </c>
      <c r="C126" t="s">
        <v>99</v>
      </c>
      <c r="D126">
        <v>135</v>
      </c>
      <c r="E126" s="16">
        <v>64.933333333333337</v>
      </c>
      <c r="F126" s="16">
        <v>11.333333333333329</v>
      </c>
      <c r="G126" s="16">
        <v>23.733333333333331</v>
      </c>
      <c r="H126" t="s">
        <v>1</v>
      </c>
      <c r="I126" s="65">
        <v>9.3564582382473963E-2</v>
      </c>
      <c r="J126" s="65">
        <v>0.1403508771929825</v>
      </c>
      <c r="K126" s="65">
        <v>0.1678863538527765</v>
      </c>
      <c r="L126" s="65">
        <f t="shared" si="4"/>
        <v>0.14970333181195836</v>
      </c>
      <c r="M126" s="65">
        <f t="shared" si="5"/>
        <v>0.22456140350877202</v>
      </c>
      <c r="N126" s="65">
        <f t="shared" si="6"/>
        <v>0.2686181661644424</v>
      </c>
    </row>
    <row r="127" spans="1:14" x14ac:dyDescent="0.25">
      <c r="A127">
        <v>2008</v>
      </c>
      <c r="B127" s="66">
        <v>39630</v>
      </c>
      <c r="C127" t="s">
        <v>99</v>
      </c>
      <c r="D127">
        <v>165</v>
      </c>
      <c r="E127" s="16">
        <v>62.666666666666671</v>
      </c>
      <c r="F127" s="16">
        <v>11.333333333333329</v>
      </c>
      <c r="G127" s="16">
        <v>26</v>
      </c>
      <c r="H127" t="s">
        <v>1</v>
      </c>
      <c r="I127" s="65">
        <v>0.14467120181405921</v>
      </c>
      <c r="J127" s="65">
        <v>0.1822820037105751</v>
      </c>
      <c r="K127" s="65">
        <v>0.2202005198663198</v>
      </c>
      <c r="L127" s="65">
        <f t="shared" si="4"/>
        <v>0.23147392290249474</v>
      </c>
      <c r="M127" s="65">
        <f t="shared" si="5"/>
        <v>0.29165120593692018</v>
      </c>
      <c r="N127" s="65">
        <f t="shared" si="6"/>
        <v>0.35232083178611173</v>
      </c>
    </row>
    <row r="128" spans="1:14" x14ac:dyDescent="0.25">
      <c r="A128">
        <v>2008</v>
      </c>
      <c r="B128" s="66">
        <v>39630</v>
      </c>
      <c r="C128" t="s">
        <v>100</v>
      </c>
      <c r="D128">
        <v>15</v>
      </c>
      <c r="E128" s="16">
        <v>60.533333333333339</v>
      </c>
      <c r="F128" s="16">
        <v>11.333333333333329</v>
      </c>
      <c r="G128" s="16">
        <v>28.133333333333336</v>
      </c>
      <c r="H128" t="s">
        <v>1</v>
      </c>
      <c r="I128" s="65">
        <v>8.1244196843082636E-2</v>
      </c>
      <c r="J128" s="65">
        <v>0.12810405991328339</v>
      </c>
      <c r="K128" s="65">
        <v>0.15864022662889518</v>
      </c>
      <c r="L128" s="65">
        <f t="shared" si="4"/>
        <v>0.12999071494893222</v>
      </c>
      <c r="M128" s="65">
        <f t="shared" si="5"/>
        <v>0.20496649586125343</v>
      </c>
      <c r="N128" s="65">
        <f t="shared" si="6"/>
        <v>0.25382436260623231</v>
      </c>
    </row>
    <row r="129" spans="1:14" x14ac:dyDescent="0.25">
      <c r="A129">
        <v>2008</v>
      </c>
      <c r="B129" s="66">
        <v>39630</v>
      </c>
      <c r="C129" t="s">
        <v>100</v>
      </c>
      <c r="D129">
        <v>45</v>
      </c>
      <c r="E129" s="16">
        <v>49.466666666666661</v>
      </c>
      <c r="F129" s="16">
        <v>15.733333333333334</v>
      </c>
      <c r="G129" s="16">
        <v>34.800000000000004</v>
      </c>
      <c r="H129" t="s">
        <v>1</v>
      </c>
      <c r="I129" s="65">
        <v>0.12768031189083806</v>
      </c>
      <c r="J129" s="65">
        <v>0.16769547325102874</v>
      </c>
      <c r="K129" s="65">
        <v>0.20194647201946486</v>
      </c>
      <c r="L129" s="65">
        <f t="shared" si="4"/>
        <v>0.20428849902534091</v>
      </c>
      <c r="M129" s="65">
        <f t="shared" si="5"/>
        <v>0.26831275720164599</v>
      </c>
      <c r="N129" s="65">
        <f t="shared" si="6"/>
        <v>0.32311435523114379</v>
      </c>
    </row>
    <row r="130" spans="1:14" x14ac:dyDescent="0.25">
      <c r="A130">
        <v>2008</v>
      </c>
      <c r="B130" s="66">
        <v>39630</v>
      </c>
      <c r="C130" t="s">
        <v>100</v>
      </c>
      <c r="D130">
        <v>75</v>
      </c>
      <c r="E130" s="16">
        <v>61.6</v>
      </c>
      <c r="F130" s="16">
        <v>13.599999999999994</v>
      </c>
      <c r="G130" s="16">
        <v>24.800000000000004</v>
      </c>
      <c r="H130" t="s">
        <v>1</v>
      </c>
      <c r="I130" s="65">
        <v>0.10274542429284551</v>
      </c>
      <c r="J130" s="65">
        <v>0.12019230769230771</v>
      </c>
      <c r="K130" s="65">
        <v>0.18640148011100841</v>
      </c>
      <c r="L130" s="65">
        <f t="shared" si="4"/>
        <v>0.16439267886855283</v>
      </c>
      <c r="M130" s="65">
        <f t="shared" si="5"/>
        <v>0.19230769230769235</v>
      </c>
      <c r="N130" s="65">
        <f t="shared" si="6"/>
        <v>0.29824236817761346</v>
      </c>
    </row>
    <row r="131" spans="1:14" x14ac:dyDescent="0.25">
      <c r="A131">
        <v>2008</v>
      </c>
      <c r="B131" s="66">
        <v>39630</v>
      </c>
      <c r="C131" t="s">
        <v>100</v>
      </c>
      <c r="D131">
        <v>105</v>
      </c>
      <c r="E131" s="16">
        <v>64.933333333333337</v>
      </c>
      <c r="F131" s="16">
        <v>10.266666666666652</v>
      </c>
      <c r="G131" s="16">
        <v>24.800000000000004</v>
      </c>
      <c r="H131" t="s">
        <v>1</v>
      </c>
      <c r="I131" s="65">
        <v>7.7482876712328869E-2</v>
      </c>
      <c r="J131" s="65">
        <v>0.13303932377802294</v>
      </c>
      <c r="K131" s="65">
        <v>0.15340659340659349</v>
      </c>
      <c r="L131" s="65">
        <f t="shared" ref="L131:L193" si="7">I131*1.6</f>
        <v>0.1239726027397262</v>
      </c>
      <c r="M131" s="65">
        <f t="shared" ref="M131:M193" si="8">J131*1.6</f>
        <v>0.2128629180448367</v>
      </c>
      <c r="N131" s="65">
        <f t="shared" ref="N131:N193" si="9">K131*1.6</f>
        <v>0.24545054945054959</v>
      </c>
    </row>
    <row r="132" spans="1:14" x14ac:dyDescent="0.25">
      <c r="A132">
        <v>2008</v>
      </c>
      <c r="B132" s="66">
        <v>39630</v>
      </c>
      <c r="C132" t="s">
        <v>100</v>
      </c>
      <c r="D132">
        <v>135</v>
      </c>
      <c r="E132" s="16">
        <v>61.6</v>
      </c>
      <c r="F132" s="16">
        <v>16.933333333333337</v>
      </c>
      <c r="G132" s="16">
        <v>21.466666666666669</v>
      </c>
      <c r="H132" t="s">
        <v>1</v>
      </c>
      <c r="I132" s="65">
        <v>6.8325601012231021E-2</v>
      </c>
      <c r="J132" s="65">
        <v>0.11161800486618012</v>
      </c>
      <c r="K132" s="65">
        <v>0.13559322033898263</v>
      </c>
      <c r="L132" s="65">
        <f t="shared" si="7"/>
        <v>0.10932096161956964</v>
      </c>
      <c r="M132" s="65">
        <f t="shared" si="8"/>
        <v>0.1785888077858882</v>
      </c>
      <c r="N132" s="65">
        <f t="shared" si="9"/>
        <v>0.21694915254237224</v>
      </c>
    </row>
    <row r="133" spans="1:14" x14ac:dyDescent="0.25">
      <c r="A133">
        <v>2008</v>
      </c>
      <c r="B133" s="66">
        <v>39630</v>
      </c>
      <c r="C133" t="s">
        <v>100</v>
      </c>
      <c r="D133">
        <v>165</v>
      </c>
      <c r="E133" s="16">
        <v>57.666666666666664</v>
      </c>
      <c r="F133" s="16">
        <v>18.133333333333326</v>
      </c>
      <c r="G133" s="16">
        <v>24.200000000000006</v>
      </c>
      <c r="H133" t="s">
        <v>1</v>
      </c>
      <c r="I133" s="65">
        <v>0.10998680158380995</v>
      </c>
      <c r="J133" s="65">
        <v>0.15487651737128488</v>
      </c>
      <c r="K133" s="65">
        <v>0.17936024371667972</v>
      </c>
      <c r="L133" s="65">
        <f t="shared" si="7"/>
        <v>0.17597888253409594</v>
      </c>
      <c r="M133" s="65">
        <f t="shared" si="8"/>
        <v>0.24780242779405581</v>
      </c>
      <c r="N133" s="65">
        <f t="shared" si="9"/>
        <v>0.28697638994668756</v>
      </c>
    </row>
    <row r="134" spans="1:14" x14ac:dyDescent="0.25">
      <c r="A134">
        <v>2008</v>
      </c>
      <c r="B134" s="66">
        <v>39630</v>
      </c>
      <c r="C134" t="s">
        <v>101</v>
      </c>
      <c r="D134">
        <v>15</v>
      </c>
      <c r="E134" s="16">
        <v>72.799999999999983</v>
      </c>
      <c r="F134" s="16">
        <v>9.0666666666666913</v>
      </c>
      <c r="G134" s="16">
        <v>18.133333333333333</v>
      </c>
      <c r="H134" t="s">
        <v>0</v>
      </c>
      <c r="I134" s="65">
        <v>7.7815993121238269E-2</v>
      </c>
      <c r="J134" s="65">
        <v>8.9582488852857467E-2</v>
      </c>
      <c r="K134" s="65">
        <v>0.12740183792815357</v>
      </c>
      <c r="L134" s="65">
        <f t="shared" si="7"/>
        <v>0.12450558899398123</v>
      </c>
      <c r="M134" s="65">
        <f t="shared" si="8"/>
        <v>0.14333198216457196</v>
      </c>
      <c r="N134" s="65">
        <f t="shared" si="9"/>
        <v>0.20384294068504571</v>
      </c>
    </row>
    <row r="135" spans="1:14" x14ac:dyDescent="0.25">
      <c r="A135">
        <v>2008</v>
      </c>
      <c r="B135" s="66">
        <v>39630</v>
      </c>
      <c r="C135" t="s">
        <v>101</v>
      </c>
      <c r="D135">
        <v>45</v>
      </c>
      <c r="E135" s="16">
        <v>62.79999999999999</v>
      </c>
      <c r="F135" s="16">
        <v>12.400000000000006</v>
      </c>
      <c r="G135" s="16">
        <v>24.800000000000004</v>
      </c>
      <c r="H135" t="s">
        <v>1</v>
      </c>
      <c r="I135" s="65">
        <v>9.976133651551293E-2</v>
      </c>
      <c r="J135" s="65">
        <v>0.13867259918427866</v>
      </c>
      <c r="K135" s="65">
        <v>0.17083692838654016</v>
      </c>
      <c r="L135" s="65">
        <f t="shared" si="7"/>
        <v>0.1596181384248207</v>
      </c>
      <c r="M135" s="65">
        <f t="shared" si="8"/>
        <v>0.22187615869484587</v>
      </c>
      <c r="N135" s="65">
        <f t="shared" si="9"/>
        <v>0.27333908541846424</v>
      </c>
    </row>
    <row r="136" spans="1:14" x14ac:dyDescent="0.25">
      <c r="A136">
        <v>2008</v>
      </c>
      <c r="B136" s="66">
        <v>39630</v>
      </c>
      <c r="C136" t="s">
        <v>101</v>
      </c>
      <c r="D136">
        <v>75</v>
      </c>
      <c r="E136" s="16">
        <v>59.466666666666654</v>
      </c>
      <c r="F136" s="16">
        <v>9.0666666666666771</v>
      </c>
      <c r="G136" s="16">
        <v>31.466666666666672</v>
      </c>
      <c r="H136" t="s">
        <v>1</v>
      </c>
      <c r="I136" s="65">
        <v>0.10465724751439037</v>
      </c>
      <c r="J136" s="65">
        <v>0.13231064237775639</v>
      </c>
      <c r="K136" s="65">
        <v>0.18437061300889121</v>
      </c>
      <c r="L136" s="65">
        <f t="shared" si="7"/>
        <v>0.16745159602302462</v>
      </c>
      <c r="M136" s="65">
        <f t="shared" si="8"/>
        <v>0.21169702780441024</v>
      </c>
      <c r="N136" s="65">
        <f t="shared" si="9"/>
        <v>0.29499298081422592</v>
      </c>
    </row>
    <row r="137" spans="1:14" x14ac:dyDescent="0.25">
      <c r="A137">
        <v>2008</v>
      </c>
      <c r="B137" s="66">
        <v>39630</v>
      </c>
      <c r="C137" t="s">
        <v>101</v>
      </c>
      <c r="D137">
        <v>105</v>
      </c>
      <c r="E137" s="16">
        <v>69.466666666666654</v>
      </c>
      <c r="F137" s="16">
        <v>7.4000000000000057</v>
      </c>
      <c r="G137" s="16">
        <v>23.133333333333333</v>
      </c>
      <c r="H137" t="s">
        <v>1</v>
      </c>
      <c r="I137" s="65">
        <v>8.5463842220598829E-2</v>
      </c>
      <c r="J137" s="65">
        <v>0.10168327035383008</v>
      </c>
      <c r="K137" s="65">
        <v>0.13235294117647076</v>
      </c>
      <c r="L137" s="65">
        <f t="shared" si="7"/>
        <v>0.13674214755295813</v>
      </c>
      <c r="M137" s="65">
        <f t="shared" si="8"/>
        <v>0.16269323256612814</v>
      </c>
      <c r="N137" s="65">
        <f t="shared" si="9"/>
        <v>0.21176470588235322</v>
      </c>
    </row>
    <row r="138" spans="1:14" x14ac:dyDescent="0.25">
      <c r="A138">
        <v>2008</v>
      </c>
      <c r="B138" s="66">
        <v>39630</v>
      </c>
      <c r="C138" t="s">
        <v>101</v>
      </c>
      <c r="D138">
        <v>135</v>
      </c>
      <c r="E138" s="16">
        <v>78.86666666666666</v>
      </c>
      <c r="F138" s="16">
        <v>6.3333333333333428</v>
      </c>
      <c r="G138" s="16">
        <v>14.800000000000002</v>
      </c>
      <c r="H138" t="s">
        <v>0</v>
      </c>
      <c r="I138" s="65">
        <v>6.111661711265258E-2</v>
      </c>
      <c r="J138" s="65">
        <v>9.0610636900853747E-2</v>
      </c>
      <c r="K138" s="65">
        <v>0.12924335378323096</v>
      </c>
      <c r="L138" s="65">
        <f t="shared" si="7"/>
        <v>9.7786587380244136E-2</v>
      </c>
      <c r="M138" s="65">
        <f t="shared" si="8"/>
        <v>0.14497701904136601</v>
      </c>
      <c r="N138" s="65">
        <f t="shared" si="9"/>
        <v>0.20678936605316955</v>
      </c>
    </row>
    <row r="139" spans="1:14" x14ac:dyDescent="0.25">
      <c r="A139">
        <v>2008</v>
      </c>
      <c r="B139" s="66">
        <v>39630</v>
      </c>
      <c r="C139" t="s">
        <v>101</v>
      </c>
      <c r="D139">
        <v>165</v>
      </c>
      <c r="E139" s="16">
        <v>72.2</v>
      </c>
      <c r="F139" s="16">
        <v>8</v>
      </c>
      <c r="G139" s="16">
        <v>19.8</v>
      </c>
      <c r="H139" t="s">
        <v>68</v>
      </c>
      <c r="I139" s="65">
        <v>7.3270568972574668E-2</v>
      </c>
      <c r="J139" s="65">
        <v>9.7741094700260656E-2</v>
      </c>
      <c r="K139" s="65">
        <v>0.13539587491683278</v>
      </c>
      <c r="L139" s="65">
        <f t="shared" si="7"/>
        <v>0.11723291035611948</v>
      </c>
      <c r="M139" s="65">
        <f t="shared" si="8"/>
        <v>0.15638575152041706</v>
      </c>
      <c r="N139" s="65">
        <f t="shared" si="9"/>
        <v>0.21663339986693245</v>
      </c>
    </row>
    <row r="140" spans="1:14" x14ac:dyDescent="0.25">
      <c r="A140">
        <v>2008</v>
      </c>
      <c r="B140" s="66">
        <v>39630</v>
      </c>
      <c r="C140" t="s">
        <v>102</v>
      </c>
      <c r="D140">
        <v>15</v>
      </c>
      <c r="E140" s="16">
        <v>68.86666666666666</v>
      </c>
      <c r="F140" s="16">
        <v>13</v>
      </c>
      <c r="G140" s="16">
        <v>18.133333333333333</v>
      </c>
      <c r="H140" t="s">
        <v>0</v>
      </c>
      <c r="I140" s="65">
        <v>8.5388127853881488E-2</v>
      </c>
      <c r="J140" s="65">
        <v>7.8341013824884592E-2</v>
      </c>
      <c r="K140" s="65">
        <v>0.11581793600721048</v>
      </c>
      <c r="L140" s="65">
        <f t="shared" si="7"/>
        <v>0.13662100456621037</v>
      </c>
      <c r="M140" s="65">
        <f t="shared" si="8"/>
        <v>0.12534562211981534</v>
      </c>
      <c r="N140" s="65">
        <f t="shared" si="9"/>
        <v>0.18530869761153679</v>
      </c>
    </row>
    <row r="141" spans="1:14" x14ac:dyDescent="0.25">
      <c r="A141">
        <v>2008</v>
      </c>
      <c r="B141" s="66">
        <v>39630</v>
      </c>
      <c r="C141" t="s">
        <v>102</v>
      </c>
      <c r="D141">
        <v>45</v>
      </c>
      <c r="E141" s="16">
        <v>78.86666666666666</v>
      </c>
      <c r="F141" s="16">
        <v>6.3333333333333428</v>
      </c>
      <c r="G141" s="16">
        <v>14.800000000000002</v>
      </c>
      <c r="H141" t="s">
        <v>0</v>
      </c>
      <c r="I141" s="65">
        <v>5.8409279204639765E-2</v>
      </c>
      <c r="J141" s="65">
        <v>7.0321361058601109E-2</v>
      </c>
      <c r="K141" s="65">
        <v>9.0149516270888172E-2</v>
      </c>
      <c r="L141" s="65">
        <f t="shared" si="7"/>
        <v>9.3454846727423629E-2</v>
      </c>
      <c r="M141" s="65">
        <f t="shared" si="8"/>
        <v>0.11251417769376178</v>
      </c>
      <c r="N141" s="65">
        <f t="shared" si="9"/>
        <v>0.14423922603342107</v>
      </c>
    </row>
    <row r="142" spans="1:14" x14ac:dyDescent="0.25">
      <c r="A142">
        <v>2008</v>
      </c>
      <c r="B142" s="66">
        <v>39630</v>
      </c>
      <c r="C142" t="s">
        <v>102</v>
      </c>
      <c r="D142">
        <v>75</v>
      </c>
      <c r="E142" s="16">
        <v>74.933333333333323</v>
      </c>
      <c r="F142" s="16">
        <v>10.26666666666668</v>
      </c>
      <c r="G142" s="16">
        <v>14.800000000000002</v>
      </c>
      <c r="H142" t="s">
        <v>0</v>
      </c>
      <c r="I142" s="65">
        <v>6.1314363143631263E-2</v>
      </c>
      <c r="J142" s="65">
        <v>7.432688661357581E-2</v>
      </c>
      <c r="K142" s="65">
        <v>9.5744680851063926E-2</v>
      </c>
      <c r="L142" s="65">
        <f t="shared" si="7"/>
        <v>9.8102981029810021E-2</v>
      </c>
      <c r="M142" s="65">
        <f t="shared" si="8"/>
        <v>0.1189230185817213</v>
      </c>
      <c r="N142" s="65">
        <f t="shared" si="9"/>
        <v>0.15319148936170229</v>
      </c>
    </row>
    <row r="143" spans="1:14" x14ac:dyDescent="0.25">
      <c r="A143">
        <v>2008</v>
      </c>
      <c r="B143" s="66">
        <v>39630</v>
      </c>
      <c r="C143" t="s">
        <v>102</v>
      </c>
      <c r="D143">
        <v>105</v>
      </c>
      <c r="E143" s="16">
        <v>74.933333333333323</v>
      </c>
      <c r="F143" s="16">
        <v>10.26666666666668</v>
      </c>
      <c r="G143" s="16">
        <v>14.800000000000002</v>
      </c>
      <c r="H143" t="s">
        <v>0</v>
      </c>
      <c r="I143" s="65">
        <v>6.3747585318738059E-2</v>
      </c>
      <c r="J143" s="65">
        <v>8.7908144958737097E-2</v>
      </c>
      <c r="K143" s="65">
        <v>0.11822660098522159</v>
      </c>
      <c r="L143" s="65">
        <f t="shared" si="7"/>
        <v>0.10199613650998091</v>
      </c>
      <c r="M143" s="65">
        <f t="shared" si="8"/>
        <v>0.14065303193397935</v>
      </c>
      <c r="N143" s="65">
        <f t="shared" si="9"/>
        <v>0.18916256157635455</v>
      </c>
    </row>
    <row r="144" spans="1:14" x14ac:dyDescent="0.25">
      <c r="A144">
        <v>2008</v>
      </c>
      <c r="B144" s="66">
        <v>39630</v>
      </c>
      <c r="C144" t="s">
        <v>102</v>
      </c>
      <c r="D144">
        <v>135</v>
      </c>
      <c r="E144" s="16">
        <v>66.133333333333326</v>
      </c>
      <c r="F144" s="16">
        <v>11.933333333333337</v>
      </c>
      <c r="G144" s="16">
        <v>21.933333333333334</v>
      </c>
      <c r="H144" t="s">
        <v>1</v>
      </c>
      <c r="I144" s="65">
        <v>0.11369622475855998</v>
      </c>
      <c r="J144" s="65">
        <v>0.15777875716174519</v>
      </c>
      <c r="K144" s="65">
        <v>0.1925894011202067</v>
      </c>
      <c r="L144" s="65">
        <f t="shared" si="7"/>
        <v>0.18191395961369597</v>
      </c>
      <c r="M144" s="65">
        <f t="shared" si="8"/>
        <v>0.25244601145879231</v>
      </c>
      <c r="N144" s="65">
        <f t="shared" si="9"/>
        <v>0.30814304179233076</v>
      </c>
    </row>
    <row r="145" spans="1:14" x14ac:dyDescent="0.25">
      <c r="A145">
        <v>2008</v>
      </c>
      <c r="B145" s="66">
        <v>39630</v>
      </c>
      <c r="C145" t="s">
        <v>102</v>
      </c>
      <c r="D145">
        <v>165</v>
      </c>
      <c r="E145" s="16">
        <v>60.06666666666667</v>
      </c>
      <c r="F145" s="16">
        <v>13.466666666666669</v>
      </c>
      <c r="G145" s="16">
        <v>26.466666666666665</v>
      </c>
      <c r="H145" t="s">
        <v>1</v>
      </c>
      <c r="I145" s="65">
        <v>0.11828404831320269</v>
      </c>
      <c r="J145" s="65">
        <v>0.15907019143117601</v>
      </c>
      <c r="K145" s="65">
        <v>0.20903277378097535</v>
      </c>
      <c r="L145" s="65">
        <f t="shared" si="7"/>
        <v>0.18925447730112432</v>
      </c>
      <c r="M145" s="65">
        <f t="shared" si="8"/>
        <v>0.25451230628988164</v>
      </c>
      <c r="N145" s="65">
        <f t="shared" si="9"/>
        <v>0.3344524380495606</v>
      </c>
    </row>
    <row r="146" spans="1:14" x14ac:dyDescent="0.25">
      <c r="A146">
        <v>2008</v>
      </c>
      <c r="B146" s="66">
        <v>39630</v>
      </c>
      <c r="C146" t="s">
        <v>103</v>
      </c>
      <c r="D146">
        <v>15</v>
      </c>
      <c r="E146" s="16">
        <v>57.799999999999983</v>
      </c>
      <c r="F146" s="16">
        <v>9.6666666666666856</v>
      </c>
      <c r="G146" s="16">
        <v>32.533333333333339</v>
      </c>
      <c r="H146" t="s">
        <v>1</v>
      </c>
      <c r="I146" s="65">
        <v>6.8766637089618318E-2</v>
      </c>
      <c r="J146" s="65">
        <v>9.3316519546027696E-2</v>
      </c>
      <c r="K146" s="65">
        <v>0.11206896551724142</v>
      </c>
      <c r="L146" s="65">
        <f t="shared" si="7"/>
        <v>0.11002661934338931</v>
      </c>
      <c r="M146" s="65">
        <f t="shared" si="8"/>
        <v>0.14930643127364432</v>
      </c>
      <c r="N146" s="65">
        <f t="shared" si="9"/>
        <v>0.17931034482758629</v>
      </c>
    </row>
    <row r="147" spans="1:14" x14ac:dyDescent="0.25">
      <c r="A147">
        <v>2008</v>
      </c>
      <c r="B147" s="66">
        <v>39630</v>
      </c>
      <c r="C147" t="s">
        <v>103</v>
      </c>
      <c r="D147">
        <v>45</v>
      </c>
      <c r="E147" s="16">
        <v>59.466666666666654</v>
      </c>
      <c r="F147" s="16">
        <v>5.7333333333333485</v>
      </c>
      <c r="G147" s="16">
        <v>34.800000000000004</v>
      </c>
      <c r="H147" t="s">
        <v>1</v>
      </c>
      <c r="I147" s="65">
        <v>8.8848263254113352E-2</v>
      </c>
      <c r="J147" s="65">
        <v>9.6181046676096657E-2</v>
      </c>
      <c r="K147" s="65">
        <v>0.12818336162988098</v>
      </c>
      <c r="L147" s="65">
        <f t="shared" si="7"/>
        <v>0.14215722120658136</v>
      </c>
      <c r="M147" s="65">
        <f t="shared" si="8"/>
        <v>0.15388967468175466</v>
      </c>
      <c r="N147" s="65">
        <f t="shared" si="9"/>
        <v>0.20509337860780957</v>
      </c>
    </row>
    <row r="148" spans="1:14" x14ac:dyDescent="0.25">
      <c r="A148">
        <v>2008</v>
      </c>
      <c r="B148" s="66">
        <v>39630</v>
      </c>
      <c r="C148" t="s">
        <v>103</v>
      </c>
      <c r="D148">
        <v>75</v>
      </c>
      <c r="E148" s="16">
        <v>49.466666666666661</v>
      </c>
      <c r="F148" s="16">
        <v>19.666666666666671</v>
      </c>
      <c r="G148" s="16">
        <v>30.866666666666671</v>
      </c>
      <c r="H148" t="s">
        <v>1</v>
      </c>
      <c r="I148" s="65">
        <v>0.1088280060882803</v>
      </c>
      <c r="J148" s="65">
        <v>0.12725844461901029</v>
      </c>
      <c r="K148" s="65">
        <v>0.15958904109589028</v>
      </c>
      <c r="L148" s="65">
        <f t="shared" si="7"/>
        <v>0.1741248097412485</v>
      </c>
      <c r="M148" s="65">
        <f t="shared" si="8"/>
        <v>0.20361351139041647</v>
      </c>
      <c r="N148" s="65">
        <f t="shared" si="9"/>
        <v>0.25534246575342445</v>
      </c>
    </row>
    <row r="149" spans="1:14" x14ac:dyDescent="0.25">
      <c r="A149">
        <v>2008</v>
      </c>
      <c r="B149" s="66">
        <v>39630</v>
      </c>
      <c r="C149" t="s">
        <v>103</v>
      </c>
      <c r="D149">
        <v>105</v>
      </c>
      <c r="E149" s="16">
        <v>67.333333333333329</v>
      </c>
      <c r="F149" s="16">
        <v>11.799999999999997</v>
      </c>
      <c r="G149" s="16">
        <v>20.866666666666674</v>
      </c>
      <c r="H149" t="s">
        <v>1</v>
      </c>
      <c r="I149" s="65">
        <v>6.4285714285714321E-2</v>
      </c>
      <c r="J149" s="65">
        <v>8.8546255506607829E-2</v>
      </c>
      <c r="K149" s="65">
        <v>0.1178115015974442</v>
      </c>
      <c r="L149" s="65">
        <f t="shared" si="7"/>
        <v>0.10285714285714292</v>
      </c>
      <c r="M149" s="65">
        <f t="shared" si="8"/>
        <v>0.14167400881057254</v>
      </c>
      <c r="N149" s="65">
        <f t="shared" si="9"/>
        <v>0.18849840255591074</v>
      </c>
    </row>
    <row r="150" spans="1:14" x14ac:dyDescent="0.25">
      <c r="A150">
        <v>2008</v>
      </c>
      <c r="B150" s="66">
        <v>39630</v>
      </c>
      <c r="C150" t="s">
        <v>103</v>
      </c>
      <c r="D150">
        <v>135</v>
      </c>
      <c r="E150" s="16">
        <v>76.133333333333326</v>
      </c>
      <c r="F150" s="16">
        <v>6.3333333333333286</v>
      </c>
      <c r="G150" s="16">
        <v>17.533333333333342</v>
      </c>
      <c r="H150" t="s">
        <v>0</v>
      </c>
      <c r="I150" s="65">
        <v>5.8354324097397159E-2</v>
      </c>
      <c r="J150" s="65">
        <v>7.9090291921249112E-2</v>
      </c>
      <c r="K150" s="65">
        <v>9.9024984765386986E-2</v>
      </c>
      <c r="L150" s="65">
        <f t="shared" si="7"/>
        <v>9.3366918555835454E-2</v>
      </c>
      <c r="M150" s="65">
        <f t="shared" si="8"/>
        <v>0.12654446707399858</v>
      </c>
      <c r="N150" s="65">
        <f t="shared" si="9"/>
        <v>0.1584399756246192</v>
      </c>
    </row>
    <row r="151" spans="1:14" x14ac:dyDescent="0.25">
      <c r="A151">
        <v>2008</v>
      </c>
      <c r="B151" s="66">
        <v>39630</v>
      </c>
      <c r="C151" t="s">
        <v>103</v>
      </c>
      <c r="D151">
        <v>165</v>
      </c>
      <c r="E151" s="16">
        <v>62.79999999999999</v>
      </c>
      <c r="F151" s="16">
        <v>11.933333333333337</v>
      </c>
      <c r="G151" s="16">
        <v>25.266666666666669</v>
      </c>
      <c r="H151" t="s">
        <v>1</v>
      </c>
      <c r="I151" s="65">
        <v>0.10619469026548665</v>
      </c>
      <c r="J151" s="65">
        <v>0.15902636916835702</v>
      </c>
      <c r="K151" s="65">
        <v>0.17140568682418875</v>
      </c>
      <c r="L151" s="65">
        <f t="shared" si="7"/>
        <v>0.16991150442477865</v>
      </c>
      <c r="M151" s="65">
        <f t="shared" si="8"/>
        <v>0.25444219066937124</v>
      </c>
      <c r="N151" s="65">
        <f t="shared" si="9"/>
        <v>0.27424909891870203</v>
      </c>
    </row>
    <row r="152" spans="1:14" x14ac:dyDescent="0.25">
      <c r="A152">
        <v>2008</v>
      </c>
      <c r="B152" s="66">
        <v>39630</v>
      </c>
      <c r="C152" t="s">
        <v>104</v>
      </c>
      <c r="D152">
        <v>15</v>
      </c>
      <c r="E152" s="16">
        <v>62.79999999999999</v>
      </c>
      <c r="F152" s="16">
        <v>12.400000000000006</v>
      </c>
      <c r="G152" s="16">
        <v>24.800000000000004</v>
      </c>
      <c r="H152" t="s">
        <v>1</v>
      </c>
      <c r="I152" s="65">
        <v>8.9517980107115674E-2</v>
      </c>
      <c r="J152" s="65">
        <v>0.42785104732350676</v>
      </c>
      <c r="K152" s="65">
        <v>0.1240551356158292</v>
      </c>
      <c r="L152" s="65">
        <f t="shared" si="7"/>
        <v>0.14322876817138508</v>
      </c>
      <c r="M152" s="65"/>
      <c r="N152" s="65">
        <f t="shared" si="9"/>
        <v>0.19848821698532673</v>
      </c>
    </row>
    <row r="153" spans="1:14" x14ac:dyDescent="0.25">
      <c r="A153">
        <v>2008</v>
      </c>
      <c r="B153" s="66">
        <v>39630</v>
      </c>
      <c r="C153" t="s">
        <v>104</v>
      </c>
      <c r="D153">
        <v>45</v>
      </c>
      <c r="E153" s="16">
        <v>52.79999999999999</v>
      </c>
      <c r="F153" s="16">
        <v>12.400000000000006</v>
      </c>
      <c r="G153" s="16">
        <v>34.800000000000004</v>
      </c>
      <c r="H153" t="s">
        <v>1</v>
      </c>
      <c r="I153" s="65">
        <v>0.13712686567164167</v>
      </c>
      <c r="J153" s="65">
        <v>0.13441712926249011</v>
      </c>
      <c r="K153" s="65">
        <v>0.16471064346418485</v>
      </c>
      <c r="L153" s="65">
        <f t="shared" si="7"/>
        <v>0.21940298507462669</v>
      </c>
      <c r="M153" s="65">
        <f t="shared" si="8"/>
        <v>0.21506740681998418</v>
      </c>
      <c r="N153" s="65">
        <f t="shared" si="9"/>
        <v>0.26353702954269576</v>
      </c>
    </row>
    <row r="154" spans="1:14" x14ac:dyDescent="0.25">
      <c r="A154">
        <v>2008</v>
      </c>
      <c r="B154" s="66">
        <v>39630</v>
      </c>
      <c r="C154" t="s">
        <v>104</v>
      </c>
      <c r="D154">
        <v>75</v>
      </c>
      <c r="E154" s="16">
        <v>58.866666666666667</v>
      </c>
      <c r="F154" s="16">
        <v>9.0666666666666629</v>
      </c>
      <c r="G154" s="16">
        <v>32.066666666666663</v>
      </c>
      <c r="H154" t="s">
        <v>1</v>
      </c>
      <c r="I154" s="65">
        <v>9.23510750793093E-2</v>
      </c>
      <c r="J154" s="65">
        <v>0.12478977463841218</v>
      </c>
      <c r="K154" s="65">
        <v>0.15933098591549286</v>
      </c>
      <c r="L154" s="65">
        <f t="shared" si="7"/>
        <v>0.1477617201268949</v>
      </c>
      <c r="M154" s="65">
        <f t="shared" si="8"/>
        <v>0.19966363942145948</v>
      </c>
      <c r="N154" s="65">
        <f t="shared" si="9"/>
        <v>0.25492957746478856</v>
      </c>
    </row>
    <row r="155" spans="1:14" x14ac:dyDescent="0.25">
      <c r="A155">
        <v>2008</v>
      </c>
      <c r="B155" s="66">
        <v>39630</v>
      </c>
      <c r="C155" t="s">
        <v>104</v>
      </c>
      <c r="D155">
        <v>105</v>
      </c>
      <c r="E155" s="16">
        <v>72.799999999999983</v>
      </c>
      <c r="F155" s="16">
        <v>9.0666666666666913</v>
      </c>
      <c r="G155" s="16">
        <v>18.133333333333333</v>
      </c>
      <c r="H155" t="s">
        <v>0</v>
      </c>
      <c r="I155" s="65">
        <v>7.9595426561125865E-2</v>
      </c>
      <c r="J155" s="65">
        <v>6.9777043765482966E-2</v>
      </c>
      <c r="K155" s="65">
        <v>8.1343585592877299E-2</v>
      </c>
      <c r="L155" s="65">
        <f t="shared" si="7"/>
        <v>0.12735268249780138</v>
      </c>
      <c r="M155" s="65">
        <f t="shared" si="8"/>
        <v>0.11164327002477276</v>
      </c>
      <c r="N155" s="65">
        <f t="shared" si="9"/>
        <v>0.13014973694860368</v>
      </c>
    </row>
    <row r="156" spans="1:14" x14ac:dyDescent="0.25">
      <c r="A156">
        <v>2008</v>
      </c>
      <c r="B156" s="66">
        <v>39630</v>
      </c>
      <c r="C156" t="s">
        <v>104</v>
      </c>
      <c r="D156">
        <v>135</v>
      </c>
      <c r="E156" s="16">
        <v>61.86666666666666</v>
      </c>
      <c r="F156" s="16">
        <v>11.200000000000003</v>
      </c>
      <c r="G156" s="16">
        <v>26.933333333333337</v>
      </c>
      <c r="H156" t="s">
        <v>1</v>
      </c>
      <c r="I156" s="65">
        <v>9.1471801925722546E-2</v>
      </c>
      <c r="J156" s="65">
        <v>7.8106029947389702E-2</v>
      </c>
      <c r="K156" s="65">
        <v>7.8416728902165847E-2</v>
      </c>
      <c r="L156" s="65">
        <f t="shared" si="7"/>
        <v>0.14635488308115607</v>
      </c>
      <c r="M156" s="65">
        <f t="shared" si="8"/>
        <v>0.12496964791582353</v>
      </c>
      <c r="N156" s="65">
        <f t="shared" si="9"/>
        <v>0.12546676624346537</v>
      </c>
    </row>
    <row r="157" spans="1:14" x14ac:dyDescent="0.25">
      <c r="A157">
        <v>2008</v>
      </c>
      <c r="B157" s="66">
        <v>39630</v>
      </c>
      <c r="C157" t="s">
        <v>104</v>
      </c>
      <c r="D157">
        <v>165</v>
      </c>
      <c r="E157" s="16">
        <v>51.266666666666673</v>
      </c>
      <c r="F157" s="16">
        <v>15.133333333333326</v>
      </c>
      <c r="G157" s="16">
        <v>33.600000000000009</v>
      </c>
      <c r="H157" t="s">
        <v>1</v>
      </c>
      <c r="I157" s="65">
        <v>0.125050916496945</v>
      </c>
      <c r="J157" s="65">
        <v>0.13536701620591018</v>
      </c>
      <c r="K157" s="65">
        <v>0.15694006309148281</v>
      </c>
      <c r="L157" s="65">
        <f t="shared" si="7"/>
        <v>0.20008146639511201</v>
      </c>
      <c r="M157" s="65">
        <f t="shared" si="8"/>
        <v>0.21658722592945631</v>
      </c>
      <c r="N157" s="65">
        <f t="shared" si="9"/>
        <v>0.25110410094637253</v>
      </c>
    </row>
    <row r="158" spans="1:14" x14ac:dyDescent="0.25">
      <c r="A158">
        <v>2008</v>
      </c>
      <c r="B158" s="66">
        <v>39630</v>
      </c>
      <c r="C158" t="s">
        <v>105</v>
      </c>
      <c r="D158">
        <v>15</v>
      </c>
      <c r="E158" s="16">
        <v>55.866666666666667</v>
      </c>
      <c r="F158" s="16">
        <v>14.200000000000003</v>
      </c>
      <c r="G158" s="16">
        <v>29.933333333333334</v>
      </c>
      <c r="H158" t="s">
        <v>1</v>
      </c>
      <c r="I158" s="65">
        <v>0.10593220338983052</v>
      </c>
      <c r="J158" s="65">
        <v>0.14681818181818168</v>
      </c>
      <c r="K158" s="65">
        <v>0.14285714285714313</v>
      </c>
      <c r="L158" s="65">
        <f t="shared" si="7"/>
        <v>0.16949152542372883</v>
      </c>
      <c r="M158" s="65">
        <f t="shared" si="8"/>
        <v>0.23490909090909071</v>
      </c>
      <c r="N158" s="65">
        <f t="shared" si="9"/>
        <v>0.22857142857142901</v>
      </c>
    </row>
    <row r="159" spans="1:14" x14ac:dyDescent="0.25">
      <c r="A159">
        <v>2008</v>
      </c>
      <c r="B159" s="66">
        <v>39630</v>
      </c>
      <c r="C159" t="s">
        <v>105</v>
      </c>
      <c r="D159">
        <v>45</v>
      </c>
      <c r="E159" s="16">
        <v>70.86666666666666</v>
      </c>
      <c r="F159" s="16">
        <v>9.2000000000000028</v>
      </c>
      <c r="G159" s="16">
        <v>19.933333333333341</v>
      </c>
      <c r="H159" t="s">
        <v>0</v>
      </c>
      <c r="I159" s="65">
        <v>7.4751698902247768E-2</v>
      </c>
      <c r="J159" s="65">
        <v>9.6996553421959564E-2</v>
      </c>
      <c r="K159" s="65">
        <v>0.11394891944990201</v>
      </c>
      <c r="L159" s="65">
        <f t="shared" si="7"/>
        <v>0.11960271824359643</v>
      </c>
      <c r="M159" s="65">
        <f t="shared" si="8"/>
        <v>0.15519448547513531</v>
      </c>
      <c r="N159" s="65">
        <f t="shared" si="9"/>
        <v>0.18231827111984322</v>
      </c>
    </row>
    <row r="160" spans="1:14" x14ac:dyDescent="0.25">
      <c r="A160">
        <v>2008</v>
      </c>
      <c r="B160" s="66">
        <v>39630</v>
      </c>
      <c r="C160" t="s">
        <v>105</v>
      </c>
      <c r="D160">
        <v>75</v>
      </c>
      <c r="E160" s="16">
        <v>57.066666666666656</v>
      </c>
      <c r="F160" s="16">
        <v>16.933333333333337</v>
      </c>
      <c r="G160" s="16">
        <v>26</v>
      </c>
      <c r="H160" t="s">
        <v>1</v>
      </c>
      <c r="I160" s="65">
        <v>0.11745126010461242</v>
      </c>
      <c r="J160" s="65">
        <v>0.13385146804835929</v>
      </c>
      <c r="K160" s="65">
        <v>0.1544181977252844</v>
      </c>
      <c r="L160" s="65">
        <f t="shared" si="7"/>
        <v>0.18792201616737989</v>
      </c>
      <c r="M160" s="65">
        <f t="shared" si="8"/>
        <v>0.21416234887737487</v>
      </c>
      <c r="N160" s="65">
        <f t="shared" si="9"/>
        <v>0.24706911636045503</v>
      </c>
    </row>
    <row r="161" spans="1:14" x14ac:dyDescent="0.25">
      <c r="A161">
        <v>2008</v>
      </c>
      <c r="B161" s="66">
        <v>39630</v>
      </c>
      <c r="C161" t="s">
        <v>105</v>
      </c>
      <c r="D161">
        <v>105</v>
      </c>
      <c r="E161" s="16">
        <v>70.399999999999991</v>
      </c>
      <c r="F161" s="16">
        <v>13.600000000000009</v>
      </c>
      <c r="G161" s="16">
        <v>16</v>
      </c>
      <c r="H161" t="s">
        <v>0</v>
      </c>
      <c r="I161" s="65">
        <v>8.1297849070360806E-2</v>
      </c>
      <c r="J161" s="65">
        <v>0.14237288135593218</v>
      </c>
      <c r="K161" s="65">
        <v>8.6044830079537088E-2</v>
      </c>
      <c r="L161" s="65">
        <f t="shared" si="7"/>
        <v>0.13007655851257729</v>
      </c>
      <c r="M161" s="65">
        <f t="shared" si="8"/>
        <v>0.22779661016949149</v>
      </c>
      <c r="N161" s="65">
        <f t="shared" si="9"/>
        <v>0.13767172812725934</v>
      </c>
    </row>
    <row r="162" spans="1:14" x14ac:dyDescent="0.25">
      <c r="A162">
        <v>2008</v>
      </c>
      <c r="B162" s="66">
        <v>39630</v>
      </c>
      <c r="C162" t="s">
        <v>105</v>
      </c>
      <c r="D162">
        <v>135</v>
      </c>
      <c r="E162" s="16">
        <v>75.86666666666666</v>
      </c>
      <c r="F162" s="16">
        <v>11.466666666666669</v>
      </c>
      <c r="G162" s="16">
        <v>12.666666666666664</v>
      </c>
      <c r="H162" t="s">
        <v>0</v>
      </c>
      <c r="I162" s="65">
        <v>0.15854632587859421</v>
      </c>
      <c r="J162" s="65">
        <v>0.19597417394606928</v>
      </c>
      <c r="K162" s="65">
        <v>9.407216494845351E-2</v>
      </c>
      <c r="L162" s="65">
        <f t="shared" si="7"/>
        <v>0.25367412140575074</v>
      </c>
      <c r="M162" s="65">
        <f t="shared" si="8"/>
        <v>0.31355867831371087</v>
      </c>
      <c r="N162" s="65">
        <f t="shared" si="9"/>
        <v>0.15051546391752563</v>
      </c>
    </row>
    <row r="163" spans="1:14" x14ac:dyDescent="0.25">
      <c r="A163">
        <v>2008</v>
      </c>
      <c r="B163" s="66">
        <v>39630</v>
      </c>
      <c r="C163" t="s">
        <v>105</v>
      </c>
      <c r="D163">
        <v>165</v>
      </c>
      <c r="E163" s="16">
        <v>69.199999999999989</v>
      </c>
      <c r="F163" s="16">
        <v>11.466666666666683</v>
      </c>
      <c r="G163" s="16">
        <v>19.333333333333332</v>
      </c>
      <c r="H163" t="s">
        <v>0</v>
      </c>
      <c r="I163" s="65">
        <v>9.5788986580286936E-2</v>
      </c>
      <c r="J163" s="65">
        <v>0.13014763014763051</v>
      </c>
      <c r="K163" s="65">
        <v>0.14316163410301955</v>
      </c>
      <c r="L163" s="65">
        <f t="shared" si="7"/>
        <v>0.15326237852845911</v>
      </c>
      <c r="M163" s="65">
        <f t="shared" si="8"/>
        <v>0.20823620823620881</v>
      </c>
      <c r="N163" s="65">
        <f t="shared" si="9"/>
        <v>0.22905861456483129</v>
      </c>
    </row>
    <row r="164" spans="1:14" x14ac:dyDescent="0.25">
      <c r="A164">
        <v>2008</v>
      </c>
      <c r="B164" s="66">
        <v>39630</v>
      </c>
      <c r="C164" t="s">
        <v>106</v>
      </c>
      <c r="D164">
        <v>15</v>
      </c>
      <c r="E164" s="16">
        <v>54.933333333333337</v>
      </c>
      <c r="F164" s="16">
        <v>12.399999999999991</v>
      </c>
      <c r="G164" s="16">
        <v>32.666666666666671</v>
      </c>
      <c r="H164" t="s">
        <v>1</v>
      </c>
      <c r="I164" s="65">
        <v>0.12708757637474563</v>
      </c>
      <c r="J164" s="65">
        <v>0.52496217851739813</v>
      </c>
      <c r="K164" s="65">
        <v>0.17033707865168535</v>
      </c>
      <c r="L164" s="65">
        <f t="shared" si="7"/>
        <v>0.20334012219959302</v>
      </c>
      <c r="M164" s="65"/>
      <c r="N164" s="65">
        <f t="shared" si="9"/>
        <v>0.27253932584269658</v>
      </c>
    </row>
    <row r="165" spans="1:14" x14ac:dyDescent="0.25">
      <c r="A165">
        <v>2008</v>
      </c>
      <c r="B165" s="66">
        <v>39630</v>
      </c>
      <c r="C165" t="s">
        <v>106</v>
      </c>
      <c r="D165">
        <v>45</v>
      </c>
      <c r="E165" s="16">
        <v>61.6</v>
      </c>
      <c r="F165" s="16">
        <v>13</v>
      </c>
      <c r="G165" s="16">
        <v>25.399999999999995</v>
      </c>
      <c r="H165" t="s">
        <v>1</v>
      </c>
      <c r="I165" s="65">
        <v>9.9155180080035751E-2</v>
      </c>
      <c r="J165" s="65">
        <v>0.51639344262295062</v>
      </c>
      <c r="K165" s="65">
        <v>0.15068493150684945</v>
      </c>
      <c r="L165" s="65">
        <f t="shared" si="7"/>
        <v>0.1586482881280572</v>
      </c>
      <c r="M165" s="65"/>
      <c r="N165" s="65">
        <f t="shared" si="9"/>
        <v>0.24109589041095913</v>
      </c>
    </row>
    <row r="166" spans="1:14" x14ac:dyDescent="0.25">
      <c r="A166">
        <v>2008</v>
      </c>
      <c r="B166" s="66">
        <v>39630</v>
      </c>
      <c r="C166" t="s">
        <v>106</v>
      </c>
      <c r="D166">
        <v>75</v>
      </c>
      <c r="E166" s="16">
        <v>74.333333333333343</v>
      </c>
      <c r="F166" s="16">
        <v>6.9333333333333229</v>
      </c>
      <c r="G166" s="16">
        <v>18.733333333333331</v>
      </c>
      <c r="H166" t="s">
        <v>0</v>
      </c>
      <c r="I166" s="65">
        <v>7.5020610057708173E-2</v>
      </c>
      <c r="J166" s="65">
        <v>0.1170473083197392</v>
      </c>
      <c r="K166" s="65">
        <v>0.11372549019607865</v>
      </c>
      <c r="L166" s="65">
        <f t="shared" si="7"/>
        <v>0.12003297609233309</v>
      </c>
      <c r="M166" s="65">
        <f t="shared" si="8"/>
        <v>0.18727569331158272</v>
      </c>
      <c r="N166" s="65">
        <f t="shared" si="9"/>
        <v>0.18196078431372587</v>
      </c>
    </row>
    <row r="167" spans="1:14" x14ac:dyDescent="0.25">
      <c r="A167">
        <v>2008</v>
      </c>
      <c r="B167" s="66">
        <v>39630</v>
      </c>
      <c r="C167" t="s">
        <v>106</v>
      </c>
      <c r="D167">
        <v>105</v>
      </c>
      <c r="E167" s="16">
        <v>64.333333333333329</v>
      </c>
      <c r="F167" s="16">
        <v>9.6666666666666714</v>
      </c>
      <c r="G167" s="16">
        <v>26</v>
      </c>
      <c r="H167" t="s">
        <v>1</v>
      </c>
      <c r="I167" s="65">
        <v>0.10340089316386139</v>
      </c>
      <c r="J167" s="65">
        <v>0.13260393873085313</v>
      </c>
      <c r="K167" s="65">
        <v>0.14611005692599593</v>
      </c>
      <c r="L167" s="65">
        <f t="shared" si="7"/>
        <v>0.16544142906217824</v>
      </c>
      <c r="M167" s="65">
        <f t="shared" si="8"/>
        <v>0.21216630196936503</v>
      </c>
      <c r="N167" s="65">
        <f t="shared" si="9"/>
        <v>0.2337760910815935</v>
      </c>
    </row>
    <row r="168" spans="1:14" x14ac:dyDescent="0.25">
      <c r="A168">
        <v>2008</v>
      </c>
      <c r="B168" s="66">
        <v>39630</v>
      </c>
      <c r="C168" t="s">
        <v>106</v>
      </c>
      <c r="D168">
        <v>135</v>
      </c>
      <c r="E168" s="16">
        <v>81.600000000000009</v>
      </c>
      <c r="F168" s="16">
        <v>5.7333333333333201</v>
      </c>
      <c r="G168" s="16">
        <v>12.666666666666664</v>
      </c>
      <c r="H168" t="s">
        <v>0</v>
      </c>
      <c r="I168" s="65">
        <v>7.4949899799599082E-2</v>
      </c>
      <c r="J168" s="65">
        <v>0.10396039603960401</v>
      </c>
      <c r="K168" s="65">
        <v>0.10827296988181485</v>
      </c>
      <c r="L168" s="65">
        <f t="shared" si="7"/>
        <v>0.11991983967935854</v>
      </c>
      <c r="M168" s="65">
        <f t="shared" si="8"/>
        <v>0.16633663366336643</v>
      </c>
      <c r="N168" s="65">
        <f t="shared" si="9"/>
        <v>0.17323675181090378</v>
      </c>
    </row>
    <row r="169" spans="1:14" x14ac:dyDescent="0.25">
      <c r="A169">
        <v>2008</v>
      </c>
      <c r="B169" s="66">
        <v>39630</v>
      </c>
      <c r="C169" t="s">
        <v>106</v>
      </c>
      <c r="D169">
        <v>165</v>
      </c>
      <c r="E169" s="16">
        <v>73.733333333333334</v>
      </c>
      <c r="F169" s="16">
        <v>10.266666666666666</v>
      </c>
      <c r="G169" s="16">
        <v>16</v>
      </c>
      <c r="H169" t="s">
        <v>0</v>
      </c>
      <c r="I169" s="65">
        <v>0.1084104938271603</v>
      </c>
      <c r="J169" s="65">
        <v>0.13871951219512199</v>
      </c>
      <c r="K169" s="65">
        <v>0.14734198409376292</v>
      </c>
      <c r="L169" s="65">
        <f t="shared" si="7"/>
        <v>0.17345679012345649</v>
      </c>
      <c r="M169" s="65">
        <f t="shared" si="8"/>
        <v>0.22195121951219521</v>
      </c>
      <c r="N169" s="65">
        <f t="shared" si="9"/>
        <v>0.2357471745500207</v>
      </c>
    </row>
    <row r="170" spans="1:14" x14ac:dyDescent="0.25">
      <c r="A170">
        <v>2008</v>
      </c>
      <c r="B170" s="66">
        <v>39630</v>
      </c>
      <c r="C170" t="s">
        <v>107</v>
      </c>
      <c r="D170">
        <v>15</v>
      </c>
      <c r="E170" s="16">
        <v>71.933333333333337</v>
      </c>
      <c r="F170" s="16">
        <v>6.9333333333333371</v>
      </c>
      <c r="G170" s="16">
        <v>21.133333333333333</v>
      </c>
      <c r="H170" t="s">
        <v>1</v>
      </c>
      <c r="I170" s="65">
        <v>7.5996292863762777E-2</v>
      </c>
      <c r="J170" s="65">
        <v>9.4753328112764365E-2</v>
      </c>
      <c r="K170" s="65">
        <v>0.15593705293276164</v>
      </c>
      <c r="L170" s="65">
        <f t="shared" si="7"/>
        <v>0.12159406858202045</v>
      </c>
      <c r="M170" s="65">
        <f t="shared" si="8"/>
        <v>0.15160532498042301</v>
      </c>
      <c r="N170" s="65">
        <f t="shared" si="9"/>
        <v>0.24949928469241864</v>
      </c>
    </row>
    <row r="171" spans="1:14" x14ac:dyDescent="0.25">
      <c r="A171">
        <v>2008</v>
      </c>
      <c r="B171" s="66">
        <v>39630</v>
      </c>
      <c r="C171" t="s">
        <v>107</v>
      </c>
      <c r="D171">
        <v>45</v>
      </c>
      <c r="E171" s="16">
        <v>50.266666666666673</v>
      </c>
      <c r="F171" s="16">
        <v>11.933333333333337</v>
      </c>
      <c r="G171" s="16">
        <v>37.799999999999997</v>
      </c>
      <c r="H171" t="s">
        <v>20</v>
      </c>
      <c r="I171" s="65">
        <v>0.11757575757575774</v>
      </c>
      <c r="J171" s="65">
        <v>0.14578754578754591</v>
      </c>
      <c r="K171" s="65">
        <v>0.21469859620148615</v>
      </c>
      <c r="L171" s="65">
        <f t="shared" si="7"/>
        <v>0.18812121212121238</v>
      </c>
      <c r="M171" s="65">
        <f t="shared" si="8"/>
        <v>0.23326007326007347</v>
      </c>
      <c r="N171" s="65">
        <f t="shared" si="9"/>
        <v>0.34351775392237788</v>
      </c>
    </row>
    <row r="172" spans="1:14" x14ac:dyDescent="0.25">
      <c r="A172">
        <v>2008</v>
      </c>
      <c r="B172" s="66">
        <v>39630</v>
      </c>
      <c r="C172" t="s">
        <v>107</v>
      </c>
      <c r="D172">
        <v>75</v>
      </c>
      <c r="E172" s="16">
        <v>51.933333333333344</v>
      </c>
      <c r="F172" s="16">
        <v>14.199999999999989</v>
      </c>
      <c r="G172" s="16">
        <v>33.866666666666674</v>
      </c>
      <c r="H172" t="s">
        <v>1</v>
      </c>
      <c r="I172" s="65">
        <v>0.13488372093023249</v>
      </c>
      <c r="J172" s="65">
        <v>0.14011106364801371</v>
      </c>
      <c r="K172" s="65">
        <v>0.18477292965271583</v>
      </c>
      <c r="L172" s="65">
        <f t="shared" si="7"/>
        <v>0.21581395348837198</v>
      </c>
      <c r="M172" s="65">
        <f t="shared" si="8"/>
        <v>0.22417770183682195</v>
      </c>
      <c r="N172" s="65">
        <f t="shared" si="9"/>
        <v>0.29563668744434535</v>
      </c>
    </row>
    <row r="173" spans="1:14" x14ac:dyDescent="0.25">
      <c r="A173">
        <v>2008</v>
      </c>
      <c r="B173" s="66">
        <v>39630</v>
      </c>
      <c r="C173" t="s">
        <v>107</v>
      </c>
      <c r="D173">
        <v>105</v>
      </c>
      <c r="E173" s="16">
        <v>55.266666666666673</v>
      </c>
      <c r="F173" s="16">
        <v>15.866666666666646</v>
      </c>
      <c r="G173" s="16">
        <v>28.866666666666674</v>
      </c>
      <c r="H173" t="s">
        <v>1</v>
      </c>
      <c r="I173" s="65">
        <v>0.10249894112664135</v>
      </c>
      <c r="J173" s="65">
        <v>0.11552346570397092</v>
      </c>
      <c r="K173" s="65">
        <v>0.17719218537028619</v>
      </c>
      <c r="L173" s="65">
        <f t="shared" si="7"/>
        <v>0.16399830580262617</v>
      </c>
      <c r="M173" s="65">
        <f t="shared" si="8"/>
        <v>0.18483754512635348</v>
      </c>
      <c r="N173" s="65">
        <f t="shared" si="9"/>
        <v>0.28350749659245794</v>
      </c>
    </row>
    <row r="174" spans="1:14" x14ac:dyDescent="0.25">
      <c r="A174">
        <v>2008</v>
      </c>
      <c r="B174" s="66">
        <v>39630</v>
      </c>
      <c r="C174" t="s">
        <v>107</v>
      </c>
      <c r="D174">
        <v>135</v>
      </c>
      <c r="E174" s="16">
        <v>74.666666666666657</v>
      </c>
      <c r="F174" s="16">
        <v>7.5333333333333456</v>
      </c>
      <c r="G174" s="16">
        <v>17.8</v>
      </c>
      <c r="H174" t="s">
        <v>0</v>
      </c>
      <c r="I174" s="65">
        <v>7.8478964401294413E-2</v>
      </c>
      <c r="J174" s="65">
        <v>9.1331923890063588E-2</v>
      </c>
      <c r="K174" s="65">
        <v>0.14791666666666684</v>
      </c>
      <c r="L174" s="65">
        <f t="shared" si="7"/>
        <v>0.12556634304207107</v>
      </c>
      <c r="M174" s="65">
        <f t="shared" si="8"/>
        <v>0.14613107822410173</v>
      </c>
      <c r="N174" s="65">
        <f t="shared" si="9"/>
        <v>0.23666666666666694</v>
      </c>
    </row>
    <row r="175" spans="1:14" x14ac:dyDescent="0.25">
      <c r="A175">
        <v>2008</v>
      </c>
      <c r="B175" s="66">
        <v>39630</v>
      </c>
      <c r="C175" t="s">
        <v>107</v>
      </c>
      <c r="D175">
        <v>165</v>
      </c>
      <c r="E175" s="16">
        <v>68</v>
      </c>
      <c r="F175" s="16">
        <v>10.866666666666674</v>
      </c>
      <c r="G175" s="16">
        <v>21.133333333333333</v>
      </c>
      <c r="H175" t="s">
        <v>1</v>
      </c>
      <c r="I175" s="65">
        <v>0.10694736842105258</v>
      </c>
      <c r="J175" s="65">
        <v>0.13636363636363646</v>
      </c>
      <c r="K175" s="65">
        <v>0.1724924012158057</v>
      </c>
      <c r="L175" s="65">
        <f t="shared" si="7"/>
        <v>0.17111578947368414</v>
      </c>
      <c r="M175" s="65">
        <f t="shared" si="8"/>
        <v>0.21818181818181837</v>
      </c>
      <c r="N175" s="65">
        <f t="shared" si="9"/>
        <v>0.27598784194528914</v>
      </c>
    </row>
    <row r="176" spans="1:14" x14ac:dyDescent="0.25">
      <c r="A176">
        <v>2008</v>
      </c>
      <c r="B176" s="66">
        <v>39630</v>
      </c>
      <c r="C176" t="s">
        <v>108</v>
      </c>
      <c r="D176">
        <v>15</v>
      </c>
      <c r="E176" s="16">
        <v>67.066666666666663</v>
      </c>
      <c r="F176" s="16">
        <v>12.400000000000006</v>
      </c>
      <c r="G176" s="16">
        <v>20.533333333333339</v>
      </c>
      <c r="H176" t="s">
        <v>1</v>
      </c>
      <c r="I176" s="65">
        <v>7.1428571428571563E-2</v>
      </c>
      <c r="J176" s="65">
        <v>9.0306545153272855E-2</v>
      </c>
      <c r="K176" s="65">
        <v>0.18176795580110539</v>
      </c>
      <c r="L176" s="65">
        <f t="shared" si="7"/>
        <v>0.1142857142857145</v>
      </c>
      <c r="M176" s="65">
        <f t="shared" si="8"/>
        <v>0.14449047224523656</v>
      </c>
      <c r="N176" s="65">
        <f t="shared" si="9"/>
        <v>0.29082872928176862</v>
      </c>
    </row>
    <row r="177" spans="1:14" x14ac:dyDescent="0.25">
      <c r="A177">
        <v>2008</v>
      </c>
      <c r="B177" s="66">
        <v>39630</v>
      </c>
      <c r="C177" t="s">
        <v>108</v>
      </c>
      <c r="D177">
        <v>45</v>
      </c>
      <c r="E177" s="16">
        <v>44.333333333333336</v>
      </c>
      <c r="F177" s="16">
        <v>19.066666666666663</v>
      </c>
      <c r="G177" s="16">
        <v>36.6</v>
      </c>
      <c r="H177" t="s">
        <v>1</v>
      </c>
      <c r="I177" s="65">
        <v>0.11083499005964198</v>
      </c>
      <c r="J177" s="65">
        <v>0.15260663507108999</v>
      </c>
      <c r="K177" s="65">
        <v>0.21278721278721266</v>
      </c>
      <c r="L177" s="65">
        <f t="shared" si="7"/>
        <v>0.17733598409542717</v>
      </c>
      <c r="M177" s="65">
        <f t="shared" si="8"/>
        <v>0.24417061611374399</v>
      </c>
      <c r="N177" s="65">
        <f t="shared" si="9"/>
        <v>0.3404595404595403</v>
      </c>
    </row>
    <row r="178" spans="1:14" x14ac:dyDescent="0.25">
      <c r="A178">
        <v>2008</v>
      </c>
      <c r="B178" s="66">
        <v>39630</v>
      </c>
      <c r="C178" t="s">
        <v>108</v>
      </c>
      <c r="D178">
        <v>75</v>
      </c>
      <c r="E178" s="16">
        <v>51</v>
      </c>
      <c r="F178" s="16">
        <v>15.133333333333326</v>
      </c>
      <c r="G178" s="16">
        <v>33.866666666666674</v>
      </c>
      <c r="H178" t="s">
        <v>1</v>
      </c>
      <c r="I178" s="65">
        <v>0.11818181818181825</v>
      </c>
      <c r="J178" s="65">
        <v>0.14478619654913696</v>
      </c>
      <c r="K178" s="65">
        <v>0.19343354430379742</v>
      </c>
      <c r="L178" s="65">
        <f t="shared" si="7"/>
        <v>0.1890909090909092</v>
      </c>
      <c r="M178" s="65">
        <f t="shared" si="8"/>
        <v>0.23165791447861916</v>
      </c>
      <c r="N178" s="65">
        <f t="shared" si="9"/>
        <v>0.30949367088607588</v>
      </c>
    </row>
    <row r="179" spans="1:14" x14ac:dyDescent="0.25">
      <c r="A179">
        <v>2008</v>
      </c>
      <c r="B179" s="66">
        <v>39630</v>
      </c>
      <c r="C179" t="s">
        <v>108</v>
      </c>
      <c r="D179">
        <v>105</v>
      </c>
      <c r="E179" s="16">
        <v>53.73333333333332</v>
      </c>
      <c r="F179" s="16">
        <v>15.733333333333348</v>
      </c>
      <c r="G179" s="16">
        <v>30.533333333333339</v>
      </c>
      <c r="H179" t="s">
        <v>1</v>
      </c>
      <c r="I179" s="65">
        <v>9.3023255813953487E-2</v>
      </c>
      <c r="J179" s="65">
        <v>0.2002551020408164</v>
      </c>
      <c r="K179" s="65">
        <v>0.15732009925558321</v>
      </c>
      <c r="L179" s="65">
        <f t="shared" si="7"/>
        <v>0.14883720930232558</v>
      </c>
      <c r="M179" s="65">
        <f t="shared" si="8"/>
        <v>0.32040816326530625</v>
      </c>
      <c r="N179" s="65">
        <f t="shared" si="9"/>
        <v>0.25171215880893316</v>
      </c>
    </row>
    <row r="180" spans="1:14" x14ac:dyDescent="0.25">
      <c r="A180">
        <v>2008</v>
      </c>
      <c r="B180" s="66">
        <v>39630</v>
      </c>
      <c r="C180" t="s">
        <v>108</v>
      </c>
      <c r="D180">
        <v>135</v>
      </c>
      <c r="E180" s="16">
        <v>72.533333333333331</v>
      </c>
      <c r="F180" s="16">
        <v>8.5999999999999943</v>
      </c>
      <c r="G180" s="16">
        <v>18.866666666666674</v>
      </c>
      <c r="H180" t="s">
        <v>0</v>
      </c>
      <c r="I180" s="65">
        <v>6.3432835820895095E-2</v>
      </c>
      <c r="J180" s="65">
        <v>8.1119885139985831E-2</v>
      </c>
      <c r="K180" s="65">
        <v>0.12724092697857436</v>
      </c>
      <c r="L180" s="65">
        <f t="shared" si="7"/>
        <v>0.10149253731343216</v>
      </c>
      <c r="M180" s="65">
        <f t="shared" si="8"/>
        <v>0.12979181622397734</v>
      </c>
      <c r="N180" s="65">
        <f t="shared" si="9"/>
        <v>0.20358548316571901</v>
      </c>
    </row>
    <row r="181" spans="1:14" x14ac:dyDescent="0.25">
      <c r="A181">
        <v>2008</v>
      </c>
      <c r="B181" s="66">
        <v>39630</v>
      </c>
      <c r="C181" t="s">
        <v>108</v>
      </c>
      <c r="D181">
        <v>165</v>
      </c>
      <c r="E181" s="16">
        <v>75.86666666666666</v>
      </c>
      <c r="F181" s="16">
        <v>6.9333333333333371</v>
      </c>
      <c r="G181" s="16">
        <v>17.200000000000006</v>
      </c>
      <c r="H181" t="s">
        <v>0</v>
      </c>
      <c r="I181" s="65">
        <v>6.7901234567901175E-2</v>
      </c>
      <c r="J181" s="65">
        <v>8.3064516129032359E-2</v>
      </c>
      <c r="K181" s="65">
        <v>0.25099601593625509</v>
      </c>
      <c r="L181" s="65">
        <f t="shared" si="7"/>
        <v>0.10864197530864189</v>
      </c>
      <c r="M181" s="65">
        <f t="shared" si="8"/>
        <v>0.13290322580645178</v>
      </c>
      <c r="N181" s="65">
        <f t="shared" si="9"/>
        <v>0.40159362549800814</v>
      </c>
    </row>
    <row r="182" spans="1:14" x14ac:dyDescent="0.25">
      <c r="A182">
        <v>2008</v>
      </c>
      <c r="B182" s="66">
        <v>39630</v>
      </c>
      <c r="C182" t="s">
        <v>109</v>
      </c>
      <c r="D182">
        <v>15</v>
      </c>
      <c r="E182" s="16">
        <v>71.599999999999994</v>
      </c>
      <c r="F182" s="16">
        <v>10.26666666666668</v>
      </c>
      <c r="G182" s="16">
        <v>18.133333333333333</v>
      </c>
      <c r="H182" t="s">
        <v>0</v>
      </c>
      <c r="I182" s="65">
        <v>7.7464788732394263E-2</v>
      </c>
      <c r="J182" s="65">
        <v>8.3109919571045354E-2</v>
      </c>
      <c r="K182" s="65">
        <v>0.13380281690140844</v>
      </c>
      <c r="L182" s="65">
        <f t="shared" si="7"/>
        <v>0.12394366197183082</v>
      </c>
      <c r="M182" s="65">
        <f t="shared" si="8"/>
        <v>0.13297587131367258</v>
      </c>
      <c r="N182" s="65">
        <f t="shared" si="9"/>
        <v>0.21408450704225351</v>
      </c>
    </row>
    <row r="183" spans="1:14" x14ac:dyDescent="0.25">
      <c r="A183">
        <v>2008</v>
      </c>
      <c r="B183" s="66">
        <v>39630</v>
      </c>
      <c r="C183" t="s">
        <v>109</v>
      </c>
      <c r="D183">
        <v>45</v>
      </c>
      <c r="E183" s="16">
        <v>58.266666666666666</v>
      </c>
      <c r="F183" s="16">
        <v>13</v>
      </c>
      <c r="G183" s="16">
        <v>28.733333333333334</v>
      </c>
      <c r="H183" t="s">
        <v>1</v>
      </c>
      <c r="I183" s="65">
        <v>0.10705460342766042</v>
      </c>
      <c r="J183" s="65">
        <v>0.13243243243243266</v>
      </c>
      <c r="K183" s="65">
        <v>0.19472710453284003</v>
      </c>
      <c r="L183" s="65">
        <f t="shared" si="7"/>
        <v>0.17128736548425669</v>
      </c>
      <c r="M183" s="65">
        <f t="shared" si="8"/>
        <v>0.21189189189189228</v>
      </c>
      <c r="N183" s="65">
        <f t="shared" si="9"/>
        <v>0.31156336725254408</v>
      </c>
    </row>
    <row r="184" spans="1:14" x14ac:dyDescent="0.25">
      <c r="A184">
        <v>2008</v>
      </c>
      <c r="B184" s="66">
        <v>39630</v>
      </c>
      <c r="C184" t="s">
        <v>109</v>
      </c>
      <c r="D184">
        <v>75</v>
      </c>
      <c r="E184" s="16">
        <v>59.466666666666654</v>
      </c>
      <c r="F184" s="16">
        <v>12.400000000000006</v>
      </c>
      <c r="G184" s="16">
        <v>28.133333333333336</v>
      </c>
      <c r="H184" t="s">
        <v>1</v>
      </c>
      <c r="I184" s="65">
        <v>0.10439560439560445</v>
      </c>
      <c r="J184" s="65">
        <v>0.1212121212121213</v>
      </c>
      <c r="K184" s="65">
        <v>0.17860116569525425</v>
      </c>
      <c r="L184" s="65">
        <f t="shared" si="7"/>
        <v>0.16703296703296713</v>
      </c>
      <c r="M184" s="65">
        <f t="shared" si="8"/>
        <v>0.19393939393939408</v>
      </c>
      <c r="N184" s="65">
        <f t="shared" si="9"/>
        <v>0.28576186511240681</v>
      </c>
    </row>
    <row r="185" spans="1:14" x14ac:dyDescent="0.25">
      <c r="A185">
        <v>2008</v>
      </c>
      <c r="B185" s="66">
        <v>39630</v>
      </c>
      <c r="C185" t="s">
        <v>109</v>
      </c>
      <c r="D185">
        <v>105</v>
      </c>
      <c r="E185" s="16">
        <v>52.2</v>
      </c>
      <c r="F185" s="16">
        <v>16.333333333333329</v>
      </c>
      <c r="G185" s="16">
        <v>31.466666666666672</v>
      </c>
      <c r="H185" t="s">
        <v>1</v>
      </c>
      <c r="I185" s="65">
        <v>9.1706539074960014E-2</v>
      </c>
      <c r="J185" s="65">
        <v>0.11504793664026701</v>
      </c>
      <c r="K185" s="65">
        <v>0.17274305555555541</v>
      </c>
      <c r="L185" s="65">
        <f t="shared" si="7"/>
        <v>0.14673046251993602</v>
      </c>
      <c r="M185" s="65">
        <f t="shared" si="8"/>
        <v>0.18407669862442722</v>
      </c>
      <c r="N185" s="65">
        <f t="shared" si="9"/>
        <v>0.27638888888888868</v>
      </c>
    </row>
    <row r="186" spans="1:14" x14ac:dyDescent="0.25">
      <c r="A186">
        <v>2008</v>
      </c>
      <c r="B186" s="66">
        <v>39630</v>
      </c>
      <c r="C186" t="s">
        <v>109</v>
      </c>
      <c r="D186">
        <v>135</v>
      </c>
      <c r="E186" s="16">
        <v>68.266666666666666</v>
      </c>
      <c r="F186" s="16">
        <v>9.6666666666666714</v>
      </c>
      <c r="G186" s="16">
        <v>22.066666666666666</v>
      </c>
      <c r="H186" t="s">
        <v>1</v>
      </c>
      <c r="I186" s="65">
        <v>7.0686070686070496E-2</v>
      </c>
      <c r="J186" s="65">
        <v>8.7346024636058381E-2</v>
      </c>
      <c r="K186" s="65">
        <v>0.15254237288135597</v>
      </c>
      <c r="L186" s="65">
        <f t="shared" si="7"/>
        <v>0.1130977130977128</v>
      </c>
      <c r="M186" s="65">
        <f t="shared" si="8"/>
        <v>0.13975363941769342</v>
      </c>
      <c r="N186" s="65">
        <f t="shared" si="9"/>
        <v>0.24406779661016956</v>
      </c>
    </row>
    <row r="187" spans="1:14" x14ac:dyDescent="0.25">
      <c r="A187">
        <v>2008</v>
      </c>
      <c r="B187" s="66">
        <v>39630</v>
      </c>
      <c r="C187" t="s">
        <v>109</v>
      </c>
      <c r="D187">
        <v>165</v>
      </c>
      <c r="E187" s="16">
        <v>64.933333333333337</v>
      </c>
      <c r="F187" s="16">
        <v>10.733333333333334</v>
      </c>
      <c r="G187" s="16">
        <v>24.333333333333332</v>
      </c>
      <c r="H187" t="s">
        <v>56</v>
      </c>
      <c r="I187" s="65">
        <v>9.250902527075798E-2</v>
      </c>
      <c r="J187" s="65">
        <v>0.11891319689484792</v>
      </c>
      <c r="K187" s="65">
        <v>0.17294117647058804</v>
      </c>
      <c r="L187" s="65">
        <f t="shared" si="7"/>
        <v>0.14801444043321277</v>
      </c>
      <c r="M187" s="65">
        <f t="shared" si="8"/>
        <v>0.19026111503175669</v>
      </c>
      <c r="N187" s="65">
        <f t="shared" si="9"/>
        <v>0.27670588235294086</v>
      </c>
    </row>
    <row r="188" spans="1:14" x14ac:dyDescent="0.25">
      <c r="A188">
        <v>2008</v>
      </c>
      <c r="B188" s="66">
        <v>39630</v>
      </c>
      <c r="C188" t="s">
        <v>110</v>
      </c>
      <c r="D188">
        <v>15</v>
      </c>
      <c r="E188" s="16">
        <v>69.466666666666654</v>
      </c>
      <c r="F188" s="16">
        <v>9.6666666666666714</v>
      </c>
      <c r="G188" s="16">
        <v>20.866666666666674</v>
      </c>
      <c r="H188" t="s">
        <v>1</v>
      </c>
      <c r="I188" s="65">
        <v>7.2773972602739531E-2</v>
      </c>
      <c r="J188" s="65">
        <v>8.9248650892486431E-2</v>
      </c>
      <c r="K188" s="65">
        <v>0.1367824238128986</v>
      </c>
      <c r="L188" s="65">
        <f t="shared" si="7"/>
        <v>0.11643835616438325</v>
      </c>
      <c r="M188" s="65">
        <f t="shared" si="8"/>
        <v>0.1427978414279783</v>
      </c>
      <c r="N188" s="65">
        <f t="shared" si="9"/>
        <v>0.21885187810063778</v>
      </c>
    </row>
    <row r="189" spans="1:14" x14ac:dyDescent="0.25">
      <c r="A189">
        <v>2008</v>
      </c>
      <c r="B189" s="66">
        <v>39630</v>
      </c>
      <c r="C189" t="s">
        <v>110</v>
      </c>
      <c r="D189">
        <v>45</v>
      </c>
      <c r="E189" s="16">
        <v>64</v>
      </c>
      <c r="F189" s="16">
        <v>11.199999999999989</v>
      </c>
      <c r="G189" s="16">
        <v>24.800000000000004</v>
      </c>
      <c r="H189" t="s">
        <v>1</v>
      </c>
      <c r="I189" s="65">
        <v>8.269317668323535E-2</v>
      </c>
      <c r="J189" s="65">
        <v>0.10160880609652832</v>
      </c>
      <c r="K189" s="65">
        <v>0.15564516129032258</v>
      </c>
      <c r="L189" s="65">
        <f t="shared" si="7"/>
        <v>0.13230908269317657</v>
      </c>
      <c r="M189" s="65">
        <f t="shared" si="8"/>
        <v>0.16257408975444532</v>
      </c>
      <c r="N189" s="65">
        <f t="shared" si="9"/>
        <v>0.24903225806451612</v>
      </c>
    </row>
    <row r="190" spans="1:14" x14ac:dyDescent="0.25">
      <c r="A190">
        <v>2008</v>
      </c>
      <c r="B190" s="66">
        <v>39630</v>
      </c>
      <c r="C190" t="s">
        <v>110</v>
      </c>
      <c r="D190">
        <v>75</v>
      </c>
      <c r="E190" s="16">
        <v>49.466666666666661</v>
      </c>
      <c r="F190" s="16">
        <v>15.733333333333334</v>
      </c>
      <c r="G190" s="16">
        <v>34.800000000000004</v>
      </c>
      <c r="H190" t="s">
        <v>1</v>
      </c>
      <c r="I190" s="65">
        <v>0.11064814814814819</v>
      </c>
      <c r="J190" s="65">
        <v>0.14819376026272546</v>
      </c>
      <c r="K190" s="65">
        <v>0.20376647834274936</v>
      </c>
      <c r="L190" s="65">
        <f t="shared" si="7"/>
        <v>0.1770370370370371</v>
      </c>
      <c r="M190" s="65">
        <f t="shared" si="8"/>
        <v>0.23711001642036075</v>
      </c>
      <c r="N190" s="65">
        <f t="shared" si="9"/>
        <v>0.32602636534839902</v>
      </c>
    </row>
    <row r="191" spans="1:14" x14ac:dyDescent="0.25">
      <c r="A191">
        <v>2008</v>
      </c>
      <c r="B191" s="66">
        <v>39630</v>
      </c>
      <c r="C191" t="s">
        <v>110</v>
      </c>
      <c r="D191">
        <v>105</v>
      </c>
      <c r="E191" s="16">
        <v>54.933333333333337</v>
      </c>
      <c r="F191" s="16">
        <v>13.599999999999994</v>
      </c>
      <c r="G191" s="16">
        <v>31.466666666666672</v>
      </c>
      <c r="H191" t="s">
        <v>1</v>
      </c>
      <c r="I191" s="65">
        <v>9.5462328767123156E-2</v>
      </c>
      <c r="J191" s="65">
        <v>0.12529182879377429</v>
      </c>
      <c r="K191" s="65">
        <v>0.1748743718592963</v>
      </c>
      <c r="L191" s="65">
        <f t="shared" si="7"/>
        <v>0.15273972602739705</v>
      </c>
      <c r="M191" s="65">
        <f t="shared" si="8"/>
        <v>0.20046692607003888</v>
      </c>
      <c r="N191" s="65">
        <f t="shared" si="9"/>
        <v>0.27979899497487409</v>
      </c>
    </row>
    <row r="192" spans="1:14" x14ac:dyDescent="0.25">
      <c r="A192">
        <v>2008</v>
      </c>
      <c r="B192" s="66">
        <v>39630</v>
      </c>
      <c r="C192" t="s">
        <v>110</v>
      </c>
      <c r="D192">
        <v>135</v>
      </c>
      <c r="E192" s="16">
        <v>72.799999999999983</v>
      </c>
      <c r="F192" s="16">
        <v>10.26666666666668</v>
      </c>
      <c r="G192" s="16">
        <v>16.933333333333337</v>
      </c>
      <c r="H192" t="s">
        <v>0</v>
      </c>
      <c r="I192" s="65">
        <v>6.6540821142048318E-2</v>
      </c>
      <c r="J192" s="65">
        <v>8.1704581864786838E-2</v>
      </c>
      <c r="K192" s="65">
        <v>0.11705263157894742</v>
      </c>
      <c r="L192" s="65">
        <f t="shared" si="7"/>
        <v>0.10646531382727731</v>
      </c>
      <c r="M192" s="65">
        <f t="shared" si="8"/>
        <v>0.13072733098365893</v>
      </c>
      <c r="N192" s="65">
        <f t="shared" si="9"/>
        <v>0.18728421052631589</v>
      </c>
    </row>
    <row r="193" spans="1:14" x14ac:dyDescent="0.25">
      <c r="A193">
        <v>2008</v>
      </c>
      <c r="B193" s="66">
        <v>39630</v>
      </c>
      <c r="C193" t="s">
        <v>110</v>
      </c>
      <c r="D193">
        <v>165</v>
      </c>
      <c r="E193" s="16">
        <v>79.466666666666654</v>
      </c>
      <c r="F193" s="16">
        <v>5.7333333333333485</v>
      </c>
      <c r="G193" s="16">
        <v>14.800000000000002</v>
      </c>
      <c r="H193" t="s">
        <v>0</v>
      </c>
      <c r="I193" s="65">
        <v>8.1586144029170762E-2</v>
      </c>
      <c r="J193" s="65">
        <v>9.2155369383092225E-2</v>
      </c>
      <c r="K193" s="65">
        <v>0.20301697045883121</v>
      </c>
      <c r="L193" s="65">
        <f t="shared" si="7"/>
        <v>0.13053783044667322</v>
      </c>
      <c r="M193" s="65">
        <f t="shared" si="8"/>
        <v>0.14744859101294758</v>
      </c>
      <c r="N193" s="65">
        <f t="shared" si="9"/>
        <v>0.32482715273412999</v>
      </c>
    </row>
    <row r="194" spans="1:14" x14ac:dyDescent="0.25">
      <c r="L194" s="65"/>
      <c r="M194" s="65"/>
      <c r="N194" s="65"/>
    </row>
    <row r="195" spans="1:14" x14ac:dyDescent="0.25">
      <c r="L195" s="65"/>
      <c r="M195" s="65"/>
      <c r="N195" s="65"/>
    </row>
    <row r="196" spans="1:14" x14ac:dyDescent="0.25">
      <c r="L196" s="65"/>
      <c r="M196" s="65"/>
      <c r="N196" s="65"/>
    </row>
    <row r="198" spans="1:14" x14ac:dyDescent="0.25">
      <c r="L198" s="65"/>
      <c r="M198" s="65"/>
      <c r="N198" s="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3ACBB-F942-4020-8F97-BD07FAA9D391}">
  <dimension ref="A1:AZ343"/>
  <sheetViews>
    <sheetView zoomScale="85" zoomScaleNormal="85" workbookViewId="0">
      <selection activeCell="H310" sqref="H310"/>
    </sheetView>
  </sheetViews>
  <sheetFormatPr defaultRowHeight="15" x14ac:dyDescent="0.25"/>
  <cols>
    <col min="1" max="1" width="9" customWidth="1"/>
    <col min="2" max="2" width="7.140625" customWidth="1"/>
    <col min="3" max="3" width="7.5703125" customWidth="1"/>
    <col min="5" max="5" width="7.85546875" customWidth="1"/>
    <col min="6" max="6" width="9.85546875" customWidth="1"/>
    <col min="7" max="7" width="8.7109375" customWidth="1"/>
    <col min="8" max="8" width="9.42578125" customWidth="1"/>
    <col min="10" max="10" width="10.85546875" customWidth="1"/>
    <col min="11" max="11" width="9" customWidth="1"/>
    <col min="12" max="12" width="9.28515625" customWidth="1"/>
    <col min="13" max="13" width="7.7109375" bestFit="1" customWidth="1"/>
    <col min="14" max="14" width="8" bestFit="1" customWidth="1"/>
    <col min="15" max="15" width="7" bestFit="1" customWidth="1"/>
    <col min="16" max="16" width="19.140625" customWidth="1"/>
    <col min="17" max="17" width="12.28515625" customWidth="1"/>
    <col min="18" max="18" width="13.5703125" customWidth="1"/>
    <col min="19" max="19" width="10.85546875" bestFit="1" customWidth="1"/>
  </cols>
  <sheetData>
    <row r="1" spans="1:52" ht="18.75" x14ac:dyDescent="0.3">
      <c r="A1" t="s">
        <v>77</v>
      </c>
      <c r="Q1" s="29" t="s">
        <v>4</v>
      </c>
      <c r="S1" s="29" t="s">
        <v>76</v>
      </c>
      <c r="T1" s="19" t="s">
        <v>32</v>
      </c>
      <c r="U1" s="19" t="s">
        <v>31</v>
      </c>
      <c r="V1" s="19" t="s">
        <v>30</v>
      </c>
      <c r="W1" s="19" t="s">
        <v>29</v>
      </c>
      <c r="X1" s="19" t="s">
        <v>28</v>
      </c>
      <c r="Y1" s="19" t="s">
        <v>27</v>
      </c>
      <c r="Z1" s="19" t="s">
        <v>26</v>
      </c>
      <c r="AA1" s="19" t="s">
        <v>25</v>
      </c>
      <c r="AB1" s="19" t="s">
        <v>24</v>
      </c>
      <c r="AC1" s="19" t="s">
        <v>26</v>
      </c>
      <c r="AD1" s="20" t="s">
        <v>26</v>
      </c>
      <c r="AE1" s="19" t="s">
        <v>28</v>
      </c>
      <c r="AF1" s="19" t="s">
        <v>27</v>
      </c>
      <c r="AG1" s="19" t="s">
        <v>64</v>
      </c>
      <c r="AH1" s="19" t="s">
        <v>63</v>
      </c>
      <c r="AI1" s="19" t="s">
        <v>62</v>
      </c>
      <c r="AJ1" s="19" t="s">
        <v>75</v>
      </c>
      <c r="AK1" s="19" t="s">
        <v>74</v>
      </c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</row>
    <row r="2" spans="1:52" x14ac:dyDescent="0.25">
      <c r="T2" s="19"/>
      <c r="U2" s="19"/>
      <c r="V2" s="19" t="s">
        <v>23</v>
      </c>
      <c r="W2" s="19" t="s">
        <v>23</v>
      </c>
      <c r="X2" s="19" t="s">
        <v>73</v>
      </c>
      <c r="Y2" s="19" t="s">
        <v>72</v>
      </c>
      <c r="Z2" s="19" t="s">
        <v>71</v>
      </c>
      <c r="AA2" s="19" t="s">
        <v>71</v>
      </c>
      <c r="AB2" s="19" t="s">
        <v>70</v>
      </c>
      <c r="AC2" s="19" t="s">
        <v>21</v>
      </c>
      <c r="AD2" s="20" t="s">
        <v>60</v>
      </c>
      <c r="AE2" s="20" t="s">
        <v>22</v>
      </c>
      <c r="AF2" s="20"/>
      <c r="AG2" s="19" t="s">
        <v>59</v>
      </c>
      <c r="AH2" s="19" t="s">
        <v>59</v>
      </c>
      <c r="AI2" s="19" t="s">
        <v>59</v>
      </c>
      <c r="AJ2" s="19" t="s">
        <v>59</v>
      </c>
      <c r="AK2" s="19" t="s">
        <v>59</v>
      </c>
      <c r="AL2" s="19"/>
      <c r="AM2" s="19"/>
      <c r="AN2" s="19"/>
      <c r="AO2" s="19"/>
      <c r="AP2" s="19"/>
      <c r="AQ2" s="19"/>
      <c r="AR2" s="19">
        <v>1</v>
      </c>
      <c r="AS2" s="19">
        <v>2</v>
      </c>
      <c r="AT2" s="19">
        <v>3</v>
      </c>
      <c r="AU2" s="19">
        <v>4</v>
      </c>
      <c r="AV2" s="19">
        <v>5</v>
      </c>
      <c r="AW2" s="19">
        <v>6</v>
      </c>
      <c r="AX2" s="19">
        <v>7</v>
      </c>
      <c r="AY2" s="19">
        <v>8</v>
      </c>
      <c r="AZ2" s="19"/>
    </row>
    <row r="3" spans="1:52" ht="64.5" x14ac:dyDescent="0.25">
      <c r="A3" s="8" t="s">
        <v>54</v>
      </c>
      <c r="B3" s="10" t="s">
        <v>19</v>
      </c>
      <c r="C3" s="14" t="s">
        <v>18</v>
      </c>
      <c r="D3" s="13" t="s">
        <v>17</v>
      </c>
      <c r="E3" s="12" t="s">
        <v>16</v>
      </c>
      <c r="F3" s="12" t="s">
        <v>15</v>
      </c>
      <c r="G3" s="12" t="s">
        <v>14</v>
      </c>
      <c r="H3" s="12" t="s">
        <v>13</v>
      </c>
      <c r="I3" s="12" t="s">
        <v>12</v>
      </c>
      <c r="J3" s="12" t="s">
        <v>11</v>
      </c>
      <c r="K3" s="12" t="s">
        <v>10</v>
      </c>
      <c r="L3" s="12" t="s">
        <v>9</v>
      </c>
      <c r="M3" s="11" t="s">
        <v>8</v>
      </c>
      <c r="N3" s="11" t="s">
        <v>7</v>
      </c>
      <c r="O3" s="11" t="s">
        <v>6</v>
      </c>
      <c r="P3" s="10" t="s">
        <v>5</v>
      </c>
      <c r="Q3" s="71" t="s">
        <v>4</v>
      </c>
      <c r="R3" s="71"/>
      <c r="T3" s="19">
        <v>101030</v>
      </c>
      <c r="U3" s="19" t="s">
        <v>67</v>
      </c>
      <c r="V3" s="19">
        <v>6.3640000000000002E-2</v>
      </c>
      <c r="W3" s="21">
        <v>0.40700999999999998</v>
      </c>
      <c r="X3" s="19">
        <v>-1.5817000000000001</v>
      </c>
      <c r="Y3" s="19">
        <v>0.18861</v>
      </c>
      <c r="Z3" s="19">
        <v>1.7710300000000001</v>
      </c>
      <c r="AA3" s="19">
        <v>1.0902499999999999</v>
      </c>
      <c r="AB3" s="19">
        <v>-0.93176000000000003</v>
      </c>
      <c r="AC3" s="19">
        <v>59.024185122628303</v>
      </c>
      <c r="AD3" s="20">
        <v>2.4593410467761792</v>
      </c>
      <c r="AE3" s="23">
        <v>2.6199922097727577E-2</v>
      </c>
      <c r="AF3" s="23">
        <v>1.5438674112764195</v>
      </c>
      <c r="AG3" s="21">
        <v>0.40657383521914481</v>
      </c>
      <c r="AH3" s="19">
        <v>0.25291078334323441</v>
      </c>
      <c r="AI3" s="19">
        <v>0.16806792833655654</v>
      </c>
      <c r="AJ3" s="21">
        <v>7.6967306358504906E-2</v>
      </c>
      <c r="AK3" s="21">
        <v>0.21048935583989548</v>
      </c>
      <c r="AL3" s="19"/>
      <c r="AM3" s="21">
        <v>7.6967306358504906E-2</v>
      </c>
      <c r="AN3" s="21">
        <v>0.21048935583989548</v>
      </c>
      <c r="AO3" s="21">
        <v>0.40657383521914481</v>
      </c>
      <c r="AP3" s="19"/>
      <c r="AQ3" s="19">
        <v>1</v>
      </c>
      <c r="AR3" s="21">
        <v>0.21048935583989548</v>
      </c>
      <c r="AS3" s="21">
        <v>0.22458232415975452</v>
      </c>
      <c r="AT3" s="21">
        <v>0.22590156859844274</v>
      </c>
      <c r="AU3" s="21">
        <v>0.23793601781050266</v>
      </c>
      <c r="AV3" s="21">
        <v>0.20979149167068767</v>
      </c>
      <c r="AW3" s="21">
        <v>0.23349557179486705</v>
      </c>
      <c r="AX3" s="21">
        <v>0.21194151221483742</v>
      </c>
      <c r="AY3" s="21">
        <v>0.22758302822956641</v>
      </c>
      <c r="AZ3" s="21">
        <v>0.22271510878981923</v>
      </c>
    </row>
    <row r="4" spans="1:52" x14ac:dyDescent="0.25">
      <c r="A4" s="8"/>
      <c r="B4" s="10"/>
      <c r="C4" s="14"/>
      <c r="D4" s="13"/>
      <c r="E4" s="12"/>
      <c r="F4" s="12"/>
      <c r="G4" s="12"/>
      <c r="H4" s="12"/>
      <c r="I4" s="12"/>
      <c r="J4" s="12"/>
      <c r="K4" s="12"/>
      <c r="L4" s="12"/>
      <c r="M4" s="11"/>
      <c r="N4" s="11"/>
      <c r="O4" s="11"/>
      <c r="P4" s="10"/>
      <c r="Q4" s="9" t="s">
        <v>3</v>
      </c>
      <c r="R4" s="9" t="s">
        <v>2</v>
      </c>
      <c r="T4" s="19">
        <v>101045</v>
      </c>
      <c r="U4" s="19" t="s">
        <v>67</v>
      </c>
      <c r="V4" s="19">
        <v>6.7409999999999998E-2</v>
      </c>
      <c r="W4" s="21">
        <v>0.43509999999999999</v>
      </c>
      <c r="X4" s="19">
        <v>-1.5907100000000001</v>
      </c>
      <c r="Y4" s="19">
        <v>0.19234000000000001</v>
      </c>
      <c r="Z4" s="19">
        <v>1.89933</v>
      </c>
      <c r="AA4" s="19">
        <v>1.1173299999999999</v>
      </c>
      <c r="AB4" s="19">
        <v>-0.83665999999999996</v>
      </c>
      <c r="AC4" s="19">
        <v>79.310374390174886</v>
      </c>
      <c r="AD4" s="20">
        <v>3.3045989329239536</v>
      </c>
      <c r="AE4" s="23">
        <v>2.5661970417703923E-2</v>
      </c>
      <c r="AF4" s="23">
        <v>1.5571842412660541</v>
      </c>
      <c r="AG4" s="21">
        <v>0.4346623463749405</v>
      </c>
      <c r="AH4" s="19">
        <v>0.26933962270516165</v>
      </c>
      <c r="AI4" s="19">
        <v>0.17729207478593928</v>
      </c>
      <c r="AJ4" s="21">
        <v>8.0743172089021847E-2</v>
      </c>
      <c r="AK4" s="21">
        <v>0.22331584874555047</v>
      </c>
      <c r="AL4" s="19"/>
      <c r="AM4" s="21">
        <v>8.0743172089021847E-2</v>
      </c>
      <c r="AN4" s="21">
        <v>0.22331584874555047</v>
      </c>
      <c r="AO4" s="21">
        <v>0.4346623463749405</v>
      </c>
      <c r="AP4" s="19"/>
      <c r="AQ4" s="19">
        <v>2</v>
      </c>
      <c r="AR4" s="21">
        <v>0.21967918827616462</v>
      </c>
      <c r="AS4" s="21">
        <v>0.22090462133616701</v>
      </c>
      <c r="AT4" s="21">
        <v>0.2091368719707507</v>
      </c>
      <c r="AU4" s="21">
        <v>0.20555248336864679</v>
      </c>
      <c r="AV4" s="21">
        <v>0.22057875633677468</v>
      </c>
      <c r="AW4" s="21">
        <v>0.22551429542432211</v>
      </c>
      <c r="AX4" s="21">
        <v>0.22408540361836149</v>
      </c>
      <c r="AY4" s="21">
        <v>0.22957346892153341</v>
      </c>
      <c r="AZ4" s="21">
        <v>0.2193781361565901</v>
      </c>
    </row>
    <row r="5" spans="1:52" x14ac:dyDescent="0.25">
      <c r="A5" s="7">
        <v>101</v>
      </c>
      <c r="B5" s="5">
        <v>30</v>
      </c>
      <c r="C5" s="6">
        <v>30</v>
      </c>
      <c r="D5" s="5">
        <v>20</v>
      </c>
      <c r="E5" s="4">
        <v>26.5</v>
      </c>
      <c r="F5" s="4">
        <f t="shared" ref="F5:F10" si="0">1.8*E5+32</f>
        <v>79.7</v>
      </c>
      <c r="G5" s="4">
        <v>4.5</v>
      </c>
      <c r="H5" s="4">
        <f>IF(F5&gt;68,G5+(F5-68)*0.2,EV136-(68-F5)*0.2)</f>
        <v>6.8400000000000007</v>
      </c>
      <c r="I5" s="4">
        <v>25</v>
      </c>
      <c r="J5" s="4">
        <f t="shared" ref="J5:J10" si="1">1.8*I5+32</f>
        <v>77</v>
      </c>
      <c r="K5" s="4">
        <v>3.5</v>
      </c>
      <c r="L5" s="4">
        <f t="shared" ref="L5:L10" si="2">IF(J5&gt;68,K5+(J5-68)*0.2,K5-(68-J5)*0.2)</f>
        <v>5.3</v>
      </c>
      <c r="M5" s="4">
        <f t="shared" ref="M5:M10" si="3">(C5-H5)/C5*100</f>
        <v>77.2</v>
      </c>
      <c r="N5" s="4">
        <f t="shared" ref="N5:N10" si="4">100-(M5+O5)</f>
        <v>5.1333333333333258</v>
      </c>
      <c r="O5" s="4">
        <f t="shared" ref="O5:O10" si="5">L5/C5*100</f>
        <v>17.666666666666668</v>
      </c>
      <c r="P5" s="22" t="s">
        <v>0</v>
      </c>
      <c r="Q5" s="2"/>
      <c r="R5" s="2"/>
      <c r="T5" s="19">
        <v>101060</v>
      </c>
      <c r="U5" s="19" t="s">
        <v>67</v>
      </c>
      <c r="V5" s="19">
        <v>6.8519999999999998E-2</v>
      </c>
      <c r="W5" s="21">
        <v>0.43014999999999998</v>
      </c>
      <c r="X5" s="19">
        <v>-1.5994600000000001</v>
      </c>
      <c r="Y5" s="19">
        <v>0.18895000000000001</v>
      </c>
      <c r="Z5" s="19">
        <v>1.8597999999999999</v>
      </c>
      <c r="AA5" s="19">
        <v>1.0813999999999999</v>
      </c>
      <c r="AB5" s="19">
        <v>-0.86560999999999999</v>
      </c>
      <c r="AC5" s="19">
        <v>72.41024217924128</v>
      </c>
      <c r="AD5" s="20">
        <v>3.0170934241350533</v>
      </c>
      <c r="AE5" s="23">
        <v>2.5150116434612235E-2</v>
      </c>
      <c r="AF5" s="23">
        <v>1.5450765457871298</v>
      </c>
      <c r="AG5" s="21">
        <v>0.42971997580676979</v>
      </c>
      <c r="AH5" s="19">
        <v>0.27125035900397493</v>
      </c>
      <c r="AI5" s="19">
        <v>0.18060009718665931</v>
      </c>
      <c r="AJ5" s="21">
        <v>8.2769091747858209E-2</v>
      </c>
      <c r="AK5" s="21">
        <v>0.22592522809531712</v>
      </c>
      <c r="AL5" s="19"/>
      <c r="AM5" s="21">
        <v>8.2769091747858209E-2</v>
      </c>
      <c r="AN5" s="21">
        <v>0.22592522809531712</v>
      </c>
      <c r="AO5" s="21">
        <v>0.42971997580676979</v>
      </c>
      <c r="AP5" s="19"/>
      <c r="AQ5" s="19">
        <v>3</v>
      </c>
      <c r="AR5" s="21">
        <v>0.24156601960621957</v>
      </c>
      <c r="AS5" s="21">
        <v>0.24836744523553084</v>
      </c>
      <c r="AT5" s="21">
        <v>0.24152733993774661</v>
      </c>
      <c r="AU5" s="21">
        <v>0.26885237076429513</v>
      </c>
      <c r="AV5" s="21">
        <v>0.19153905101525978</v>
      </c>
      <c r="AW5" s="21">
        <v>0.28074953337559372</v>
      </c>
      <c r="AX5" s="21">
        <v>0.22313512497127833</v>
      </c>
      <c r="AY5" s="21">
        <v>0.23040326591300231</v>
      </c>
      <c r="AZ5" s="21">
        <v>0.24076751885236575</v>
      </c>
    </row>
    <row r="6" spans="1:52" x14ac:dyDescent="0.25">
      <c r="A6" s="7">
        <v>101</v>
      </c>
      <c r="B6" s="5">
        <v>60</v>
      </c>
      <c r="C6" s="6">
        <v>30</v>
      </c>
      <c r="D6" s="5">
        <v>20</v>
      </c>
      <c r="E6" s="4">
        <v>26.5</v>
      </c>
      <c r="F6" s="4">
        <f t="shared" si="0"/>
        <v>79.7</v>
      </c>
      <c r="G6" s="4">
        <v>4.5</v>
      </c>
      <c r="H6" s="4">
        <f>IF(F6&gt;68,G6+(F6-68)*0.2,EV137-(68-F6)*0.2)</f>
        <v>6.8400000000000007</v>
      </c>
      <c r="I6" s="4">
        <v>25</v>
      </c>
      <c r="J6" s="4">
        <f t="shared" si="1"/>
        <v>77</v>
      </c>
      <c r="K6" s="4">
        <v>4</v>
      </c>
      <c r="L6" s="4">
        <f t="shared" si="2"/>
        <v>5.8</v>
      </c>
      <c r="M6" s="4">
        <f t="shared" si="3"/>
        <v>77.2</v>
      </c>
      <c r="N6" s="4">
        <f t="shared" si="4"/>
        <v>3.4666666666666686</v>
      </c>
      <c r="O6" s="4">
        <f t="shared" si="5"/>
        <v>19.333333333333332</v>
      </c>
      <c r="P6" s="22" t="s">
        <v>0</v>
      </c>
      <c r="Q6" s="2"/>
      <c r="R6" s="2"/>
      <c r="T6" s="19">
        <v>101090</v>
      </c>
      <c r="U6" s="19" t="s">
        <v>67</v>
      </c>
      <c r="V6" s="19">
        <v>6.0949999999999997E-2</v>
      </c>
      <c r="W6" s="21">
        <v>0.39283000000000001</v>
      </c>
      <c r="X6" s="19">
        <v>-1.5640499999999999</v>
      </c>
      <c r="Y6" s="19">
        <v>0.21393999999999999</v>
      </c>
      <c r="Z6" s="19">
        <v>1.84894</v>
      </c>
      <c r="AA6" s="19">
        <v>1.12832</v>
      </c>
      <c r="AB6" s="19">
        <v>-0.91610000000000003</v>
      </c>
      <c r="AC6" s="19">
        <v>70.621997962705237</v>
      </c>
      <c r="AD6" s="20">
        <v>2.9425832484460517</v>
      </c>
      <c r="AE6" s="23">
        <v>2.7286636157152083E-2</v>
      </c>
      <c r="AF6" s="23">
        <v>1.6365904024885789</v>
      </c>
      <c r="AG6" s="21">
        <v>0.39247489097329202</v>
      </c>
      <c r="AH6" s="19">
        <v>0.22447615409864424</v>
      </c>
      <c r="AI6" s="19">
        <v>0.14155732484819741</v>
      </c>
      <c r="AJ6" s="21">
        <v>6.8163926510723991E-2</v>
      </c>
      <c r="AK6" s="21">
        <v>0.18301673947342084</v>
      </c>
      <c r="AL6" s="19"/>
      <c r="AM6" s="21">
        <v>6.8163926510723991E-2</v>
      </c>
      <c r="AN6" s="21">
        <v>0.18301673947342084</v>
      </c>
      <c r="AO6" s="21">
        <v>0.39247489097329202</v>
      </c>
      <c r="AP6" s="19"/>
      <c r="AQ6" s="19">
        <v>4</v>
      </c>
      <c r="AR6" s="21">
        <v>0.29582199001696963</v>
      </c>
      <c r="AS6" s="21">
        <v>0.26678754443004915</v>
      </c>
      <c r="AT6" s="21">
        <v>0.2873714169039297</v>
      </c>
      <c r="AU6" s="21">
        <v>0.29638075553057414</v>
      </c>
      <c r="AV6" s="21">
        <v>0.24132526143600824</v>
      </c>
      <c r="AW6" s="21">
        <v>0.24454729399469055</v>
      </c>
      <c r="AX6" s="21">
        <v>0.22554452279244144</v>
      </c>
      <c r="AY6" s="21">
        <v>0.24292797950044689</v>
      </c>
      <c r="AZ6" s="21">
        <v>0.2625883455756387</v>
      </c>
    </row>
    <row r="7" spans="1:52" x14ac:dyDescent="0.25">
      <c r="A7" s="7">
        <v>101</v>
      </c>
      <c r="B7" s="5">
        <v>90</v>
      </c>
      <c r="C7" s="6">
        <v>30</v>
      </c>
      <c r="D7" s="5">
        <v>20</v>
      </c>
      <c r="E7" s="4">
        <v>26.5</v>
      </c>
      <c r="F7" s="4">
        <f t="shared" si="0"/>
        <v>79.7</v>
      </c>
      <c r="G7" s="4">
        <v>3.5</v>
      </c>
      <c r="H7" s="4">
        <f>IF(F7&gt;68,G7+(F7-68)*0.2,EV138-(68-F7)*0.2)</f>
        <v>5.8400000000000007</v>
      </c>
      <c r="I7" s="4">
        <v>24.5</v>
      </c>
      <c r="J7" s="4">
        <f t="shared" si="1"/>
        <v>76.099999999999994</v>
      </c>
      <c r="K7" s="4">
        <v>3</v>
      </c>
      <c r="L7" s="4">
        <f t="shared" si="2"/>
        <v>4.6199999999999992</v>
      </c>
      <c r="M7" s="4">
        <f t="shared" si="3"/>
        <v>80.533333333333331</v>
      </c>
      <c r="N7" s="4">
        <f t="shared" si="4"/>
        <v>4.0666666666666771</v>
      </c>
      <c r="O7" s="4">
        <f t="shared" si="5"/>
        <v>15.399999999999997</v>
      </c>
      <c r="P7" s="22" t="s">
        <v>0</v>
      </c>
      <c r="Q7" s="2"/>
      <c r="R7" s="2"/>
      <c r="T7" s="19">
        <v>101120</v>
      </c>
      <c r="U7" s="19" t="s">
        <v>67</v>
      </c>
      <c r="V7" s="19">
        <v>5.9959999999999999E-2</v>
      </c>
      <c r="W7" s="21">
        <v>0.38014999999999999</v>
      </c>
      <c r="X7" s="19">
        <v>-1.56182</v>
      </c>
      <c r="Y7" s="19">
        <v>0.15615000000000001</v>
      </c>
      <c r="Z7" s="19">
        <v>1.52006</v>
      </c>
      <c r="AA7" s="19">
        <v>1.0486200000000001</v>
      </c>
      <c r="AB7" s="19">
        <v>-1.1680699999999999</v>
      </c>
      <c r="AC7" s="19">
        <v>33.117687209790809</v>
      </c>
      <c r="AD7" s="20">
        <v>1.3799036337412838</v>
      </c>
      <c r="AE7" s="23">
        <v>2.7427106948438092E-2</v>
      </c>
      <c r="AF7" s="23">
        <v>1.4326826448842505</v>
      </c>
      <c r="AG7" s="21">
        <v>0.37959255371272221</v>
      </c>
      <c r="AH7" s="19">
        <v>0.25407717904116767</v>
      </c>
      <c r="AI7" s="19">
        <v>0.18139958217508204</v>
      </c>
      <c r="AJ7" s="21">
        <v>8.3631969478504917E-2</v>
      </c>
      <c r="AK7" s="21">
        <v>0.21773838060812484</v>
      </c>
      <c r="AL7" s="19"/>
      <c r="AM7" s="21">
        <v>8.3631969478504917E-2</v>
      </c>
      <c r="AN7" s="21">
        <v>0.21773838060812484</v>
      </c>
      <c r="AO7" s="21">
        <v>0.37959255371272221</v>
      </c>
      <c r="AP7" s="19"/>
      <c r="AQ7" s="19"/>
      <c r="AR7" s="21">
        <v>0.24188913843481233</v>
      </c>
      <c r="AS7" s="21">
        <v>0.24016048379037536</v>
      </c>
      <c r="AT7" s="21">
        <v>0.24098429935271742</v>
      </c>
      <c r="AU7" s="21">
        <v>0.25218040686850468</v>
      </c>
      <c r="AV7" s="21">
        <v>0.21580864011468259</v>
      </c>
      <c r="AW7" s="21">
        <v>0.24607667364736835</v>
      </c>
      <c r="AX7" s="21">
        <v>0.22117664089922967</v>
      </c>
      <c r="AY7" s="21">
        <v>0.23262193564113726</v>
      </c>
      <c r="AZ7" s="19"/>
    </row>
    <row r="8" spans="1:52" x14ac:dyDescent="0.25">
      <c r="A8" s="7">
        <v>101</v>
      </c>
      <c r="B8" s="5">
        <v>120</v>
      </c>
      <c r="C8" s="6">
        <v>30</v>
      </c>
      <c r="D8" s="5">
        <v>20</v>
      </c>
      <c r="E8" s="4">
        <v>26</v>
      </c>
      <c r="F8" s="4">
        <f t="shared" si="0"/>
        <v>78.800000000000011</v>
      </c>
      <c r="G8" s="4">
        <v>5.5</v>
      </c>
      <c r="H8" s="4">
        <f>IF(F8&gt;68,G8+(F8-68)*0.2,EV139-(68-F8)*0.2)</f>
        <v>7.6600000000000019</v>
      </c>
      <c r="I8" s="4">
        <v>24.5</v>
      </c>
      <c r="J8" s="4">
        <f t="shared" si="1"/>
        <v>76.099999999999994</v>
      </c>
      <c r="K8" s="4">
        <v>4</v>
      </c>
      <c r="L8" s="4">
        <f t="shared" si="2"/>
        <v>5.6199999999999992</v>
      </c>
      <c r="M8" s="4">
        <f t="shared" si="3"/>
        <v>74.466666666666654</v>
      </c>
      <c r="N8" s="4">
        <f t="shared" si="4"/>
        <v>6.8000000000000114</v>
      </c>
      <c r="O8" s="4">
        <f t="shared" si="5"/>
        <v>18.733333333333331</v>
      </c>
      <c r="P8" s="22" t="s">
        <v>0</v>
      </c>
      <c r="Q8" s="2"/>
      <c r="R8" s="2"/>
      <c r="T8" s="19">
        <v>101150</v>
      </c>
      <c r="U8" s="19" t="s">
        <v>67</v>
      </c>
      <c r="V8" s="19">
        <v>6.25E-2</v>
      </c>
      <c r="W8" s="21">
        <v>0.38371</v>
      </c>
      <c r="X8" s="19">
        <v>-1.5846899999999999</v>
      </c>
      <c r="Y8" s="19">
        <v>0.12764</v>
      </c>
      <c r="Z8" s="19">
        <v>1.32681</v>
      </c>
      <c r="AA8" s="19">
        <v>0.96735000000000004</v>
      </c>
      <c r="AB8" s="19">
        <v>-1.39964</v>
      </c>
      <c r="AC8" s="19">
        <v>21.223157644645912</v>
      </c>
      <c r="AD8" s="20">
        <v>0.88429823519357964</v>
      </c>
      <c r="AE8" s="23">
        <v>2.60201622321105E-2</v>
      </c>
      <c r="AF8" s="23">
        <v>1.3416523633249289</v>
      </c>
      <c r="AG8" s="21">
        <v>0.38310102538616292</v>
      </c>
      <c r="AH8" s="19">
        <v>0.28018988640865461</v>
      </c>
      <c r="AI8" s="19">
        <v>0.21401720501687282</v>
      </c>
      <c r="AJ8" s="21">
        <v>0.104320941328894</v>
      </c>
      <c r="AK8" s="21">
        <v>0.24710354571276372</v>
      </c>
      <c r="AL8" s="19"/>
      <c r="AM8" s="21">
        <v>0.104320941328894</v>
      </c>
      <c r="AN8" s="21">
        <v>0.24710354571276372</v>
      </c>
      <c r="AO8" s="21">
        <v>0.38310102538616292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</row>
    <row r="9" spans="1:52" x14ac:dyDescent="0.25">
      <c r="A9" s="7">
        <v>101</v>
      </c>
      <c r="B9" s="5">
        <v>150</v>
      </c>
      <c r="C9" s="6">
        <v>30</v>
      </c>
      <c r="D9" s="5">
        <v>20</v>
      </c>
      <c r="E9" s="4">
        <v>27</v>
      </c>
      <c r="F9" s="4">
        <f t="shared" si="0"/>
        <v>80.599999999999994</v>
      </c>
      <c r="G9" s="4">
        <v>7</v>
      </c>
      <c r="H9" s="4">
        <f>IF(F9&gt;68,G9+(F9-68)*0.2,EV140-(68-F9)*0.2)</f>
        <v>9.52</v>
      </c>
      <c r="I9" s="4">
        <v>25</v>
      </c>
      <c r="J9" s="4">
        <f t="shared" si="1"/>
        <v>77</v>
      </c>
      <c r="K9" s="4">
        <v>5</v>
      </c>
      <c r="L9" s="4">
        <f t="shared" si="2"/>
        <v>6.8</v>
      </c>
      <c r="M9" s="4">
        <f t="shared" si="3"/>
        <v>68.266666666666666</v>
      </c>
      <c r="N9" s="4">
        <f t="shared" si="4"/>
        <v>9.0666666666666629</v>
      </c>
      <c r="O9" s="4">
        <f t="shared" si="5"/>
        <v>22.666666666666664</v>
      </c>
      <c r="P9" s="22" t="s">
        <v>1</v>
      </c>
      <c r="Q9" s="2"/>
      <c r="R9" s="2"/>
      <c r="T9" s="19">
        <v>101180</v>
      </c>
      <c r="U9" s="19" t="s">
        <v>67</v>
      </c>
      <c r="V9" s="19">
        <v>5.876E-2</v>
      </c>
      <c r="W9" s="21">
        <v>0.37772</v>
      </c>
      <c r="X9" s="19">
        <v>-1.5505100000000001</v>
      </c>
      <c r="Y9" s="19">
        <v>0.18962000000000001</v>
      </c>
      <c r="Z9" s="19">
        <v>1.69746</v>
      </c>
      <c r="AA9" s="19">
        <v>1.1077300000000001</v>
      </c>
      <c r="AB9" s="19">
        <v>-1.0309600000000001</v>
      </c>
      <c r="AC9" s="19">
        <v>49.826456199495368</v>
      </c>
      <c r="AD9" s="20">
        <v>2.0761023416456403</v>
      </c>
      <c r="AE9" s="23">
        <v>2.8150751948852366E-2</v>
      </c>
      <c r="AF9" s="23">
        <v>1.5474620244397956</v>
      </c>
      <c r="AG9" s="21">
        <v>0.37727131153490617</v>
      </c>
      <c r="AH9" s="19">
        <v>0.22836690206907687</v>
      </c>
      <c r="AI9" s="19">
        <v>0.15142147767795849</v>
      </c>
      <c r="AJ9" s="21">
        <v>7.0409757939866216E-2</v>
      </c>
      <c r="AK9" s="21">
        <v>0.18989418987351769</v>
      </c>
      <c r="AL9" s="19"/>
      <c r="AM9" s="21">
        <v>7.0409757939866216E-2</v>
      </c>
      <c r="AN9" s="21">
        <v>0.18989418987351769</v>
      </c>
      <c r="AO9" s="21">
        <v>0.37727131153490617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</row>
    <row r="10" spans="1:52" x14ac:dyDescent="0.25">
      <c r="A10" s="7">
        <v>101</v>
      </c>
      <c r="B10" s="5">
        <v>180</v>
      </c>
      <c r="C10" s="6">
        <v>30</v>
      </c>
      <c r="D10" s="5">
        <v>20</v>
      </c>
      <c r="E10" s="4">
        <v>26.5</v>
      </c>
      <c r="F10" s="4">
        <f t="shared" si="0"/>
        <v>79.7</v>
      </c>
      <c r="G10" s="4">
        <v>4</v>
      </c>
      <c r="H10" s="4">
        <f>IF(F10&gt;68,G10+(F10-68)*0.2,#REF!-(68-F10)*0.2)</f>
        <v>6.3400000000000007</v>
      </c>
      <c r="I10" s="4">
        <v>25</v>
      </c>
      <c r="J10" s="4">
        <f t="shared" si="1"/>
        <v>77</v>
      </c>
      <c r="K10" s="4">
        <v>3</v>
      </c>
      <c r="L10" s="4">
        <f t="shared" si="2"/>
        <v>4.8</v>
      </c>
      <c r="M10" s="4">
        <f t="shared" si="3"/>
        <v>78.86666666666666</v>
      </c>
      <c r="N10" s="4">
        <f t="shared" si="4"/>
        <v>5.13333333333334</v>
      </c>
      <c r="O10" s="4">
        <f t="shared" si="5"/>
        <v>16</v>
      </c>
      <c r="P10" s="22" t="s">
        <v>0</v>
      </c>
      <c r="Q10" s="5"/>
      <c r="R10" s="5"/>
      <c r="T10" s="19">
        <v>101210</v>
      </c>
      <c r="U10" s="19" t="s">
        <v>67</v>
      </c>
      <c r="V10" s="19">
        <v>5.876E-2</v>
      </c>
      <c r="W10" s="21">
        <v>0.37772</v>
      </c>
      <c r="X10" s="19">
        <v>-1.5505100000000001</v>
      </c>
      <c r="Y10" s="19">
        <v>0.18962000000000001</v>
      </c>
      <c r="Z10" s="19">
        <v>1.69746</v>
      </c>
      <c r="AA10" s="19">
        <v>1.1077300000000001</v>
      </c>
      <c r="AB10" s="19">
        <v>-1.0309600000000001</v>
      </c>
      <c r="AC10" s="19">
        <v>49.826456199495368</v>
      </c>
      <c r="AD10" s="20">
        <v>2.0761023416456403</v>
      </c>
      <c r="AE10" s="23">
        <v>2.8150751948852366E-2</v>
      </c>
      <c r="AF10" s="23">
        <v>1.5474620244397956</v>
      </c>
      <c r="AG10" s="21">
        <v>0.37727131153490617</v>
      </c>
      <c r="AH10" s="19">
        <v>0.22836690206907687</v>
      </c>
      <c r="AI10" s="19">
        <v>0.15142147767795849</v>
      </c>
      <c r="AJ10" s="21">
        <v>7.0409757939866216E-2</v>
      </c>
      <c r="AK10" s="21">
        <v>0.18989418987351769</v>
      </c>
      <c r="AL10" s="19"/>
      <c r="AM10" s="21">
        <v>7.0409757939866216E-2</v>
      </c>
      <c r="AN10" s="21">
        <v>0.18989418987351769</v>
      </c>
      <c r="AO10" s="21">
        <v>0.37727131153490617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</row>
    <row r="11" spans="1:52" x14ac:dyDescent="0.25">
      <c r="A11" s="1"/>
      <c r="C11" s="16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T11" s="19">
        <v>102030</v>
      </c>
      <c r="U11" s="19" t="s">
        <v>67</v>
      </c>
      <c r="V11" s="19">
        <v>6.1019999999999998E-2</v>
      </c>
      <c r="W11" s="21">
        <v>0.40594999999999998</v>
      </c>
      <c r="X11" s="19">
        <v>-1.5772699999999999</v>
      </c>
      <c r="Y11" s="19">
        <v>0.16678999999999999</v>
      </c>
      <c r="Z11" s="19">
        <v>1.6439299999999999</v>
      </c>
      <c r="AA11" s="19">
        <v>1.0867199999999999</v>
      </c>
      <c r="AB11" s="19">
        <v>-0.99968000000000001</v>
      </c>
      <c r="AC11" s="19">
        <v>44.048386017460459</v>
      </c>
      <c r="AD11" s="20">
        <v>1.8353494173941858</v>
      </c>
      <c r="AE11" s="23">
        <v>2.6468540831611403E-2</v>
      </c>
      <c r="AF11" s="23">
        <v>1.4682161605163218</v>
      </c>
      <c r="AG11" s="21">
        <v>0.40542005251171132</v>
      </c>
      <c r="AH11" s="19">
        <v>0.26522356417292059</v>
      </c>
      <c r="AI11" s="19">
        <v>0.18394108414658844</v>
      </c>
      <c r="AJ11" s="21">
        <v>8.1956288004662953E-2</v>
      </c>
      <c r="AK11" s="21">
        <v>0.22458232415975452</v>
      </c>
      <c r="AL11" s="19"/>
      <c r="AM11" s="21">
        <v>8.1956288004662953E-2</v>
      </c>
      <c r="AN11" s="21">
        <v>0.22458232415975452</v>
      </c>
      <c r="AO11" s="21">
        <v>0.40542005251171132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</row>
    <row r="12" spans="1:52" ht="51.75" x14ac:dyDescent="0.25">
      <c r="A12" s="24" t="s">
        <v>54</v>
      </c>
      <c r="B12" s="24" t="s">
        <v>53</v>
      </c>
      <c r="C12" s="28" t="s">
        <v>18</v>
      </c>
      <c r="D12" s="27" t="s">
        <v>17</v>
      </c>
      <c r="E12" s="26" t="s">
        <v>16</v>
      </c>
      <c r="F12" s="26" t="s">
        <v>15</v>
      </c>
      <c r="G12" s="26" t="s">
        <v>52</v>
      </c>
      <c r="H12" s="26" t="s">
        <v>51</v>
      </c>
      <c r="I12" s="26" t="s">
        <v>50</v>
      </c>
      <c r="J12" s="26" t="s">
        <v>49</v>
      </c>
      <c r="K12" s="26" t="s">
        <v>48</v>
      </c>
      <c r="L12" s="26" t="s">
        <v>47</v>
      </c>
      <c r="M12" s="25" t="s">
        <v>8</v>
      </c>
      <c r="N12" s="25" t="s">
        <v>7</v>
      </c>
      <c r="O12" s="25" t="s">
        <v>6</v>
      </c>
      <c r="P12" s="24" t="s">
        <v>5</v>
      </c>
      <c r="Q12" s="71" t="s">
        <v>4</v>
      </c>
      <c r="R12" s="71"/>
      <c r="T12" s="19">
        <v>102045</v>
      </c>
      <c r="U12" s="19" t="s">
        <v>67</v>
      </c>
      <c r="V12" s="19">
        <v>6.1199999999999997E-2</v>
      </c>
      <c r="W12" s="21">
        <v>0.43</v>
      </c>
      <c r="X12" s="19">
        <v>-1.56952</v>
      </c>
      <c r="Y12" s="19">
        <v>0.18421999999999999</v>
      </c>
      <c r="Z12" s="19">
        <v>1.85782</v>
      </c>
      <c r="AA12" s="19">
        <v>1.1721299999999999</v>
      </c>
      <c r="AB12" s="19">
        <v>-0.84538000000000002</v>
      </c>
      <c r="AC12" s="19">
        <v>72.08086670710432</v>
      </c>
      <c r="AD12" s="20">
        <v>3.0033694461293465</v>
      </c>
      <c r="AE12" s="23">
        <v>2.6945112426648193E-2</v>
      </c>
      <c r="AF12" s="23">
        <v>1.5283400714505</v>
      </c>
      <c r="AG12" s="21">
        <v>0.42949235563083726</v>
      </c>
      <c r="AH12" s="19">
        <v>0.26514742699285115</v>
      </c>
      <c r="AI12" s="19">
        <v>0.17553084776703365</v>
      </c>
      <c r="AJ12" s="21">
        <v>7.6674594638468208E-2</v>
      </c>
      <c r="AK12" s="21">
        <v>0.2203391373799424</v>
      </c>
      <c r="AL12" s="19"/>
      <c r="AM12" s="21">
        <v>7.6674594638468208E-2</v>
      </c>
      <c r="AN12" s="21">
        <v>0.2203391373799424</v>
      </c>
      <c r="AO12" s="21">
        <v>0.42949235563083726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</row>
    <row r="13" spans="1:52" x14ac:dyDescent="0.25">
      <c r="A13" s="24"/>
      <c r="B13" s="24"/>
      <c r="C13" s="28"/>
      <c r="D13" s="27"/>
      <c r="E13" s="26"/>
      <c r="F13" s="26"/>
      <c r="G13" s="26"/>
      <c r="H13" s="26"/>
      <c r="I13" s="26"/>
      <c r="J13" s="26"/>
      <c r="K13" s="26"/>
      <c r="L13" s="26"/>
      <c r="M13" s="25"/>
      <c r="N13" s="25"/>
      <c r="O13" s="25"/>
      <c r="P13" s="24"/>
      <c r="Q13" s="9" t="s">
        <v>3</v>
      </c>
      <c r="R13" s="9" t="s">
        <v>2</v>
      </c>
      <c r="T13" s="19">
        <v>102060</v>
      </c>
      <c r="U13" s="19" t="s">
        <v>67</v>
      </c>
      <c r="V13" s="19">
        <v>5.8740000000000001E-2</v>
      </c>
      <c r="W13" s="21">
        <v>0.42288999999999999</v>
      </c>
      <c r="X13" s="19">
        <v>-1.5478700000000001</v>
      </c>
      <c r="Y13" s="19">
        <v>0.19733999999999999</v>
      </c>
      <c r="Z13" s="19">
        <v>1.90229</v>
      </c>
      <c r="AA13" s="19">
        <v>1.21885</v>
      </c>
      <c r="AB13" s="19">
        <v>-0.83887</v>
      </c>
      <c r="AC13" s="19">
        <v>79.852772591100688</v>
      </c>
      <c r="AD13" s="20">
        <v>3.3271988579625287</v>
      </c>
      <c r="AE13" s="23">
        <v>2.832239660391592E-2</v>
      </c>
      <c r="AF13" s="23">
        <v>1.5752155849620291</v>
      </c>
      <c r="AG13" s="21">
        <v>0.42240642587539251</v>
      </c>
      <c r="AH13" s="19">
        <v>0.24627785496280791</v>
      </c>
      <c r="AI13" s="19">
        <v>0.15785313126412504</v>
      </c>
      <c r="AJ13" s="21">
        <v>6.9946629069260538E-2</v>
      </c>
      <c r="AK13" s="21">
        <v>0.20206549311346647</v>
      </c>
      <c r="AL13" s="19"/>
      <c r="AM13" s="21">
        <v>6.9946629069260538E-2</v>
      </c>
      <c r="AN13" s="21">
        <v>0.20206549311346647</v>
      </c>
      <c r="AO13" s="21">
        <v>0.42240642587539251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</row>
    <row r="14" spans="1:52" x14ac:dyDescent="0.25">
      <c r="A14" s="7">
        <v>102</v>
      </c>
      <c r="B14" s="5">
        <v>30</v>
      </c>
      <c r="C14" s="6">
        <v>30</v>
      </c>
      <c r="D14" s="5">
        <v>20</v>
      </c>
      <c r="E14" s="4">
        <v>25</v>
      </c>
      <c r="F14" s="4">
        <f t="shared" ref="F14:F19" si="6">1.8*E14+32</f>
        <v>77</v>
      </c>
      <c r="G14" s="4">
        <v>6.5</v>
      </c>
      <c r="H14" s="4">
        <f>IF(F14&gt;68,G14+(F14-68)*0.2,ED136-(68-F14)*0.2)</f>
        <v>8.3000000000000007</v>
      </c>
      <c r="I14" s="4">
        <v>24</v>
      </c>
      <c r="J14" s="4">
        <f t="shared" ref="J14:J19" si="7">1.8*I14+32</f>
        <v>75.2</v>
      </c>
      <c r="K14" s="4">
        <v>4</v>
      </c>
      <c r="L14" s="4">
        <f t="shared" ref="L14:L19" si="8">IF(J14&gt;68,K14+(J14-68)*0.2,K14-(68-J14)*0.2)</f>
        <v>5.44</v>
      </c>
      <c r="M14" s="4">
        <f t="shared" ref="M14:M19" si="9">(C14-H14)/C14*100</f>
        <v>72.333333333333329</v>
      </c>
      <c r="N14" s="4">
        <f t="shared" ref="N14:N19" si="10">100-(M14+O14)</f>
        <v>9.5333333333333314</v>
      </c>
      <c r="O14" s="4">
        <f t="shared" ref="O14:O19" si="11">L14/C14*100</f>
        <v>18.133333333333333</v>
      </c>
      <c r="P14" s="22" t="s">
        <v>0</v>
      </c>
      <c r="Q14" s="2"/>
      <c r="R14" s="2"/>
      <c r="T14" s="19">
        <v>102090</v>
      </c>
      <c r="U14" s="19" t="s">
        <v>67</v>
      </c>
      <c r="V14" s="19">
        <v>5.3319999999999999E-2</v>
      </c>
      <c r="W14" s="21">
        <v>0.38830999999999999</v>
      </c>
      <c r="X14" s="19">
        <v>-1.5035400000000001</v>
      </c>
      <c r="Y14" s="19">
        <v>0.22131999999999999</v>
      </c>
      <c r="Z14" s="19">
        <v>1.88402</v>
      </c>
      <c r="AA14" s="19">
        <v>1.26661</v>
      </c>
      <c r="AB14" s="19">
        <v>-0.91341000000000006</v>
      </c>
      <c r="AC14" s="19">
        <v>76.563186474977883</v>
      </c>
      <c r="AD14" s="20">
        <v>3.1901327697907451</v>
      </c>
      <c r="AE14" s="23">
        <v>3.1366062247445654E-2</v>
      </c>
      <c r="AF14" s="23">
        <v>1.6646387497615232</v>
      </c>
      <c r="AG14" s="21">
        <v>0.38789073043435507</v>
      </c>
      <c r="AH14" s="19">
        <v>0.20155860297867492</v>
      </c>
      <c r="AI14" s="19">
        <v>0.1232031289164375</v>
      </c>
      <c r="AJ14" s="21">
        <v>5.8927180626103193E-2</v>
      </c>
      <c r="AK14" s="21">
        <v>0.16238086594755621</v>
      </c>
      <c r="AL14" s="19"/>
      <c r="AM14" s="21">
        <v>5.8927180626103193E-2</v>
      </c>
      <c r="AN14" s="21">
        <v>0.16238086594755621</v>
      </c>
      <c r="AO14" s="21">
        <v>0.38789073043435507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</row>
    <row r="15" spans="1:52" x14ac:dyDescent="0.25">
      <c r="A15" s="7">
        <v>102</v>
      </c>
      <c r="B15" s="5">
        <v>60</v>
      </c>
      <c r="C15" s="6">
        <v>30</v>
      </c>
      <c r="D15" s="5">
        <v>20</v>
      </c>
      <c r="E15" s="4">
        <v>24.5</v>
      </c>
      <c r="F15" s="4">
        <f t="shared" si="6"/>
        <v>76.099999999999994</v>
      </c>
      <c r="G15" s="4">
        <v>5.5</v>
      </c>
      <c r="H15" s="4">
        <f>IF(F15&gt;68,G15+(F15-68)*0.2,ED137-(68-F15)*0.2)</f>
        <v>7.1199999999999992</v>
      </c>
      <c r="I15" s="4">
        <v>24</v>
      </c>
      <c r="J15" s="4">
        <f t="shared" si="7"/>
        <v>75.2</v>
      </c>
      <c r="K15" s="4">
        <v>3</v>
      </c>
      <c r="L15" s="4">
        <f t="shared" si="8"/>
        <v>4.4400000000000004</v>
      </c>
      <c r="M15" s="4">
        <f t="shared" si="9"/>
        <v>76.266666666666666</v>
      </c>
      <c r="N15" s="4">
        <f t="shared" si="10"/>
        <v>8.9333333333333371</v>
      </c>
      <c r="O15" s="4">
        <f t="shared" si="11"/>
        <v>14.800000000000002</v>
      </c>
      <c r="P15" s="22" t="s">
        <v>0</v>
      </c>
      <c r="Q15" s="2"/>
      <c r="R15" s="2"/>
      <c r="T15" s="19">
        <v>102120</v>
      </c>
      <c r="U15" s="19" t="s">
        <v>67</v>
      </c>
      <c r="V15" s="19">
        <v>5.6710000000000003E-2</v>
      </c>
      <c r="W15" s="21">
        <v>0.37703999999999999</v>
      </c>
      <c r="X15" s="19">
        <v>-1.53409</v>
      </c>
      <c r="Y15" s="19">
        <v>0.18554000000000001</v>
      </c>
      <c r="Z15" s="19">
        <v>1.6753100000000001</v>
      </c>
      <c r="AA15" s="19">
        <v>1.1386000000000001</v>
      </c>
      <c r="AB15" s="19">
        <v>-1.0473300000000001</v>
      </c>
      <c r="AC15" s="19">
        <v>47.348911554942575</v>
      </c>
      <c r="AD15" s="20">
        <v>1.972871314789274</v>
      </c>
      <c r="AE15" s="23">
        <v>2.9235464607576696E-2</v>
      </c>
      <c r="AF15" s="23">
        <v>1.5329923936782541</v>
      </c>
      <c r="AG15" s="21">
        <v>0.37654599544728701</v>
      </c>
      <c r="AH15" s="19">
        <v>0.22677427718641538</v>
      </c>
      <c r="AI15" s="19">
        <v>0.15095753739708778</v>
      </c>
      <c r="AJ15" s="21">
        <v>6.9224617689565338E-2</v>
      </c>
      <c r="AK15" s="21">
        <v>0.18886590729175157</v>
      </c>
      <c r="AL15" s="19"/>
      <c r="AM15" s="21">
        <v>6.9224617689565338E-2</v>
      </c>
      <c r="AN15" s="21">
        <v>0.18886590729175157</v>
      </c>
      <c r="AO15" s="21">
        <v>0.37654599544728701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</row>
    <row r="16" spans="1:52" x14ac:dyDescent="0.25">
      <c r="A16" s="7">
        <v>102</v>
      </c>
      <c r="B16" s="5">
        <v>90</v>
      </c>
      <c r="C16" s="6">
        <v>30</v>
      </c>
      <c r="D16" s="5">
        <v>20</v>
      </c>
      <c r="E16" s="4">
        <v>26</v>
      </c>
      <c r="F16" s="4">
        <f t="shared" si="6"/>
        <v>78.800000000000011</v>
      </c>
      <c r="G16" s="4">
        <v>4</v>
      </c>
      <c r="H16" s="4">
        <f>IF(F16&gt;68,G16+(F16-68)*0.2,ED138-(68-F16)*0.2)</f>
        <v>6.1600000000000019</v>
      </c>
      <c r="I16" s="4">
        <v>24.5</v>
      </c>
      <c r="J16" s="4">
        <f t="shared" si="7"/>
        <v>76.099999999999994</v>
      </c>
      <c r="K16" s="4">
        <v>2</v>
      </c>
      <c r="L16" s="4">
        <f t="shared" si="8"/>
        <v>3.6199999999999992</v>
      </c>
      <c r="M16" s="4">
        <f t="shared" si="9"/>
        <v>79.466666666666654</v>
      </c>
      <c r="N16" s="4">
        <f t="shared" si="10"/>
        <v>8.4666666666666828</v>
      </c>
      <c r="O16" s="4">
        <f t="shared" si="11"/>
        <v>12.066666666666665</v>
      </c>
      <c r="P16" s="22" t="s">
        <v>0</v>
      </c>
      <c r="Q16" s="2"/>
      <c r="R16" s="2"/>
      <c r="T16" s="19">
        <v>102150</v>
      </c>
      <c r="U16" s="19" t="s">
        <v>67</v>
      </c>
      <c r="V16" s="19">
        <v>5.8209999999999998E-2</v>
      </c>
      <c r="W16" s="21">
        <v>0.37717000000000001</v>
      </c>
      <c r="X16" s="19">
        <v>-1.5457000000000001</v>
      </c>
      <c r="Y16" s="19">
        <v>0.19653999999999999</v>
      </c>
      <c r="Z16" s="19">
        <v>1.73007</v>
      </c>
      <c r="AA16" s="19">
        <v>1.12459</v>
      </c>
      <c r="AB16" s="19">
        <v>-1.01217</v>
      </c>
      <c r="AC16" s="19">
        <v>53.711836264509806</v>
      </c>
      <c r="AD16" s="20">
        <v>2.2379931776879087</v>
      </c>
      <c r="AE16" s="23">
        <v>2.846426670374223E-2</v>
      </c>
      <c r="AF16" s="23">
        <v>1.5723166015048575</v>
      </c>
      <c r="AG16" s="21">
        <v>0.37674006281461164</v>
      </c>
      <c r="AH16" s="19">
        <v>0.222581981766033</v>
      </c>
      <c r="AI16" s="19">
        <v>0.14534469443492617</v>
      </c>
      <c r="AJ16" s="21">
        <v>6.8171117752244631E-2</v>
      </c>
      <c r="AK16" s="21">
        <v>0.1839633381004796</v>
      </c>
      <c r="AL16" s="19"/>
      <c r="AM16" s="21">
        <v>6.8171117752244631E-2</v>
      </c>
      <c r="AN16" s="21">
        <v>0.1839633381004796</v>
      </c>
      <c r="AO16" s="21">
        <v>0.37674006281461164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</row>
    <row r="17" spans="1:52" x14ac:dyDescent="0.25">
      <c r="A17" s="7">
        <v>102</v>
      </c>
      <c r="B17" s="5">
        <v>120</v>
      </c>
      <c r="C17" s="6">
        <v>30</v>
      </c>
      <c r="D17" s="5">
        <v>20</v>
      </c>
      <c r="E17" s="4">
        <v>26</v>
      </c>
      <c r="F17" s="4">
        <f t="shared" si="6"/>
        <v>78.800000000000011</v>
      </c>
      <c r="G17" s="4">
        <v>4.5</v>
      </c>
      <c r="H17" s="4">
        <f>IF(F17&gt;68,G17+(F17-68)*0.2,ED139-(68-F17)*0.2)</f>
        <v>6.6600000000000019</v>
      </c>
      <c r="I17" s="4">
        <v>24.5</v>
      </c>
      <c r="J17" s="4">
        <f t="shared" si="7"/>
        <v>76.099999999999994</v>
      </c>
      <c r="K17" s="4">
        <v>3</v>
      </c>
      <c r="L17" s="4">
        <f t="shared" si="8"/>
        <v>4.6199999999999992</v>
      </c>
      <c r="M17" s="4">
        <f t="shared" si="9"/>
        <v>77.8</v>
      </c>
      <c r="N17" s="4">
        <f t="shared" si="10"/>
        <v>6.8000000000000114</v>
      </c>
      <c r="O17" s="4">
        <f t="shared" si="11"/>
        <v>15.399999999999997</v>
      </c>
      <c r="P17" s="22" t="s">
        <v>0</v>
      </c>
      <c r="Q17" s="2"/>
      <c r="R17" s="2"/>
      <c r="T17" s="19">
        <v>102180</v>
      </c>
      <c r="U17" s="19" t="s">
        <v>67</v>
      </c>
      <c r="V17" s="19">
        <v>5.6439999999999997E-2</v>
      </c>
      <c r="W17" s="21">
        <v>0.37746000000000002</v>
      </c>
      <c r="X17" s="19">
        <v>-1.5340400000000001</v>
      </c>
      <c r="Y17" s="19">
        <v>0.17374000000000001</v>
      </c>
      <c r="Z17" s="19">
        <v>1.6128400000000001</v>
      </c>
      <c r="AA17" s="19">
        <v>1.12696</v>
      </c>
      <c r="AB17" s="19">
        <v>-1.0894699999999999</v>
      </c>
      <c r="AC17" s="19">
        <v>41.005300604498174</v>
      </c>
      <c r="AD17" s="20">
        <v>1.7085541918540905</v>
      </c>
      <c r="AE17" s="23">
        <v>2.9238830658588049E-2</v>
      </c>
      <c r="AF17" s="23">
        <v>1.4919009826404377</v>
      </c>
      <c r="AG17" s="21">
        <v>0.37691730994090644</v>
      </c>
      <c r="AH17" s="19">
        <v>0.23468154239645758</v>
      </c>
      <c r="AI17" s="19">
        <v>0.16010041024097943</v>
      </c>
      <c r="AJ17" s="21">
        <v>7.254230703823944E-2</v>
      </c>
      <c r="AK17" s="21">
        <v>0.19739097631871849</v>
      </c>
      <c r="AL17" s="19"/>
      <c r="AM17" s="21">
        <v>7.254230703823944E-2</v>
      </c>
      <c r="AN17" s="21">
        <v>0.19739097631871849</v>
      </c>
      <c r="AO17" s="21">
        <v>0.37691730994090644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</row>
    <row r="18" spans="1:52" x14ac:dyDescent="0.25">
      <c r="A18" s="7">
        <v>102</v>
      </c>
      <c r="B18" s="5">
        <v>150</v>
      </c>
      <c r="C18" s="6">
        <v>30</v>
      </c>
      <c r="D18" s="5">
        <v>20</v>
      </c>
      <c r="E18" s="4">
        <v>26</v>
      </c>
      <c r="F18" s="4">
        <f t="shared" si="6"/>
        <v>78.800000000000011</v>
      </c>
      <c r="G18" s="4">
        <v>4</v>
      </c>
      <c r="H18" s="4">
        <f>IF(F18&gt;68,G18+(F18-68)*0.2,ED140-(68-F18)*0.2)</f>
        <v>6.1600000000000019</v>
      </c>
      <c r="I18" s="4">
        <v>24.5</v>
      </c>
      <c r="J18" s="4">
        <f t="shared" si="7"/>
        <v>76.099999999999994</v>
      </c>
      <c r="K18" s="4">
        <v>3</v>
      </c>
      <c r="L18" s="4">
        <f t="shared" si="8"/>
        <v>4.6199999999999992</v>
      </c>
      <c r="M18" s="4">
        <f t="shared" si="9"/>
        <v>79.466666666666654</v>
      </c>
      <c r="N18" s="4">
        <f t="shared" si="10"/>
        <v>5.1333333333333542</v>
      </c>
      <c r="O18" s="4">
        <f t="shared" si="11"/>
        <v>15.399999999999997</v>
      </c>
      <c r="P18" s="22" t="s">
        <v>0</v>
      </c>
      <c r="Q18" s="2"/>
      <c r="R18" s="2"/>
      <c r="T18" s="19">
        <v>102210</v>
      </c>
      <c r="U18" s="19" t="s">
        <v>67</v>
      </c>
      <c r="V18" s="19">
        <v>5.6439999999999997E-2</v>
      </c>
      <c r="W18" s="21">
        <v>0.37746000000000002</v>
      </c>
      <c r="X18" s="19">
        <v>-1.5340400000000001</v>
      </c>
      <c r="Y18" s="19">
        <v>0.17374000000000001</v>
      </c>
      <c r="Z18" s="19">
        <v>1.6128400000000001</v>
      </c>
      <c r="AA18" s="19">
        <v>1.12696</v>
      </c>
      <c r="AB18" s="19">
        <v>-1.0894699999999999</v>
      </c>
      <c r="AC18" s="19">
        <v>41.005300604498174</v>
      </c>
      <c r="AD18" s="20">
        <v>1.7085541918540905</v>
      </c>
      <c r="AE18" s="23">
        <v>2.9238830658588049E-2</v>
      </c>
      <c r="AF18" s="23">
        <v>1.4919009826404377</v>
      </c>
      <c r="AG18" s="21">
        <v>0.37691730994090644</v>
      </c>
      <c r="AH18" s="19">
        <v>0.23468154239645758</v>
      </c>
      <c r="AI18" s="19">
        <v>0.16010041024097943</v>
      </c>
      <c r="AJ18" s="21">
        <v>7.254230703823944E-2</v>
      </c>
      <c r="AK18" s="21">
        <v>0.19739097631871849</v>
      </c>
      <c r="AL18" s="19"/>
      <c r="AM18" s="21">
        <v>7.254230703823944E-2</v>
      </c>
      <c r="AN18" s="21">
        <v>0.19739097631871849</v>
      </c>
      <c r="AO18" s="21">
        <v>0.37691730994090644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</row>
    <row r="19" spans="1:52" x14ac:dyDescent="0.25">
      <c r="A19" s="7">
        <v>102</v>
      </c>
      <c r="B19" s="5">
        <v>180</v>
      </c>
      <c r="C19" s="6">
        <v>30</v>
      </c>
      <c r="D19" s="5">
        <v>20</v>
      </c>
      <c r="E19" s="4">
        <v>26</v>
      </c>
      <c r="F19" s="4">
        <f t="shared" si="6"/>
        <v>78.800000000000011</v>
      </c>
      <c r="G19" s="4">
        <v>5</v>
      </c>
      <c r="H19" s="4">
        <f>IF(F19&gt;68,G19+(F19-68)*0.2,#REF!-(68-F19)*0.2)</f>
        <v>7.1600000000000019</v>
      </c>
      <c r="I19" s="4">
        <v>25</v>
      </c>
      <c r="J19" s="4">
        <f t="shared" si="7"/>
        <v>77</v>
      </c>
      <c r="K19" s="4">
        <v>3</v>
      </c>
      <c r="L19" s="4">
        <f t="shared" si="8"/>
        <v>4.8</v>
      </c>
      <c r="M19" s="4">
        <f t="shared" si="9"/>
        <v>76.133333333333326</v>
      </c>
      <c r="N19" s="4">
        <f t="shared" si="10"/>
        <v>7.8666666666666742</v>
      </c>
      <c r="O19" s="4">
        <f t="shared" si="11"/>
        <v>16</v>
      </c>
      <c r="P19" s="22" t="s">
        <v>0</v>
      </c>
      <c r="Q19" s="5"/>
      <c r="R19" s="5"/>
      <c r="T19" s="19">
        <v>103030</v>
      </c>
      <c r="U19" s="19" t="s">
        <v>67</v>
      </c>
      <c r="V19" s="19">
        <v>6.2100000000000002E-2</v>
      </c>
      <c r="W19" s="21">
        <v>0.40664</v>
      </c>
      <c r="X19" s="19">
        <v>-1.5823499999999999</v>
      </c>
      <c r="Y19" s="19">
        <v>0.16722999999999999</v>
      </c>
      <c r="Z19" s="19">
        <v>1.64825</v>
      </c>
      <c r="AA19" s="19">
        <v>1.07423</v>
      </c>
      <c r="AB19" s="19">
        <v>-0.99882000000000004</v>
      </c>
      <c r="AC19" s="19">
        <v>44.48872914837623</v>
      </c>
      <c r="AD19" s="20">
        <v>1.8536970478490096</v>
      </c>
      <c r="AE19" s="23">
        <v>2.616073852014766E-2</v>
      </c>
      <c r="AF19" s="23">
        <v>1.4697044190578243</v>
      </c>
      <c r="AG19" s="21">
        <v>0.40612132373786441</v>
      </c>
      <c r="AH19" s="19">
        <v>0.26666895782457933</v>
      </c>
      <c r="AI19" s="19">
        <v>0.18513417937230611</v>
      </c>
      <c r="AJ19" s="21">
        <v>8.2941382445562359E-2</v>
      </c>
      <c r="AK19" s="21">
        <v>0.22590156859844274</v>
      </c>
      <c r="AL19" s="19"/>
      <c r="AM19" s="21">
        <v>8.2941382445562359E-2</v>
      </c>
      <c r="AN19" s="21">
        <v>0.22590156859844274</v>
      </c>
      <c r="AO19" s="21">
        <v>0.40612132373786441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</row>
    <row r="20" spans="1:52" x14ac:dyDescent="0.25">
      <c r="A20" s="1"/>
      <c r="C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T20" s="19">
        <v>103045</v>
      </c>
      <c r="U20" s="19" t="s">
        <v>67</v>
      </c>
      <c r="V20" s="19">
        <v>6.8290000000000003E-2</v>
      </c>
      <c r="W20" s="21">
        <v>0.43552000000000002</v>
      </c>
      <c r="X20" s="19">
        <v>-1.61757</v>
      </c>
      <c r="Y20" s="19">
        <v>0.15881999999999999</v>
      </c>
      <c r="Z20" s="19">
        <v>1.70444</v>
      </c>
      <c r="AA20" s="19">
        <v>1.03183</v>
      </c>
      <c r="AB20" s="19">
        <v>-0.93935000000000002</v>
      </c>
      <c r="AC20" s="19">
        <v>50.633739159564499</v>
      </c>
      <c r="AD20" s="20">
        <v>2.1097391316485208</v>
      </c>
      <c r="AE20" s="23">
        <v>2.4122926856126631E-2</v>
      </c>
      <c r="AF20" s="23">
        <v>1.4415177685761824</v>
      </c>
      <c r="AG20" s="21">
        <v>0.43499761373690277</v>
      </c>
      <c r="AH20" s="19">
        <v>0.29904265012761361</v>
      </c>
      <c r="AI20" s="19">
        <v>0.21249454811293689</v>
      </c>
      <c r="AJ20" s="21">
        <v>9.5534464975295691E-2</v>
      </c>
      <c r="AK20" s="21">
        <v>0.25576859912027528</v>
      </c>
      <c r="AL20" s="19"/>
      <c r="AM20" s="21">
        <v>9.5534464975295691E-2</v>
      </c>
      <c r="AN20" s="21">
        <v>0.25576859912027528</v>
      </c>
      <c r="AO20" s="21">
        <v>0.43499761373690277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</row>
    <row r="21" spans="1:52" ht="51.75" x14ac:dyDescent="0.25">
      <c r="A21" s="24" t="s">
        <v>54</v>
      </c>
      <c r="B21" s="24" t="s">
        <v>53</v>
      </c>
      <c r="C21" s="28" t="s">
        <v>18</v>
      </c>
      <c r="D21" s="27" t="s">
        <v>17</v>
      </c>
      <c r="E21" s="26" t="s">
        <v>16</v>
      </c>
      <c r="F21" s="26" t="s">
        <v>15</v>
      </c>
      <c r="G21" s="26" t="s">
        <v>52</v>
      </c>
      <c r="H21" s="26" t="s">
        <v>51</v>
      </c>
      <c r="I21" s="26" t="s">
        <v>50</v>
      </c>
      <c r="J21" s="26" t="s">
        <v>49</v>
      </c>
      <c r="K21" s="26" t="s">
        <v>48</v>
      </c>
      <c r="L21" s="26" t="s">
        <v>47</v>
      </c>
      <c r="M21" s="25" t="s">
        <v>8</v>
      </c>
      <c r="N21" s="25" t="s">
        <v>7</v>
      </c>
      <c r="O21" s="25" t="s">
        <v>6</v>
      </c>
      <c r="P21" s="24" t="s">
        <v>5</v>
      </c>
      <c r="Q21" s="71" t="s">
        <v>4</v>
      </c>
      <c r="R21" s="71"/>
      <c r="T21" s="19">
        <v>103060</v>
      </c>
      <c r="U21" s="19" t="s">
        <v>67</v>
      </c>
      <c r="V21" s="19">
        <v>7.1230000000000002E-2</v>
      </c>
      <c r="W21" s="21">
        <v>0.43287999999999999</v>
      </c>
      <c r="X21" s="19">
        <v>-1.6342699999999999</v>
      </c>
      <c r="Y21" s="19">
        <v>0.14462</v>
      </c>
      <c r="Z21" s="19">
        <v>1.5899099999999999</v>
      </c>
      <c r="AA21" s="19">
        <v>0.96062000000000003</v>
      </c>
      <c r="AB21" s="19">
        <v>-1.04922</v>
      </c>
      <c r="AC21" s="19">
        <v>38.896453048792551</v>
      </c>
      <c r="AD21" s="20">
        <v>1.6206855436996896</v>
      </c>
      <c r="AE21" s="23">
        <v>2.3212932043797024E-2</v>
      </c>
      <c r="AF21" s="23">
        <v>1.3951470977762035</v>
      </c>
      <c r="AG21" s="21">
        <v>0.4323443003418625</v>
      </c>
      <c r="AH21" s="19">
        <v>0.31148049189336813</v>
      </c>
      <c r="AI21" s="19">
        <v>0.22987763215863177</v>
      </c>
      <c r="AJ21" s="21">
        <v>0.10702811919731191</v>
      </c>
      <c r="AK21" s="21">
        <v>0.27067906202599995</v>
      </c>
      <c r="AL21" s="19"/>
      <c r="AM21" s="21">
        <v>0.10702811919731191</v>
      </c>
      <c r="AN21" s="21">
        <v>0.27067906202599995</v>
      </c>
      <c r="AO21" s="21">
        <v>0.4323443003418625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</row>
    <row r="22" spans="1:52" x14ac:dyDescent="0.25">
      <c r="A22" s="24"/>
      <c r="B22" s="24"/>
      <c r="C22" s="28"/>
      <c r="D22" s="27"/>
      <c r="E22" s="26"/>
      <c r="F22" s="26"/>
      <c r="G22" s="26"/>
      <c r="H22" s="26"/>
      <c r="I22" s="26"/>
      <c r="J22" s="26"/>
      <c r="K22" s="26"/>
      <c r="L22" s="26"/>
      <c r="M22" s="25"/>
      <c r="N22" s="25"/>
      <c r="O22" s="25"/>
      <c r="P22" s="24"/>
      <c r="Q22" s="9" t="s">
        <v>3</v>
      </c>
      <c r="R22" s="9" t="s">
        <v>2</v>
      </c>
      <c r="T22" s="19">
        <v>103090</v>
      </c>
      <c r="U22" s="19" t="s">
        <v>67</v>
      </c>
      <c r="V22" s="19">
        <v>6.9430000000000006E-2</v>
      </c>
      <c r="W22" s="21">
        <v>0.40348000000000001</v>
      </c>
      <c r="X22" s="19">
        <v>-1.65445</v>
      </c>
      <c r="Y22" s="19">
        <v>0.11867999999999999</v>
      </c>
      <c r="Z22" s="19">
        <v>1.18449</v>
      </c>
      <c r="AA22" s="19">
        <v>0.85104999999999997</v>
      </c>
      <c r="AB22" s="19">
        <v>-1.3909499999999999</v>
      </c>
      <c r="AC22" s="19">
        <v>15.292905327975323</v>
      </c>
      <c r="AD22" s="20">
        <v>0.63720438866563844</v>
      </c>
      <c r="AE22" s="23">
        <v>2.2158991964506995E-2</v>
      </c>
      <c r="AF22" s="23">
        <v>1.3142560956621805</v>
      </c>
      <c r="AG22" s="21">
        <v>0.40294758717254681</v>
      </c>
      <c r="AH22" s="19">
        <v>0.31150200271945311</v>
      </c>
      <c r="AI22" s="19">
        <v>0.24473263093071512</v>
      </c>
      <c r="AJ22" s="21">
        <v>0.12329664984197183</v>
      </c>
      <c r="AK22" s="21">
        <v>0.27811731682508412</v>
      </c>
      <c r="AL22" s="19"/>
      <c r="AM22" s="21">
        <v>0.12329664984197183</v>
      </c>
      <c r="AN22" s="21">
        <v>0.27811731682508412</v>
      </c>
      <c r="AO22" s="21">
        <v>0.40294758717254681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</row>
    <row r="23" spans="1:52" x14ac:dyDescent="0.25">
      <c r="A23" s="7">
        <v>103</v>
      </c>
      <c r="B23" s="5">
        <v>30</v>
      </c>
      <c r="C23" s="6">
        <v>30</v>
      </c>
      <c r="D23" s="5">
        <v>20</v>
      </c>
      <c r="E23" s="4">
        <v>26</v>
      </c>
      <c r="F23" s="4">
        <f t="shared" ref="F23:F28" si="12">1.8*E23+32</f>
        <v>78.800000000000011</v>
      </c>
      <c r="G23" s="4">
        <v>6</v>
      </c>
      <c r="H23" s="4">
        <f>IF(F23&gt;68,G23+(F23-68)*0.2,DL136-(68-F23)*0.2)</f>
        <v>8.1600000000000019</v>
      </c>
      <c r="I23" s="4">
        <v>23</v>
      </c>
      <c r="J23" s="4">
        <f t="shared" ref="J23:J28" si="13">1.8*I23+32</f>
        <v>73.400000000000006</v>
      </c>
      <c r="K23" s="4">
        <v>4.5</v>
      </c>
      <c r="L23" s="4">
        <f t="shared" ref="L23:L28" si="14">IF(J23&gt;68,K23+(J23-68)*0.2,K23-(68-J23)*0.2)</f>
        <v>5.580000000000001</v>
      </c>
      <c r="M23" s="4">
        <f t="shared" ref="M23:M28" si="15">(C23-H23)/C23*100</f>
        <v>72.799999999999983</v>
      </c>
      <c r="N23" s="4">
        <f t="shared" ref="N23:N28" si="16">100-(M23+O23)</f>
        <v>8.6000000000000227</v>
      </c>
      <c r="O23" s="4">
        <f t="shared" ref="O23:O28" si="17">L23/C23*100</f>
        <v>18.600000000000001</v>
      </c>
      <c r="P23" s="22" t="s">
        <v>1</v>
      </c>
      <c r="Q23" s="2"/>
      <c r="R23" s="2"/>
      <c r="T23" s="19">
        <v>103120</v>
      </c>
      <c r="U23" s="19" t="s">
        <v>67</v>
      </c>
      <c r="V23" s="19">
        <v>6.3759999999999997E-2</v>
      </c>
      <c r="W23" s="21">
        <v>0.38578000000000001</v>
      </c>
      <c r="X23" s="19">
        <v>-1.6020099999999999</v>
      </c>
      <c r="Y23" s="19">
        <v>0.11723</v>
      </c>
      <c r="Z23" s="19">
        <v>1.2125600000000001</v>
      </c>
      <c r="AA23" s="19">
        <v>0.92357</v>
      </c>
      <c r="AB23" s="19">
        <v>-1.5280800000000001</v>
      </c>
      <c r="AC23" s="19">
        <v>16.313982796610116</v>
      </c>
      <c r="AD23" s="20">
        <v>0.67974928319208816</v>
      </c>
      <c r="AE23" s="23">
        <v>2.5002877897796823E-2</v>
      </c>
      <c r="AF23" s="23">
        <v>1.3098754422645973</v>
      </c>
      <c r="AG23" s="21">
        <v>0.38517567126994334</v>
      </c>
      <c r="AH23" s="19">
        <v>0.29153955244252344</v>
      </c>
      <c r="AI23" s="19">
        <v>0.22836976459720554</v>
      </c>
      <c r="AJ23" s="21">
        <v>0.11506912792198207</v>
      </c>
      <c r="AK23" s="21">
        <v>0.25995465851986449</v>
      </c>
      <c r="AL23" s="19"/>
      <c r="AM23" s="21">
        <v>0.11506912792198207</v>
      </c>
      <c r="AN23" s="21">
        <v>0.25995465851986449</v>
      </c>
      <c r="AO23" s="21">
        <v>0.38517567126994334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</row>
    <row r="24" spans="1:52" x14ac:dyDescent="0.25">
      <c r="A24" s="7">
        <v>103</v>
      </c>
      <c r="B24" s="5">
        <v>60</v>
      </c>
      <c r="C24" s="6">
        <v>30</v>
      </c>
      <c r="D24" s="5">
        <v>20</v>
      </c>
      <c r="E24" s="4">
        <v>26</v>
      </c>
      <c r="F24" s="4">
        <f t="shared" si="12"/>
        <v>78.800000000000011</v>
      </c>
      <c r="G24" s="4">
        <v>8</v>
      </c>
      <c r="H24" s="4">
        <f>IF(F24&gt;68,G24+(F24-68)*0.2,DL137-(68-F24)*0.2)</f>
        <v>10.160000000000002</v>
      </c>
      <c r="I24" s="4">
        <v>24</v>
      </c>
      <c r="J24" s="4">
        <f t="shared" si="13"/>
        <v>75.2</v>
      </c>
      <c r="K24" s="4">
        <v>6</v>
      </c>
      <c r="L24" s="4">
        <f t="shared" si="14"/>
        <v>7.44</v>
      </c>
      <c r="M24" s="4">
        <f t="shared" si="15"/>
        <v>66.133333333333326</v>
      </c>
      <c r="N24" s="4">
        <f t="shared" si="16"/>
        <v>9.0666666666666629</v>
      </c>
      <c r="O24" s="4">
        <f t="shared" si="17"/>
        <v>24.800000000000004</v>
      </c>
      <c r="P24" s="22" t="s">
        <v>1</v>
      </c>
      <c r="Q24" s="2"/>
      <c r="R24" s="2"/>
      <c r="T24" s="19">
        <v>103150</v>
      </c>
      <c r="U24" s="19" t="s">
        <v>67</v>
      </c>
      <c r="V24" s="19">
        <v>5.4089999999999999E-2</v>
      </c>
      <c r="W24" s="21">
        <v>0.37341999999999997</v>
      </c>
      <c r="X24" s="19">
        <v>-1.5068299999999999</v>
      </c>
      <c r="Y24" s="19">
        <v>0.24664</v>
      </c>
      <c r="Z24" s="19">
        <v>1.94417</v>
      </c>
      <c r="AA24" s="19">
        <v>1.2465900000000001</v>
      </c>
      <c r="AB24" s="19">
        <v>-0.92266000000000004</v>
      </c>
      <c r="AC24" s="19">
        <v>87.936666828814396</v>
      </c>
      <c r="AD24" s="20">
        <v>3.6640277845339333</v>
      </c>
      <c r="AE24" s="23">
        <v>3.1129346241140145E-2</v>
      </c>
      <c r="AF24" s="23">
        <v>1.7645745044143495</v>
      </c>
      <c r="AG24" s="21">
        <v>0.37311701313902601</v>
      </c>
      <c r="AH24" s="19">
        <v>0.18096457464963045</v>
      </c>
      <c r="AI24" s="19">
        <v>0.10714352822726986</v>
      </c>
      <c r="AJ24" s="21">
        <v>5.6996611239118089E-2</v>
      </c>
      <c r="AK24" s="21">
        <v>0.14405405143845015</v>
      </c>
      <c r="AL24" s="19"/>
      <c r="AM24" s="21">
        <v>5.6996611239118089E-2</v>
      </c>
      <c r="AN24" s="21">
        <v>0.14405405143845015</v>
      </c>
      <c r="AO24" s="21">
        <v>0.37311701313902601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  <row r="25" spans="1:52" x14ac:dyDescent="0.25">
      <c r="A25" s="7">
        <v>103</v>
      </c>
      <c r="B25" s="5">
        <v>90</v>
      </c>
      <c r="C25" s="6">
        <v>30</v>
      </c>
      <c r="D25" s="5">
        <v>20</v>
      </c>
      <c r="E25" s="4">
        <v>25</v>
      </c>
      <c r="F25" s="4">
        <f t="shared" si="12"/>
        <v>77</v>
      </c>
      <c r="G25" s="4">
        <v>11</v>
      </c>
      <c r="H25" s="4">
        <f>IF(F25&gt;68,G25+(F25-68)*0.2,DL138-(68-F25)*0.2)</f>
        <v>12.8</v>
      </c>
      <c r="I25" s="4">
        <v>24</v>
      </c>
      <c r="J25" s="4">
        <f t="shared" si="13"/>
        <v>75.2</v>
      </c>
      <c r="K25" s="4">
        <v>7</v>
      </c>
      <c r="L25" s="4">
        <f t="shared" si="14"/>
        <v>8.4400000000000013</v>
      </c>
      <c r="M25" s="4">
        <f t="shared" si="15"/>
        <v>57.333333333333336</v>
      </c>
      <c r="N25" s="4">
        <f t="shared" si="16"/>
        <v>14.533333333333331</v>
      </c>
      <c r="O25" s="4">
        <f t="shared" si="17"/>
        <v>28.133333333333336</v>
      </c>
      <c r="P25" s="22" t="s">
        <v>1</v>
      </c>
      <c r="Q25" s="2"/>
      <c r="R25" s="2"/>
      <c r="T25" s="19">
        <v>103180</v>
      </c>
      <c r="U25" s="19" t="s">
        <v>67</v>
      </c>
      <c r="V25" s="19">
        <v>5.5070000000000001E-2</v>
      </c>
      <c r="W25" s="21">
        <v>0.37731999999999999</v>
      </c>
      <c r="X25" s="19">
        <v>-1.5312300000000001</v>
      </c>
      <c r="Y25" s="19">
        <v>0.15820000000000001</v>
      </c>
      <c r="Z25" s="19">
        <v>1.51661</v>
      </c>
      <c r="AA25" s="19">
        <v>1.1187400000000001</v>
      </c>
      <c r="AB25" s="19">
        <v>-1.15968</v>
      </c>
      <c r="AC25" s="19">
        <v>32.855645197575996</v>
      </c>
      <c r="AD25" s="20">
        <v>1.3689852165656664</v>
      </c>
      <c r="AE25" s="23">
        <v>2.9428626969243102E-2</v>
      </c>
      <c r="AF25" s="23">
        <v>1.43946132207816</v>
      </c>
      <c r="AG25" s="21">
        <v>0.37670764862371275</v>
      </c>
      <c r="AH25" s="19">
        <v>0.24419675914182948</v>
      </c>
      <c r="AI25" s="19">
        <v>0.17194478734695426</v>
      </c>
      <c r="AJ25" s="21">
        <v>7.7244714272996076E-2</v>
      </c>
      <c r="AK25" s="21">
        <v>0.20807077324439188</v>
      </c>
      <c r="AL25" s="19"/>
      <c r="AM25" s="21">
        <v>7.7244714272996076E-2</v>
      </c>
      <c r="AN25" s="21">
        <v>0.20807077324439188</v>
      </c>
      <c r="AO25" s="21">
        <v>0.37670764862371275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</row>
    <row r="26" spans="1:52" x14ac:dyDescent="0.25">
      <c r="A26" s="7">
        <v>103</v>
      </c>
      <c r="B26" s="5">
        <v>120</v>
      </c>
      <c r="C26" s="6">
        <v>30</v>
      </c>
      <c r="D26" s="5">
        <v>20</v>
      </c>
      <c r="E26" s="4">
        <v>25.5</v>
      </c>
      <c r="F26" s="4">
        <f t="shared" si="12"/>
        <v>77.900000000000006</v>
      </c>
      <c r="G26" s="4">
        <v>9</v>
      </c>
      <c r="H26" s="4">
        <f>IF(F26&gt;68,G26+(F26-68)*0.2,DL139-(68-F26)*0.2)</f>
        <v>10.98</v>
      </c>
      <c r="I26" s="4">
        <v>24</v>
      </c>
      <c r="J26" s="4">
        <f t="shared" si="13"/>
        <v>75.2</v>
      </c>
      <c r="K26" s="4">
        <v>6</v>
      </c>
      <c r="L26" s="4">
        <f t="shared" si="14"/>
        <v>7.44</v>
      </c>
      <c r="M26" s="4">
        <f t="shared" si="15"/>
        <v>63.4</v>
      </c>
      <c r="N26" s="4">
        <f t="shared" si="16"/>
        <v>11.799999999999997</v>
      </c>
      <c r="O26" s="4">
        <f t="shared" si="17"/>
        <v>24.800000000000004</v>
      </c>
      <c r="P26" s="22" t="s">
        <v>1</v>
      </c>
      <c r="Q26" s="2"/>
      <c r="R26" s="2"/>
      <c r="T26" s="19">
        <v>103210</v>
      </c>
      <c r="U26" s="19" t="s">
        <v>67</v>
      </c>
      <c r="V26" s="19">
        <v>5.5070000000000001E-2</v>
      </c>
      <c r="W26" s="21">
        <v>0.37731999999999999</v>
      </c>
      <c r="X26" s="19">
        <v>-1.5312300000000001</v>
      </c>
      <c r="Y26" s="19">
        <v>0.15820000000000001</v>
      </c>
      <c r="Z26" s="19">
        <v>1.51661</v>
      </c>
      <c r="AA26" s="19">
        <v>1.1187400000000001</v>
      </c>
      <c r="AB26" s="19">
        <v>-1.15968</v>
      </c>
      <c r="AC26" s="19">
        <v>32.855645197575996</v>
      </c>
      <c r="AD26" s="20">
        <v>1.3689852165656664</v>
      </c>
      <c r="AE26" s="23">
        <v>2.9428626969243102E-2</v>
      </c>
      <c r="AF26" s="23">
        <v>1.43946132207816</v>
      </c>
      <c r="AG26" s="21">
        <v>0.37670764862371275</v>
      </c>
      <c r="AH26" s="19">
        <v>0.24419675914182948</v>
      </c>
      <c r="AI26" s="19">
        <v>0.17194478734695426</v>
      </c>
      <c r="AJ26" s="21">
        <v>7.7244714272996076E-2</v>
      </c>
      <c r="AK26" s="21">
        <v>0.20807077324439188</v>
      </c>
      <c r="AL26" s="19"/>
      <c r="AM26" s="21">
        <v>7.7244714272996076E-2</v>
      </c>
      <c r="AN26" s="21">
        <v>0.20807077324439188</v>
      </c>
      <c r="AO26" s="21">
        <v>0.37670764862371275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</row>
    <row r="27" spans="1:52" x14ac:dyDescent="0.25">
      <c r="A27" s="7">
        <v>103</v>
      </c>
      <c r="B27" s="5">
        <v>150</v>
      </c>
      <c r="C27" s="6">
        <v>30</v>
      </c>
      <c r="D27" s="5">
        <v>20</v>
      </c>
      <c r="E27" s="4">
        <v>26</v>
      </c>
      <c r="F27" s="4">
        <f t="shared" si="12"/>
        <v>78.800000000000011</v>
      </c>
      <c r="G27" s="4">
        <v>3</v>
      </c>
      <c r="H27" s="4">
        <f>IF(F27&gt;68,G27+(F27-68)*0.2,DL140-(68-F27)*0.2)</f>
        <v>5.1600000000000019</v>
      </c>
      <c r="I27" s="4">
        <v>24</v>
      </c>
      <c r="J27" s="4">
        <f t="shared" si="13"/>
        <v>75.2</v>
      </c>
      <c r="K27" s="4">
        <v>2</v>
      </c>
      <c r="L27" s="4">
        <f t="shared" si="14"/>
        <v>3.4400000000000004</v>
      </c>
      <c r="M27" s="4">
        <f t="shared" si="15"/>
        <v>82.799999999999983</v>
      </c>
      <c r="N27" s="4">
        <f t="shared" si="16"/>
        <v>5.7333333333333485</v>
      </c>
      <c r="O27" s="4">
        <f t="shared" si="17"/>
        <v>11.466666666666669</v>
      </c>
      <c r="P27" s="22" t="s">
        <v>33</v>
      </c>
      <c r="Q27" s="2"/>
      <c r="R27" s="2"/>
      <c r="T27" s="19">
        <v>104030</v>
      </c>
      <c r="U27" s="19" t="s">
        <v>67</v>
      </c>
      <c r="V27" s="19">
        <v>6.2390000000000001E-2</v>
      </c>
      <c r="W27" s="21">
        <v>0.40688999999999997</v>
      </c>
      <c r="X27" s="19">
        <v>-1.5962000000000001</v>
      </c>
      <c r="Y27" s="19">
        <v>0.15529000000000001</v>
      </c>
      <c r="Z27" s="19">
        <v>1.56115</v>
      </c>
      <c r="AA27" s="19">
        <v>1.0376000000000001</v>
      </c>
      <c r="AB27" s="19">
        <v>-1.0435300000000001</v>
      </c>
      <c r="AC27" s="19">
        <v>36.4040749636507</v>
      </c>
      <c r="AD27" s="20">
        <v>1.5168364568187791</v>
      </c>
      <c r="AE27" s="23">
        <v>2.5339614293978376E-2</v>
      </c>
      <c r="AF27" s="23">
        <v>1.4298484206257396</v>
      </c>
      <c r="AG27" s="21">
        <v>0.40635120989313728</v>
      </c>
      <c r="AH27" s="19">
        <v>0.27765052362982989</v>
      </c>
      <c r="AI27" s="19">
        <v>0.19822151199117541</v>
      </c>
      <c r="AJ27" s="21">
        <v>8.9194043774196208E-2</v>
      </c>
      <c r="AK27" s="21">
        <v>0.23793601781050266</v>
      </c>
      <c r="AL27" s="19"/>
      <c r="AM27" s="21">
        <v>8.9194043774196208E-2</v>
      </c>
      <c r="AN27" s="21">
        <v>0.23793601781050266</v>
      </c>
      <c r="AO27" s="21">
        <v>0.40635120989313728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</row>
    <row r="28" spans="1:52" x14ac:dyDescent="0.25">
      <c r="A28" s="7">
        <v>103</v>
      </c>
      <c r="B28" s="5">
        <v>180</v>
      </c>
      <c r="C28" s="6">
        <v>30</v>
      </c>
      <c r="D28" s="5">
        <v>20</v>
      </c>
      <c r="E28" s="4">
        <v>26</v>
      </c>
      <c r="F28" s="4">
        <f t="shared" si="12"/>
        <v>78.800000000000011</v>
      </c>
      <c r="G28" s="4">
        <v>6</v>
      </c>
      <c r="H28" s="4">
        <f>IF(F28&gt;68,G28+(F28-68)*0.2,#REF!-(68-F28)*0.2)</f>
        <v>8.1600000000000019</v>
      </c>
      <c r="I28" s="4">
        <v>24</v>
      </c>
      <c r="J28" s="4">
        <f t="shared" si="13"/>
        <v>75.2</v>
      </c>
      <c r="K28" s="4">
        <v>3.5</v>
      </c>
      <c r="L28" s="4">
        <f t="shared" si="14"/>
        <v>4.9400000000000004</v>
      </c>
      <c r="M28" s="4">
        <f t="shared" si="15"/>
        <v>72.799999999999983</v>
      </c>
      <c r="N28" s="4">
        <f t="shared" si="16"/>
        <v>10.733333333333348</v>
      </c>
      <c r="O28" s="4">
        <f t="shared" si="17"/>
        <v>16.466666666666669</v>
      </c>
      <c r="P28" s="22" t="s">
        <v>0</v>
      </c>
      <c r="Q28" s="5"/>
      <c r="R28" s="5"/>
      <c r="T28" s="19">
        <v>104045</v>
      </c>
      <c r="U28" s="19" t="s">
        <v>67</v>
      </c>
      <c r="V28" s="19">
        <v>6.5199999999999994E-2</v>
      </c>
      <c r="W28" s="21">
        <v>0.43321999999999999</v>
      </c>
      <c r="X28" s="19">
        <v>-1.5943099999999999</v>
      </c>
      <c r="Y28" s="19">
        <v>0.17333000000000001</v>
      </c>
      <c r="Z28" s="19">
        <v>1.7942800000000001</v>
      </c>
      <c r="AA28" s="19">
        <v>1.10189</v>
      </c>
      <c r="AB28" s="19">
        <v>-0.88024999999999998</v>
      </c>
      <c r="AC28" s="19">
        <v>62.270162635316886</v>
      </c>
      <c r="AD28" s="20">
        <v>2.5945901098048703</v>
      </c>
      <c r="AE28" s="23">
        <v>2.5450129703055629E-2</v>
      </c>
      <c r="AF28" s="23">
        <v>1.4904932033841891</v>
      </c>
      <c r="AG28" s="21">
        <v>0.43271224398928132</v>
      </c>
      <c r="AH28" s="19">
        <v>0.2815534776794838</v>
      </c>
      <c r="AI28" s="19">
        <v>0.19250199830273695</v>
      </c>
      <c r="AJ28" s="21">
        <v>8.512989392823346E-2</v>
      </c>
      <c r="AK28" s="21">
        <v>0.23702773799111038</v>
      </c>
      <c r="AL28" s="19"/>
      <c r="AM28" s="21">
        <v>8.512989392823346E-2</v>
      </c>
      <c r="AN28" s="21">
        <v>0.23702773799111038</v>
      </c>
      <c r="AO28" s="21">
        <v>0.43271224398928132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spans="1:52" x14ac:dyDescent="0.25">
      <c r="A29" s="1"/>
      <c r="C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9"/>
      <c r="T29" s="19">
        <v>104060</v>
      </c>
      <c r="U29" s="19" t="s">
        <v>67</v>
      </c>
      <c r="V29" s="19">
        <v>6.5500000000000003E-2</v>
      </c>
      <c r="W29" s="21">
        <v>0.42827999999999999</v>
      </c>
      <c r="X29" s="19">
        <v>-1.5854999999999999</v>
      </c>
      <c r="Y29" s="19">
        <v>0.18728</v>
      </c>
      <c r="Z29" s="19">
        <v>1.8484499999999999</v>
      </c>
      <c r="AA29" s="19">
        <v>1.11791</v>
      </c>
      <c r="AB29" s="19">
        <v>-0.86563999999999997</v>
      </c>
      <c r="AC29" s="19">
        <v>70.542362447926948</v>
      </c>
      <c r="AD29" s="20">
        <v>2.939265101996956</v>
      </c>
      <c r="AE29" s="23">
        <v>2.5971677414020098E-2</v>
      </c>
      <c r="AF29" s="23">
        <v>1.5391466449979387</v>
      </c>
      <c r="AG29" s="21">
        <v>0.42782007062879834</v>
      </c>
      <c r="AH29" s="19">
        <v>0.26717630002547521</v>
      </c>
      <c r="AI29" s="19">
        <v>0.17746778633662985</v>
      </c>
      <c r="AJ29" s="21">
        <v>8.0051879408794782E-2</v>
      </c>
      <c r="AK29" s="21">
        <v>0.22232204318105253</v>
      </c>
      <c r="AL29" s="19"/>
      <c r="AM29" s="21">
        <v>8.0051879408794782E-2</v>
      </c>
      <c r="AN29" s="21">
        <v>0.22232204318105253</v>
      </c>
      <c r="AO29" s="21">
        <v>0.42782007062879834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spans="1:52" ht="51.75" x14ac:dyDescent="0.25">
      <c r="A30" s="24" t="s">
        <v>54</v>
      </c>
      <c r="B30" s="24" t="s">
        <v>53</v>
      </c>
      <c r="C30" s="28" t="s">
        <v>18</v>
      </c>
      <c r="D30" s="27" t="s">
        <v>17</v>
      </c>
      <c r="E30" s="26" t="s">
        <v>16</v>
      </c>
      <c r="F30" s="26" t="s">
        <v>15</v>
      </c>
      <c r="G30" s="26" t="s">
        <v>52</v>
      </c>
      <c r="H30" s="26" t="s">
        <v>51</v>
      </c>
      <c r="I30" s="26" t="s">
        <v>50</v>
      </c>
      <c r="J30" s="26" t="s">
        <v>49</v>
      </c>
      <c r="K30" s="26" t="s">
        <v>48</v>
      </c>
      <c r="L30" s="26" t="s">
        <v>47</v>
      </c>
      <c r="M30" s="25" t="s">
        <v>8</v>
      </c>
      <c r="N30" s="25" t="s">
        <v>7</v>
      </c>
      <c r="O30" s="25" t="s">
        <v>6</v>
      </c>
      <c r="P30" s="24" t="s">
        <v>5</v>
      </c>
      <c r="Q30" s="71" t="s">
        <v>4</v>
      </c>
      <c r="R30" s="71"/>
      <c r="T30" s="19">
        <v>104090</v>
      </c>
      <c r="U30" s="19" t="s">
        <v>67</v>
      </c>
      <c r="V30" s="19">
        <v>6.0920000000000002E-2</v>
      </c>
      <c r="W30" s="21">
        <v>0.39537</v>
      </c>
      <c r="X30" s="19">
        <v>-1.58464</v>
      </c>
      <c r="Y30" s="19">
        <v>0.14888999999999999</v>
      </c>
      <c r="Z30" s="19">
        <v>1.4857400000000001</v>
      </c>
      <c r="AA30" s="19">
        <v>1.0311699999999999</v>
      </c>
      <c r="AB30" s="19">
        <v>-1.1336999999999999</v>
      </c>
      <c r="AC30" s="19">
        <v>30.601308701447639</v>
      </c>
      <c r="AD30" s="20">
        <v>1.275054529226985</v>
      </c>
      <c r="AE30" s="23">
        <v>2.6023158086446063E-2</v>
      </c>
      <c r="AF30" s="23">
        <v>1.4089318928114007</v>
      </c>
      <c r="AG30" s="21">
        <v>0.39480401252484509</v>
      </c>
      <c r="AH30" s="19">
        <v>0.27244254762785658</v>
      </c>
      <c r="AI30" s="19">
        <v>0.19736485023729539</v>
      </c>
      <c r="AJ30" s="21">
        <v>9.0065800787408362E-2</v>
      </c>
      <c r="AK30" s="21">
        <v>0.23490369893257598</v>
      </c>
      <c r="AL30" s="19"/>
      <c r="AM30" s="21">
        <v>9.0065800787408362E-2</v>
      </c>
      <c r="AN30" s="21">
        <v>0.23490369893257598</v>
      </c>
      <c r="AO30" s="21">
        <v>0.39480401252484509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spans="1:52" x14ac:dyDescent="0.25">
      <c r="A31" s="24"/>
      <c r="B31" s="24"/>
      <c r="C31" s="28"/>
      <c r="D31" s="27"/>
      <c r="E31" s="26"/>
      <c r="F31" s="26"/>
      <c r="G31" s="26"/>
      <c r="H31" s="26"/>
      <c r="I31" s="26"/>
      <c r="J31" s="26"/>
      <c r="K31" s="26"/>
      <c r="L31" s="26"/>
      <c r="M31" s="25"/>
      <c r="N31" s="25"/>
      <c r="O31" s="25"/>
      <c r="P31" s="24"/>
      <c r="Q31" s="9" t="s">
        <v>3</v>
      </c>
      <c r="R31" s="9" t="s">
        <v>2</v>
      </c>
      <c r="T31" s="19">
        <v>104120</v>
      </c>
      <c r="U31" s="19" t="s">
        <v>67</v>
      </c>
      <c r="V31" s="19">
        <v>6.1920000000000003E-2</v>
      </c>
      <c r="W31" s="21">
        <v>0.38279000000000002</v>
      </c>
      <c r="X31" s="19">
        <v>-1.57741</v>
      </c>
      <c r="Y31" s="19">
        <v>0.13481000000000001</v>
      </c>
      <c r="Z31" s="19">
        <v>1.3862399999999999</v>
      </c>
      <c r="AA31" s="19">
        <v>0.98992999999999998</v>
      </c>
      <c r="AB31" s="19">
        <v>-1.3265</v>
      </c>
      <c r="AC31" s="19">
        <v>24.335484661334736</v>
      </c>
      <c r="AD31" s="20">
        <v>1.0139785275556139</v>
      </c>
      <c r="AE31" s="23">
        <v>2.6460009757274697E-2</v>
      </c>
      <c r="AF31" s="23">
        <v>1.3639862740896729</v>
      </c>
      <c r="AG31" s="21">
        <v>0.3821886822752355</v>
      </c>
      <c r="AH31" s="19">
        <v>0.27339030669574566</v>
      </c>
      <c r="AI31" s="19">
        <v>0.20531712190618853</v>
      </c>
      <c r="AJ31" s="21">
        <v>9.8262243627197932E-2</v>
      </c>
      <c r="AK31" s="21">
        <v>0.23935371430096708</v>
      </c>
      <c r="AL31" s="19"/>
      <c r="AM31" s="21">
        <v>9.8262243627197932E-2</v>
      </c>
      <c r="AN31" s="21">
        <v>0.23935371430096708</v>
      </c>
      <c r="AO31" s="21">
        <v>0.3821886822752355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</row>
    <row r="32" spans="1:52" x14ac:dyDescent="0.25">
      <c r="A32" s="7">
        <v>104</v>
      </c>
      <c r="B32" s="5">
        <v>30</v>
      </c>
      <c r="C32" s="6">
        <v>30</v>
      </c>
      <c r="D32" s="5">
        <v>20</v>
      </c>
      <c r="E32" s="4">
        <v>26</v>
      </c>
      <c r="F32" s="4">
        <f t="shared" ref="F32:F37" si="18">1.8*E32+32</f>
        <v>78.800000000000011</v>
      </c>
      <c r="G32" s="4">
        <v>7</v>
      </c>
      <c r="H32" s="4">
        <f>IF(F32&gt;68,G32+(F32-68)*0.2,CT136-(68-F32)*0.2)</f>
        <v>9.1600000000000019</v>
      </c>
      <c r="I32" s="4">
        <v>24</v>
      </c>
      <c r="J32" s="4">
        <f t="shared" ref="J32:J37" si="19">1.8*I32+32</f>
        <v>75.2</v>
      </c>
      <c r="K32" s="4">
        <v>4.5</v>
      </c>
      <c r="L32" s="4">
        <f t="shared" ref="L32:L37" si="20">IF(J32&gt;68,K32+(J32-68)*0.2,K32-(68-J32)*0.2)</f>
        <v>5.94</v>
      </c>
      <c r="M32" s="4">
        <f t="shared" ref="M32:M37" si="21">(C32-H32)/C32*100</f>
        <v>69.466666666666654</v>
      </c>
      <c r="N32" s="4">
        <f t="shared" ref="N32:N37" si="22">100-(M32+O32)</f>
        <v>10.733333333333348</v>
      </c>
      <c r="O32" s="4">
        <f t="shared" ref="O32:O37" si="23">L32/C32*100</f>
        <v>19.8</v>
      </c>
      <c r="P32" s="22" t="s">
        <v>1</v>
      </c>
      <c r="Q32" s="2"/>
      <c r="R32" s="2"/>
      <c r="T32" s="19">
        <v>104150</v>
      </c>
      <c r="U32" s="19" t="s">
        <v>67</v>
      </c>
      <c r="V32" s="19">
        <v>5.9249999999999997E-2</v>
      </c>
      <c r="W32" s="21">
        <v>0.37925999999999999</v>
      </c>
      <c r="X32" s="19">
        <v>-1.5541</v>
      </c>
      <c r="Y32" s="19">
        <v>0.16719000000000001</v>
      </c>
      <c r="Z32" s="19">
        <v>1.58419</v>
      </c>
      <c r="AA32" s="19">
        <v>1.0762700000000001</v>
      </c>
      <c r="AB32" s="19">
        <v>-1.11463</v>
      </c>
      <c r="AC32" s="19">
        <v>38.387515074900762</v>
      </c>
      <c r="AD32" s="20">
        <v>1.5994797947875317</v>
      </c>
      <c r="AE32" s="23">
        <v>2.7919009082785329E-2</v>
      </c>
      <c r="AF32" s="23">
        <v>1.4695690605119542</v>
      </c>
      <c r="AG32" s="21">
        <v>0.37872993548924272</v>
      </c>
      <c r="AH32" s="19">
        <v>0.24462692630063287</v>
      </c>
      <c r="AI32" s="19">
        <v>0.1702483621860249</v>
      </c>
      <c r="AJ32" s="21">
        <v>7.8040490679649355E-2</v>
      </c>
      <c r="AK32" s="21">
        <v>0.20743764424332889</v>
      </c>
      <c r="AL32" s="19"/>
      <c r="AM32" s="21">
        <v>7.8040490679649355E-2</v>
      </c>
      <c r="AN32" s="21">
        <v>0.20743764424332889</v>
      </c>
      <c r="AO32" s="21">
        <v>0.37872993548924272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</row>
    <row r="33" spans="1:52" x14ac:dyDescent="0.25">
      <c r="A33" s="7">
        <v>104</v>
      </c>
      <c r="B33" s="5">
        <v>60</v>
      </c>
      <c r="C33" s="6">
        <v>30</v>
      </c>
      <c r="D33" s="5">
        <v>20</v>
      </c>
      <c r="E33" s="4">
        <v>26</v>
      </c>
      <c r="F33" s="4">
        <f t="shared" si="18"/>
        <v>78.800000000000011</v>
      </c>
      <c r="G33" s="4">
        <v>5</v>
      </c>
      <c r="H33" s="4">
        <f>IF(F33&gt;68,G33+(F33-68)*0.2,CT137-(68-F33)*0.2)</f>
        <v>7.1600000000000019</v>
      </c>
      <c r="I33" s="4">
        <v>24</v>
      </c>
      <c r="J33" s="4">
        <f t="shared" si="19"/>
        <v>75.2</v>
      </c>
      <c r="K33" s="4">
        <v>4</v>
      </c>
      <c r="L33" s="4">
        <f t="shared" si="20"/>
        <v>5.44</v>
      </c>
      <c r="M33" s="4">
        <f t="shared" si="21"/>
        <v>76.133333333333326</v>
      </c>
      <c r="N33" s="4">
        <f t="shared" si="22"/>
        <v>5.7333333333333485</v>
      </c>
      <c r="O33" s="4">
        <f t="shared" si="23"/>
        <v>18.133333333333333</v>
      </c>
      <c r="P33" s="22" t="s">
        <v>0</v>
      </c>
      <c r="Q33" s="2"/>
      <c r="R33" s="2"/>
      <c r="T33" s="19">
        <v>104180</v>
      </c>
      <c r="U33" s="19" t="s">
        <v>67</v>
      </c>
      <c r="V33" s="19">
        <v>5.9720000000000002E-2</v>
      </c>
      <c r="W33" s="21">
        <v>0.37929000000000002</v>
      </c>
      <c r="X33" s="19">
        <v>-1.5572900000000001</v>
      </c>
      <c r="Y33" s="19">
        <v>0.17004</v>
      </c>
      <c r="Z33" s="19">
        <v>1.6010800000000001</v>
      </c>
      <c r="AA33" s="19">
        <v>1.0723199999999999</v>
      </c>
      <c r="AB33" s="19">
        <v>-1.10145</v>
      </c>
      <c r="AC33" s="19">
        <v>39.909841223579697</v>
      </c>
      <c r="AD33" s="20">
        <v>1.6629100509824875</v>
      </c>
      <c r="AE33" s="23">
        <v>2.7714688392075679E-2</v>
      </c>
      <c r="AF33" s="23">
        <v>1.4792446253590863</v>
      </c>
      <c r="AG33" s="21">
        <v>0.37877708598738047</v>
      </c>
      <c r="AH33" s="19">
        <v>0.24348492428226012</v>
      </c>
      <c r="AI33" s="19">
        <v>0.16857827141726436</v>
      </c>
      <c r="AJ33" s="21">
        <v>7.7482363881535038E-2</v>
      </c>
      <c r="AK33" s="21">
        <v>0.20603159784976224</v>
      </c>
      <c r="AL33" s="19"/>
      <c r="AM33" s="21">
        <v>7.7482363881535038E-2</v>
      </c>
      <c r="AN33" s="21">
        <v>0.20603159784976224</v>
      </c>
      <c r="AO33" s="21">
        <v>0.37877708598738047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</row>
    <row r="34" spans="1:52" x14ac:dyDescent="0.25">
      <c r="A34" s="7">
        <v>104</v>
      </c>
      <c r="B34" s="5">
        <v>90</v>
      </c>
      <c r="C34" s="6">
        <v>30</v>
      </c>
      <c r="D34" s="5">
        <v>20</v>
      </c>
      <c r="E34" s="4">
        <v>26</v>
      </c>
      <c r="F34" s="4">
        <f t="shared" si="18"/>
        <v>78.800000000000011</v>
      </c>
      <c r="G34" s="4">
        <v>7</v>
      </c>
      <c r="H34" s="4">
        <f>IF(F34&gt;68,G34+(F34-68)*0.2,CT138-(68-F34)*0.2)</f>
        <v>9.1600000000000019</v>
      </c>
      <c r="I34" s="4">
        <v>24</v>
      </c>
      <c r="J34" s="4">
        <f t="shared" si="19"/>
        <v>75.2</v>
      </c>
      <c r="K34" s="4">
        <v>4.5</v>
      </c>
      <c r="L34" s="4">
        <f t="shared" si="20"/>
        <v>5.94</v>
      </c>
      <c r="M34" s="4">
        <f t="shared" si="21"/>
        <v>69.466666666666654</v>
      </c>
      <c r="N34" s="4">
        <f t="shared" si="22"/>
        <v>10.733333333333348</v>
      </c>
      <c r="O34" s="4">
        <f t="shared" si="23"/>
        <v>19.8</v>
      </c>
      <c r="P34" s="22" t="s">
        <v>1</v>
      </c>
      <c r="Q34" s="2"/>
      <c r="R34" s="2"/>
      <c r="T34" s="19">
        <v>104210</v>
      </c>
      <c r="U34" s="19" t="s">
        <v>67</v>
      </c>
      <c r="V34" s="19">
        <v>5.9720000000000002E-2</v>
      </c>
      <c r="W34" s="21">
        <v>0.37929000000000002</v>
      </c>
      <c r="X34" s="19">
        <v>-1.5572900000000001</v>
      </c>
      <c r="Y34" s="19">
        <v>0.17004</v>
      </c>
      <c r="Z34" s="19">
        <v>1.6010800000000001</v>
      </c>
      <c r="AA34" s="19">
        <v>1.0723199999999999</v>
      </c>
      <c r="AB34" s="19">
        <v>-1.10145</v>
      </c>
      <c r="AC34" s="19">
        <v>39.909841223579697</v>
      </c>
      <c r="AD34" s="20">
        <v>1.6629100509824875</v>
      </c>
      <c r="AE34" s="23">
        <v>2.7714688392075679E-2</v>
      </c>
      <c r="AF34" s="23">
        <v>1.4792446253590863</v>
      </c>
      <c r="AG34" s="21">
        <v>0.37877708598738047</v>
      </c>
      <c r="AH34" s="19">
        <v>0.24348492428226012</v>
      </c>
      <c r="AI34" s="19">
        <v>0.16857827141726436</v>
      </c>
      <c r="AJ34" s="21">
        <v>7.7482363881535038E-2</v>
      </c>
      <c r="AK34" s="21">
        <v>0.20603159784976224</v>
      </c>
      <c r="AL34" s="19"/>
      <c r="AM34" s="21">
        <v>7.7482363881535038E-2</v>
      </c>
      <c r="AN34" s="21">
        <v>0.20603159784976224</v>
      </c>
      <c r="AO34" s="21">
        <v>0.37877708598738047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</row>
    <row r="35" spans="1:52" x14ac:dyDescent="0.25">
      <c r="A35" s="7">
        <v>104</v>
      </c>
      <c r="B35" s="5">
        <v>120</v>
      </c>
      <c r="C35" s="6">
        <v>30</v>
      </c>
      <c r="D35" s="5">
        <v>20</v>
      </c>
      <c r="E35" s="4">
        <v>26.5</v>
      </c>
      <c r="F35" s="4">
        <f t="shared" si="18"/>
        <v>79.7</v>
      </c>
      <c r="G35" s="4">
        <v>6.5</v>
      </c>
      <c r="H35" s="4">
        <f>IF(F35&gt;68,G35+(F35-68)*0.2,CT139-(68-F35)*0.2)</f>
        <v>8.84</v>
      </c>
      <c r="I35" s="4">
        <v>24</v>
      </c>
      <c r="J35" s="4">
        <f t="shared" si="19"/>
        <v>75.2</v>
      </c>
      <c r="K35" s="4">
        <v>5</v>
      </c>
      <c r="L35" s="4">
        <f t="shared" si="20"/>
        <v>6.44</v>
      </c>
      <c r="M35" s="4">
        <f t="shared" si="21"/>
        <v>70.533333333333331</v>
      </c>
      <c r="N35" s="4">
        <f t="shared" si="22"/>
        <v>8</v>
      </c>
      <c r="O35" s="4">
        <f t="shared" si="23"/>
        <v>21.466666666666669</v>
      </c>
      <c r="P35" s="22" t="s">
        <v>1</v>
      </c>
      <c r="Q35" s="2"/>
      <c r="R35" s="2"/>
      <c r="T35" s="19">
        <v>105030</v>
      </c>
      <c r="U35" s="19" t="s">
        <v>67</v>
      </c>
      <c r="V35" s="19">
        <v>5.935E-2</v>
      </c>
      <c r="W35" s="21">
        <v>0.40445999999999999</v>
      </c>
      <c r="X35" s="19">
        <v>-1.56097</v>
      </c>
      <c r="Y35" s="19">
        <v>0.18043999999999999</v>
      </c>
      <c r="Z35" s="19">
        <v>1.7225699999999999</v>
      </c>
      <c r="AA35" s="19">
        <v>1.13504</v>
      </c>
      <c r="AB35" s="19">
        <v>-0.95343999999999995</v>
      </c>
      <c r="AC35" s="19">
        <v>52.792229094423632</v>
      </c>
      <c r="AD35" s="20">
        <v>2.1996762122676512</v>
      </c>
      <c r="AE35" s="23">
        <v>2.748083977462043E-2</v>
      </c>
      <c r="AF35" s="23">
        <v>1.5150954710640809</v>
      </c>
      <c r="AG35" s="21">
        <v>0.4039551834830522</v>
      </c>
      <c r="AH35" s="19">
        <v>0.25118031948804453</v>
      </c>
      <c r="AI35" s="19">
        <v>0.16840266385333083</v>
      </c>
      <c r="AJ35" s="21">
        <v>7.487045034069878E-2</v>
      </c>
      <c r="AK35" s="21">
        <v>0.20979149167068767</v>
      </c>
      <c r="AL35" s="19"/>
      <c r="AM35" s="21">
        <v>7.487045034069878E-2</v>
      </c>
      <c r="AN35" s="21">
        <v>0.20979149167068767</v>
      </c>
      <c r="AO35" s="21">
        <v>0.4039551834830522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</row>
    <row r="36" spans="1:52" x14ac:dyDescent="0.25">
      <c r="A36" s="7">
        <v>104</v>
      </c>
      <c r="B36" s="5">
        <v>150</v>
      </c>
      <c r="C36" s="6">
        <v>30</v>
      </c>
      <c r="D36" s="5">
        <v>20</v>
      </c>
      <c r="E36" s="4">
        <v>26</v>
      </c>
      <c r="F36" s="4">
        <f t="shared" si="18"/>
        <v>78.800000000000011</v>
      </c>
      <c r="G36" s="4">
        <v>5</v>
      </c>
      <c r="H36" s="4">
        <f>IF(F36&gt;68,G36+(F36-68)*0.2,CT140-(68-F36)*0.2)</f>
        <v>7.1600000000000019</v>
      </c>
      <c r="I36" s="4">
        <v>23.5</v>
      </c>
      <c r="J36" s="4">
        <f t="shared" si="19"/>
        <v>74.300000000000011</v>
      </c>
      <c r="K36" s="4">
        <v>4</v>
      </c>
      <c r="L36" s="4">
        <f t="shared" si="20"/>
        <v>5.2600000000000025</v>
      </c>
      <c r="M36" s="4">
        <f t="shared" si="21"/>
        <v>76.133333333333326</v>
      </c>
      <c r="N36" s="4">
        <f t="shared" si="22"/>
        <v>6.3333333333333286</v>
      </c>
      <c r="O36" s="4">
        <f t="shared" si="23"/>
        <v>17.533333333333342</v>
      </c>
      <c r="P36" s="22" t="s">
        <v>0</v>
      </c>
      <c r="Q36" s="2"/>
      <c r="R36" s="2"/>
      <c r="T36" s="19">
        <v>105045</v>
      </c>
      <c r="U36" s="19" t="s">
        <v>67</v>
      </c>
      <c r="V36" s="19">
        <v>6.6220000000000001E-2</v>
      </c>
      <c r="W36" s="21">
        <v>0.43382999999999999</v>
      </c>
      <c r="X36" s="19">
        <v>-1.6056999999999999</v>
      </c>
      <c r="Y36" s="19">
        <v>0.16582</v>
      </c>
      <c r="Z36" s="19">
        <v>1.74644</v>
      </c>
      <c r="AA36" s="19">
        <v>1.0696699999999999</v>
      </c>
      <c r="AB36" s="19">
        <v>-0.90512000000000004</v>
      </c>
      <c r="AC36" s="19">
        <v>55.775054073326793</v>
      </c>
      <c r="AD36" s="20">
        <v>2.3239605863886164</v>
      </c>
      <c r="AE36" s="23">
        <v>2.4791339913758668E-2</v>
      </c>
      <c r="AF36" s="23">
        <v>1.4649405480654274</v>
      </c>
      <c r="AG36" s="21">
        <v>0.4333130589625524</v>
      </c>
      <c r="AH36" s="19">
        <v>0.28994671841407726</v>
      </c>
      <c r="AI36" s="19">
        <v>0.20206271042488114</v>
      </c>
      <c r="AJ36" s="21">
        <v>8.9677652311446143E-2</v>
      </c>
      <c r="AK36" s="21">
        <v>0.24600471441947919</v>
      </c>
      <c r="AL36" s="19"/>
      <c r="AM36" s="21">
        <v>8.9677652311446143E-2</v>
      </c>
      <c r="AN36" s="21">
        <v>0.24600471441947919</v>
      </c>
      <c r="AO36" s="21">
        <v>0.4333130589625524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</row>
    <row r="37" spans="1:52" x14ac:dyDescent="0.25">
      <c r="A37" s="7">
        <v>104</v>
      </c>
      <c r="B37" s="5">
        <v>180</v>
      </c>
      <c r="C37" s="6">
        <v>30</v>
      </c>
      <c r="D37" s="5">
        <v>20</v>
      </c>
      <c r="E37" s="4">
        <v>25.5</v>
      </c>
      <c r="F37" s="4">
        <f t="shared" si="18"/>
        <v>77.900000000000006</v>
      </c>
      <c r="G37" s="4">
        <v>5</v>
      </c>
      <c r="H37" s="4">
        <f>IF(F37&gt;68,G37+(F37-68)*0.2,#REF!-(68-F37)*0.2)</f>
        <v>6.9800000000000013</v>
      </c>
      <c r="I37" s="4">
        <v>23.5</v>
      </c>
      <c r="J37" s="4">
        <f t="shared" si="19"/>
        <v>74.300000000000011</v>
      </c>
      <c r="K37" s="4">
        <v>4</v>
      </c>
      <c r="L37" s="4">
        <f t="shared" si="20"/>
        <v>5.2600000000000025</v>
      </c>
      <c r="M37" s="4">
        <f t="shared" si="21"/>
        <v>76.733333333333334</v>
      </c>
      <c r="N37" s="4">
        <f t="shared" si="22"/>
        <v>5.7333333333333201</v>
      </c>
      <c r="O37" s="4">
        <f t="shared" si="23"/>
        <v>17.533333333333342</v>
      </c>
      <c r="P37" s="22" t="s">
        <v>0</v>
      </c>
      <c r="Q37" s="5"/>
      <c r="R37" s="5"/>
      <c r="T37" s="19">
        <v>105060</v>
      </c>
      <c r="U37" s="19" t="s">
        <v>67</v>
      </c>
      <c r="V37" s="19">
        <v>7.0139999999999994E-2</v>
      </c>
      <c r="W37" s="21">
        <v>0.43202000000000002</v>
      </c>
      <c r="X37" s="19">
        <v>-1.6280300000000001</v>
      </c>
      <c r="Y37" s="19">
        <v>0.14842</v>
      </c>
      <c r="Z37" s="19">
        <v>1.6167800000000001</v>
      </c>
      <c r="AA37" s="19">
        <v>0.98121000000000003</v>
      </c>
      <c r="AB37" s="19">
        <v>-1.0227200000000001</v>
      </c>
      <c r="AC37" s="19">
        <v>41.379000864383364</v>
      </c>
      <c r="AD37" s="20">
        <v>1.7241250360159734</v>
      </c>
      <c r="AE37" s="23">
        <v>2.3548866084734527E-2</v>
      </c>
      <c r="AF37" s="23">
        <v>1.40740795035731</v>
      </c>
      <c r="AG37" s="21">
        <v>0.43148612056580782</v>
      </c>
      <c r="AH37" s="19">
        <v>0.30677544355685782</v>
      </c>
      <c r="AI37" s="19">
        <v>0.22410768120805546</v>
      </c>
      <c r="AJ37" s="21">
        <v>0.10328603387313325</v>
      </c>
      <c r="AK37" s="21">
        <v>0.26544156238245664</v>
      </c>
      <c r="AL37" s="19"/>
      <c r="AM37" s="21">
        <v>0.10328603387313325</v>
      </c>
      <c r="AN37" s="21">
        <v>0.26544156238245664</v>
      </c>
      <c r="AO37" s="21">
        <v>0.43148612056580782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</row>
    <row r="38" spans="1:52" x14ac:dyDescent="0.25">
      <c r="A38" s="1"/>
      <c r="C38" s="16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9"/>
      <c r="T38" s="19">
        <v>105090</v>
      </c>
      <c r="U38" s="19" t="s">
        <v>67</v>
      </c>
      <c r="V38" s="19">
        <v>6.9209999999999994E-2</v>
      </c>
      <c r="W38" s="21">
        <v>0.40209</v>
      </c>
      <c r="X38" s="19">
        <v>-1.6863600000000001</v>
      </c>
      <c r="Y38" s="19">
        <v>0.12232</v>
      </c>
      <c r="Z38" s="19">
        <v>1.10599</v>
      </c>
      <c r="AA38" s="19">
        <v>0.81428</v>
      </c>
      <c r="AB38" s="19">
        <v>-1.2745</v>
      </c>
      <c r="AC38" s="19">
        <v>12.764094180599862</v>
      </c>
      <c r="AD38" s="20">
        <v>0.53183725752499422</v>
      </c>
      <c r="AE38" s="23">
        <v>2.0589225017712438E-2</v>
      </c>
      <c r="AF38" s="23">
        <v>1.3253177056896317</v>
      </c>
      <c r="AG38" s="21">
        <v>0.40161603944228502</v>
      </c>
      <c r="AH38" s="19">
        <v>0.31221292454090283</v>
      </c>
      <c r="AI38" s="19">
        <v>0.24390924178589052</v>
      </c>
      <c r="AJ38" s="21">
        <v>0.12076616299604037</v>
      </c>
      <c r="AK38" s="21">
        <v>0.27806108316339667</v>
      </c>
      <c r="AL38" s="19"/>
      <c r="AM38" s="21">
        <v>0.12076616299604037</v>
      </c>
      <c r="AN38" s="21">
        <v>0.27806108316339667</v>
      </c>
      <c r="AO38" s="21">
        <v>0.40161603944228502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</row>
    <row r="39" spans="1:52" ht="51.75" x14ac:dyDescent="0.25">
      <c r="A39" s="8" t="s">
        <v>54</v>
      </c>
      <c r="B39" s="10" t="s">
        <v>53</v>
      </c>
      <c r="C39" s="28" t="s">
        <v>18</v>
      </c>
      <c r="D39" s="27" t="s">
        <v>17</v>
      </c>
      <c r="E39" s="26" t="s">
        <v>16</v>
      </c>
      <c r="F39" s="26" t="s">
        <v>15</v>
      </c>
      <c r="G39" s="26" t="s">
        <v>52</v>
      </c>
      <c r="H39" s="26" t="s">
        <v>51</v>
      </c>
      <c r="I39" s="26" t="s">
        <v>50</v>
      </c>
      <c r="J39" s="26" t="s">
        <v>49</v>
      </c>
      <c r="K39" s="26" t="s">
        <v>48</v>
      </c>
      <c r="L39" s="26" t="s">
        <v>47</v>
      </c>
      <c r="M39" s="25" t="s">
        <v>8</v>
      </c>
      <c r="N39" s="25" t="s">
        <v>7</v>
      </c>
      <c r="O39" s="25" t="s">
        <v>6</v>
      </c>
      <c r="P39" s="24" t="s">
        <v>5</v>
      </c>
      <c r="Q39" s="71" t="s">
        <v>4</v>
      </c>
      <c r="R39" s="71"/>
      <c r="T39" s="19">
        <v>105120</v>
      </c>
      <c r="U39" s="19" t="s">
        <v>67</v>
      </c>
      <c r="V39" s="19">
        <v>6.3189999999999996E-2</v>
      </c>
      <c r="W39" s="21">
        <v>0.38519999999999999</v>
      </c>
      <c r="X39" s="19">
        <v>-1.6168499999999999</v>
      </c>
      <c r="Y39" s="19">
        <v>0.11751</v>
      </c>
      <c r="Z39" s="19">
        <v>1.15784</v>
      </c>
      <c r="AA39" s="19">
        <v>0.90829000000000004</v>
      </c>
      <c r="AB39" s="19">
        <v>-1.48882</v>
      </c>
      <c r="AC39" s="19">
        <v>14.382686029016101</v>
      </c>
      <c r="AD39" s="20">
        <v>0.59927858454233751</v>
      </c>
      <c r="AE39" s="23">
        <v>2.4162952491514754E-2</v>
      </c>
      <c r="AF39" s="23">
        <v>1.3107202224670675</v>
      </c>
      <c r="AG39" s="21">
        <v>0.38462262719761153</v>
      </c>
      <c r="AH39" s="19">
        <v>0.29262169044118491</v>
      </c>
      <c r="AI39" s="19">
        <v>0.22914787576864712</v>
      </c>
      <c r="AJ39" s="21">
        <v>0.11478597651419764</v>
      </c>
      <c r="AK39" s="21">
        <v>0.26088478310491603</v>
      </c>
      <c r="AL39" s="19"/>
      <c r="AM39" s="21">
        <v>0.11478597651419764</v>
      </c>
      <c r="AN39" s="21">
        <v>0.26088478310491603</v>
      </c>
      <c r="AO39" s="21">
        <v>0.38462262719761153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</row>
    <row r="40" spans="1:52" x14ac:dyDescent="0.25">
      <c r="A40" s="8"/>
      <c r="B40" s="10"/>
      <c r="C40" s="28"/>
      <c r="D40" s="27"/>
      <c r="E40" s="26"/>
      <c r="F40" s="26"/>
      <c r="G40" s="26"/>
      <c r="H40" s="26"/>
      <c r="I40" s="26"/>
      <c r="J40" s="26"/>
      <c r="K40" s="26"/>
      <c r="L40" s="26"/>
      <c r="M40" s="25"/>
      <c r="N40" s="25"/>
      <c r="O40" s="25"/>
      <c r="P40" s="24"/>
      <c r="Q40" s="9" t="s">
        <v>3</v>
      </c>
      <c r="R40" s="9" t="s">
        <v>2</v>
      </c>
      <c r="T40" s="19">
        <v>105150</v>
      </c>
      <c r="U40" s="19" t="s">
        <v>67</v>
      </c>
      <c r="V40" s="19">
        <v>5.7799999999999997E-2</v>
      </c>
      <c r="W40" s="21">
        <v>0.37807000000000002</v>
      </c>
      <c r="X40" s="19">
        <v>-1.5440400000000001</v>
      </c>
      <c r="Y40" s="19">
        <v>0.17469000000000001</v>
      </c>
      <c r="Z40" s="19">
        <v>1.6200699999999999</v>
      </c>
      <c r="AA40" s="19">
        <v>1.1066499999999999</v>
      </c>
      <c r="AB40" s="19">
        <v>-1.0836699999999999</v>
      </c>
      <c r="AC40" s="19">
        <v>41.693658029158122</v>
      </c>
      <c r="AD40" s="20">
        <v>1.7372357512149217</v>
      </c>
      <c r="AE40" s="23">
        <v>2.8573273616796142E-2</v>
      </c>
      <c r="AF40" s="23">
        <v>1.4951680221046995</v>
      </c>
      <c r="AG40" s="21">
        <v>0.37755052772819925</v>
      </c>
      <c r="AH40" s="19">
        <v>0.2366748230166944</v>
      </c>
      <c r="AI40" s="19">
        <v>0.1615937118693728</v>
      </c>
      <c r="AJ40" s="21">
        <v>7.3729126218080226E-2</v>
      </c>
      <c r="AK40" s="21">
        <v>0.19913426744303359</v>
      </c>
      <c r="AL40" s="19"/>
      <c r="AM40" s="21">
        <v>7.3729126218080226E-2</v>
      </c>
      <c r="AN40" s="21">
        <v>0.19913426744303359</v>
      </c>
      <c r="AO40" s="21">
        <v>0.37755052772819925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</row>
    <row r="41" spans="1:52" x14ac:dyDescent="0.25">
      <c r="A41" s="7">
        <v>105</v>
      </c>
      <c r="B41" s="5">
        <v>30</v>
      </c>
      <c r="C41" s="6">
        <v>30</v>
      </c>
      <c r="D41" s="5">
        <v>20</v>
      </c>
      <c r="E41" s="4">
        <v>24.5</v>
      </c>
      <c r="F41" s="4">
        <f t="shared" ref="F41:F46" si="24">1.8*E41+32</f>
        <v>76.099999999999994</v>
      </c>
      <c r="G41" s="4">
        <v>6</v>
      </c>
      <c r="H41" s="4">
        <f>IF(F41&gt;68,G41+(F41-68)*0.2,CB136-(68-F41)*0.2)</f>
        <v>7.6199999999999992</v>
      </c>
      <c r="I41" s="4">
        <v>24</v>
      </c>
      <c r="J41" s="4">
        <f t="shared" ref="J41:J46" si="25">1.8*I41+32</f>
        <v>75.2</v>
      </c>
      <c r="K41" s="4">
        <v>3.5</v>
      </c>
      <c r="L41" s="4">
        <f t="shared" ref="L41:L46" si="26">IF(J41&gt;68,K41+(J41-68)*0.2,K41-(68-J41)*0.2)</f>
        <v>4.9400000000000004</v>
      </c>
      <c r="M41" s="4">
        <f t="shared" ref="M41:M46" si="27">(C41-H41)/C41*100</f>
        <v>74.600000000000009</v>
      </c>
      <c r="N41" s="4">
        <f t="shared" ref="N41:N46" si="28">100-(M41+O41)</f>
        <v>8.9333333333333229</v>
      </c>
      <c r="O41" s="4">
        <f t="shared" ref="O41:O46" si="29">L41/C41*100</f>
        <v>16.466666666666669</v>
      </c>
      <c r="P41" s="22" t="s">
        <v>0</v>
      </c>
      <c r="Q41" s="2"/>
      <c r="R41" s="2"/>
      <c r="T41" s="19">
        <v>105180</v>
      </c>
      <c r="U41" s="19" t="s">
        <v>67</v>
      </c>
      <c r="V41" s="19">
        <v>5.8209999999999998E-2</v>
      </c>
      <c r="W41" s="21">
        <v>0.37717000000000001</v>
      </c>
      <c r="X41" s="19">
        <v>-1.5457000000000001</v>
      </c>
      <c r="Y41" s="19">
        <v>0.19653999999999999</v>
      </c>
      <c r="Z41" s="19">
        <v>1.73007</v>
      </c>
      <c r="AA41" s="19">
        <v>1.12459</v>
      </c>
      <c r="AB41" s="19">
        <v>-1.01217</v>
      </c>
      <c r="AC41" s="19">
        <v>53.711836264509806</v>
      </c>
      <c r="AD41" s="20">
        <v>2.2379931776879087</v>
      </c>
      <c r="AE41" s="23">
        <v>2.846426670374223E-2</v>
      </c>
      <c r="AF41" s="23">
        <v>1.5723166015048575</v>
      </c>
      <c r="AG41" s="21">
        <v>0.37674006281461164</v>
      </c>
      <c r="AH41" s="19">
        <v>0.222581981766033</v>
      </c>
      <c r="AI41" s="19">
        <v>0.14534469443492617</v>
      </c>
      <c r="AJ41" s="21">
        <v>6.8171117752244631E-2</v>
      </c>
      <c r="AK41" s="21">
        <v>0.1839633381004796</v>
      </c>
      <c r="AL41" s="19"/>
      <c r="AM41" s="21">
        <v>6.8171117752244631E-2</v>
      </c>
      <c r="AN41" s="21">
        <v>0.1839633381004796</v>
      </c>
      <c r="AO41" s="21">
        <v>0.37674006281461164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</row>
    <row r="42" spans="1:52" x14ac:dyDescent="0.25">
      <c r="A42" s="7">
        <v>105</v>
      </c>
      <c r="B42" s="5">
        <v>60</v>
      </c>
      <c r="C42" s="6">
        <v>30</v>
      </c>
      <c r="D42" s="5">
        <v>20</v>
      </c>
      <c r="E42" s="4">
        <v>25</v>
      </c>
      <c r="F42" s="4">
        <f t="shared" si="24"/>
        <v>77</v>
      </c>
      <c r="G42" s="4">
        <v>8</v>
      </c>
      <c r="H42" s="4">
        <f>IF(F42&gt;68,G42+(F42-68)*0.2,CB137-(68-F42)*0.2)</f>
        <v>9.8000000000000007</v>
      </c>
      <c r="I42" s="4">
        <v>24.5</v>
      </c>
      <c r="J42" s="4">
        <f t="shared" si="25"/>
        <v>76.099999999999994</v>
      </c>
      <c r="K42" s="4">
        <v>5.5</v>
      </c>
      <c r="L42" s="4">
        <f t="shared" si="26"/>
        <v>7.1199999999999992</v>
      </c>
      <c r="M42" s="4">
        <f t="shared" si="27"/>
        <v>67.333333333333329</v>
      </c>
      <c r="N42" s="4">
        <f t="shared" si="28"/>
        <v>8.9333333333333371</v>
      </c>
      <c r="O42" s="4">
        <f t="shared" si="29"/>
        <v>23.733333333333331</v>
      </c>
      <c r="P42" s="22" t="s">
        <v>1</v>
      </c>
      <c r="Q42" s="2"/>
      <c r="R42" s="2"/>
      <c r="T42" s="19">
        <v>105210</v>
      </c>
      <c r="U42" s="19" t="s">
        <v>67</v>
      </c>
      <c r="V42" s="19">
        <v>5.8209999999999998E-2</v>
      </c>
      <c r="W42" s="21">
        <v>0.37717000000000001</v>
      </c>
      <c r="X42" s="19">
        <v>-1.5457000000000001</v>
      </c>
      <c r="Y42" s="19">
        <v>0.19653999999999999</v>
      </c>
      <c r="Z42" s="19">
        <v>1.73007</v>
      </c>
      <c r="AA42" s="19">
        <v>1.12459</v>
      </c>
      <c r="AB42" s="19">
        <v>-1.01217</v>
      </c>
      <c r="AC42" s="19">
        <v>53.711836264509806</v>
      </c>
      <c r="AD42" s="20">
        <v>2.2379931776879087</v>
      </c>
      <c r="AE42" s="23">
        <v>2.846426670374223E-2</v>
      </c>
      <c r="AF42" s="23">
        <v>1.5723166015048575</v>
      </c>
      <c r="AG42" s="21">
        <v>0.37674006281461164</v>
      </c>
      <c r="AH42" s="19">
        <v>0.222581981766033</v>
      </c>
      <c r="AI42" s="19">
        <v>0.14534469443492617</v>
      </c>
      <c r="AJ42" s="21">
        <v>6.8171117752244631E-2</v>
      </c>
      <c r="AK42" s="21">
        <v>0.1839633381004796</v>
      </c>
      <c r="AL42" s="19"/>
      <c r="AM42" s="21">
        <v>6.8171117752244631E-2</v>
      </c>
      <c r="AN42" s="21">
        <v>0.1839633381004796</v>
      </c>
      <c r="AO42" s="21">
        <v>0.37674006281461164</v>
      </c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</row>
    <row r="43" spans="1:52" x14ac:dyDescent="0.25">
      <c r="A43" s="7">
        <v>105</v>
      </c>
      <c r="B43" s="5">
        <v>90</v>
      </c>
      <c r="C43" s="6">
        <v>30</v>
      </c>
      <c r="D43" s="5">
        <v>20</v>
      </c>
      <c r="E43" s="4">
        <v>25</v>
      </c>
      <c r="F43" s="4">
        <f t="shared" si="24"/>
        <v>77</v>
      </c>
      <c r="G43" s="4">
        <v>12</v>
      </c>
      <c r="H43" s="4">
        <f>IF(F43&gt;68,G43+(F43-68)*0.2,CB138-(68-F43)*0.2)</f>
        <v>13.8</v>
      </c>
      <c r="I43" s="4">
        <v>24</v>
      </c>
      <c r="J43" s="4">
        <f t="shared" si="25"/>
        <v>75.2</v>
      </c>
      <c r="K43" s="4">
        <v>7</v>
      </c>
      <c r="L43" s="4">
        <f t="shared" si="26"/>
        <v>8.4400000000000013</v>
      </c>
      <c r="M43" s="4">
        <f t="shared" si="27"/>
        <v>53.999999999999993</v>
      </c>
      <c r="N43" s="4">
        <f t="shared" si="28"/>
        <v>17.866666666666674</v>
      </c>
      <c r="O43" s="4">
        <f t="shared" si="29"/>
        <v>28.133333333333336</v>
      </c>
      <c r="P43" s="22" t="s">
        <v>1</v>
      </c>
      <c r="Q43" s="2"/>
      <c r="R43" s="2"/>
      <c r="T43" s="19">
        <v>106030</v>
      </c>
      <c r="U43" s="19" t="s">
        <v>67</v>
      </c>
      <c r="V43" s="19">
        <v>6.2129999999999998E-2</v>
      </c>
      <c r="W43" s="21">
        <v>0.40672000000000003</v>
      </c>
      <c r="X43" s="19">
        <v>-1.5900399999999999</v>
      </c>
      <c r="Y43" s="19">
        <v>0.15931999999999999</v>
      </c>
      <c r="Z43" s="19">
        <v>1.5926</v>
      </c>
      <c r="AA43" s="19">
        <v>1.0530200000000001</v>
      </c>
      <c r="AB43" s="19">
        <v>-1.0277499999999999</v>
      </c>
      <c r="AC43" s="19">
        <v>39.138123561221207</v>
      </c>
      <c r="AD43" s="20">
        <v>1.6307551483842169</v>
      </c>
      <c r="AE43" s="23">
        <v>2.5701590514704106E-2</v>
      </c>
      <c r="AF43" s="23">
        <v>1.4431783329530625</v>
      </c>
      <c r="AG43" s="21">
        <v>0.40618492681678858</v>
      </c>
      <c r="AH43" s="19">
        <v>0.27358203867380237</v>
      </c>
      <c r="AI43" s="19">
        <v>0.19340910491593172</v>
      </c>
      <c r="AJ43" s="21">
        <v>8.6744786564138948E-2</v>
      </c>
      <c r="AK43" s="21">
        <v>0.23349557179486705</v>
      </c>
      <c r="AL43" s="19"/>
      <c r="AM43" s="21">
        <v>8.6744786564138948E-2</v>
      </c>
      <c r="AN43" s="21">
        <v>0.23349557179486705</v>
      </c>
      <c r="AO43" s="21">
        <v>0.40618492681678858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</row>
    <row r="44" spans="1:52" x14ac:dyDescent="0.25">
      <c r="A44" s="7">
        <v>105</v>
      </c>
      <c r="B44" s="5">
        <v>120</v>
      </c>
      <c r="C44" s="6">
        <v>30</v>
      </c>
      <c r="D44" s="5">
        <v>20</v>
      </c>
      <c r="E44" s="4">
        <v>25</v>
      </c>
      <c r="F44" s="4">
        <f t="shared" si="24"/>
        <v>77</v>
      </c>
      <c r="G44" s="4">
        <v>10</v>
      </c>
      <c r="H44" s="4">
        <f>IF(F44&gt;68,G44+(F44-68)*0.2,CB139-(68-F44)*0.2)</f>
        <v>11.8</v>
      </c>
      <c r="I44" s="4">
        <v>24</v>
      </c>
      <c r="J44" s="4">
        <f t="shared" si="25"/>
        <v>75.2</v>
      </c>
      <c r="K44" s="4">
        <v>6</v>
      </c>
      <c r="L44" s="4">
        <f t="shared" si="26"/>
        <v>7.44</v>
      </c>
      <c r="M44" s="4">
        <f t="shared" si="27"/>
        <v>60.666666666666671</v>
      </c>
      <c r="N44" s="4">
        <f t="shared" si="28"/>
        <v>14.533333333333331</v>
      </c>
      <c r="O44" s="4">
        <f t="shared" si="29"/>
        <v>24.800000000000004</v>
      </c>
      <c r="P44" s="22" t="s">
        <v>1</v>
      </c>
      <c r="Q44" s="2"/>
      <c r="R44" s="2"/>
      <c r="T44" s="19">
        <v>106045</v>
      </c>
      <c r="U44" s="19" t="s">
        <v>67</v>
      </c>
      <c r="V44" s="19">
        <v>6.4420000000000005E-2</v>
      </c>
      <c r="W44" s="21">
        <v>0.43139</v>
      </c>
      <c r="X44" s="19">
        <v>-1.6147100000000001</v>
      </c>
      <c r="Y44" s="19">
        <v>0.16148000000000001</v>
      </c>
      <c r="Z44" s="19">
        <v>1.6991099999999999</v>
      </c>
      <c r="AA44" s="19">
        <v>1.05782</v>
      </c>
      <c r="AB44" s="19">
        <v>-0.90168999999999999</v>
      </c>
      <c r="AC44" s="19">
        <v>50.016120194496651</v>
      </c>
      <c r="AD44" s="20">
        <v>2.0840050081040271</v>
      </c>
      <c r="AE44" s="23">
        <v>2.4282310043101114E-2</v>
      </c>
      <c r="AF44" s="23">
        <v>1.4503739805768863</v>
      </c>
      <c r="AG44" s="21">
        <v>0.43087299100733678</v>
      </c>
      <c r="AH44" s="19">
        <v>0.29256889719927731</v>
      </c>
      <c r="AI44" s="19">
        <v>0.20549712829943909</v>
      </c>
      <c r="AJ44" s="21">
        <v>9.0184700260331152E-2</v>
      </c>
      <c r="AK44" s="21">
        <v>0.24903301274935818</v>
      </c>
      <c r="AL44" s="19"/>
      <c r="AM44" s="21">
        <v>9.0184700260331152E-2</v>
      </c>
      <c r="AN44" s="21">
        <v>0.24903301274935818</v>
      </c>
      <c r="AO44" s="21">
        <v>0.43087299100733678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</row>
    <row r="45" spans="1:52" x14ac:dyDescent="0.25">
      <c r="A45" s="7">
        <v>105</v>
      </c>
      <c r="B45" s="5">
        <v>150</v>
      </c>
      <c r="C45" s="6">
        <v>30</v>
      </c>
      <c r="D45" s="5">
        <v>20</v>
      </c>
      <c r="E45" s="4">
        <v>25.5</v>
      </c>
      <c r="F45" s="4">
        <f t="shared" si="24"/>
        <v>77.900000000000006</v>
      </c>
      <c r="G45" s="4">
        <v>5</v>
      </c>
      <c r="H45" s="4">
        <f>IF(F45&gt;68,G45+(F45-68)*0.2,CB140-(68-F45)*0.2)</f>
        <v>6.9800000000000013</v>
      </c>
      <c r="I45" s="4">
        <v>24</v>
      </c>
      <c r="J45" s="4">
        <f t="shared" si="25"/>
        <v>75.2</v>
      </c>
      <c r="K45" s="4">
        <v>3.5</v>
      </c>
      <c r="L45" s="4">
        <f t="shared" si="26"/>
        <v>4.9400000000000004</v>
      </c>
      <c r="M45" s="4">
        <f t="shared" si="27"/>
        <v>76.733333333333334</v>
      </c>
      <c r="N45" s="4">
        <f t="shared" si="28"/>
        <v>6.7999999999999972</v>
      </c>
      <c r="O45" s="4">
        <f t="shared" si="29"/>
        <v>16.466666666666669</v>
      </c>
      <c r="P45" s="22" t="s">
        <v>0</v>
      </c>
      <c r="Q45" s="2"/>
      <c r="R45" s="2"/>
      <c r="T45" s="19">
        <v>106060</v>
      </c>
      <c r="U45" s="19" t="s">
        <v>67</v>
      </c>
      <c r="V45" s="19">
        <v>6.3820000000000002E-2</v>
      </c>
      <c r="W45" s="21">
        <v>0.42482999999999999</v>
      </c>
      <c r="X45" s="19">
        <v>-1.62836</v>
      </c>
      <c r="Y45" s="19">
        <v>0.15675</v>
      </c>
      <c r="Z45" s="19">
        <v>1.61636</v>
      </c>
      <c r="AA45" s="19">
        <v>1.02173</v>
      </c>
      <c r="AB45" s="19">
        <v>-0.92503000000000002</v>
      </c>
      <c r="AC45" s="19">
        <v>41.339003166469922</v>
      </c>
      <c r="AD45" s="20">
        <v>1.72245846526958</v>
      </c>
      <c r="AE45" s="23">
        <v>2.3530979202855094E-2</v>
      </c>
      <c r="AF45" s="23">
        <v>1.4346633370035129</v>
      </c>
      <c r="AG45" s="21">
        <v>0.42432711149297248</v>
      </c>
      <c r="AH45" s="19">
        <v>0.29405578843348978</v>
      </c>
      <c r="AI45" s="19">
        <v>0.20909943328803032</v>
      </c>
      <c r="AJ45" s="21">
        <v>9.2009330007409407E-2</v>
      </c>
      <c r="AK45" s="21">
        <v>0.25157761086076003</v>
      </c>
      <c r="AL45" s="19"/>
      <c r="AM45" s="21">
        <v>9.2009330007409407E-2</v>
      </c>
      <c r="AN45" s="21">
        <v>0.25157761086076003</v>
      </c>
      <c r="AO45" s="21">
        <v>0.42432711149297248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</row>
    <row r="46" spans="1:52" x14ac:dyDescent="0.25">
      <c r="A46" s="7">
        <v>105</v>
      </c>
      <c r="B46" s="5">
        <v>180</v>
      </c>
      <c r="C46" s="6">
        <v>30</v>
      </c>
      <c r="D46" s="5">
        <v>20</v>
      </c>
      <c r="E46" s="4">
        <v>26</v>
      </c>
      <c r="F46" s="4">
        <f t="shared" si="24"/>
        <v>78.800000000000011</v>
      </c>
      <c r="G46" s="4">
        <v>4</v>
      </c>
      <c r="H46" s="4">
        <f>IF(F46&gt;68,G46+(F46-68)*0.2,#REF!-(68-F46)*0.2)</f>
        <v>6.1600000000000019</v>
      </c>
      <c r="I46" s="4">
        <v>24.5</v>
      </c>
      <c r="J46" s="4">
        <f t="shared" si="25"/>
        <v>76.099999999999994</v>
      </c>
      <c r="K46" s="4">
        <v>3</v>
      </c>
      <c r="L46" s="4">
        <f t="shared" si="26"/>
        <v>4.6199999999999992</v>
      </c>
      <c r="M46" s="4">
        <f t="shared" si="27"/>
        <v>79.466666666666654</v>
      </c>
      <c r="N46" s="4">
        <f t="shared" si="28"/>
        <v>5.1333333333333542</v>
      </c>
      <c r="O46" s="4">
        <f t="shared" si="29"/>
        <v>15.399999999999997</v>
      </c>
      <c r="P46" s="22" t="s">
        <v>0</v>
      </c>
      <c r="Q46" s="5"/>
      <c r="R46" s="5"/>
      <c r="T46" s="19">
        <v>106090</v>
      </c>
      <c r="U46" s="19" t="s">
        <v>67</v>
      </c>
      <c r="V46" s="19">
        <v>7.1779999999999997E-2</v>
      </c>
      <c r="W46" s="21">
        <v>0.40551999999999999</v>
      </c>
      <c r="X46" s="19">
        <v>-1.6714100000000001</v>
      </c>
      <c r="Y46" s="19">
        <v>0.11529</v>
      </c>
      <c r="Z46" s="19">
        <v>1.1121000000000001</v>
      </c>
      <c r="AA46" s="19">
        <v>0.81098999999999999</v>
      </c>
      <c r="AB46" s="19">
        <v>-1.4292400000000001</v>
      </c>
      <c r="AC46" s="19">
        <v>12.944938753662864</v>
      </c>
      <c r="AD46" s="20">
        <v>0.53937244806928597</v>
      </c>
      <c r="AE46" s="23">
        <v>2.1310321412425982E-2</v>
      </c>
      <c r="AF46" s="23">
        <v>1.3040372582466027</v>
      </c>
      <c r="AG46" s="21">
        <v>0.40500749470108466</v>
      </c>
      <c r="AH46" s="19">
        <v>0.3180545252489953</v>
      </c>
      <c r="AI46" s="19">
        <v>0.25253429482667833</v>
      </c>
      <c r="AJ46" s="21">
        <v>0.12956791133447776</v>
      </c>
      <c r="AK46" s="21">
        <v>0.28529441003783684</v>
      </c>
      <c r="AL46" s="19"/>
      <c r="AM46" s="21">
        <v>0.12956791133447776</v>
      </c>
      <c r="AN46" s="21">
        <v>0.28529441003783684</v>
      </c>
      <c r="AO46" s="21">
        <v>0.40500749470108466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</row>
    <row r="47" spans="1:52" x14ac:dyDescent="0.25">
      <c r="A47" s="1"/>
      <c r="C47" s="16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9"/>
      <c r="T47" s="19">
        <v>106120</v>
      </c>
      <c r="U47" s="19" t="s">
        <v>67</v>
      </c>
      <c r="V47" s="19">
        <v>6.1030000000000001E-2</v>
      </c>
      <c r="W47" s="21">
        <v>0.38184000000000001</v>
      </c>
      <c r="X47" s="19">
        <v>-1.6509799999999999</v>
      </c>
      <c r="Y47" s="19">
        <v>0.12325999999999999</v>
      </c>
      <c r="Z47" s="19">
        <v>1.08423</v>
      </c>
      <c r="AA47" s="19">
        <v>0.88356000000000001</v>
      </c>
      <c r="AB47" s="19">
        <v>-1.3207199999999999</v>
      </c>
      <c r="AC47" s="19">
        <v>12.140316248030439</v>
      </c>
      <c r="AD47" s="20">
        <v>0.5058465103346016</v>
      </c>
      <c r="AE47" s="23">
        <v>2.2336750850010908E-2</v>
      </c>
      <c r="AF47" s="23">
        <v>1.3281893697114517</v>
      </c>
      <c r="AG47" s="21">
        <v>0.38133351566852081</v>
      </c>
      <c r="AH47" s="19">
        <v>0.29010841531458686</v>
      </c>
      <c r="AI47" s="19">
        <v>0.22434399270013111</v>
      </c>
      <c r="AJ47" s="21">
        <v>0.10861671449592136</v>
      </c>
      <c r="AK47" s="21">
        <v>0.25722620400735896</v>
      </c>
      <c r="AL47" s="19"/>
      <c r="AM47" s="21">
        <v>0.10861671449592136</v>
      </c>
      <c r="AN47" s="21">
        <v>0.25722620400735896</v>
      </c>
      <c r="AO47" s="21">
        <v>0.38133351566852081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</row>
    <row r="48" spans="1:52" ht="51.75" x14ac:dyDescent="0.25">
      <c r="A48" s="8" t="s">
        <v>54</v>
      </c>
      <c r="B48" s="10" t="s">
        <v>53</v>
      </c>
      <c r="C48" s="14" t="s">
        <v>18</v>
      </c>
      <c r="D48" s="13" t="s">
        <v>17</v>
      </c>
      <c r="E48" s="12" t="s">
        <v>16</v>
      </c>
      <c r="F48" s="12" t="s">
        <v>15</v>
      </c>
      <c r="G48" s="12" t="s">
        <v>52</v>
      </c>
      <c r="H48" s="12" t="s">
        <v>51</v>
      </c>
      <c r="I48" s="12" t="s">
        <v>50</v>
      </c>
      <c r="J48" s="12" t="s">
        <v>49</v>
      </c>
      <c r="K48" s="12" t="s">
        <v>48</v>
      </c>
      <c r="L48" s="12" t="s">
        <v>47</v>
      </c>
      <c r="M48" s="11" t="s">
        <v>8</v>
      </c>
      <c r="N48" s="11" t="s">
        <v>7</v>
      </c>
      <c r="O48" s="11" t="s">
        <v>6</v>
      </c>
      <c r="P48" s="10" t="s">
        <v>5</v>
      </c>
      <c r="Q48" s="71" t="s">
        <v>4</v>
      </c>
      <c r="R48" s="71"/>
      <c r="T48" s="19">
        <v>106150</v>
      </c>
      <c r="U48" s="19" t="s">
        <v>67</v>
      </c>
      <c r="V48" s="19">
        <v>4.9509999999999998E-2</v>
      </c>
      <c r="W48" s="21">
        <v>0.37235000000000001</v>
      </c>
      <c r="X48" s="19">
        <v>-1.51633</v>
      </c>
      <c r="Y48" s="19">
        <v>0.14946000000000001</v>
      </c>
      <c r="Z48" s="19">
        <v>1.43834</v>
      </c>
      <c r="AA48" s="19">
        <v>1.15143</v>
      </c>
      <c r="AB48" s="19">
        <v>-1.19912</v>
      </c>
      <c r="AC48" s="19">
        <v>27.437213329604546</v>
      </c>
      <c r="AD48" s="20">
        <v>1.1432172220668562</v>
      </c>
      <c r="AE48" s="23">
        <v>3.0455799168994612E-2</v>
      </c>
      <c r="AF48" s="23">
        <v>1.4107822926229951</v>
      </c>
      <c r="AG48" s="21">
        <v>0.37167095400019701</v>
      </c>
      <c r="AH48" s="19">
        <v>0.24289795750168158</v>
      </c>
      <c r="AI48" s="19">
        <v>0.17281155824443784</v>
      </c>
      <c r="AJ48" s="21">
        <v>7.5594477790778242E-2</v>
      </c>
      <c r="AK48" s="21">
        <v>0.20785475787305971</v>
      </c>
      <c r="AL48" s="19"/>
      <c r="AM48" s="21">
        <v>7.5594477790778242E-2</v>
      </c>
      <c r="AN48" s="21">
        <v>0.20785475787305971</v>
      </c>
      <c r="AO48" s="21">
        <v>0.37167095400019701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 spans="1:52" x14ac:dyDescent="0.25">
      <c r="A49" s="8"/>
      <c r="B49" s="10"/>
      <c r="C49" s="14"/>
      <c r="D49" s="13"/>
      <c r="E49" s="12"/>
      <c r="F49" s="12"/>
      <c r="G49" s="12"/>
      <c r="H49" s="12"/>
      <c r="I49" s="12"/>
      <c r="J49" s="12"/>
      <c r="K49" s="12"/>
      <c r="L49" s="12"/>
      <c r="M49" s="11"/>
      <c r="N49" s="11"/>
      <c r="O49" s="11"/>
      <c r="P49" s="10"/>
      <c r="Q49" s="9" t="s">
        <v>3</v>
      </c>
      <c r="R49" s="9" t="s">
        <v>2</v>
      </c>
      <c r="T49" s="19">
        <v>106180</v>
      </c>
      <c r="U49" s="19" t="s">
        <v>67</v>
      </c>
      <c r="V49" s="19">
        <v>6.1780000000000002E-2</v>
      </c>
      <c r="W49" s="21">
        <v>0.37983</v>
      </c>
      <c r="X49" s="19">
        <v>-1.5726500000000001</v>
      </c>
      <c r="Y49" s="19">
        <v>0.17351</v>
      </c>
      <c r="Z49" s="19">
        <v>1.6249199999999999</v>
      </c>
      <c r="AA49" s="19">
        <v>1.0425599999999999</v>
      </c>
      <c r="AB49" s="19">
        <v>-1.0836600000000001</v>
      </c>
      <c r="AC49" s="19">
        <v>42.161883121607204</v>
      </c>
      <c r="AD49" s="20">
        <v>1.7567451300669668</v>
      </c>
      <c r="AE49" s="23">
        <v>2.6751614655805316E-2</v>
      </c>
      <c r="AF49" s="23">
        <v>1.4911110891590937</v>
      </c>
      <c r="AG49" s="21">
        <v>0.37935808093111772</v>
      </c>
      <c r="AH49" s="19">
        <v>0.24498761902321692</v>
      </c>
      <c r="AI49" s="19">
        <v>0.16909442955104514</v>
      </c>
      <c r="AJ49" s="21">
        <v>7.8525486141948125E-2</v>
      </c>
      <c r="AK49" s="21">
        <v>0.20704102428713103</v>
      </c>
      <c r="AL49" s="19"/>
      <c r="AM49" s="21">
        <v>7.8525486141948125E-2</v>
      </c>
      <c r="AN49" s="21">
        <v>0.20704102428713103</v>
      </c>
      <c r="AO49" s="21">
        <v>0.37935808093111772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 spans="1:52" x14ac:dyDescent="0.25">
      <c r="A50" s="7">
        <v>106</v>
      </c>
      <c r="B50" s="5">
        <v>30</v>
      </c>
      <c r="C50" s="6">
        <v>30</v>
      </c>
      <c r="D50" s="5">
        <v>20</v>
      </c>
      <c r="E50" s="4">
        <v>25</v>
      </c>
      <c r="F50" s="4">
        <f t="shared" ref="F50:F55" si="30">1.8*E50+32</f>
        <v>77</v>
      </c>
      <c r="G50" s="4">
        <v>7</v>
      </c>
      <c r="H50" s="4">
        <f>IF(F50&gt;68,G50+(F50-68)*0.2,BJ136-(68-F50)*0.2)</f>
        <v>8.8000000000000007</v>
      </c>
      <c r="I50" s="4">
        <v>22.2</v>
      </c>
      <c r="J50" s="4">
        <f t="shared" ref="J50:J55" si="31">1.8*I50+32</f>
        <v>71.960000000000008</v>
      </c>
      <c r="K50" s="4">
        <v>5</v>
      </c>
      <c r="L50" s="4">
        <f t="shared" ref="L50:L55" si="32">IF(J50&gt;68,K50+(J50-68)*0.2,K50-(68-J50)*0.2)</f>
        <v>5.7920000000000016</v>
      </c>
      <c r="M50" s="4">
        <f t="shared" ref="M50:M55" si="33">(C50-H50)/C50*100</f>
        <v>70.666666666666671</v>
      </c>
      <c r="N50" s="4">
        <f t="shared" ref="N50:N55" si="34">100-(M50+O50)</f>
        <v>10.026666666666657</v>
      </c>
      <c r="O50" s="4">
        <f t="shared" ref="O50:O55" si="35">L50/C50*100</f>
        <v>19.306666666666672</v>
      </c>
      <c r="P50" s="22" t="s">
        <v>0</v>
      </c>
      <c r="Q50" s="2"/>
      <c r="R50" s="2"/>
      <c r="T50" s="19">
        <v>106210</v>
      </c>
      <c r="U50" s="19" t="s">
        <v>67</v>
      </c>
      <c r="V50" s="19">
        <v>6.1780000000000002E-2</v>
      </c>
      <c r="W50" s="21">
        <v>0.37983</v>
      </c>
      <c r="X50" s="19">
        <v>-1.5726500000000001</v>
      </c>
      <c r="Y50" s="19">
        <v>0.17351</v>
      </c>
      <c r="Z50" s="19">
        <v>1.6249199999999999</v>
      </c>
      <c r="AA50" s="19">
        <v>1.0425599999999999</v>
      </c>
      <c r="AB50" s="19">
        <v>-1.0836600000000001</v>
      </c>
      <c r="AC50" s="19">
        <v>42.161883121607204</v>
      </c>
      <c r="AD50" s="20">
        <v>1.7567451300669668</v>
      </c>
      <c r="AE50" s="23">
        <v>2.6751614655805316E-2</v>
      </c>
      <c r="AF50" s="23">
        <v>1.4911110891590937</v>
      </c>
      <c r="AG50" s="21">
        <v>0.37935808093111772</v>
      </c>
      <c r="AH50" s="19">
        <v>0.24498761902321692</v>
      </c>
      <c r="AI50" s="19">
        <v>0.16909442955104514</v>
      </c>
      <c r="AJ50" s="21">
        <v>7.8525486141948125E-2</v>
      </c>
      <c r="AK50" s="21">
        <v>0.20704102428713103</v>
      </c>
      <c r="AL50" s="19"/>
      <c r="AM50" s="21">
        <v>7.8525486141948125E-2</v>
      </c>
      <c r="AN50" s="21">
        <v>0.20704102428713103</v>
      </c>
      <c r="AO50" s="21">
        <v>0.37935808093111772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</row>
    <row r="51" spans="1:52" x14ac:dyDescent="0.25">
      <c r="A51" s="7">
        <v>106</v>
      </c>
      <c r="B51" s="5">
        <v>60</v>
      </c>
      <c r="C51" s="6">
        <v>30</v>
      </c>
      <c r="D51" s="5">
        <v>20</v>
      </c>
      <c r="E51" s="4">
        <v>24.5</v>
      </c>
      <c r="F51" s="4">
        <f t="shared" si="30"/>
        <v>76.099999999999994</v>
      </c>
      <c r="G51" s="4">
        <v>8.5</v>
      </c>
      <c r="H51" s="4">
        <f>IF(F51&gt;68,G51+(F51-68)*0.2,BJ137-(68-F51)*0.2)</f>
        <v>10.119999999999999</v>
      </c>
      <c r="I51" s="4">
        <v>23</v>
      </c>
      <c r="J51" s="4">
        <f t="shared" si="31"/>
        <v>73.400000000000006</v>
      </c>
      <c r="K51" s="4">
        <v>5</v>
      </c>
      <c r="L51" s="4">
        <f t="shared" si="32"/>
        <v>6.080000000000001</v>
      </c>
      <c r="M51" s="4">
        <f t="shared" si="33"/>
        <v>66.26666666666668</v>
      </c>
      <c r="N51" s="4">
        <f t="shared" si="34"/>
        <v>13.466666666666654</v>
      </c>
      <c r="O51" s="4">
        <f t="shared" si="35"/>
        <v>20.266666666666669</v>
      </c>
      <c r="P51" s="22" t="s">
        <v>1</v>
      </c>
      <c r="Q51" s="2"/>
      <c r="R51" s="2"/>
      <c r="T51" s="19">
        <v>107030</v>
      </c>
      <c r="U51" s="19" t="s">
        <v>67</v>
      </c>
      <c r="V51" s="19">
        <v>6.2030000000000002E-2</v>
      </c>
      <c r="W51" s="21">
        <v>0.40623999999999999</v>
      </c>
      <c r="X51" s="19">
        <v>-1.57396</v>
      </c>
      <c r="Y51" s="19">
        <v>0.18331</v>
      </c>
      <c r="Z51" s="19">
        <v>1.74122</v>
      </c>
      <c r="AA51" s="19">
        <v>1.10521</v>
      </c>
      <c r="AB51" s="19">
        <v>-0.94630000000000003</v>
      </c>
      <c r="AC51" s="19">
        <v>55.10867890392214</v>
      </c>
      <c r="AD51" s="20">
        <v>2.296194954330089</v>
      </c>
      <c r="AE51" s="23">
        <v>2.6671043025935988E-2</v>
      </c>
      <c r="AF51" s="23">
        <v>1.5251410131086505</v>
      </c>
      <c r="AG51" s="21">
        <v>0.40576997630703882</v>
      </c>
      <c r="AH51" s="19">
        <v>0.25383876757906898</v>
      </c>
      <c r="AI51" s="19">
        <v>0.17004425685060587</v>
      </c>
      <c r="AJ51" s="21">
        <v>7.6832039684116893E-2</v>
      </c>
      <c r="AK51" s="21">
        <v>0.21194151221483742</v>
      </c>
      <c r="AL51" s="19"/>
      <c r="AM51" s="21">
        <v>7.6832039684116893E-2</v>
      </c>
      <c r="AN51" s="21">
        <v>0.21194151221483742</v>
      </c>
      <c r="AO51" s="21">
        <v>0.40576997630703882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</row>
    <row r="52" spans="1:52" x14ac:dyDescent="0.25">
      <c r="A52" s="7">
        <v>106</v>
      </c>
      <c r="B52" s="5">
        <v>90</v>
      </c>
      <c r="C52" s="6">
        <v>30</v>
      </c>
      <c r="D52" s="5">
        <v>20</v>
      </c>
      <c r="E52" s="4">
        <v>25</v>
      </c>
      <c r="F52" s="4">
        <f t="shared" si="30"/>
        <v>77</v>
      </c>
      <c r="G52" s="4">
        <v>12</v>
      </c>
      <c r="H52" s="4">
        <f>IF(F52&gt;68,G52+(F52-68)*0.2,BJ138-(68-F52)*0.2)</f>
        <v>13.8</v>
      </c>
      <c r="I52" s="4">
        <v>23</v>
      </c>
      <c r="J52" s="4">
        <f t="shared" si="31"/>
        <v>73.400000000000006</v>
      </c>
      <c r="K52" s="4">
        <v>8</v>
      </c>
      <c r="L52" s="4">
        <f t="shared" si="32"/>
        <v>9.0800000000000018</v>
      </c>
      <c r="M52" s="4">
        <f t="shared" si="33"/>
        <v>53.999999999999993</v>
      </c>
      <c r="N52" s="4">
        <f t="shared" si="34"/>
        <v>15.733333333333334</v>
      </c>
      <c r="O52" s="4">
        <f t="shared" si="35"/>
        <v>30.266666666666676</v>
      </c>
      <c r="P52" s="22" t="s">
        <v>1</v>
      </c>
      <c r="Q52" s="2"/>
      <c r="R52" s="2"/>
      <c r="T52" s="19">
        <v>107045</v>
      </c>
      <c r="U52" s="19" t="s">
        <v>67</v>
      </c>
      <c r="V52" s="19">
        <v>6.3649999999999998E-2</v>
      </c>
      <c r="W52" s="21">
        <v>0.43236000000000002</v>
      </c>
      <c r="X52" s="19">
        <v>-1.5710299999999999</v>
      </c>
      <c r="Y52" s="19">
        <v>0.19839999999999999</v>
      </c>
      <c r="Z52" s="19">
        <v>1.9278500000000001</v>
      </c>
      <c r="AA52" s="19">
        <v>1.17319</v>
      </c>
      <c r="AB52" s="19">
        <v>-0.81869999999999998</v>
      </c>
      <c r="AC52" s="19">
        <v>84.693484268667902</v>
      </c>
      <c r="AD52" s="20">
        <v>3.5288951778611626</v>
      </c>
      <c r="AE52" s="23">
        <v>2.6851589550424951E-2</v>
      </c>
      <c r="AF52" s="23">
        <v>1.5790649727284281</v>
      </c>
      <c r="AG52" s="21">
        <v>0.43191406228402485</v>
      </c>
      <c r="AH52" s="19">
        <v>0.25769337546507998</v>
      </c>
      <c r="AI52" s="19">
        <v>0.16617322057538739</v>
      </c>
      <c r="AJ52" s="21">
        <v>7.5083334992959383E-2</v>
      </c>
      <c r="AK52" s="21">
        <v>0.2119332980202337</v>
      </c>
      <c r="AL52" s="19"/>
      <c r="AM52" s="21">
        <v>7.5083334992959383E-2</v>
      </c>
      <c r="AN52" s="21">
        <v>0.2119332980202337</v>
      </c>
      <c r="AO52" s="21">
        <v>0.43191406228402485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 spans="1:52" x14ac:dyDescent="0.25">
      <c r="A53" s="7">
        <v>106</v>
      </c>
      <c r="B53" s="5">
        <v>120</v>
      </c>
      <c r="C53" s="6">
        <v>30</v>
      </c>
      <c r="D53" s="5">
        <v>20</v>
      </c>
      <c r="E53" s="4">
        <v>25.5</v>
      </c>
      <c r="F53" s="4">
        <f t="shared" si="30"/>
        <v>77.900000000000006</v>
      </c>
      <c r="G53" s="4">
        <v>11</v>
      </c>
      <c r="H53" s="4">
        <f>IF(F53&gt;68,G53+(F53-68)*0.2,BJ139-(68-F53)*0.2)</f>
        <v>12.98</v>
      </c>
      <c r="I53" s="4">
        <v>23</v>
      </c>
      <c r="J53" s="4">
        <f t="shared" si="31"/>
        <v>73.400000000000006</v>
      </c>
      <c r="K53" s="4">
        <v>6</v>
      </c>
      <c r="L53" s="4">
        <f t="shared" si="32"/>
        <v>7.080000000000001</v>
      </c>
      <c r="M53" s="4">
        <f t="shared" si="33"/>
        <v>56.733333333333334</v>
      </c>
      <c r="N53" s="4">
        <f t="shared" si="34"/>
        <v>19.666666666666657</v>
      </c>
      <c r="O53" s="4">
        <f t="shared" si="35"/>
        <v>23.600000000000005</v>
      </c>
      <c r="P53" s="22" t="s">
        <v>1</v>
      </c>
      <c r="Q53" s="2"/>
      <c r="R53" s="2"/>
      <c r="T53" s="19">
        <v>107060</v>
      </c>
      <c r="U53" s="19" t="s">
        <v>67</v>
      </c>
      <c r="V53" s="19">
        <v>6.2630000000000005E-2</v>
      </c>
      <c r="W53" s="21">
        <v>0.42596000000000001</v>
      </c>
      <c r="X53" s="19">
        <v>-1.56433</v>
      </c>
      <c r="Y53" s="19">
        <v>0.20945</v>
      </c>
      <c r="Z53" s="19">
        <v>1.9513400000000001</v>
      </c>
      <c r="AA53" s="19">
        <v>1.1857200000000001</v>
      </c>
      <c r="AB53" s="19">
        <v>-0.81642999999999999</v>
      </c>
      <c r="AC53" s="19">
        <v>89.400510760066936</v>
      </c>
      <c r="AD53" s="20">
        <v>3.7250212816694557</v>
      </c>
      <c r="AE53" s="23">
        <v>2.7269049482572378E-2</v>
      </c>
      <c r="AF53" s="23">
        <v>1.6197575016945975</v>
      </c>
      <c r="AG53" s="21">
        <v>0.42555415454296741</v>
      </c>
      <c r="AH53" s="19">
        <v>0.24477616488820925</v>
      </c>
      <c r="AI53" s="19">
        <v>0.15423184721668284</v>
      </c>
      <c r="AJ53" s="21">
        <v>7.1372443832137325E-2</v>
      </c>
      <c r="AK53" s="21">
        <v>0.19950400605244606</v>
      </c>
      <c r="AL53" s="19"/>
      <c r="AM53" s="21">
        <v>7.1372443832137325E-2</v>
      </c>
      <c r="AN53" s="21">
        <v>0.19950400605244606</v>
      </c>
      <c r="AO53" s="21">
        <v>0.42555415454296741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 spans="1:52" x14ac:dyDescent="0.25">
      <c r="A54" s="7">
        <v>106</v>
      </c>
      <c r="B54" s="5">
        <v>150</v>
      </c>
      <c r="C54" s="6">
        <v>30</v>
      </c>
      <c r="D54" s="5">
        <v>20</v>
      </c>
      <c r="E54" s="4">
        <v>24.5</v>
      </c>
      <c r="F54" s="4">
        <f t="shared" si="30"/>
        <v>76.099999999999994</v>
      </c>
      <c r="G54" s="4">
        <v>8</v>
      </c>
      <c r="H54" s="4">
        <f>IF(F54&gt;68,G54+(F54-68)*0.2,BJ140-(68-F54)*0.2)</f>
        <v>9.6199999999999992</v>
      </c>
      <c r="I54" s="4">
        <v>24</v>
      </c>
      <c r="J54" s="4">
        <f t="shared" si="31"/>
        <v>75.2</v>
      </c>
      <c r="K54" s="4">
        <v>3</v>
      </c>
      <c r="L54" s="4">
        <f t="shared" si="32"/>
        <v>4.4400000000000004</v>
      </c>
      <c r="M54" s="4">
        <f t="shared" si="33"/>
        <v>67.933333333333351</v>
      </c>
      <c r="N54" s="4">
        <f t="shared" si="34"/>
        <v>17.266666666666652</v>
      </c>
      <c r="O54" s="4">
        <f t="shared" si="35"/>
        <v>14.800000000000002</v>
      </c>
      <c r="P54" s="22" t="s">
        <v>0</v>
      </c>
      <c r="Q54" s="2"/>
      <c r="R54" s="2"/>
      <c r="T54" s="19">
        <v>107090</v>
      </c>
      <c r="U54" s="19" t="s">
        <v>67</v>
      </c>
      <c r="V54" s="19">
        <v>5.8880000000000002E-2</v>
      </c>
      <c r="W54" s="21">
        <v>0.39261000000000001</v>
      </c>
      <c r="X54" s="19">
        <v>-1.5509599999999999</v>
      </c>
      <c r="Y54" s="19">
        <v>0.19289000000000001</v>
      </c>
      <c r="Z54" s="19">
        <v>1.75082</v>
      </c>
      <c r="AA54" s="19">
        <v>1.14089</v>
      </c>
      <c r="AB54" s="19">
        <v>-0.96631999999999996</v>
      </c>
      <c r="AC54" s="19">
        <v>56.340409597098002</v>
      </c>
      <c r="AD54" s="20">
        <v>2.3475170665457501</v>
      </c>
      <c r="AE54" s="23">
        <v>2.8121598279634379E-2</v>
      </c>
      <c r="AF54" s="23">
        <v>1.5591575425897681</v>
      </c>
      <c r="AG54" s="21">
        <v>0.39215425276347998</v>
      </c>
      <c r="AH54" s="19">
        <v>0.23426136251621271</v>
      </c>
      <c r="AI54" s="19">
        <v>0.15339320157843539</v>
      </c>
      <c r="AJ54" s="21">
        <v>7.0243725443377272E-2</v>
      </c>
      <c r="AK54" s="21">
        <v>0.19382728204732405</v>
      </c>
      <c r="AL54" s="19"/>
      <c r="AM54" s="21">
        <v>7.0243725443377272E-2</v>
      </c>
      <c r="AN54" s="21">
        <v>0.19382728204732405</v>
      </c>
      <c r="AO54" s="21">
        <v>0.39215425276347998</v>
      </c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 spans="1:52" x14ac:dyDescent="0.25">
      <c r="A55" s="7">
        <v>106</v>
      </c>
      <c r="B55" s="5">
        <v>180</v>
      </c>
      <c r="C55" s="6">
        <v>30</v>
      </c>
      <c r="D55" s="5">
        <v>20</v>
      </c>
      <c r="E55" s="4">
        <v>24.5</v>
      </c>
      <c r="F55" s="4">
        <f t="shared" si="30"/>
        <v>76.099999999999994</v>
      </c>
      <c r="G55" s="4">
        <v>5</v>
      </c>
      <c r="H55" s="4">
        <f>IF(F55&gt;68,G55+(F55-68)*0.2,#REF!-(68-F55)*0.2)</f>
        <v>6.6199999999999992</v>
      </c>
      <c r="I55" s="4">
        <v>24</v>
      </c>
      <c r="J55" s="4">
        <f t="shared" si="31"/>
        <v>75.2</v>
      </c>
      <c r="K55" s="4">
        <v>4</v>
      </c>
      <c r="L55" s="4">
        <f t="shared" si="32"/>
        <v>5.44</v>
      </c>
      <c r="M55" s="4">
        <f t="shared" si="33"/>
        <v>77.933333333333337</v>
      </c>
      <c r="N55" s="4">
        <f t="shared" si="34"/>
        <v>3.9333333333333371</v>
      </c>
      <c r="O55" s="4">
        <f t="shared" si="35"/>
        <v>18.133333333333333</v>
      </c>
      <c r="P55" s="22" t="s">
        <v>0</v>
      </c>
      <c r="Q55" s="5"/>
      <c r="R55" s="5"/>
      <c r="T55" s="19">
        <v>107120</v>
      </c>
      <c r="U55" s="19" t="s">
        <v>67</v>
      </c>
      <c r="V55" s="19">
        <v>5.5239999999999997E-2</v>
      </c>
      <c r="W55" s="21">
        <v>0.37694</v>
      </c>
      <c r="X55" s="19">
        <v>-1.52616</v>
      </c>
      <c r="Y55" s="19">
        <v>0.17061999999999999</v>
      </c>
      <c r="Z55" s="19">
        <v>1.59379</v>
      </c>
      <c r="AA55" s="19">
        <v>1.1405400000000001</v>
      </c>
      <c r="AB55" s="19">
        <v>-1.10365</v>
      </c>
      <c r="AC55" s="19">
        <v>39.245512063631701</v>
      </c>
      <c r="AD55" s="20">
        <v>1.6352296693179875</v>
      </c>
      <c r="AE55" s="23">
        <v>2.9774193055345448E-2</v>
      </c>
      <c r="AF55" s="23">
        <v>1.48122147534769</v>
      </c>
      <c r="AG55" s="21">
        <v>0.37636849499038355</v>
      </c>
      <c r="AH55" s="19">
        <v>0.23465581072256164</v>
      </c>
      <c r="AI55" s="19">
        <v>0.16077013735249679</v>
      </c>
      <c r="AJ55" s="21">
        <v>7.2309879996470622E-2</v>
      </c>
      <c r="AK55" s="21">
        <v>0.19771297403752922</v>
      </c>
      <c r="AL55" s="19"/>
      <c r="AM55" s="21">
        <v>7.2309879996470622E-2</v>
      </c>
      <c r="AN55" s="21">
        <v>0.19771297403752922</v>
      </c>
      <c r="AO55" s="21">
        <v>0.37636849499038355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</row>
    <row r="56" spans="1:52" x14ac:dyDescent="0.25">
      <c r="A56" s="1"/>
      <c r="C56" s="1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9"/>
      <c r="T56" s="19">
        <v>107150</v>
      </c>
      <c r="U56" s="19" t="s">
        <v>67</v>
      </c>
      <c r="V56" s="19">
        <v>6.0080000000000001E-2</v>
      </c>
      <c r="W56" s="21">
        <v>0.38127</v>
      </c>
      <c r="X56" s="19">
        <v>-1.5694300000000001</v>
      </c>
      <c r="Y56" s="19">
        <v>0.13986000000000001</v>
      </c>
      <c r="Z56" s="19">
        <v>1.40574</v>
      </c>
      <c r="AA56" s="19">
        <v>1.0170999999999999</v>
      </c>
      <c r="AB56" s="19">
        <v>-1.27624</v>
      </c>
      <c r="AC56" s="19">
        <v>25.453059926193063</v>
      </c>
      <c r="AD56" s="20">
        <v>1.0605441635913777</v>
      </c>
      <c r="AE56" s="23">
        <v>2.6950696912550365E-2</v>
      </c>
      <c r="AF56" s="23">
        <v>1.3799393530057755</v>
      </c>
      <c r="AG56" s="21">
        <v>0.38066880844770673</v>
      </c>
      <c r="AH56" s="19">
        <v>0.26711848322022819</v>
      </c>
      <c r="AI56" s="19">
        <v>0.19780793025540344</v>
      </c>
      <c r="AJ56" s="21">
        <v>9.2916630453145577E-2</v>
      </c>
      <c r="AK56" s="21">
        <v>0.23246320673781581</v>
      </c>
      <c r="AL56" s="19"/>
      <c r="AM56" s="21">
        <v>9.2916630453145577E-2</v>
      </c>
      <c r="AN56" s="21">
        <v>0.23246320673781581</v>
      </c>
      <c r="AO56" s="21">
        <v>0.38066880844770673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</row>
    <row r="57" spans="1:52" ht="51.75" x14ac:dyDescent="0.25">
      <c r="A57" s="8" t="s">
        <v>54</v>
      </c>
      <c r="B57" s="10" t="s">
        <v>53</v>
      </c>
      <c r="C57" s="14" t="s">
        <v>18</v>
      </c>
      <c r="D57" s="13" t="s">
        <v>17</v>
      </c>
      <c r="E57" s="12" t="s">
        <v>16</v>
      </c>
      <c r="F57" s="12" t="s">
        <v>15</v>
      </c>
      <c r="G57" s="12" t="s">
        <v>52</v>
      </c>
      <c r="H57" s="12" t="s">
        <v>51</v>
      </c>
      <c r="I57" s="12" t="s">
        <v>50</v>
      </c>
      <c r="J57" s="12" t="s">
        <v>49</v>
      </c>
      <c r="K57" s="12" t="s">
        <v>48</v>
      </c>
      <c r="L57" s="12" t="s">
        <v>47</v>
      </c>
      <c r="M57" s="11" t="s">
        <v>8</v>
      </c>
      <c r="N57" s="11" t="s">
        <v>7</v>
      </c>
      <c r="O57" s="11" t="s">
        <v>6</v>
      </c>
      <c r="P57" s="10" t="s">
        <v>5</v>
      </c>
      <c r="Q57" s="71" t="s">
        <v>4</v>
      </c>
      <c r="R57" s="71"/>
      <c r="T57" s="19">
        <v>107180</v>
      </c>
      <c r="U57" s="19" t="s">
        <v>67</v>
      </c>
      <c r="V57" s="19">
        <v>5.9049999999999998E-2</v>
      </c>
      <c r="W57" s="21">
        <v>0.37994</v>
      </c>
      <c r="X57" s="19">
        <v>-1.5571900000000001</v>
      </c>
      <c r="Y57" s="19">
        <v>0.15273</v>
      </c>
      <c r="Z57" s="19">
        <v>1.49427</v>
      </c>
      <c r="AA57" s="19">
        <v>1.05575</v>
      </c>
      <c r="AB57" s="19">
        <v>-1.1883999999999999</v>
      </c>
      <c r="AC57" s="19">
        <v>31.208291942963506</v>
      </c>
      <c r="AD57" s="20">
        <v>1.3003454976234794</v>
      </c>
      <c r="AE57" s="23">
        <v>2.7721070669669202E-2</v>
      </c>
      <c r="AF57" s="23">
        <v>1.421444803009966</v>
      </c>
      <c r="AG57" s="21">
        <v>0.37936031806980203</v>
      </c>
      <c r="AH57" s="19">
        <v>0.25519891328960187</v>
      </c>
      <c r="AI57" s="19">
        <v>0.18327265107165869</v>
      </c>
      <c r="AJ57" s="21">
        <v>8.4320246168721344E-2</v>
      </c>
      <c r="AK57" s="21">
        <v>0.21923578218063028</v>
      </c>
      <c r="AL57" s="19"/>
      <c r="AM57" s="21">
        <v>8.4320246168721344E-2</v>
      </c>
      <c r="AN57" s="21">
        <v>0.21923578218063028</v>
      </c>
      <c r="AO57" s="21">
        <v>0.37936031806980203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</row>
    <row r="58" spans="1:52" x14ac:dyDescent="0.25">
      <c r="A58" s="8"/>
      <c r="B58" s="10"/>
      <c r="C58" s="14"/>
      <c r="D58" s="13"/>
      <c r="E58" s="12"/>
      <c r="F58" s="12"/>
      <c r="G58" s="12"/>
      <c r="H58" s="12"/>
      <c r="I58" s="12"/>
      <c r="J58" s="12"/>
      <c r="K58" s="12"/>
      <c r="L58" s="12"/>
      <c r="M58" s="11"/>
      <c r="N58" s="11"/>
      <c r="O58" s="11"/>
      <c r="P58" s="10"/>
      <c r="Q58" s="9" t="s">
        <v>3</v>
      </c>
      <c r="R58" s="9" t="s">
        <v>2</v>
      </c>
      <c r="T58" s="19">
        <v>107210</v>
      </c>
      <c r="U58" s="19" t="s">
        <v>67</v>
      </c>
      <c r="V58" s="19">
        <v>5.9049999999999998E-2</v>
      </c>
      <c r="W58" s="21">
        <v>0.37994</v>
      </c>
      <c r="X58" s="19">
        <v>-1.5571900000000001</v>
      </c>
      <c r="Y58" s="19">
        <v>0.15273</v>
      </c>
      <c r="Z58" s="19">
        <v>1.49427</v>
      </c>
      <c r="AA58" s="19">
        <v>1.05575</v>
      </c>
      <c r="AB58" s="19">
        <v>-1.1883999999999999</v>
      </c>
      <c r="AC58" s="19">
        <v>31.208291942963506</v>
      </c>
      <c r="AD58" s="20">
        <v>1.3003454976234794</v>
      </c>
      <c r="AE58" s="23">
        <v>2.7721070669669202E-2</v>
      </c>
      <c r="AF58" s="23">
        <v>1.421444803009966</v>
      </c>
      <c r="AG58" s="21">
        <v>0.37936031806980203</v>
      </c>
      <c r="AH58" s="19">
        <v>0.25519891328960187</v>
      </c>
      <c r="AI58" s="19">
        <v>0.18327265107165869</v>
      </c>
      <c r="AJ58" s="21">
        <v>8.4320246168721344E-2</v>
      </c>
      <c r="AK58" s="21">
        <v>0.21923578218063028</v>
      </c>
      <c r="AL58" s="19"/>
      <c r="AM58" s="21">
        <v>8.4320246168721344E-2</v>
      </c>
      <c r="AN58" s="21">
        <v>0.21923578218063028</v>
      </c>
      <c r="AO58" s="21">
        <v>0.37936031806980203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</row>
    <row r="59" spans="1:52" x14ac:dyDescent="0.25">
      <c r="A59" s="7">
        <v>107</v>
      </c>
      <c r="B59" s="5">
        <v>30</v>
      </c>
      <c r="C59" s="6">
        <v>30</v>
      </c>
      <c r="D59" s="5">
        <v>20</v>
      </c>
      <c r="E59" s="4">
        <v>22</v>
      </c>
      <c r="F59" s="4">
        <f t="shared" ref="F59:F64" si="36">1.8*E59+32</f>
        <v>71.599999999999994</v>
      </c>
      <c r="G59" s="4">
        <v>6.5</v>
      </c>
      <c r="H59" s="4">
        <f>IF(F59&gt;68,G59+(F59-68)*0.2,AR136-(68-F59)*0.2)</f>
        <v>7.2199999999999989</v>
      </c>
      <c r="I59" s="4">
        <v>22</v>
      </c>
      <c r="J59" s="4">
        <f t="shared" ref="J59:J64" si="37">1.8*I59+32</f>
        <v>71.599999999999994</v>
      </c>
      <c r="K59" s="4">
        <v>4.5</v>
      </c>
      <c r="L59" s="4">
        <f t="shared" ref="L59:L64" si="38">IF(J59&gt;68,K59+(J59-68)*0.2,K59-(68-J59)*0.2)</f>
        <v>5.2199999999999989</v>
      </c>
      <c r="M59" s="4">
        <f t="shared" ref="M59:M64" si="39">(C59-H59)/C59*100</f>
        <v>75.933333333333337</v>
      </c>
      <c r="N59" s="4">
        <f t="shared" ref="N59:N64" si="40">100-(M59+O59)</f>
        <v>6.6666666666666714</v>
      </c>
      <c r="O59" s="4">
        <f t="shared" ref="O59:O64" si="41">L59/C59*100</f>
        <v>17.399999999999995</v>
      </c>
      <c r="P59" s="22" t="s">
        <v>0</v>
      </c>
      <c r="Q59" s="2"/>
      <c r="R59" s="2"/>
      <c r="T59" s="19">
        <v>108030</v>
      </c>
      <c r="U59" s="19" t="s">
        <v>67</v>
      </c>
      <c r="V59" s="19">
        <v>5.6219999999999999E-2</v>
      </c>
      <c r="W59" s="21">
        <v>0.40059</v>
      </c>
      <c r="X59" s="19">
        <v>-1.58219</v>
      </c>
      <c r="Y59" s="19">
        <v>0.15776000000000001</v>
      </c>
      <c r="Z59" s="19">
        <v>1.5530999999999999</v>
      </c>
      <c r="AA59" s="19">
        <v>1.08894</v>
      </c>
      <c r="AB59" s="19">
        <v>-1.0075700000000001</v>
      </c>
      <c r="AC59" s="19">
        <v>35.735511273490296</v>
      </c>
      <c r="AD59" s="20">
        <v>1.4889796363954291</v>
      </c>
      <c r="AE59" s="23">
        <v>2.6170378267991921E-2</v>
      </c>
      <c r="AF59" s="23">
        <v>1.4380036884343022</v>
      </c>
      <c r="AG59" s="21">
        <v>0.40003531262887948</v>
      </c>
      <c r="AH59" s="19">
        <v>0.26729117645027983</v>
      </c>
      <c r="AI59" s="19">
        <v>0.187874880008853</v>
      </c>
      <c r="AJ59" s="21">
        <v>8.1388791561326557E-2</v>
      </c>
      <c r="AK59" s="21">
        <v>0.22758302822956641</v>
      </c>
      <c r="AL59" s="19"/>
      <c r="AM59" s="21">
        <v>8.1388791561326557E-2</v>
      </c>
      <c r="AN59" s="21">
        <v>0.22758302822956641</v>
      </c>
      <c r="AO59" s="21">
        <v>0.40003531262887948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</row>
    <row r="60" spans="1:52" x14ac:dyDescent="0.25">
      <c r="A60" s="7">
        <v>107</v>
      </c>
      <c r="B60" s="5">
        <v>60</v>
      </c>
      <c r="C60" s="6">
        <v>30</v>
      </c>
      <c r="D60" s="5">
        <v>20</v>
      </c>
      <c r="E60" s="4">
        <v>22.5</v>
      </c>
      <c r="F60" s="4">
        <f t="shared" si="36"/>
        <v>72.5</v>
      </c>
      <c r="G60" s="4">
        <v>5.5</v>
      </c>
      <c r="H60" s="4">
        <f>IF(F60&gt;68,G60+(F60-68)*0.2,AR137-(68-F60)*0.2)</f>
        <v>6.4</v>
      </c>
      <c r="I60" s="4">
        <v>22</v>
      </c>
      <c r="J60" s="4">
        <f t="shared" si="37"/>
        <v>71.599999999999994</v>
      </c>
      <c r="K60" s="4">
        <v>4</v>
      </c>
      <c r="L60" s="4">
        <f t="shared" si="38"/>
        <v>4.7199999999999989</v>
      </c>
      <c r="M60" s="4">
        <f t="shared" si="39"/>
        <v>78.666666666666671</v>
      </c>
      <c r="N60" s="4">
        <f t="shared" si="40"/>
        <v>5.5999999999999943</v>
      </c>
      <c r="O60" s="4">
        <f t="shared" si="41"/>
        <v>15.733333333333329</v>
      </c>
      <c r="P60" s="22" t="s">
        <v>0</v>
      </c>
      <c r="Q60" s="2"/>
      <c r="R60" s="2"/>
      <c r="T60" s="19">
        <v>108045</v>
      </c>
      <c r="U60" s="19" t="s">
        <v>67</v>
      </c>
      <c r="V60" s="19">
        <v>6.3280000000000003E-2</v>
      </c>
      <c r="W60" s="21">
        <v>0.42982999999999999</v>
      </c>
      <c r="X60" s="19">
        <v>-1.6191500000000001</v>
      </c>
      <c r="Y60" s="19">
        <v>0.15998999999999999</v>
      </c>
      <c r="Z60" s="19">
        <v>1.6792400000000001</v>
      </c>
      <c r="AA60" s="19">
        <v>1.0538799999999999</v>
      </c>
      <c r="AB60" s="19">
        <v>-0.89554</v>
      </c>
      <c r="AC60" s="19">
        <v>47.779323901617566</v>
      </c>
      <c r="AD60" s="20">
        <v>1.9908051625673986</v>
      </c>
      <c r="AE60" s="23">
        <v>2.4035325059106803E-2</v>
      </c>
      <c r="AF60" s="23">
        <v>1.4454064886484139</v>
      </c>
      <c r="AG60" s="21">
        <v>0.42931563070704309</v>
      </c>
      <c r="AH60" s="19">
        <v>0.29305550546752857</v>
      </c>
      <c r="AI60" s="19">
        <v>0.20628054256794665</v>
      </c>
      <c r="AJ60" s="21">
        <v>8.9901225117249017E-2</v>
      </c>
      <c r="AK60" s="21">
        <v>0.24966802401773761</v>
      </c>
      <c r="AL60" s="19"/>
      <c r="AM60" s="21">
        <v>8.9901225117249017E-2</v>
      </c>
      <c r="AN60" s="21">
        <v>0.24966802401773761</v>
      </c>
      <c r="AO60" s="21">
        <v>0.42931563070704309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</row>
    <row r="61" spans="1:52" x14ac:dyDescent="0.25">
      <c r="A61" s="7">
        <v>107</v>
      </c>
      <c r="B61" s="5">
        <v>90</v>
      </c>
      <c r="C61" s="6">
        <v>30</v>
      </c>
      <c r="D61" s="5">
        <v>20</v>
      </c>
      <c r="E61" s="4">
        <v>22</v>
      </c>
      <c r="F61" s="4">
        <f t="shared" si="36"/>
        <v>71.599999999999994</v>
      </c>
      <c r="G61" s="4">
        <v>6</v>
      </c>
      <c r="H61" s="4">
        <f>IF(F61&gt;68,G61+(F61-68)*0.2,AR138-(68-F61)*0.2)</f>
        <v>6.7199999999999989</v>
      </c>
      <c r="I61" s="4">
        <v>22</v>
      </c>
      <c r="J61" s="4">
        <f t="shared" si="37"/>
        <v>71.599999999999994</v>
      </c>
      <c r="K61" s="4">
        <v>4</v>
      </c>
      <c r="L61" s="4">
        <f t="shared" si="38"/>
        <v>4.7199999999999989</v>
      </c>
      <c r="M61" s="4">
        <f t="shared" si="39"/>
        <v>77.600000000000009</v>
      </c>
      <c r="N61" s="4">
        <f t="shared" si="40"/>
        <v>6.6666666666666572</v>
      </c>
      <c r="O61" s="4">
        <f t="shared" si="41"/>
        <v>15.733333333333329</v>
      </c>
      <c r="P61" s="22" t="s">
        <v>0</v>
      </c>
      <c r="Q61" s="2"/>
      <c r="R61" s="2"/>
      <c r="T61" s="19">
        <v>108060</v>
      </c>
      <c r="U61" s="19" t="s">
        <v>67</v>
      </c>
      <c r="V61" s="19">
        <v>6.7250000000000004E-2</v>
      </c>
      <c r="W61" s="21">
        <v>0.42907000000000001</v>
      </c>
      <c r="X61" s="19">
        <v>-1.6254</v>
      </c>
      <c r="Y61" s="19">
        <v>0.15331</v>
      </c>
      <c r="Z61" s="19">
        <v>1.6251800000000001</v>
      </c>
      <c r="AA61" s="19">
        <v>1.00623</v>
      </c>
      <c r="AB61" s="19">
        <v>-0.97294000000000003</v>
      </c>
      <c r="AC61" s="19">
        <v>42.187131822827688</v>
      </c>
      <c r="AD61" s="20">
        <v>1.757797159284487</v>
      </c>
      <c r="AE61" s="23">
        <v>2.3691905952776385E-2</v>
      </c>
      <c r="AF61" s="23">
        <v>1.4233444098055281</v>
      </c>
      <c r="AG61" s="21">
        <v>0.42854879743946805</v>
      </c>
      <c r="AH61" s="19">
        <v>0.29990833195144545</v>
      </c>
      <c r="AI61" s="19">
        <v>0.21587065881559123</v>
      </c>
      <c r="AJ61" s="21">
        <v>9.735519482001323E-2</v>
      </c>
      <c r="AK61" s="21">
        <v>0.25788949538351835</v>
      </c>
      <c r="AL61" s="19"/>
      <c r="AM61" s="21">
        <v>9.735519482001323E-2</v>
      </c>
      <c r="AN61" s="21">
        <v>0.25788949538351835</v>
      </c>
      <c r="AO61" s="21">
        <v>0.42854879743946805</v>
      </c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</row>
    <row r="62" spans="1:52" x14ac:dyDescent="0.25">
      <c r="A62" s="7">
        <v>107</v>
      </c>
      <c r="B62" s="5">
        <v>120</v>
      </c>
      <c r="C62" s="6">
        <v>30</v>
      </c>
      <c r="D62" s="5">
        <v>20</v>
      </c>
      <c r="E62" s="4">
        <v>24</v>
      </c>
      <c r="F62" s="4">
        <f t="shared" si="36"/>
        <v>75.2</v>
      </c>
      <c r="G62" s="4">
        <v>6</v>
      </c>
      <c r="H62" s="4">
        <f>IF(F62&gt;68,G62+(F62-68)*0.2,AR139-(68-F62)*0.2)</f>
        <v>7.44</v>
      </c>
      <c r="I62" s="4">
        <v>22</v>
      </c>
      <c r="J62" s="4">
        <f t="shared" si="37"/>
        <v>71.599999999999994</v>
      </c>
      <c r="K62" s="4">
        <v>4</v>
      </c>
      <c r="L62" s="4">
        <f t="shared" si="38"/>
        <v>4.7199999999999989</v>
      </c>
      <c r="M62" s="4">
        <f t="shared" si="39"/>
        <v>75.2</v>
      </c>
      <c r="N62" s="4">
        <f t="shared" si="40"/>
        <v>9.0666666666666629</v>
      </c>
      <c r="O62" s="4">
        <f t="shared" si="41"/>
        <v>15.733333333333329</v>
      </c>
      <c r="P62" s="22" t="s">
        <v>0</v>
      </c>
      <c r="Q62" s="2"/>
      <c r="R62" s="2"/>
      <c r="T62" s="19">
        <v>108090</v>
      </c>
      <c r="U62" s="19" t="s">
        <v>67</v>
      </c>
      <c r="V62" s="19">
        <v>7.1870000000000003E-2</v>
      </c>
      <c r="W62" s="21">
        <v>0.40631</v>
      </c>
      <c r="X62" s="19">
        <v>-1.6431100000000001</v>
      </c>
      <c r="Y62" s="19">
        <v>0.11201</v>
      </c>
      <c r="Z62" s="19">
        <v>1.19302</v>
      </c>
      <c r="AA62" s="19">
        <v>0.84294000000000002</v>
      </c>
      <c r="AB62" s="19">
        <v>-1.54914</v>
      </c>
      <c r="AC62" s="19">
        <v>15.596243245275918</v>
      </c>
      <c r="AD62" s="20">
        <v>0.64984346855316322</v>
      </c>
      <c r="AE62" s="23">
        <v>2.2745212571458208E-2</v>
      </c>
      <c r="AF62" s="23">
        <v>1.2942256417535929</v>
      </c>
      <c r="AG62" s="21">
        <v>0.40574447908624106</v>
      </c>
      <c r="AH62" s="19">
        <v>0.31735900984562249</v>
      </c>
      <c r="AI62" s="19">
        <v>0.25327965151602944</v>
      </c>
      <c r="AJ62" s="21">
        <v>0.13198712011929631</v>
      </c>
      <c r="AK62" s="21">
        <v>0.28531933068082593</v>
      </c>
      <c r="AL62" s="19"/>
      <c r="AM62" s="21">
        <v>0.13198712011929631</v>
      </c>
      <c r="AN62" s="21">
        <v>0.28531933068082593</v>
      </c>
      <c r="AO62" s="21">
        <v>0.40574447908624106</v>
      </c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</row>
    <row r="63" spans="1:52" x14ac:dyDescent="0.25">
      <c r="A63" s="7">
        <v>107</v>
      </c>
      <c r="B63" s="5">
        <v>150</v>
      </c>
      <c r="C63" s="6">
        <v>30</v>
      </c>
      <c r="D63" s="5">
        <v>20</v>
      </c>
      <c r="E63" s="4">
        <v>25</v>
      </c>
      <c r="F63" s="4">
        <f t="shared" si="36"/>
        <v>77</v>
      </c>
      <c r="G63" s="4">
        <v>7</v>
      </c>
      <c r="H63" s="4">
        <f>IF(F63&gt;68,G63+(F63-68)*0.2,AR140-(68-F63)*0.2)</f>
        <v>8.8000000000000007</v>
      </c>
      <c r="I63" s="4">
        <v>23</v>
      </c>
      <c r="J63" s="4">
        <f t="shared" si="37"/>
        <v>73.400000000000006</v>
      </c>
      <c r="K63" s="4">
        <v>5</v>
      </c>
      <c r="L63" s="4">
        <f t="shared" si="38"/>
        <v>6.080000000000001</v>
      </c>
      <c r="M63" s="4">
        <f t="shared" si="39"/>
        <v>70.666666666666671</v>
      </c>
      <c r="N63" s="4">
        <f t="shared" si="40"/>
        <v>9.0666666666666629</v>
      </c>
      <c r="O63" s="4">
        <f t="shared" si="41"/>
        <v>20.266666666666669</v>
      </c>
      <c r="P63" s="22" t="s">
        <v>1</v>
      </c>
      <c r="Q63" s="2"/>
      <c r="R63" s="2"/>
      <c r="T63" s="19">
        <v>108120</v>
      </c>
      <c r="U63" s="19" t="s">
        <v>67</v>
      </c>
      <c r="V63" s="19">
        <v>6.0080000000000001E-2</v>
      </c>
      <c r="W63" s="21">
        <v>0.38127</v>
      </c>
      <c r="X63" s="19">
        <v>-1.5694300000000001</v>
      </c>
      <c r="Y63" s="19">
        <v>0.13986000000000001</v>
      </c>
      <c r="Z63" s="19">
        <v>1.40574</v>
      </c>
      <c r="AA63" s="19">
        <v>1.0170999999999999</v>
      </c>
      <c r="AB63" s="19">
        <v>-1.27624</v>
      </c>
      <c r="AC63" s="19">
        <v>25.453059926193063</v>
      </c>
      <c r="AD63" s="20">
        <v>1.0605441635913777</v>
      </c>
      <c r="AE63" s="23">
        <v>2.6950696912550365E-2</v>
      </c>
      <c r="AF63" s="23">
        <v>1.3799393530057755</v>
      </c>
      <c r="AG63" s="21">
        <v>0.38066880844770673</v>
      </c>
      <c r="AH63" s="19">
        <v>0.26711848322022819</v>
      </c>
      <c r="AI63" s="19">
        <v>0.19780793025540344</v>
      </c>
      <c r="AJ63" s="21">
        <v>9.2916630453145577E-2</v>
      </c>
      <c r="AK63" s="21">
        <v>0.23246320673781581</v>
      </c>
      <c r="AL63" s="19"/>
      <c r="AM63" s="21">
        <v>9.2916630453145577E-2</v>
      </c>
      <c r="AN63" s="21">
        <v>0.23246320673781581</v>
      </c>
      <c r="AO63" s="21">
        <v>0.38066880844770673</v>
      </c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</row>
    <row r="64" spans="1:52" x14ac:dyDescent="0.25">
      <c r="A64" s="7">
        <v>107</v>
      </c>
      <c r="B64" s="5">
        <v>180</v>
      </c>
      <c r="C64" s="6">
        <v>30</v>
      </c>
      <c r="D64" s="5">
        <v>20</v>
      </c>
      <c r="E64" s="4">
        <v>25.5</v>
      </c>
      <c r="F64" s="4">
        <f t="shared" si="36"/>
        <v>77.900000000000006</v>
      </c>
      <c r="G64" s="4">
        <v>6</v>
      </c>
      <c r="H64" s="4">
        <f>IF(F64&gt;68,G64+(F64-68)*0.2,#REF!-(68-F64)*0.2)</f>
        <v>7.9800000000000013</v>
      </c>
      <c r="I64" s="4">
        <v>23</v>
      </c>
      <c r="J64" s="4">
        <f t="shared" si="37"/>
        <v>73.400000000000006</v>
      </c>
      <c r="K64" s="4">
        <v>4.5</v>
      </c>
      <c r="L64" s="4">
        <f t="shared" si="38"/>
        <v>5.580000000000001</v>
      </c>
      <c r="M64" s="4">
        <f t="shared" si="39"/>
        <v>73.400000000000006</v>
      </c>
      <c r="N64" s="4">
        <f t="shared" si="40"/>
        <v>8</v>
      </c>
      <c r="O64" s="4">
        <f t="shared" si="41"/>
        <v>18.600000000000001</v>
      </c>
      <c r="P64" s="22" t="s">
        <v>0</v>
      </c>
      <c r="Q64" s="5"/>
      <c r="R64" s="5"/>
      <c r="T64" s="19">
        <v>108150</v>
      </c>
      <c r="U64" s="19" t="s">
        <v>67</v>
      </c>
      <c r="V64" s="19">
        <v>6.3060000000000005E-2</v>
      </c>
      <c r="W64" s="21">
        <v>0.3805</v>
      </c>
      <c r="X64" s="19">
        <v>-1.5831200000000001</v>
      </c>
      <c r="Y64" s="19">
        <v>0.16778000000000001</v>
      </c>
      <c r="Z64" s="19">
        <v>1.5976900000000001</v>
      </c>
      <c r="AA64" s="19">
        <v>1.0141899999999999</v>
      </c>
      <c r="AB64" s="19">
        <v>-1.1046499999999999</v>
      </c>
      <c r="AC64" s="19">
        <v>39.599527137846046</v>
      </c>
      <c r="AD64" s="20">
        <v>1.649980297410252</v>
      </c>
      <c r="AE64" s="23">
        <v>2.6114396872503817E-2</v>
      </c>
      <c r="AF64" s="23">
        <v>1.4715668638467834</v>
      </c>
      <c r="AG64" s="21">
        <v>0.38002530069381668</v>
      </c>
      <c r="AH64" s="19">
        <v>0.25131358460740372</v>
      </c>
      <c r="AI64" s="19">
        <v>0.17605329717209375</v>
      </c>
      <c r="AJ64" s="21">
        <v>8.2065576820129077E-2</v>
      </c>
      <c r="AK64" s="21">
        <v>0.21368344088974872</v>
      </c>
      <c r="AL64" s="19"/>
      <c r="AM64" s="21">
        <v>8.2065576820129077E-2</v>
      </c>
      <c r="AN64" s="21">
        <v>0.21368344088974872</v>
      </c>
      <c r="AO64" s="21">
        <v>0.38002530069381668</v>
      </c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</row>
    <row r="65" spans="1:52" x14ac:dyDescent="0.25">
      <c r="A65" s="1"/>
      <c r="C65" s="16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9"/>
      <c r="T65" s="19">
        <v>108180</v>
      </c>
      <c r="U65" s="19" t="s">
        <v>67</v>
      </c>
      <c r="V65" s="19">
        <v>6.0299999999999999E-2</v>
      </c>
      <c r="W65" s="21">
        <v>0.37763999999999998</v>
      </c>
      <c r="X65" s="19">
        <v>-1.56206</v>
      </c>
      <c r="Y65" s="19">
        <v>0.20494999999999999</v>
      </c>
      <c r="Z65" s="19">
        <v>1.7727299999999999</v>
      </c>
      <c r="AA65" s="19">
        <v>1.09606</v>
      </c>
      <c r="AB65" s="19">
        <v>-0.98843000000000003</v>
      </c>
      <c r="AC65" s="19">
        <v>59.25568186678769</v>
      </c>
      <c r="AD65" s="20">
        <v>2.4689867444494871</v>
      </c>
      <c r="AE65" s="23">
        <v>2.7411954356214845E-2</v>
      </c>
      <c r="AF65" s="23">
        <v>1.6030608208680877</v>
      </c>
      <c r="AG65" s="21">
        <v>0.37726681525413197</v>
      </c>
      <c r="AH65" s="19">
        <v>0.22167085508858494</v>
      </c>
      <c r="AI65" s="19">
        <v>0.14303795560009125</v>
      </c>
      <c r="AJ65" s="21">
        <v>6.8715781343123894E-2</v>
      </c>
      <c r="AK65" s="21">
        <v>0.18235440534433811</v>
      </c>
      <c r="AL65" s="19"/>
      <c r="AM65" s="21">
        <v>6.8715781343123894E-2</v>
      </c>
      <c r="AN65" s="21">
        <v>0.18235440534433811</v>
      </c>
      <c r="AO65" s="21">
        <v>0.37726681525413197</v>
      </c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</row>
    <row r="66" spans="1:52" ht="51.75" x14ac:dyDescent="0.25">
      <c r="A66" s="24" t="s">
        <v>69</v>
      </c>
      <c r="B66" s="24" t="s">
        <v>53</v>
      </c>
      <c r="C66" s="28" t="s">
        <v>18</v>
      </c>
      <c r="D66" s="27" t="s">
        <v>17</v>
      </c>
      <c r="E66" s="26" t="s">
        <v>16</v>
      </c>
      <c r="F66" s="26" t="s">
        <v>15</v>
      </c>
      <c r="G66" s="26" t="s">
        <v>52</v>
      </c>
      <c r="H66" s="26" t="s">
        <v>51</v>
      </c>
      <c r="I66" s="26" t="s">
        <v>50</v>
      </c>
      <c r="J66" s="26" t="s">
        <v>49</v>
      </c>
      <c r="K66" s="26" t="s">
        <v>48</v>
      </c>
      <c r="L66" s="26" t="s">
        <v>47</v>
      </c>
      <c r="M66" s="25" t="s">
        <v>8</v>
      </c>
      <c r="N66" s="25" t="s">
        <v>7</v>
      </c>
      <c r="O66" s="25" t="s">
        <v>6</v>
      </c>
      <c r="P66" s="24" t="s">
        <v>5</v>
      </c>
      <c r="Q66" s="71" t="s">
        <v>4</v>
      </c>
      <c r="R66" s="71"/>
      <c r="T66" s="19">
        <v>108210</v>
      </c>
      <c r="U66" s="19" t="s">
        <v>67</v>
      </c>
      <c r="V66" s="19">
        <v>6.0299999999999999E-2</v>
      </c>
      <c r="W66" s="21">
        <v>0.37763999999999998</v>
      </c>
      <c r="X66" s="19">
        <v>-1.56206</v>
      </c>
      <c r="Y66" s="19">
        <v>0.20494999999999999</v>
      </c>
      <c r="Z66" s="19">
        <v>1.7727299999999999</v>
      </c>
      <c r="AA66" s="19">
        <v>1.09606</v>
      </c>
      <c r="AB66" s="19">
        <v>-0.98843000000000003</v>
      </c>
      <c r="AC66" s="19">
        <v>59.25568186678769</v>
      </c>
      <c r="AD66" s="20">
        <v>2.4689867444494871</v>
      </c>
      <c r="AE66" s="23">
        <v>2.7411954356214845E-2</v>
      </c>
      <c r="AF66" s="23">
        <v>1.6030608208680877</v>
      </c>
      <c r="AG66" s="21">
        <v>0.37726681525413197</v>
      </c>
      <c r="AH66" s="19">
        <v>0.22167085508858494</v>
      </c>
      <c r="AI66" s="19">
        <v>0.14303795560009125</v>
      </c>
      <c r="AJ66" s="21">
        <v>6.8715781343123894E-2</v>
      </c>
      <c r="AK66" s="21">
        <v>0.18235440534433811</v>
      </c>
      <c r="AL66" s="19"/>
      <c r="AM66" s="21">
        <v>6.8715781343123894E-2</v>
      </c>
      <c r="AN66" s="21">
        <v>0.18235440534433811</v>
      </c>
      <c r="AO66" s="21">
        <v>0.37726681525413197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</row>
    <row r="67" spans="1:52" x14ac:dyDescent="0.25">
      <c r="A67" s="24"/>
      <c r="B67" s="24"/>
      <c r="C67" s="28"/>
      <c r="D67" s="27"/>
      <c r="E67" s="26"/>
      <c r="F67" s="26"/>
      <c r="G67" s="26"/>
      <c r="H67" s="26"/>
      <c r="I67" s="26"/>
      <c r="J67" s="26"/>
      <c r="K67" s="26"/>
      <c r="L67" s="26"/>
      <c r="M67" s="25"/>
      <c r="N67" s="25"/>
      <c r="O67" s="25"/>
      <c r="P67" s="24"/>
      <c r="Q67" s="9" t="s">
        <v>3</v>
      </c>
      <c r="R67" s="9" t="s">
        <v>2</v>
      </c>
      <c r="T67" s="19">
        <v>201030</v>
      </c>
      <c r="U67" s="19" t="s">
        <v>67</v>
      </c>
      <c r="V67" s="19">
        <v>5.8049999999999997E-2</v>
      </c>
      <c r="W67" s="21">
        <v>0.40323999999999999</v>
      </c>
      <c r="X67" s="19">
        <v>-1.5671900000000001</v>
      </c>
      <c r="Y67" s="19">
        <v>0.16744000000000001</v>
      </c>
      <c r="Z67" s="19">
        <v>1.63855</v>
      </c>
      <c r="AA67" s="19">
        <v>1.11612</v>
      </c>
      <c r="AB67" s="19">
        <v>-0.98980999999999997</v>
      </c>
      <c r="AC67" s="19">
        <v>43.506084597842211</v>
      </c>
      <c r="AD67" s="20">
        <v>1.8127535249100921</v>
      </c>
      <c r="AE67" s="23">
        <v>2.7090062063147166E-2</v>
      </c>
      <c r="AF67" s="23">
        <v>1.4704152559961907</v>
      </c>
      <c r="AG67" s="21">
        <v>0.40269391443764041</v>
      </c>
      <c r="AH67" s="19">
        <v>0.26015812235111896</v>
      </c>
      <c r="AI67" s="19">
        <v>0.1792002542012103</v>
      </c>
      <c r="AJ67" s="21">
        <v>7.8503658138524363E-2</v>
      </c>
      <c r="AK67" s="21">
        <v>0.21967918827616462</v>
      </c>
      <c r="AL67" s="19"/>
      <c r="AM67" s="21">
        <v>7.8503658138524363E-2</v>
      </c>
      <c r="AN67" s="21">
        <v>0.21967918827616462</v>
      </c>
      <c r="AO67" s="21">
        <v>0.40269391443764041</v>
      </c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</row>
    <row r="68" spans="1:52" x14ac:dyDescent="0.25">
      <c r="A68" s="7">
        <v>108</v>
      </c>
      <c r="B68" s="5">
        <v>30</v>
      </c>
      <c r="C68" s="6">
        <v>30</v>
      </c>
      <c r="D68" s="5">
        <v>20</v>
      </c>
      <c r="E68" s="4">
        <v>25</v>
      </c>
      <c r="F68" s="4">
        <f t="shared" ref="F68:F73" si="42">1.8*E68+32</f>
        <v>77</v>
      </c>
      <c r="G68" s="4">
        <v>8</v>
      </c>
      <c r="H68" s="4">
        <f>IF(F68&gt;68,G68+(F68-68)*0.2,Z136-(68-F68)*0.2)</f>
        <v>9.8000000000000007</v>
      </c>
      <c r="I68" s="4">
        <v>23</v>
      </c>
      <c r="J68" s="4">
        <f t="shared" ref="J68:J73" si="43">1.8*I68+32</f>
        <v>73.400000000000006</v>
      </c>
      <c r="K68" s="4">
        <v>4</v>
      </c>
      <c r="L68" s="4">
        <f t="shared" ref="L68:L73" si="44">IF(J68&gt;68,K68+(J68-68)*0.2,K68-(68-J68)*0.2)</f>
        <v>5.080000000000001</v>
      </c>
      <c r="M68" s="4">
        <f t="shared" ref="M68:M73" si="45">(C68-H68)/C68*100</f>
        <v>67.333333333333329</v>
      </c>
      <c r="N68" s="4">
        <f t="shared" ref="N68:N73" si="46">100-(M68+O68)</f>
        <v>15.733333333333334</v>
      </c>
      <c r="O68" s="4">
        <f t="shared" ref="O68:O73" si="47">L68/C68*100</f>
        <v>16.933333333333337</v>
      </c>
      <c r="P68" s="22" t="s">
        <v>0</v>
      </c>
      <c r="Q68" s="2"/>
      <c r="R68" s="2"/>
      <c r="T68" s="19">
        <v>201045</v>
      </c>
      <c r="U68" s="19" t="s">
        <v>67</v>
      </c>
      <c r="V68" s="19">
        <v>6.4199999999999993E-2</v>
      </c>
      <c r="W68" s="21">
        <v>0.42996000000000001</v>
      </c>
      <c r="X68" s="19">
        <v>-1.6333899999999999</v>
      </c>
      <c r="Y68" s="19">
        <v>0.15762000000000001</v>
      </c>
      <c r="Z68" s="19">
        <v>1.6451100000000001</v>
      </c>
      <c r="AA68" s="19">
        <v>1.02383</v>
      </c>
      <c r="AB68" s="19">
        <v>-0.89483000000000001</v>
      </c>
      <c r="AC68" s="19">
        <v>44.168230440678983</v>
      </c>
      <c r="AD68" s="20">
        <v>1.8403429350282909</v>
      </c>
      <c r="AE68" s="23">
        <v>2.3260015510844861E-2</v>
      </c>
      <c r="AF68" s="23">
        <v>1.4375402055230024</v>
      </c>
      <c r="AG68" s="21">
        <v>0.42946196248941093</v>
      </c>
      <c r="AH68" s="19">
        <v>0.29776003971828485</v>
      </c>
      <c r="AI68" s="19">
        <v>0.21123080445965742</v>
      </c>
      <c r="AJ68" s="21">
        <v>9.2424934484869825E-2</v>
      </c>
      <c r="AK68" s="21">
        <v>0.25449542208897113</v>
      </c>
      <c r="AL68" s="19"/>
      <c r="AM68" s="21">
        <v>9.2424934484869825E-2</v>
      </c>
      <c r="AN68" s="21">
        <v>0.25449542208897113</v>
      </c>
      <c r="AO68" s="21">
        <v>0.42946196248941093</v>
      </c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</row>
    <row r="69" spans="1:52" x14ac:dyDescent="0.25">
      <c r="A69" s="7">
        <v>108</v>
      </c>
      <c r="B69" s="5">
        <v>60</v>
      </c>
      <c r="C69" s="6">
        <v>30</v>
      </c>
      <c r="D69" s="5">
        <v>20</v>
      </c>
      <c r="E69" s="4">
        <v>25</v>
      </c>
      <c r="F69" s="4">
        <f t="shared" si="42"/>
        <v>77</v>
      </c>
      <c r="G69" s="4">
        <v>8</v>
      </c>
      <c r="H69" s="4">
        <f>IF(F69&gt;68,G69+(F69-68)*0.2,Z137-(68-F69)*0.2)</f>
        <v>9.8000000000000007</v>
      </c>
      <c r="I69" s="4">
        <v>23</v>
      </c>
      <c r="J69" s="4">
        <f t="shared" si="43"/>
        <v>73.400000000000006</v>
      </c>
      <c r="K69" s="4">
        <v>5.5</v>
      </c>
      <c r="L69" s="4">
        <f t="shared" si="44"/>
        <v>6.580000000000001</v>
      </c>
      <c r="M69" s="4">
        <f t="shared" si="45"/>
        <v>67.333333333333329</v>
      </c>
      <c r="N69" s="4">
        <f t="shared" si="46"/>
        <v>10.733333333333334</v>
      </c>
      <c r="O69" s="4">
        <f t="shared" si="47"/>
        <v>21.933333333333334</v>
      </c>
      <c r="P69" s="22" t="s">
        <v>1</v>
      </c>
      <c r="Q69" s="2"/>
      <c r="R69" s="2"/>
      <c r="T69" s="19">
        <v>201060</v>
      </c>
      <c r="U69" s="19" t="s">
        <v>67</v>
      </c>
      <c r="V69" s="19">
        <v>6.7909999999999998E-2</v>
      </c>
      <c r="W69" s="21">
        <v>0.42730000000000001</v>
      </c>
      <c r="X69" s="19">
        <v>-1.6743399999999999</v>
      </c>
      <c r="Y69" s="19">
        <v>0.14646000000000001</v>
      </c>
      <c r="Z69" s="19">
        <v>1.4819</v>
      </c>
      <c r="AA69" s="19">
        <v>0.91822999999999999</v>
      </c>
      <c r="AB69" s="19">
        <v>-0.94745000000000001</v>
      </c>
      <c r="AC69" s="19">
        <v>30.331926853535599</v>
      </c>
      <c r="AD69" s="20">
        <v>1.2638302855639834</v>
      </c>
      <c r="AE69" s="23">
        <v>2.1167033639479398E-2</v>
      </c>
      <c r="AF69" s="23">
        <v>1.4010705356319744</v>
      </c>
      <c r="AG69" s="21">
        <v>0.42683740466010145</v>
      </c>
      <c r="AH69" s="19">
        <v>0.31206705717021732</v>
      </c>
      <c r="AI69" s="19">
        <v>0.22920007211181126</v>
      </c>
      <c r="AJ69" s="21">
        <v>0.10356729755399899</v>
      </c>
      <c r="AK69" s="21">
        <v>0.27063356464101429</v>
      </c>
      <c r="AL69" s="19"/>
      <c r="AM69" s="21">
        <v>0.10356729755399899</v>
      </c>
      <c r="AN69" s="21">
        <v>0.27063356464101429</v>
      </c>
      <c r="AO69" s="21">
        <v>0.42683740466010145</v>
      </c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 spans="1:52" x14ac:dyDescent="0.25">
      <c r="A70" s="7">
        <v>108</v>
      </c>
      <c r="B70" s="5">
        <v>90</v>
      </c>
      <c r="C70" s="6">
        <v>30</v>
      </c>
      <c r="D70" s="5">
        <v>20</v>
      </c>
      <c r="E70" s="4">
        <v>25</v>
      </c>
      <c r="F70" s="4">
        <f t="shared" si="42"/>
        <v>77</v>
      </c>
      <c r="G70" s="4">
        <v>11</v>
      </c>
      <c r="H70" s="4">
        <f>IF(F70&gt;68,G70+(F70-68)*0.2,Z138-(68-F70)*0.2)</f>
        <v>12.8</v>
      </c>
      <c r="I70" s="4">
        <v>23</v>
      </c>
      <c r="J70" s="4">
        <f t="shared" si="43"/>
        <v>73.400000000000006</v>
      </c>
      <c r="K70" s="4">
        <v>8</v>
      </c>
      <c r="L70" s="4">
        <f t="shared" si="44"/>
        <v>9.0800000000000018</v>
      </c>
      <c r="M70" s="4">
        <f t="shared" si="45"/>
        <v>57.333333333333336</v>
      </c>
      <c r="N70" s="4">
        <f t="shared" si="46"/>
        <v>12.399999999999991</v>
      </c>
      <c r="O70" s="4">
        <f t="shared" si="47"/>
        <v>30.266666666666676</v>
      </c>
      <c r="P70" s="22" t="s">
        <v>1</v>
      </c>
      <c r="Q70" s="2"/>
      <c r="R70" s="2"/>
      <c r="T70" s="19">
        <v>201090</v>
      </c>
      <c r="U70" s="19" t="s">
        <v>67</v>
      </c>
      <c r="V70" s="19">
        <v>6.6890000000000005E-2</v>
      </c>
      <c r="W70" s="21">
        <v>0.39788000000000001</v>
      </c>
      <c r="X70" s="19">
        <v>-1.7206999999999999</v>
      </c>
      <c r="Y70" s="19">
        <v>0.13042999999999999</v>
      </c>
      <c r="Z70" s="19">
        <v>1.0579099999999999</v>
      </c>
      <c r="AA70" s="19">
        <v>0.78976999999999997</v>
      </c>
      <c r="AB70" s="19">
        <v>-1.10002</v>
      </c>
      <c r="AC70" s="19">
        <v>11.426415176132343</v>
      </c>
      <c r="AD70" s="20">
        <v>0.47610063233884764</v>
      </c>
      <c r="AE70" s="23">
        <v>1.9023919519496963E-2</v>
      </c>
      <c r="AF70" s="23">
        <v>1.3502991678027423</v>
      </c>
      <c r="AG70" s="21">
        <v>0.39747349272504656</v>
      </c>
      <c r="AH70" s="19">
        <v>0.30815754747596202</v>
      </c>
      <c r="AI70" s="19">
        <v>0.23671995742835281</v>
      </c>
      <c r="AJ70" s="21">
        <v>0.11256082806378084</v>
      </c>
      <c r="AK70" s="21">
        <v>0.27243875245215743</v>
      </c>
      <c r="AL70" s="19"/>
      <c r="AM70" s="21">
        <v>0.11256082806378084</v>
      </c>
      <c r="AN70" s="21">
        <v>0.27243875245215743</v>
      </c>
      <c r="AO70" s="21">
        <v>0.39747349272504656</v>
      </c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</row>
    <row r="71" spans="1:52" x14ac:dyDescent="0.25">
      <c r="A71" s="7">
        <v>108</v>
      </c>
      <c r="B71" s="5">
        <v>120</v>
      </c>
      <c r="C71" s="6">
        <v>30</v>
      </c>
      <c r="D71" s="5">
        <v>20</v>
      </c>
      <c r="E71" s="4">
        <v>25</v>
      </c>
      <c r="F71" s="4">
        <f t="shared" si="42"/>
        <v>77</v>
      </c>
      <c r="G71" s="4">
        <v>7</v>
      </c>
      <c r="H71" s="4">
        <f>IF(F71&gt;68,G71+(F71-68)*0.2,Z139-(68-F71)*0.2)</f>
        <v>8.8000000000000007</v>
      </c>
      <c r="I71" s="4">
        <v>23</v>
      </c>
      <c r="J71" s="4">
        <f t="shared" si="43"/>
        <v>73.400000000000006</v>
      </c>
      <c r="K71" s="4">
        <v>5</v>
      </c>
      <c r="L71" s="4">
        <f t="shared" si="44"/>
        <v>6.080000000000001</v>
      </c>
      <c r="M71" s="4">
        <f t="shared" si="45"/>
        <v>70.666666666666671</v>
      </c>
      <c r="N71" s="4">
        <f t="shared" si="46"/>
        <v>9.0666666666666629</v>
      </c>
      <c r="O71" s="4">
        <f t="shared" si="47"/>
        <v>20.266666666666669</v>
      </c>
      <c r="P71" s="22" t="s">
        <v>1</v>
      </c>
      <c r="Q71" s="2"/>
      <c r="R71" s="2"/>
      <c r="T71" s="19">
        <v>201120</v>
      </c>
      <c r="U71" s="19" t="s">
        <v>67</v>
      </c>
      <c r="V71" s="19">
        <v>6.2330000000000003E-2</v>
      </c>
      <c r="W71" s="21">
        <v>0.38435999999999998</v>
      </c>
      <c r="X71" s="19">
        <v>-1.59798</v>
      </c>
      <c r="Y71" s="19">
        <v>0.12117</v>
      </c>
      <c r="Z71" s="19">
        <v>1.23247</v>
      </c>
      <c r="AA71" s="19">
        <v>0.94218999999999997</v>
      </c>
      <c r="AB71" s="19">
        <v>-1.46129</v>
      </c>
      <c r="AC71" s="19">
        <v>17.079297363782175</v>
      </c>
      <c r="AD71" s="20">
        <v>0.71163739015759064</v>
      </c>
      <c r="AE71" s="23">
        <v>2.5235969857406466E-2</v>
      </c>
      <c r="AF71" s="23">
        <v>1.3218129426846725</v>
      </c>
      <c r="AG71" s="21">
        <v>0.38375741134239927</v>
      </c>
      <c r="AH71" s="19">
        <v>0.28684996261274592</v>
      </c>
      <c r="AI71" s="19">
        <v>0.22237141450490241</v>
      </c>
      <c r="AJ71" s="21">
        <v>0.10999344434385921</v>
      </c>
      <c r="AK71" s="21">
        <v>0.25461068855882418</v>
      </c>
      <c r="AL71" s="19"/>
      <c r="AM71" s="21">
        <v>0.10999344434385921</v>
      </c>
      <c r="AN71" s="21">
        <v>0.25461068855882418</v>
      </c>
      <c r="AO71" s="21">
        <v>0.38375741134239927</v>
      </c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</row>
    <row r="72" spans="1:52" x14ac:dyDescent="0.25">
      <c r="A72" s="7">
        <v>108</v>
      </c>
      <c r="B72" s="5">
        <v>150</v>
      </c>
      <c r="C72" s="6">
        <v>30</v>
      </c>
      <c r="D72" s="5">
        <v>20</v>
      </c>
      <c r="E72" s="4">
        <v>22</v>
      </c>
      <c r="F72" s="4">
        <f t="shared" si="42"/>
        <v>71.599999999999994</v>
      </c>
      <c r="G72" s="4">
        <v>6</v>
      </c>
      <c r="H72" s="4">
        <f>IF(F72&gt;68,G72+(F72-68)*0.2,Z140-(68-F72)*0.2)</f>
        <v>6.7199999999999989</v>
      </c>
      <c r="I72" s="4">
        <v>22</v>
      </c>
      <c r="J72" s="4">
        <f t="shared" si="43"/>
        <v>71.599999999999994</v>
      </c>
      <c r="K72" s="4">
        <v>5</v>
      </c>
      <c r="L72" s="4">
        <f t="shared" si="44"/>
        <v>5.7199999999999989</v>
      </c>
      <c r="M72" s="4">
        <f t="shared" si="45"/>
        <v>77.600000000000009</v>
      </c>
      <c r="N72" s="4">
        <f t="shared" si="46"/>
        <v>3.3333333333333286</v>
      </c>
      <c r="O72" s="4">
        <f t="shared" si="47"/>
        <v>19.066666666666663</v>
      </c>
      <c r="P72" s="22" t="s">
        <v>1</v>
      </c>
      <c r="Q72" s="2"/>
      <c r="R72" s="2"/>
      <c r="T72" s="19">
        <v>201150</v>
      </c>
      <c r="U72" s="19" t="s">
        <v>67</v>
      </c>
      <c r="V72" s="19">
        <v>5.577E-2</v>
      </c>
      <c r="W72" s="21">
        <v>0.37784000000000001</v>
      </c>
      <c r="X72" s="19">
        <v>-1.53626</v>
      </c>
      <c r="Y72" s="19">
        <v>0.15684999999999999</v>
      </c>
      <c r="Z72" s="19">
        <v>1.50928</v>
      </c>
      <c r="AA72" s="19">
        <v>1.1066100000000001</v>
      </c>
      <c r="AB72" s="19">
        <v>-1.1662300000000001</v>
      </c>
      <c r="AC72" s="19">
        <v>32.305762799315112</v>
      </c>
      <c r="AD72" s="20">
        <v>1.3460734499714631</v>
      </c>
      <c r="AE72" s="23">
        <v>2.9089750743751776E-2</v>
      </c>
      <c r="AF72" s="23">
        <v>1.4349937184799513</v>
      </c>
      <c r="AG72" s="21">
        <v>0.3772328475735528</v>
      </c>
      <c r="AH72" s="19">
        <v>0.24652489919565285</v>
      </c>
      <c r="AI72" s="19">
        <v>0.17434688573862239</v>
      </c>
      <c r="AJ72" s="21">
        <v>7.865857825743465E-2</v>
      </c>
      <c r="AK72" s="21">
        <v>0.21043589246713762</v>
      </c>
      <c r="AL72" s="19"/>
      <c r="AM72" s="21">
        <v>7.865857825743465E-2</v>
      </c>
      <c r="AN72" s="21">
        <v>0.21043589246713762</v>
      </c>
      <c r="AO72" s="21">
        <v>0.3772328475735528</v>
      </c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</row>
    <row r="73" spans="1:52" x14ac:dyDescent="0.25">
      <c r="A73" s="7">
        <v>108</v>
      </c>
      <c r="B73" s="5">
        <v>180</v>
      </c>
      <c r="C73" s="6">
        <v>30</v>
      </c>
      <c r="D73" s="5">
        <v>20</v>
      </c>
      <c r="E73" s="4">
        <v>22</v>
      </c>
      <c r="F73" s="4">
        <f t="shared" si="42"/>
        <v>71.599999999999994</v>
      </c>
      <c r="G73" s="4">
        <v>5</v>
      </c>
      <c r="H73" s="4">
        <f>IF(F73&gt;68,G73+(F73-68)*0.2,#REF!-(68-F73)*0.2)</f>
        <v>5.7199999999999989</v>
      </c>
      <c r="I73" s="4">
        <v>22</v>
      </c>
      <c r="J73" s="4">
        <f t="shared" si="43"/>
        <v>71.599999999999994</v>
      </c>
      <c r="K73" s="4">
        <v>4</v>
      </c>
      <c r="L73" s="4">
        <f t="shared" si="44"/>
        <v>4.7199999999999989</v>
      </c>
      <c r="M73" s="4">
        <f t="shared" si="45"/>
        <v>80.933333333333337</v>
      </c>
      <c r="N73" s="4">
        <f t="shared" si="46"/>
        <v>3.3333333333333286</v>
      </c>
      <c r="O73" s="4">
        <f t="shared" si="47"/>
        <v>15.733333333333329</v>
      </c>
      <c r="P73" s="22" t="s">
        <v>0</v>
      </c>
      <c r="Q73" s="5"/>
      <c r="R73" s="5"/>
      <c r="T73" s="19">
        <v>201180</v>
      </c>
      <c r="U73" s="19" t="s">
        <v>67</v>
      </c>
      <c r="V73" s="19">
        <v>5.5169999999999997E-2</v>
      </c>
      <c r="W73" s="21">
        <v>0.37664999999999998</v>
      </c>
      <c r="X73" s="19">
        <v>-1.52382</v>
      </c>
      <c r="Y73" s="19">
        <v>0.17652999999999999</v>
      </c>
      <c r="Z73" s="19">
        <v>1.6268899999999999</v>
      </c>
      <c r="AA73" s="19">
        <v>1.1511899999999999</v>
      </c>
      <c r="AB73" s="19">
        <v>-1.0809</v>
      </c>
      <c r="AC73" s="19">
        <v>42.3535677499749</v>
      </c>
      <c r="AD73" s="20">
        <v>1.7647319895822875</v>
      </c>
      <c r="AE73" s="23">
        <v>2.9935050835619297E-2</v>
      </c>
      <c r="AF73" s="23">
        <v>1.5015161232310896</v>
      </c>
      <c r="AG73" s="21">
        <v>0.37609871063744044</v>
      </c>
      <c r="AH73" s="19">
        <v>0.23006333930413878</v>
      </c>
      <c r="AI73" s="19">
        <v>0.15558673564769565</v>
      </c>
      <c r="AJ73" s="21">
        <v>7.0200798617849072E-2</v>
      </c>
      <c r="AK73" s="21">
        <v>0.19282503747591723</v>
      </c>
      <c r="AL73" s="19"/>
      <c r="AM73" s="21">
        <v>7.0200798617849072E-2</v>
      </c>
      <c r="AN73" s="21">
        <v>0.19282503747591723</v>
      </c>
      <c r="AO73" s="21">
        <v>0.37609871063744044</v>
      </c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</row>
    <row r="74" spans="1:52" x14ac:dyDescent="0.25">
      <c r="A74" s="1"/>
      <c r="C74" s="16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9"/>
      <c r="T74" s="19">
        <v>201210</v>
      </c>
      <c r="U74" s="19" t="s">
        <v>67</v>
      </c>
      <c r="V74" s="19">
        <v>5.5169999999999997E-2</v>
      </c>
      <c r="W74" s="21">
        <v>0.37664999999999998</v>
      </c>
      <c r="X74" s="19">
        <v>-1.52382</v>
      </c>
      <c r="Y74" s="19">
        <v>0.17652999999999999</v>
      </c>
      <c r="Z74" s="19">
        <v>1.6268899999999999</v>
      </c>
      <c r="AA74" s="19">
        <v>1.1511899999999999</v>
      </c>
      <c r="AB74" s="19">
        <v>-1.0809</v>
      </c>
      <c r="AC74" s="19">
        <v>42.3535677499749</v>
      </c>
      <c r="AD74" s="20">
        <v>1.7647319895822875</v>
      </c>
      <c r="AE74" s="23">
        <v>2.9935050835619297E-2</v>
      </c>
      <c r="AF74" s="23">
        <v>1.5015161232310896</v>
      </c>
      <c r="AG74" s="21">
        <v>0.37609871063744044</v>
      </c>
      <c r="AH74" s="19">
        <v>0.23006333930413878</v>
      </c>
      <c r="AI74" s="19">
        <v>0.15558673564769565</v>
      </c>
      <c r="AJ74" s="21">
        <v>7.0200798617849072E-2</v>
      </c>
      <c r="AK74" s="21">
        <v>0.19282503747591723</v>
      </c>
      <c r="AL74" s="19"/>
      <c r="AM74" s="21">
        <v>7.0200798617849072E-2</v>
      </c>
      <c r="AN74" s="21">
        <v>0.19282503747591723</v>
      </c>
      <c r="AO74" s="21">
        <v>0.37609871063744044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</row>
    <row r="75" spans="1:52" ht="51.75" x14ac:dyDescent="0.25">
      <c r="A75" s="8" t="s">
        <v>54</v>
      </c>
      <c r="B75" s="10" t="s">
        <v>53</v>
      </c>
      <c r="C75" s="14" t="s">
        <v>18</v>
      </c>
      <c r="D75" s="13" t="s">
        <v>17</v>
      </c>
      <c r="E75" s="12" t="s">
        <v>16</v>
      </c>
      <c r="F75" s="12" t="s">
        <v>15</v>
      </c>
      <c r="G75" s="12" t="s">
        <v>52</v>
      </c>
      <c r="H75" s="12" t="s">
        <v>51</v>
      </c>
      <c r="I75" s="12" t="s">
        <v>50</v>
      </c>
      <c r="J75" s="12" t="s">
        <v>49</v>
      </c>
      <c r="K75" s="12" t="s">
        <v>48</v>
      </c>
      <c r="L75" s="12" t="s">
        <v>47</v>
      </c>
      <c r="M75" s="11" t="s">
        <v>8</v>
      </c>
      <c r="N75" s="11" t="s">
        <v>7</v>
      </c>
      <c r="O75" s="11" t="s">
        <v>6</v>
      </c>
      <c r="P75" s="10" t="s">
        <v>5</v>
      </c>
      <c r="Q75" s="71" t="s">
        <v>4</v>
      </c>
      <c r="R75" s="71"/>
      <c r="T75" s="19">
        <v>202030</v>
      </c>
      <c r="U75" s="19" t="s">
        <v>67</v>
      </c>
      <c r="V75" s="19">
        <v>5.7709999999999997E-2</v>
      </c>
      <c r="W75" s="21">
        <v>0.40284999999999999</v>
      </c>
      <c r="X75" s="19">
        <v>-1.5685899999999999</v>
      </c>
      <c r="Y75" s="19">
        <v>0.16572999999999999</v>
      </c>
      <c r="Z75" s="19">
        <v>1.62524</v>
      </c>
      <c r="AA75" s="19">
        <v>1.1132899999999999</v>
      </c>
      <c r="AB75" s="19">
        <v>-0.99389000000000005</v>
      </c>
      <c r="AC75" s="19">
        <v>42.192960593106676</v>
      </c>
      <c r="AD75" s="20">
        <v>1.7580400247127781</v>
      </c>
      <c r="AE75" s="23">
        <v>2.7002874625889937E-2</v>
      </c>
      <c r="AF75" s="23">
        <v>1.464636995995336</v>
      </c>
      <c r="AG75" s="21">
        <v>0.40229979412740452</v>
      </c>
      <c r="AH75" s="19">
        <v>0.26124649997551519</v>
      </c>
      <c r="AI75" s="19">
        <v>0.18056274269681882</v>
      </c>
      <c r="AJ75" s="21">
        <v>7.8914734801762448E-2</v>
      </c>
      <c r="AK75" s="21">
        <v>0.22090462133616701</v>
      </c>
      <c r="AL75" s="19"/>
      <c r="AM75" s="21">
        <v>7.8914734801762448E-2</v>
      </c>
      <c r="AN75" s="21">
        <v>0.22090462133616701</v>
      </c>
      <c r="AO75" s="21">
        <v>0.40229979412740452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</row>
    <row r="76" spans="1:52" x14ac:dyDescent="0.25">
      <c r="A76" s="8"/>
      <c r="B76" s="10"/>
      <c r="C76" s="14"/>
      <c r="D76" s="13"/>
      <c r="E76" s="12"/>
      <c r="F76" s="12"/>
      <c r="G76" s="12"/>
      <c r="H76" s="12"/>
      <c r="I76" s="12"/>
      <c r="J76" s="12"/>
      <c r="K76" s="12"/>
      <c r="L76" s="12"/>
      <c r="M76" s="11"/>
      <c r="N76" s="11"/>
      <c r="O76" s="11"/>
      <c r="P76" s="10"/>
      <c r="Q76" s="9" t="s">
        <v>3</v>
      </c>
      <c r="R76" s="9" t="s">
        <v>2</v>
      </c>
      <c r="T76" s="19">
        <v>202045</v>
      </c>
      <c r="U76" s="19" t="s">
        <v>67</v>
      </c>
      <c r="V76" s="19">
        <v>5.8930000000000003E-2</v>
      </c>
      <c r="W76" s="21">
        <v>0.42777999999999999</v>
      </c>
      <c r="X76" s="19">
        <v>-1.5607200000000001</v>
      </c>
      <c r="Y76" s="19">
        <v>0.18343999999999999</v>
      </c>
      <c r="Z76" s="19">
        <v>1.85717</v>
      </c>
      <c r="AA76" s="19">
        <v>1.1945600000000001</v>
      </c>
      <c r="AB76" s="19">
        <v>-0.84528999999999999</v>
      </c>
      <c r="AC76" s="19">
        <v>71.973065385325199</v>
      </c>
      <c r="AD76" s="20">
        <v>2.9988777243885498</v>
      </c>
      <c r="AE76" s="23">
        <v>2.7496663571640354E-2</v>
      </c>
      <c r="AF76" s="23">
        <v>1.5255976111483653</v>
      </c>
      <c r="AG76" s="21">
        <v>0.42725298799425365</v>
      </c>
      <c r="AH76" s="19">
        <v>0.26169146413515465</v>
      </c>
      <c r="AI76" s="19">
        <v>0.17278504622925059</v>
      </c>
      <c r="AJ76" s="21">
        <v>7.4496880512991526E-2</v>
      </c>
      <c r="AK76" s="21">
        <v>0.21723825518220263</v>
      </c>
      <c r="AL76" s="19"/>
      <c r="AM76" s="21">
        <v>7.4496880512991526E-2</v>
      </c>
      <c r="AN76" s="21">
        <v>0.21723825518220263</v>
      </c>
      <c r="AO76" s="21">
        <v>0.42725298799425365</v>
      </c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</row>
    <row r="77" spans="1:52" x14ac:dyDescent="0.25">
      <c r="A77" s="7">
        <v>201</v>
      </c>
      <c r="B77" s="5">
        <v>30</v>
      </c>
      <c r="C77" s="6">
        <v>30</v>
      </c>
      <c r="D77" s="5">
        <v>20</v>
      </c>
      <c r="E77" s="4">
        <v>24.5</v>
      </c>
      <c r="F77" s="4">
        <f t="shared" ref="F77:F82" si="48">1.8*E77+32</f>
        <v>76.099999999999994</v>
      </c>
      <c r="G77" s="4">
        <v>7</v>
      </c>
      <c r="H77" s="4">
        <f t="shared" ref="H77:H82" si="49">IF(F77&gt;68,G77+(F77-68)*0.2,EV151-(68-F77)*0.2)</f>
        <v>8.6199999999999992</v>
      </c>
      <c r="I77" s="4">
        <v>23</v>
      </c>
      <c r="J77" s="4">
        <f t="shared" ref="J77:J82" si="50">1.8*I77+32</f>
        <v>73.400000000000006</v>
      </c>
      <c r="K77" s="4">
        <v>4</v>
      </c>
      <c r="L77" s="4">
        <f t="shared" ref="L77:L82" si="51">IF(J77&gt;68,K77+(J77-68)*0.2,K77-(68-J77)*0.2)</f>
        <v>5.080000000000001</v>
      </c>
      <c r="M77" s="4">
        <f t="shared" ref="M77:M82" si="52">(C77-H77)/C77*100</f>
        <v>71.26666666666668</v>
      </c>
      <c r="N77" s="4">
        <f t="shared" ref="N77:N82" si="53">100-(M77+O77)</f>
        <v>11.799999999999983</v>
      </c>
      <c r="O77" s="4">
        <f t="shared" ref="O77:O82" si="54">L77/C77*100</f>
        <v>16.933333333333337</v>
      </c>
      <c r="P77" s="22" t="s">
        <v>0</v>
      </c>
      <c r="Q77" s="2"/>
      <c r="R77" s="2"/>
      <c r="T77" s="19">
        <v>202060</v>
      </c>
      <c r="U77" s="19" t="s">
        <v>67</v>
      </c>
      <c r="V77" s="19">
        <v>5.7779999999999998E-2</v>
      </c>
      <c r="W77" s="21">
        <v>0.42213000000000001</v>
      </c>
      <c r="X77" s="19">
        <v>-1.53992</v>
      </c>
      <c r="Y77" s="19">
        <v>0.20093</v>
      </c>
      <c r="Z77" s="19">
        <v>1.9226399999999999</v>
      </c>
      <c r="AA77" s="19">
        <v>1.23899</v>
      </c>
      <c r="AB77" s="19">
        <v>-0.83353999999999995</v>
      </c>
      <c r="AC77" s="19">
        <v>83.683531611307373</v>
      </c>
      <c r="AD77" s="20">
        <v>3.4868138171378074</v>
      </c>
      <c r="AE77" s="23">
        <v>2.8845628102960472E-2</v>
      </c>
      <c r="AF77" s="23">
        <v>1.5882907257469379</v>
      </c>
      <c r="AG77" s="21">
        <v>0.42164774601708493</v>
      </c>
      <c r="AH77" s="19">
        <v>0.24119392761361527</v>
      </c>
      <c r="AI77" s="19">
        <v>0.15309113892726017</v>
      </c>
      <c r="AJ77" s="21">
        <v>6.8028804602782156E-2</v>
      </c>
      <c r="AK77" s="21">
        <v>0.19714253327043774</v>
      </c>
      <c r="AL77" s="19"/>
      <c r="AM77" s="21">
        <v>6.8028804602782156E-2</v>
      </c>
      <c r="AN77" s="21">
        <v>0.19714253327043774</v>
      </c>
      <c r="AO77" s="21">
        <v>0.42164774601708493</v>
      </c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</row>
    <row r="78" spans="1:52" x14ac:dyDescent="0.25">
      <c r="A78" s="7">
        <v>201</v>
      </c>
      <c r="B78" s="5">
        <v>60</v>
      </c>
      <c r="C78" s="6">
        <v>30</v>
      </c>
      <c r="D78" s="5">
        <v>20</v>
      </c>
      <c r="E78" s="4">
        <v>25</v>
      </c>
      <c r="F78" s="4">
        <f t="shared" si="48"/>
        <v>77</v>
      </c>
      <c r="G78" s="4">
        <v>10</v>
      </c>
      <c r="H78" s="4">
        <f t="shared" si="49"/>
        <v>11.8</v>
      </c>
      <c r="I78" s="4">
        <v>23</v>
      </c>
      <c r="J78" s="4">
        <f t="shared" si="50"/>
        <v>73.400000000000006</v>
      </c>
      <c r="K78" s="4">
        <v>6</v>
      </c>
      <c r="L78" s="4">
        <f t="shared" si="51"/>
        <v>7.080000000000001</v>
      </c>
      <c r="M78" s="4">
        <f t="shared" si="52"/>
        <v>60.666666666666671</v>
      </c>
      <c r="N78" s="4">
        <f t="shared" si="53"/>
        <v>15.73333333333332</v>
      </c>
      <c r="O78" s="4">
        <f t="shared" si="54"/>
        <v>23.600000000000005</v>
      </c>
      <c r="P78" s="22" t="s">
        <v>1</v>
      </c>
      <c r="Q78" s="2"/>
      <c r="R78" s="2"/>
      <c r="T78" s="19">
        <v>202090</v>
      </c>
      <c r="U78" s="19" t="s">
        <v>67</v>
      </c>
      <c r="V78" s="19">
        <v>4.7390000000000002E-2</v>
      </c>
      <c r="W78" s="21">
        <v>0.38329999999999997</v>
      </c>
      <c r="X78" s="19">
        <v>-1.4778500000000001</v>
      </c>
      <c r="Y78" s="19">
        <v>0.18015999999999999</v>
      </c>
      <c r="Z78" s="19">
        <v>1.70089</v>
      </c>
      <c r="AA78" s="19">
        <v>1.2828999999999999</v>
      </c>
      <c r="AB78" s="19">
        <v>-1.0204599999999999</v>
      </c>
      <c r="AC78" s="19">
        <v>50.221537011300761</v>
      </c>
      <c r="AD78" s="20">
        <v>2.0925640421375316</v>
      </c>
      <c r="AE78" s="23">
        <v>3.3277446967748675E-2</v>
      </c>
      <c r="AF78" s="23">
        <v>1.514118967736469</v>
      </c>
      <c r="AG78" s="21">
        <v>0.38264263404924004</v>
      </c>
      <c r="AH78" s="19">
        <v>0.2194343009564711</v>
      </c>
      <c r="AI78" s="19">
        <v>0.14407584257236988</v>
      </c>
      <c r="AJ78" s="21">
        <v>6.1161898403972029E-2</v>
      </c>
      <c r="AK78" s="21">
        <v>0.18175507176442049</v>
      </c>
      <c r="AL78" s="19"/>
      <c r="AM78" s="21">
        <v>6.1161898403972029E-2</v>
      </c>
      <c r="AN78" s="21">
        <v>0.18175507176442049</v>
      </c>
      <c r="AO78" s="21">
        <v>0.38264263404924004</v>
      </c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</row>
    <row r="79" spans="1:52" x14ac:dyDescent="0.25">
      <c r="A79" s="7">
        <v>201</v>
      </c>
      <c r="B79" s="5">
        <v>90</v>
      </c>
      <c r="C79" s="6">
        <v>30</v>
      </c>
      <c r="D79" s="5">
        <v>20</v>
      </c>
      <c r="E79" s="4">
        <v>24</v>
      </c>
      <c r="F79" s="4">
        <f t="shared" si="48"/>
        <v>75.2</v>
      </c>
      <c r="G79" s="4">
        <v>13</v>
      </c>
      <c r="H79" s="4">
        <f t="shared" si="49"/>
        <v>14.440000000000001</v>
      </c>
      <c r="I79" s="4">
        <v>22.5</v>
      </c>
      <c r="J79" s="4">
        <f t="shared" si="50"/>
        <v>72.5</v>
      </c>
      <c r="K79" s="4">
        <v>7</v>
      </c>
      <c r="L79" s="4">
        <f t="shared" si="51"/>
        <v>7.9</v>
      </c>
      <c r="M79" s="4">
        <f t="shared" si="52"/>
        <v>51.86666666666666</v>
      </c>
      <c r="N79" s="4">
        <f t="shared" si="53"/>
        <v>21.800000000000011</v>
      </c>
      <c r="O79" s="4">
        <f t="shared" si="54"/>
        <v>26.333333333333336</v>
      </c>
      <c r="P79" s="22" t="s">
        <v>1</v>
      </c>
      <c r="Q79" s="2"/>
      <c r="R79" s="2"/>
      <c r="T79" s="19">
        <v>202120</v>
      </c>
      <c r="U79" s="19" t="s">
        <v>67</v>
      </c>
      <c r="V79" s="19">
        <v>5.2040000000000003E-2</v>
      </c>
      <c r="W79" s="21">
        <v>0.37497999999999998</v>
      </c>
      <c r="X79" s="19">
        <v>-1.5081100000000001</v>
      </c>
      <c r="Y79" s="19">
        <v>0.16367999999999999</v>
      </c>
      <c r="Z79" s="19">
        <v>1.5489900000000001</v>
      </c>
      <c r="AA79" s="19">
        <v>1.1721299999999999</v>
      </c>
      <c r="AB79" s="19">
        <v>-1.1370499999999999</v>
      </c>
      <c r="AC79" s="19">
        <v>35.398919008727162</v>
      </c>
      <c r="AD79" s="20">
        <v>1.474954958696965</v>
      </c>
      <c r="AE79" s="23">
        <v>3.1037733513142284E-2</v>
      </c>
      <c r="AF79" s="23">
        <v>1.4577397621135835</v>
      </c>
      <c r="AG79" s="21">
        <v>0.37434052028345688</v>
      </c>
      <c r="AH79" s="19">
        <v>0.23402291910200676</v>
      </c>
      <c r="AI79" s="19">
        <v>0.16177987229447377</v>
      </c>
      <c r="AJ79" s="21">
        <v>7.1442743199873954E-2</v>
      </c>
      <c r="AK79" s="21">
        <v>0.19790139569824028</v>
      </c>
      <c r="AL79" s="19"/>
      <c r="AM79" s="21">
        <v>7.1442743199873954E-2</v>
      </c>
      <c r="AN79" s="21">
        <v>0.19790139569824028</v>
      </c>
      <c r="AO79" s="21">
        <v>0.37434052028345688</v>
      </c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</row>
    <row r="80" spans="1:52" x14ac:dyDescent="0.25">
      <c r="A80" s="7">
        <v>201</v>
      </c>
      <c r="B80" s="5">
        <v>120</v>
      </c>
      <c r="C80" s="6">
        <v>30</v>
      </c>
      <c r="D80" s="5">
        <v>20</v>
      </c>
      <c r="E80" s="4">
        <v>25</v>
      </c>
      <c r="F80" s="4">
        <f t="shared" si="48"/>
        <v>77</v>
      </c>
      <c r="G80" s="4">
        <v>9</v>
      </c>
      <c r="H80" s="4">
        <f t="shared" si="49"/>
        <v>10.8</v>
      </c>
      <c r="I80" s="4">
        <v>23</v>
      </c>
      <c r="J80" s="4">
        <f t="shared" si="50"/>
        <v>73.400000000000006</v>
      </c>
      <c r="K80" s="4">
        <v>6</v>
      </c>
      <c r="L80" s="4">
        <f t="shared" si="51"/>
        <v>7.080000000000001</v>
      </c>
      <c r="M80" s="4">
        <f t="shared" si="52"/>
        <v>64</v>
      </c>
      <c r="N80" s="4">
        <f t="shared" si="53"/>
        <v>12.399999999999991</v>
      </c>
      <c r="O80" s="4">
        <f t="shared" si="54"/>
        <v>23.600000000000005</v>
      </c>
      <c r="P80" s="22" t="s">
        <v>1</v>
      </c>
      <c r="Q80" s="2"/>
      <c r="R80" s="2"/>
      <c r="T80" s="19">
        <v>202150</v>
      </c>
      <c r="U80" s="19" t="s">
        <v>67</v>
      </c>
      <c r="V80" s="19">
        <v>5.3519999999999998E-2</v>
      </c>
      <c r="W80" s="21">
        <v>0.37631999999999999</v>
      </c>
      <c r="X80" s="19">
        <v>-1.52826</v>
      </c>
      <c r="Y80" s="19">
        <v>0.15240999999999999</v>
      </c>
      <c r="Z80" s="19">
        <v>1.4708600000000001</v>
      </c>
      <c r="AA80" s="19">
        <v>1.12236</v>
      </c>
      <c r="AB80" s="19">
        <v>-1.18893</v>
      </c>
      <c r="AC80" s="19">
        <v>29.570590696717719</v>
      </c>
      <c r="AD80" s="20">
        <v>1.2321079456965716</v>
      </c>
      <c r="AE80" s="23">
        <v>2.9630569588226404E-2</v>
      </c>
      <c r="AF80" s="23">
        <v>1.4203978295401589</v>
      </c>
      <c r="AG80" s="21">
        <v>0.37567797335160275</v>
      </c>
      <c r="AH80" s="19">
        <v>0.2465893424633343</v>
      </c>
      <c r="AI80" s="19">
        <v>0.17544656571821834</v>
      </c>
      <c r="AJ80" s="21">
        <v>7.8395322859228678E-2</v>
      </c>
      <c r="AK80" s="21">
        <v>0.21101795409077634</v>
      </c>
      <c r="AL80" s="19"/>
      <c r="AM80" s="21">
        <v>7.8395322859228678E-2</v>
      </c>
      <c r="AN80" s="21">
        <v>0.21101795409077634</v>
      </c>
      <c r="AO80" s="21">
        <v>0.37567797335160275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</row>
    <row r="81" spans="1:52" x14ac:dyDescent="0.25">
      <c r="A81" s="7">
        <v>201</v>
      </c>
      <c r="B81" s="5">
        <v>150</v>
      </c>
      <c r="C81" s="6">
        <v>30</v>
      </c>
      <c r="D81" s="5">
        <v>20</v>
      </c>
      <c r="E81" s="4">
        <v>26</v>
      </c>
      <c r="F81" s="4">
        <f t="shared" si="48"/>
        <v>78.800000000000011</v>
      </c>
      <c r="G81" s="4">
        <v>6</v>
      </c>
      <c r="H81" s="4">
        <f t="shared" si="49"/>
        <v>8.1600000000000019</v>
      </c>
      <c r="I81" s="4">
        <v>23</v>
      </c>
      <c r="J81" s="4">
        <f t="shared" si="50"/>
        <v>73.400000000000006</v>
      </c>
      <c r="K81" s="4">
        <v>4</v>
      </c>
      <c r="L81" s="4">
        <f t="shared" si="51"/>
        <v>5.080000000000001</v>
      </c>
      <c r="M81" s="4">
        <f t="shared" si="52"/>
        <v>72.799999999999983</v>
      </c>
      <c r="N81" s="4">
        <f t="shared" si="53"/>
        <v>10.26666666666668</v>
      </c>
      <c r="O81" s="4">
        <f t="shared" si="54"/>
        <v>16.933333333333337</v>
      </c>
      <c r="P81" s="22" t="s">
        <v>0</v>
      </c>
      <c r="Q81" s="2"/>
      <c r="R81" s="2"/>
      <c r="T81" s="19">
        <v>202180</v>
      </c>
      <c r="U81" s="19" t="s">
        <v>67</v>
      </c>
      <c r="V81" s="19">
        <v>5.237E-2</v>
      </c>
      <c r="W81" s="21">
        <v>0.37425999999999998</v>
      </c>
      <c r="X81" s="19">
        <v>-1.4959</v>
      </c>
      <c r="Y81" s="19">
        <v>0.19655</v>
      </c>
      <c r="Z81" s="19">
        <v>1.7298</v>
      </c>
      <c r="AA81" s="19">
        <v>1.2282</v>
      </c>
      <c r="AB81" s="19">
        <v>-1.0234300000000001</v>
      </c>
      <c r="AC81" s="19">
        <v>53.67845410255125</v>
      </c>
      <c r="AD81" s="20">
        <v>2.2366022542729689</v>
      </c>
      <c r="AE81" s="23">
        <v>3.1922728184621843E-2</v>
      </c>
      <c r="AF81" s="23">
        <v>1.5723528058493548</v>
      </c>
      <c r="AG81" s="21">
        <v>0.37374069244588737</v>
      </c>
      <c r="AH81" s="19">
        <v>0.20924617771118578</v>
      </c>
      <c r="AI81" s="19">
        <v>0.13485287433419577</v>
      </c>
      <c r="AJ81" s="21">
        <v>6.1782020061289647E-2</v>
      </c>
      <c r="AK81" s="21">
        <v>0.17204952602269077</v>
      </c>
      <c r="AL81" s="19"/>
      <c r="AM81" s="21">
        <v>6.1782020061289647E-2</v>
      </c>
      <c r="AN81" s="21">
        <v>0.17204952602269077</v>
      </c>
      <c r="AO81" s="21">
        <v>0.37374069244588737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</row>
    <row r="82" spans="1:52" x14ac:dyDescent="0.25">
      <c r="A82" s="7">
        <v>201</v>
      </c>
      <c r="B82" s="5">
        <v>180</v>
      </c>
      <c r="C82" s="6">
        <v>30</v>
      </c>
      <c r="D82" s="5">
        <v>20</v>
      </c>
      <c r="E82" s="4">
        <v>26</v>
      </c>
      <c r="F82" s="4">
        <f t="shared" si="48"/>
        <v>78.800000000000011</v>
      </c>
      <c r="G82" s="4">
        <v>5</v>
      </c>
      <c r="H82" s="4">
        <f t="shared" si="49"/>
        <v>7.1600000000000019</v>
      </c>
      <c r="I82" s="4">
        <v>23</v>
      </c>
      <c r="J82" s="4">
        <f t="shared" si="50"/>
        <v>73.400000000000006</v>
      </c>
      <c r="K82" s="4">
        <v>3.5</v>
      </c>
      <c r="L82" s="4">
        <f t="shared" si="51"/>
        <v>4.580000000000001</v>
      </c>
      <c r="M82" s="4">
        <f t="shared" si="52"/>
        <v>76.133333333333326</v>
      </c>
      <c r="N82" s="4">
        <f t="shared" si="53"/>
        <v>8.6000000000000085</v>
      </c>
      <c r="O82" s="4">
        <f t="shared" si="54"/>
        <v>15.266666666666669</v>
      </c>
      <c r="P82" s="22" t="s">
        <v>0</v>
      </c>
      <c r="Q82" s="5"/>
      <c r="R82" s="5"/>
      <c r="T82" s="19">
        <v>202210</v>
      </c>
      <c r="U82" s="19" t="s">
        <v>67</v>
      </c>
      <c r="V82" s="19">
        <v>5.237E-2</v>
      </c>
      <c r="W82" s="21">
        <v>0.37425999999999998</v>
      </c>
      <c r="X82" s="19">
        <v>-1.4959</v>
      </c>
      <c r="Y82" s="19">
        <v>0.19655</v>
      </c>
      <c r="Z82" s="19">
        <v>1.7298</v>
      </c>
      <c r="AA82" s="19">
        <v>1.2282</v>
      </c>
      <c r="AB82" s="19">
        <v>-1.0234300000000001</v>
      </c>
      <c r="AC82" s="19">
        <v>53.67845410255125</v>
      </c>
      <c r="AD82" s="20">
        <v>2.2366022542729689</v>
      </c>
      <c r="AE82" s="23">
        <v>3.1922728184621843E-2</v>
      </c>
      <c r="AF82" s="23">
        <v>1.5723528058493548</v>
      </c>
      <c r="AG82" s="21">
        <v>0.37374069244588737</v>
      </c>
      <c r="AH82" s="19">
        <v>0.20924617771118578</v>
      </c>
      <c r="AI82" s="19">
        <v>0.13485287433419577</v>
      </c>
      <c r="AJ82" s="21">
        <v>6.1782020061289647E-2</v>
      </c>
      <c r="AK82" s="21">
        <v>0.17204952602269077</v>
      </c>
      <c r="AL82" s="19"/>
      <c r="AM82" s="21">
        <v>6.1782020061289647E-2</v>
      </c>
      <c r="AN82" s="21">
        <v>0.17204952602269077</v>
      </c>
      <c r="AO82" s="21">
        <v>0.37374069244588737</v>
      </c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</row>
    <row r="83" spans="1:52" x14ac:dyDescent="0.25">
      <c r="Q83" s="17"/>
      <c r="R83" s="17"/>
      <c r="T83" s="19">
        <v>203030</v>
      </c>
      <c r="U83" s="19" t="s">
        <v>67</v>
      </c>
      <c r="V83" s="19">
        <v>6.0999999999999999E-2</v>
      </c>
      <c r="W83" s="21">
        <v>0.40555000000000002</v>
      </c>
      <c r="X83" s="19">
        <v>-1.56782</v>
      </c>
      <c r="Y83" s="19">
        <v>0.18457999999999999</v>
      </c>
      <c r="Z83" s="19">
        <v>1.74665</v>
      </c>
      <c r="AA83" s="19">
        <v>1.1211199999999999</v>
      </c>
      <c r="AB83" s="19">
        <v>-0.94225999999999999</v>
      </c>
      <c r="AC83" s="19">
        <v>55.802030224558713</v>
      </c>
      <c r="AD83" s="20">
        <v>2.3250845926899464</v>
      </c>
      <c r="AE83" s="23">
        <v>2.7050792933457714E-2</v>
      </c>
      <c r="AF83" s="23">
        <v>1.5296074845803087</v>
      </c>
      <c r="AG83" s="21">
        <v>0.40507432483822636</v>
      </c>
      <c r="AH83" s="19">
        <v>0.2509689265024232</v>
      </c>
      <c r="AI83" s="19">
        <v>0.16730481743907824</v>
      </c>
      <c r="AJ83" s="21">
        <v>7.531781920620724E-2</v>
      </c>
      <c r="AK83" s="21">
        <v>0.2091368719707507</v>
      </c>
      <c r="AL83" s="19"/>
      <c r="AM83" s="21">
        <v>7.531781920620724E-2</v>
      </c>
      <c r="AN83" s="21">
        <v>0.2091368719707507</v>
      </c>
      <c r="AO83" s="21">
        <v>0.40507432483822636</v>
      </c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</row>
    <row r="84" spans="1:52" ht="51.75" x14ac:dyDescent="0.25">
      <c r="A84" s="8" t="s">
        <v>54</v>
      </c>
      <c r="B84" s="10" t="s">
        <v>53</v>
      </c>
      <c r="C84" s="14" t="s">
        <v>18</v>
      </c>
      <c r="D84" s="13" t="s">
        <v>17</v>
      </c>
      <c r="E84" s="12" t="s">
        <v>16</v>
      </c>
      <c r="F84" s="12" t="s">
        <v>15</v>
      </c>
      <c r="G84" s="12" t="s">
        <v>52</v>
      </c>
      <c r="H84" s="12" t="s">
        <v>51</v>
      </c>
      <c r="I84" s="12" t="s">
        <v>50</v>
      </c>
      <c r="J84" s="12" t="s">
        <v>49</v>
      </c>
      <c r="K84" s="12" t="s">
        <v>48</v>
      </c>
      <c r="L84" s="12" t="s">
        <v>47</v>
      </c>
      <c r="M84" s="11" t="s">
        <v>8</v>
      </c>
      <c r="N84" s="11" t="s">
        <v>7</v>
      </c>
      <c r="O84" s="11" t="s">
        <v>6</v>
      </c>
      <c r="P84" s="10" t="s">
        <v>5</v>
      </c>
      <c r="Q84" s="67" t="s">
        <v>4</v>
      </c>
      <c r="R84" s="68"/>
      <c r="T84" s="19">
        <v>203045</v>
      </c>
      <c r="U84" s="19" t="s">
        <v>67</v>
      </c>
      <c r="V84" s="19">
        <v>6.1429999999999998E-2</v>
      </c>
      <c r="W84" s="21">
        <v>0.43047999999999997</v>
      </c>
      <c r="X84" s="19">
        <v>-1.5640700000000001</v>
      </c>
      <c r="Y84" s="19">
        <v>0.19181000000000001</v>
      </c>
      <c r="Z84" s="19">
        <v>1.8984000000000001</v>
      </c>
      <c r="AA84" s="19">
        <v>1.18807</v>
      </c>
      <c r="AB84" s="19">
        <v>-0.83023000000000002</v>
      </c>
      <c r="AC84" s="19">
        <v>79.140720539948518</v>
      </c>
      <c r="AD84" s="20">
        <v>3.2975300224978548</v>
      </c>
      <c r="AE84" s="23">
        <v>2.7285379590052766E-2</v>
      </c>
      <c r="AF84" s="23">
        <v>1.5552850592670995</v>
      </c>
      <c r="AG84" s="21">
        <v>0.42999456628793892</v>
      </c>
      <c r="AH84" s="19">
        <v>0.25888864279907331</v>
      </c>
      <c r="AI84" s="19">
        <v>0.16857757638070797</v>
      </c>
      <c r="AJ84" s="21">
        <v>7.4511435413519178E-2</v>
      </c>
      <c r="AK84" s="21">
        <v>0.21373310958989064</v>
      </c>
      <c r="AL84" s="19"/>
      <c r="AM84" s="21">
        <v>7.4511435413519178E-2</v>
      </c>
      <c r="AN84" s="21">
        <v>0.21373310958989064</v>
      </c>
      <c r="AO84" s="21">
        <v>0.42999456628793892</v>
      </c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</row>
    <row r="85" spans="1:52" x14ac:dyDescent="0.25">
      <c r="A85" s="8"/>
      <c r="B85" s="10"/>
      <c r="C85" s="14"/>
      <c r="D85" s="13"/>
      <c r="E85" s="12"/>
      <c r="F85" s="12"/>
      <c r="G85" s="12"/>
      <c r="H85" s="12"/>
      <c r="I85" s="12"/>
      <c r="J85" s="12"/>
      <c r="K85" s="12"/>
      <c r="L85" s="12"/>
      <c r="M85" s="11"/>
      <c r="N85" s="11"/>
      <c r="O85" s="11"/>
      <c r="P85" s="10"/>
      <c r="Q85" s="9" t="s">
        <v>3</v>
      </c>
      <c r="R85" s="9" t="s">
        <v>2</v>
      </c>
      <c r="T85" s="19">
        <v>203060</v>
      </c>
      <c r="U85" s="19" t="s">
        <v>67</v>
      </c>
      <c r="V85" s="19">
        <v>5.9420000000000001E-2</v>
      </c>
      <c r="W85" s="21">
        <v>0.42337999999999998</v>
      </c>
      <c r="X85" s="19">
        <v>-1.55419</v>
      </c>
      <c r="Y85" s="19">
        <v>0.19356999999999999</v>
      </c>
      <c r="Z85" s="19">
        <v>1.8816299999999999</v>
      </c>
      <c r="AA85" s="19">
        <v>1.2021500000000001</v>
      </c>
      <c r="AB85" s="19">
        <v>-0.84553999999999996</v>
      </c>
      <c r="AC85" s="19">
        <v>76.143002836251199</v>
      </c>
      <c r="AD85" s="20">
        <v>3.1726251181771334</v>
      </c>
      <c r="AE85" s="23">
        <v>2.7913223951768821E-2</v>
      </c>
      <c r="AF85" s="23">
        <v>1.5616007179835034</v>
      </c>
      <c r="AG85" s="21">
        <v>0.4228915900886373</v>
      </c>
      <c r="AH85" s="19">
        <v>0.25086433938091623</v>
      </c>
      <c r="AI85" s="19">
        <v>0.16235181961962866</v>
      </c>
      <c r="AJ85" s="21">
        <v>7.1682512382238189E-2</v>
      </c>
      <c r="AK85" s="21">
        <v>0.20660807950027243</v>
      </c>
      <c r="AL85" s="19"/>
      <c r="AM85" s="21">
        <v>7.1682512382238189E-2</v>
      </c>
      <c r="AN85" s="21">
        <v>0.20660807950027243</v>
      </c>
      <c r="AO85" s="21">
        <v>0.4228915900886373</v>
      </c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</row>
    <row r="86" spans="1:52" x14ac:dyDescent="0.25">
      <c r="A86" s="7">
        <v>202</v>
      </c>
      <c r="B86" s="5">
        <v>30</v>
      </c>
      <c r="C86" s="6">
        <v>30</v>
      </c>
      <c r="D86" s="5">
        <v>20</v>
      </c>
      <c r="E86" s="4">
        <v>25</v>
      </c>
      <c r="F86" s="4">
        <f t="shared" ref="F86:F91" si="55">1.8*E86+32</f>
        <v>77</v>
      </c>
      <c r="G86" s="4">
        <v>7</v>
      </c>
      <c r="H86" s="4">
        <f t="shared" ref="H86:H91" si="56">IF(F86&gt;68,G86+(F86-68)*0.2,ED151-(68-F86)*0.2)</f>
        <v>8.8000000000000007</v>
      </c>
      <c r="I86" s="4">
        <v>23</v>
      </c>
      <c r="J86" s="4">
        <f t="shared" ref="J86:J91" si="57">1.8*I86+32</f>
        <v>73.400000000000006</v>
      </c>
      <c r="K86" s="4">
        <v>4</v>
      </c>
      <c r="L86" s="4">
        <f t="shared" ref="L86:L91" si="58">IF(J86&gt;68,K86+(J86-68)*0.2,K86-(68-J86)*0.2)</f>
        <v>5.080000000000001</v>
      </c>
      <c r="M86" s="4">
        <f t="shared" ref="M86:M91" si="59">(C86-H86)/C86*100</f>
        <v>70.666666666666671</v>
      </c>
      <c r="N86" s="4">
        <f t="shared" ref="N86:N91" si="60">100-(M86+O86)</f>
        <v>12.399999999999991</v>
      </c>
      <c r="O86" s="4">
        <f t="shared" ref="O86:O91" si="61">L86/C86*100</f>
        <v>16.933333333333337</v>
      </c>
      <c r="P86" s="22" t="s">
        <v>0</v>
      </c>
      <c r="Q86" s="2"/>
      <c r="R86" s="2"/>
      <c r="T86" s="19">
        <v>203090</v>
      </c>
      <c r="U86" s="19" t="s">
        <v>67</v>
      </c>
      <c r="V86" s="19">
        <v>5.6129999999999999E-2</v>
      </c>
      <c r="W86" s="21">
        <v>0.39126</v>
      </c>
      <c r="X86" s="19">
        <v>-1.55745</v>
      </c>
      <c r="Y86" s="19">
        <v>0.15856999999999999</v>
      </c>
      <c r="Z86" s="19">
        <v>1.5404599999999999</v>
      </c>
      <c r="AA86" s="19">
        <v>1.1050899999999999</v>
      </c>
      <c r="AB86" s="19">
        <v>-1.0773900000000001</v>
      </c>
      <c r="AC86" s="19">
        <v>34.710430492747363</v>
      </c>
      <c r="AD86" s="20">
        <v>1.4462679371978069</v>
      </c>
      <c r="AE86" s="23">
        <v>2.7704479804146774E-2</v>
      </c>
      <c r="AF86" s="23">
        <v>1.4406882030359436</v>
      </c>
      <c r="AG86" s="21">
        <v>0.39067741218662266</v>
      </c>
      <c r="AH86" s="19">
        <v>0.25687562941413511</v>
      </c>
      <c r="AI86" s="19">
        <v>0.18048128368542865</v>
      </c>
      <c r="AJ86" s="21">
        <v>7.9636424471728209E-2</v>
      </c>
      <c r="AK86" s="21">
        <v>0.21867845654978188</v>
      </c>
      <c r="AL86" s="19"/>
      <c r="AM86" s="21">
        <v>7.9636424471728209E-2</v>
      </c>
      <c r="AN86" s="21">
        <v>0.21867845654978188</v>
      </c>
      <c r="AO86" s="21">
        <v>0.39067741218662266</v>
      </c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</row>
    <row r="87" spans="1:52" x14ac:dyDescent="0.25">
      <c r="A87" s="7">
        <v>202</v>
      </c>
      <c r="B87" s="5">
        <v>60</v>
      </c>
      <c r="C87" s="6">
        <v>30</v>
      </c>
      <c r="D87" s="5">
        <v>20</v>
      </c>
      <c r="E87" s="4">
        <v>25.5</v>
      </c>
      <c r="F87" s="4">
        <f t="shared" si="55"/>
        <v>77.900000000000006</v>
      </c>
      <c r="G87" s="4">
        <v>5</v>
      </c>
      <c r="H87" s="4">
        <f t="shared" si="56"/>
        <v>6.9800000000000013</v>
      </c>
      <c r="I87" s="4">
        <v>23.5</v>
      </c>
      <c r="J87" s="4">
        <f t="shared" si="57"/>
        <v>74.300000000000011</v>
      </c>
      <c r="K87" s="4">
        <v>3</v>
      </c>
      <c r="L87" s="4">
        <f t="shared" si="58"/>
        <v>4.2600000000000025</v>
      </c>
      <c r="M87" s="4">
        <f t="shared" si="59"/>
        <v>76.733333333333334</v>
      </c>
      <c r="N87" s="4">
        <f t="shared" si="60"/>
        <v>9.0666666666666629</v>
      </c>
      <c r="O87" s="4">
        <f t="shared" si="61"/>
        <v>14.200000000000006</v>
      </c>
      <c r="P87" s="22" t="s">
        <v>0</v>
      </c>
      <c r="Q87" s="2"/>
      <c r="R87" s="2"/>
      <c r="T87" s="19">
        <v>203120</v>
      </c>
      <c r="U87" s="19" t="s">
        <v>67</v>
      </c>
      <c r="V87" s="19">
        <v>6.157E-2</v>
      </c>
      <c r="W87" s="21">
        <v>0.38345000000000001</v>
      </c>
      <c r="X87" s="19">
        <v>-1.61686</v>
      </c>
      <c r="Y87" s="19">
        <v>0.12117</v>
      </c>
      <c r="Z87" s="19">
        <v>1.1662999999999999</v>
      </c>
      <c r="AA87" s="19">
        <v>0.92195000000000005</v>
      </c>
      <c r="AB87" s="19">
        <v>-1.4189799999999999</v>
      </c>
      <c r="AC87" s="19">
        <v>14.665605552782734</v>
      </c>
      <c r="AD87" s="20">
        <v>0.61106689803261394</v>
      </c>
      <c r="AE87" s="23">
        <v>2.4162396125378086E-2</v>
      </c>
      <c r="AF87" s="23">
        <v>1.3218129426846725</v>
      </c>
      <c r="AG87" s="21">
        <v>0.38288117526546717</v>
      </c>
      <c r="AH87" s="19">
        <v>0.28840830529584421</v>
      </c>
      <c r="AI87" s="19">
        <v>0.2236586351627578</v>
      </c>
      <c r="AJ87" s="21">
        <v>0.10988216139436917</v>
      </c>
      <c r="AK87" s="21">
        <v>0.25603347022930101</v>
      </c>
      <c r="AL87" s="19"/>
      <c r="AM87" s="21">
        <v>0.10988216139436917</v>
      </c>
      <c r="AN87" s="21">
        <v>0.25603347022930101</v>
      </c>
      <c r="AO87" s="21">
        <v>0.38288117526546717</v>
      </c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</row>
    <row r="88" spans="1:52" x14ac:dyDescent="0.25">
      <c r="A88" s="7">
        <v>202</v>
      </c>
      <c r="B88" s="5">
        <v>90</v>
      </c>
      <c r="C88" s="6">
        <v>30</v>
      </c>
      <c r="D88" s="5">
        <v>20</v>
      </c>
      <c r="E88" s="4">
        <v>26</v>
      </c>
      <c r="F88" s="4">
        <f t="shared" si="55"/>
        <v>78.800000000000011</v>
      </c>
      <c r="G88" s="4">
        <v>6</v>
      </c>
      <c r="H88" s="4">
        <f t="shared" si="56"/>
        <v>8.1600000000000019</v>
      </c>
      <c r="I88" s="4">
        <v>24</v>
      </c>
      <c r="J88" s="4">
        <f t="shared" si="57"/>
        <v>75.2</v>
      </c>
      <c r="K88" s="4">
        <v>2</v>
      </c>
      <c r="L88" s="4">
        <f t="shared" si="58"/>
        <v>3.4400000000000004</v>
      </c>
      <c r="M88" s="4">
        <f t="shared" si="59"/>
        <v>72.799999999999983</v>
      </c>
      <c r="N88" s="4">
        <f t="shared" si="60"/>
        <v>15.733333333333348</v>
      </c>
      <c r="O88" s="4">
        <f t="shared" si="61"/>
        <v>11.466666666666669</v>
      </c>
      <c r="P88" s="22" t="s">
        <v>0</v>
      </c>
      <c r="Q88" s="2"/>
      <c r="R88" s="2"/>
      <c r="T88" s="19">
        <v>203150</v>
      </c>
      <c r="U88" s="19" t="s">
        <v>67</v>
      </c>
      <c r="V88" s="19">
        <v>5.7829999999999999E-2</v>
      </c>
      <c r="W88" s="21">
        <v>0.37929000000000002</v>
      </c>
      <c r="X88" s="19">
        <v>-1.55037</v>
      </c>
      <c r="Y88" s="19">
        <v>0.15265000000000001</v>
      </c>
      <c r="Z88" s="19">
        <v>1.48814</v>
      </c>
      <c r="AA88" s="19">
        <v>1.07142</v>
      </c>
      <c r="AB88" s="19">
        <v>-1.1889400000000001</v>
      </c>
      <c r="AC88" s="19">
        <v>30.770885910414059</v>
      </c>
      <c r="AD88" s="20">
        <v>1.2821202462672525</v>
      </c>
      <c r="AE88" s="23">
        <v>2.8159828141934413E-2</v>
      </c>
      <c r="AF88" s="23">
        <v>1.4211829873157089</v>
      </c>
      <c r="AG88" s="21">
        <v>0.37869593949741986</v>
      </c>
      <c r="AH88" s="19">
        <v>0.25332999308668042</v>
      </c>
      <c r="AI88" s="19">
        <v>0.18155768850016388</v>
      </c>
      <c r="AJ88" s="21">
        <v>8.3018014933376488E-2</v>
      </c>
      <c r="AK88" s="21">
        <v>0.21744384079342216</v>
      </c>
      <c r="AL88" s="19"/>
      <c r="AM88" s="21">
        <v>8.3018014933376488E-2</v>
      </c>
      <c r="AN88" s="21">
        <v>0.21744384079342216</v>
      </c>
      <c r="AO88" s="21">
        <v>0.37869593949741986</v>
      </c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</row>
    <row r="89" spans="1:52" x14ac:dyDescent="0.25">
      <c r="A89" s="7">
        <v>202</v>
      </c>
      <c r="B89" s="5">
        <v>120</v>
      </c>
      <c r="C89" s="6">
        <v>30</v>
      </c>
      <c r="D89" s="5">
        <v>20</v>
      </c>
      <c r="E89" s="4">
        <v>26</v>
      </c>
      <c r="F89" s="4">
        <f t="shared" si="55"/>
        <v>78.800000000000011</v>
      </c>
      <c r="G89" s="4">
        <v>6</v>
      </c>
      <c r="H89" s="4">
        <f t="shared" si="56"/>
        <v>8.1600000000000019</v>
      </c>
      <c r="I89" s="4">
        <v>24</v>
      </c>
      <c r="J89" s="4">
        <f t="shared" si="57"/>
        <v>75.2</v>
      </c>
      <c r="K89" s="4">
        <v>3</v>
      </c>
      <c r="L89" s="4">
        <f t="shared" si="58"/>
        <v>4.4400000000000004</v>
      </c>
      <c r="M89" s="4">
        <f t="shared" si="59"/>
        <v>72.799999999999983</v>
      </c>
      <c r="N89" s="4">
        <f t="shared" si="60"/>
        <v>12.40000000000002</v>
      </c>
      <c r="O89" s="4">
        <f t="shared" si="61"/>
        <v>14.800000000000002</v>
      </c>
      <c r="P89" s="22" t="s">
        <v>0</v>
      </c>
      <c r="Q89" s="2"/>
      <c r="R89" s="2"/>
      <c r="T89" s="19">
        <v>203180</v>
      </c>
      <c r="U89" s="19" t="s">
        <v>67</v>
      </c>
      <c r="V89" s="19">
        <v>6.13E-2</v>
      </c>
      <c r="W89" s="21">
        <v>0.38247999999999999</v>
      </c>
      <c r="X89" s="19">
        <v>-1.5777000000000001</v>
      </c>
      <c r="Y89" s="19">
        <v>0.13346</v>
      </c>
      <c r="Z89" s="19">
        <v>1.3645499999999999</v>
      </c>
      <c r="AA89" s="19">
        <v>0.99099000000000004</v>
      </c>
      <c r="AB89" s="19">
        <v>-1.3349500000000001</v>
      </c>
      <c r="AC89" s="19">
        <v>23.149946942871701</v>
      </c>
      <c r="AD89" s="20">
        <v>0.96458112261965423</v>
      </c>
      <c r="AE89" s="23">
        <v>2.644234699211586E-2</v>
      </c>
      <c r="AF89" s="23">
        <v>1.3597529196448082</v>
      </c>
      <c r="AG89" s="21">
        <v>0.38187458727925971</v>
      </c>
      <c r="AH89" s="19">
        <v>0.273954188380504</v>
      </c>
      <c r="AI89" s="19">
        <v>0.20619632576236843</v>
      </c>
      <c r="AJ89" s="21">
        <v>9.8619515202598929E-2</v>
      </c>
      <c r="AK89" s="21">
        <v>0.24007525707143623</v>
      </c>
      <c r="AL89" s="19"/>
      <c r="AM89" s="21">
        <v>9.8619515202598929E-2</v>
      </c>
      <c r="AN89" s="21">
        <v>0.24007525707143623</v>
      </c>
      <c r="AO89" s="21">
        <v>0.38187458727925971</v>
      </c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</row>
    <row r="90" spans="1:52" x14ac:dyDescent="0.25">
      <c r="A90" s="7">
        <v>202</v>
      </c>
      <c r="B90" s="5">
        <v>150</v>
      </c>
      <c r="C90" s="6">
        <v>30</v>
      </c>
      <c r="D90" s="5">
        <v>20</v>
      </c>
      <c r="E90" s="4">
        <v>25</v>
      </c>
      <c r="F90" s="4">
        <f t="shared" si="55"/>
        <v>77</v>
      </c>
      <c r="G90" s="4">
        <v>7</v>
      </c>
      <c r="H90" s="4">
        <f t="shared" si="56"/>
        <v>8.8000000000000007</v>
      </c>
      <c r="I90" s="4">
        <v>22.5</v>
      </c>
      <c r="J90" s="4">
        <f t="shared" si="57"/>
        <v>72.5</v>
      </c>
      <c r="K90" s="4">
        <v>4</v>
      </c>
      <c r="L90" s="4">
        <f t="shared" si="58"/>
        <v>4.9000000000000004</v>
      </c>
      <c r="M90" s="4">
        <f t="shared" si="59"/>
        <v>70.666666666666671</v>
      </c>
      <c r="N90" s="4">
        <f t="shared" si="60"/>
        <v>13</v>
      </c>
      <c r="O90" s="4">
        <f t="shared" si="61"/>
        <v>16.333333333333336</v>
      </c>
      <c r="P90" s="22" t="s">
        <v>0</v>
      </c>
      <c r="Q90" s="2"/>
      <c r="R90" s="2"/>
      <c r="T90" s="19">
        <v>203210</v>
      </c>
      <c r="U90" s="19" t="s">
        <v>67</v>
      </c>
      <c r="V90" s="19">
        <v>6.13E-2</v>
      </c>
      <c r="W90" s="21">
        <v>0.38247999999999999</v>
      </c>
      <c r="X90" s="19">
        <v>-1.5777000000000001</v>
      </c>
      <c r="Y90" s="19">
        <v>0.13346</v>
      </c>
      <c r="Z90" s="19">
        <v>1.3645499999999999</v>
      </c>
      <c r="AA90" s="19">
        <v>0.99099000000000004</v>
      </c>
      <c r="AB90" s="19">
        <v>-1.3349500000000001</v>
      </c>
      <c r="AC90" s="19">
        <v>23.149946942871701</v>
      </c>
      <c r="AD90" s="20">
        <v>0.96458112261965423</v>
      </c>
      <c r="AE90" s="23">
        <v>2.644234699211586E-2</v>
      </c>
      <c r="AF90" s="23">
        <v>1.3597529196448082</v>
      </c>
      <c r="AG90" s="21">
        <v>0.38187458727925971</v>
      </c>
      <c r="AH90" s="19">
        <v>0.273954188380504</v>
      </c>
      <c r="AI90" s="19">
        <v>0.20619632576236843</v>
      </c>
      <c r="AJ90" s="21">
        <v>9.8619515202598929E-2</v>
      </c>
      <c r="AK90" s="21">
        <v>0.24007525707143623</v>
      </c>
      <c r="AL90" s="19"/>
      <c r="AM90" s="21">
        <v>9.8619515202598929E-2</v>
      </c>
      <c r="AN90" s="21">
        <v>0.24007525707143623</v>
      </c>
      <c r="AO90" s="21">
        <v>0.38187458727925971</v>
      </c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</row>
    <row r="91" spans="1:52" x14ac:dyDescent="0.25">
      <c r="A91" s="7">
        <v>202</v>
      </c>
      <c r="B91" s="5">
        <v>180</v>
      </c>
      <c r="C91" s="6">
        <v>30</v>
      </c>
      <c r="D91" s="5">
        <v>20</v>
      </c>
      <c r="E91" s="4">
        <v>24.5</v>
      </c>
      <c r="F91" s="4">
        <f t="shared" si="55"/>
        <v>76.099999999999994</v>
      </c>
      <c r="G91" s="4">
        <v>5</v>
      </c>
      <c r="H91" s="4">
        <f t="shared" si="56"/>
        <v>6.6199999999999992</v>
      </c>
      <c r="I91" s="4">
        <v>22.5</v>
      </c>
      <c r="J91" s="4">
        <f t="shared" si="57"/>
        <v>72.5</v>
      </c>
      <c r="K91" s="4">
        <v>3</v>
      </c>
      <c r="L91" s="4">
        <f t="shared" si="58"/>
        <v>3.9</v>
      </c>
      <c r="M91" s="4">
        <f t="shared" si="59"/>
        <v>77.933333333333337</v>
      </c>
      <c r="N91" s="4">
        <f t="shared" si="60"/>
        <v>9.0666666666666629</v>
      </c>
      <c r="O91" s="4">
        <f t="shared" si="61"/>
        <v>13</v>
      </c>
      <c r="P91" s="22" t="s">
        <v>0</v>
      </c>
      <c r="Q91" s="18"/>
      <c r="R91" s="18"/>
      <c r="T91" s="19">
        <v>204030</v>
      </c>
      <c r="U91" s="19" t="s">
        <v>67</v>
      </c>
      <c r="V91" s="19">
        <v>6.2359999999999999E-2</v>
      </c>
      <c r="W91" s="21">
        <v>0.40631</v>
      </c>
      <c r="X91" s="19">
        <v>-1.57212</v>
      </c>
      <c r="Y91" s="19">
        <v>0.19186</v>
      </c>
      <c r="Z91" s="19">
        <v>1.78735</v>
      </c>
      <c r="AA91" s="19">
        <v>1.11507</v>
      </c>
      <c r="AB91" s="19">
        <v>-0.92434000000000005</v>
      </c>
      <c r="AC91" s="19">
        <v>61.284408674292749</v>
      </c>
      <c r="AD91" s="20">
        <v>2.553517028095531</v>
      </c>
      <c r="AE91" s="23">
        <v>2.6784281455177278E-2</v>
      </c>
      <c r="AF91" s="23">
        <v>1.5554641283845898</v>
      </c>
      <c r="AG91" s="21">
        <v>0.40587060009660658</v>
      </c>
      <c r="AH91" s="19">
        <v>0.24792389356622246</v>
      </c>
      <c r="AI91" s="19">
        <v>0.16318107317107111</v>
      </c>
      <c r="AJ91" s="21">
        <v>7.4664639053771117E-2</v>
      </c>
      <c r="AK91" s="21">
        <v>0.20555248336864679</v>
      </c>
      <c r="AL91" s="19"/>
      <c r="AM91" s="21">
        <v>7.4664639053771117E-2</v>
      </c>
      <c r="AN91" s="21">
        <v>0.20555248336864679</v>
      </c>
      <c r="AO91" s="21">
        <v>0.40587060009660658</v>
      </c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</row>
    <row r="92" spans="1:52" x14ac:dyDescent="0.25">
      <c r="Q92" s="17"/>
      <c r="R92" s="17"/>
      <c r="T92" s="19">
        <v>204045</v>
      </c>
      <c r="U92" s="19" t="s">
        <v>67</v>
      </c>
      <c r="V92" s="19">
        <v>6.4949999999999994E-2</v>
      </c>
      <c r="W92" s="21">
        <v>0.43343999999999999</v>
      </c>
      <c r="X92" s="19">
        <v>-1.5752600000000001</v>
      </c>
      <c r="Y92" s="19">
        <v>0.20058000000000001</v>
      </c>
      <c r="Z92" s="19">
        <v>1.9392</v>
      </c>
      <c r="AA92" s="19">
        <v>1.1622699999999999</v>
      </c>
      <c r="AB92" s="19">
        <v>-0.81694999999999995</v>
      </c>
      <c r="AC92" s="19">
        <v>86.936069250941671</v>
      </c>
      <c r="AD92" s="20">
        <v>3.6223362187892363</v>
      </c>
      <c r="AE92" s="23">
        <v>2.6591326345932552E-2</v>
      </c>
      <c r="AF92" s="23">
        <v>1.5870112302999828</v>
      </c>
      <c r="AG92" s="21">
        <v>0.43300987234577065</v>
      </c>
      <c r="AH92" s="19">
        <v>0.25825285866227971</v>
      </c>
      <c r="AI92" s="19">
        <v>0.16621346989074443</v>
      </c>
      <c r="AJ92" s="21">
        <v>7.5907123938873944E-2</v>
      </c>
      <c r="AK92" s="21">
        <v>0.21223316427651207</v>
      </c>
      <c r="AL92" s="19"/>
      <c r="AM92" s="21">
        <v>7.5907123938873944E-2</v>
      </c>
      <c r="AN92" s="21">
        <v>0.21223316427651207</v>
      </c>
      <c r="AO92" s="21">
        <v>0.43300987234577065</v>
      </c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</row>
    <row r="93" spans="1:52" ht="51.75" x14ac:dyDescent="0.25">
      <c r="A93" s="8" t="s">
        <v>54</v>
      </c>
      <c r="B93" s="10" t="s">
        <v>53</v>
      </c>
      <c r="C93" s="14" t="s">
        <v>18</v>
      </c>
      <c r="D93" s="13" t="s">
        <v>17</v>
      </c>
      <c r="E93" s="12" t="s">
        <v>16</v>
      </c>
      <c r="F93" s="12" t="s">
        <v>15</v>
      </c>
      <c r="G93" s="12" t="s">
        <v>52</v>
      </c>
      <c r="H93" s="12" t="s">
        <v>51</v>
      </c>
      <c r="I93" s="12" t="s">
        <v>50</v>
      </c>
      <c r="J93" s="12" t="s">
        <v>49</v>
      </c>
      <c r="K93" s="12" t="s">
        <v>48</v>
      </c>
      <c r="L93" s="12" t="s">
        <v>47</v>
      </c>
      <c r="M93" s="11" t="s">
        <v>8</v>
      </c>
      <c r="N93" s="11" t="s">
        <v>7</v>
      </c>
      <c r="O93" s="11" t="s">
        <v>6</v>
      </c>
      <c r="P93" s="10" t="s">
        <v>5</v>
      </c>
      <c r="Q93" s="67" t="s">
        <v>4</v>
      </c>
      <c r="R93" s="68"/>
      <c r="T93" s="19">
        <v>204060</v>
      </c>
      <c r="U93" s="19" t="s">
        <v>67</v>
      </c>
      <c r="V93" s="19">
        <v>6.5119999999999997E-2</v>
      </c>
      <c r="W93" s="21">
        <v>0.42781000000000002</v>
      </c>
      <c r="X93" s="19">
        <v>-1.5783499999999999</v>
      </c>
      <c r="Y93" s="19">
        <v>0.20394999999999999</v>
      </c>
      <c r="Z93" s="19">
        <v>1.9270499999999999</v>
      </c>
      <c r="AA93" s="19">
        <v>1.1466099999999999</v>
      </c>
      <c r="AB93" s="19">
        <v>-0.82813999999999999</v>
      </c>
      <c r="AC93" s="19">
        <v>84.537616708589724</v>
      </c>
      <c r="AD93" s="20">
        <v>3.5224006961912386</v>
      </c>
      <c r="AE93" s="23">
        <v>2.6402800853356521E-2</v>
      </c>
      <c r="AF93" s="23">
        <v>1.5993738832915259</v>
      </c>
      <c r="AG93" s="21">
        <v>0.42740447248946906</v>
      </c>
      <c r="AH93" s="19">
        <v>0.25372932623901867</v>
      </c>
      <c r="AI93" s="19">
        <v>0.16255528645863976</v>
      </c>
      <c r="AJ93" s="21">
        <v>7.5177867710723781E-2</v>
      </c>
      <c r="AK93" s="21">
        <v>0.20814230634882921</v>
      </c>
      <c r="AL93" s="19"/>
      <c r="AM93" s="21">
        <v>7.5177867710723781E-2</v>
      </c>
      <c r="AN93" s="21">
        <v>0.20814230634882921</v>
      </c>
      <c r="AO93" s="21">
        <v>0.42740447248946906</v>
      </c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  <row r="94" spans="1:52" x14ac:dyDescent="0.25">
      <c r="A94" s="8"/>
      <c r="B94" s="10"/>
      <c r="C94" s="14"/>
      <c r="D94" s="13"/>
      <c r="E94" s="12"/>
      <c r="F94" s="12"/>
      <c r="G94" s="12"/>
      <c r="H94" s="12"/>
      <c r="I94" s="12"/>
      <c r="J94" s="12"/>
      <c r="K94" s="12"/>
      <c r="L94" s="12"/>
      <c r="M94" s="11"/>
      <c r="N94" s="11"/>
      <c r="O94" s="11"/>
      <c r="P94" s="10"/>
      <c r="Q94" s="9" t="s">
        <v>3</v>
      </c>
      <c r="R94" s="9" t="s">
        <v>2</v>
      </c>
      <c r="T94" s="19">
        <v>204090</v>
      </c>
      <c r="U94" s="19" t="s">
        <v>67</v>
      </c>
      <c r="V94" s="19">
        <v>6.7100000000000007E-2</v>
      </c>
      <c r="W94" s="21">
        <v>0.40064</v>
      </c>
      <c r="X94" s="19">
        <v>-1.6063400000000001</v>
      </c>
      <c r="Y94" s="19">
        <v>0.13247</v>
      </c>
      <c r="Z94" s="19">
        <v>1.4256</v>
      </c>
      <c r="AA94" s="19">
        <v>0.94662999999999997</v>
      </c>
      <c r="AB94" s="19">
        <v>-1.2889900000000001</v>
      </c>
      <c r="AC94" s="19">
        <v>26.644035277248967</v>
      </c>
      <c r="AD94" s="20">
        <v>1.1101681365520404</v>
      </c>
      <c r="AE94" s="23">
        <v>2.4754832951068267E-2</v>
      </c>
      <c r="AF94" s="23">
        <v>1.3566568125304166</v>
      </c>
      <c r="AG94" s="21">
        <v>0.40006208146640543</v>
      </c>
      <c r="AH94" s="19">
        <v>0.29276444436509402</v>
      </c>
      <c r="AI94" s="19">
        <v>0.22200508795454255</v>
      </c>
      <c r="AJ94" s="21">
        <v>0.10751954059356592</v>
      </c>
      <c r="AK94" s="21">
        <v>0.25738476615981831</v>
      </c>
      <c r="AL94" s="19"/>
      <c r="AM94" s="21">
        <v>0.10751954059356592</v>
      </c>
      <c r="AN94" s="21">
        <v>0.25738476615981831</v>
      </c>
      <c r="AO94" s="21">
        <v>0.40006208146640543</v>
      </c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</row>
    <row r="95" spans="1:52" x14ac:dyDescent="0.25">
      <c r="A95" s="7">
        <v>203</v>
      </c>
      <c r="B95" s="5">
        <v>30</v>
      </c>
      <c r="C95" s="6">
        <v>30</v>
      </c>
      <c r="D95" s="5">
        <v>20</v>
      </c>
      <c r="E95" s="4">
        <v>23.5</v>
      </c>
      <c r="F95" s="4">
        <f t="shared" ref="F95:F100" si="62">1.8*E95+32</f>
        <v>74.300000000000011</v>
      </c>
      <c r="G95" s="4">
        <v>6</v>
      </c>
      <c r="H95" s="4">
        <f t="shared" ref="H95:H100" si="63">IF(F95&gt;68,G95+(F95-68)*0.2,DL151-(68-F95)*0.2)</f>
        <v>7.2600000000000025</v>
      </c>
      <c r="I95" s="4">
        <v>23</v>
      </c>
      <c r="J95" s="4">
        <f t="shared" ref="J95:J100" si="64">1.8*I95+32</f>
        <v>73.400000000000006</v>
      </c>
      <c r="K95" s="4">
        <v>4</v>
      </c>
      <c r="L95" s="4">
        <f t="shared" ref="L95:L100" si="65">IF(J95&gt;68,K95+(J95-68)*0.2,K95-(68-J95)*0.2)</f>
        <v>5.080000000000001</v>
      </c>
      <c r="M95" s="4">
        <f t="shared" ref="M95:M100" si="66">(C95-H95)/C95*100</f>
        <v>75.799999999999983</v>
      </c>
      <c r="N95" s="4">
        <f t="shared" ref="N95:N100" si="67">100-(M95+O95)</f>
        <v>7.2666666666666799</v>
      </c>
      <c r="O95" s="4">
        <f t="shared" ref="O95:O100" si="68">L95/C95*100</f>
        <v>16.933333333333337</v>
      </c>
      <c r="P95" s="22" t="s">
        <v>0</v>
      </c>
      <c r="Q95" s="2"/>
      <c r="R95" s="2"/>
      <c r="T95" s="19">
        <v>204120</v>
      </c>
      <c r="U95" s="19" t="s">
        <v>67</v>
      </c>
      <c r="V95" s="19">
        <v>6.191E-2</v>
      </c>
      <c r="W95" s="21">
        <v>0.38258999999999999</v>
      </c>
      <c r="X95" s="19">
        <v>-1.57819</v>
      </c>
      <c r="Y95" s="19">
        <v>0.13561000000000001</v>
      </c>
      <c r="Z95" s="19">
        <v>1.39036</v>
      </c>
      <c r="AA95" s="19">
        <v>0.98985999999999996</v>
      </c>
      <c r="AB95" s="19">
        <v>-1.3173299999999999</v>
      </c>
      <c r="AC95" s="19">
        <v>24.567445426817404</v>
      </c>
      <c r="AD95" s="20">
        <v>1.0236435594507252</v>
      </c>
      <c r="AE95" s="23">
        <v>2.6412529796689378E-2</v>
      </c>
      <c r="AF95" s="23">
        <v>1.3665011452298812</v>
      </c>
      <c r="AG95" s="21">
        <v>0.38199293113111987</v>
      </c>
      <c r="AH95" s="19">
        <v>0.27281032427942919</v>
      </c>
      <c r="AI95" s="19">
        <v>0.20452992952286944</v>
      </c>
      <c r="AJ95" s="21">
        <v>9.7711833389819272E-2</v>
      </c>
      <c r="AK95" s="21">
        <v>0.2386701269011493</v>
      </c>
      <c r="AL95" s="19"/>
      <c r="AM95" s="21">
        <v>9.7711833389819272E-2</v>
      </c>
      <c r="AN95" s="21">
        <v>0.2386701269011493</v>
      </c>
      <c r="AO95" s="21">
        <v>0.38199293113111987</v>
      </c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</row>
    <row r="96" spans="1:52" x14ac:dyDescent="0.25">
      <c r="A96" s="7">
        <v>203</v>
      </c>
      <c r="B96" s="5">
        <v>60</v>
      </c>
      <c r="C96" s="6">
        <v>30</v>
      </c>
      <c r="D96" s="5">
        <v>20</v>
      </c>
      <c r="E96" s="4">
        <v>23.5</v>
      </c>
      <c r="F96" s="4">
        <f t="shared" si="62"/>
        <v>74.300000000000011</v>
      </c>
      <c r="G96" s="4">
        <v>6</v>
      </c>
      <c r="H96" s="4">
        <f t="shared" si="63"/>
        <v>7.2600000000000025</v>
      </c>
      <c r="I96" s="4">
        <v>23</v>
      </c>
      <c r="J96" s="4">
        <f t="shared" si="64"/>
        <v>73.400000000000006</v>
      </c>
      <c r="K96" s="4">
        <v>3.5</v>
      </c>
      <c r="L96" s="4">
        <f t="shared" si="65"/>
        <v>4.580000000000001</v>
      </c>
      <c r="M96" s="4">
        <f t="shared" si="66"/>
        <v>75.799999999999983</v>
      </c>
      <c r="N96" s="4">
        <f t="shared" si="67"/>
        <v>8.9333333333333513</v>
      </c>
      <c r="O96" s="4">
        <f t="shared" si="68"/>
        <v>15.266666666666669</v>
      </c>
      <c r="P96" s="22" t="s">
        <v>0</v>
      </c>
      <c r="Q96" s="2"/>
      <c r="R96" s="2"/>
      <c r="T96" s="19">
        <v>204150</v>
      </c>
      <c r="U96" s="19" t="s">
        <v>67</v>
      </c>
      <c r="V96" s="19">
        <v>5.185E-2</v>
      </c>
      <c r="W96" s="21">
        <v>0.37441000000000002</v>
      </c>
      <c r="X96" s="19">
        <v>-1.4962899999999999</v>
      </c>
      <c r="Y96" s="19">
        <v>0.18140999999999999</v>
      </c>
      <c r="Z96" s="19">
        <v>1.65327</v>
      </c>
      <c r="AA96" s="19">
        <v>1.2123699999999999</v>
      </c>
      <c r="AB96" s="19">
        <v>-1.0698700000000001</v>
      </c>
      <c r="AC96" s="19">
        <v>45.005956905817541</v>
      </c>
      <c r="AD96" s="20">
        <v>1.8752482044090641</v>
      </c>
      <c r="AE96" s="23">
        <v>3.1894074181074546E-2</v>
      </c>
      <c r="AF96" s="23">
        <v>1.51848323010718</v>
      </c>
      <c r="AG96" s="21">
        <v>0.37382346919203263</v>
      </c>
      <c r="AH96" s="19">
        <v>0.21931742321573125</v>
      </c>
      <c r="AI96" s="19">
        <v>0.14571879367194462</v>
      </c>
      <c r="AJ96" s="21">
        <v>6.5007272043584835E-2</v>
      </c>
      <c r="AK96" s="21">
        <v>0.18251810844383792</v>
      </c>
      <c r="AL96" s="19"/>
      <c r="AM96" s="21">
        <v>6.5007272043584835E-2</v>
      </c>
      <c r="AN96" s="21">
        <v>0.18251810844383792</v>
      </c>
      <c r="AO96" s="21">
        <v>0.37382346919203263</v>
      </c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</row>
    <row r="97" spans="1:52" x14ac:dyDescent="0.25">
      <c r="A97" s="7">
        <v>203</v>
      </c>
      <c r="B97" s="5">
        <v>90</v>
      </c>
      <c r="C97" s="6">
        <v>30</v>
      </c>
      <c r="D97" s="5">
        <v>20</v>
      </c>
      <c r="E97" s="4">
        <v>25.5</v>
      </c>
      <c r="F97" s="4">
        <f t="shared" si="62"/>
        <v>77.900000000000006</v>
      </c>
      <c r="G97" s="4">
        <v>7</v>
      </c>
      <c r="H97" s="4">
        <f t="shared" si="63"/>
        <v>8.98</v>
      </c>
      <c r="I97" s="4">
        <v>23</v>
      </c>
      <c r="J97" s="4">
        <f t="shared" si="64"/>
        <v>73.400000000000006</v>
      </c>
      <c r="K97" s="4">
        <v>4</v>
      </c>
      <c r="L97" s="4">
        <f t="shared" si="65"/>
        <v>5.080000000000001</v>
      </c>
      <c r="M97" s="4">
        <f t="shared" si="66"/>
        <v>70.066666666666663</v>
      </c>
      <c r="N97" s="4">
        <f t="shared" si="67"/>
        <v>13</v>
      </c>
      <c r="O97" s="4">
        <f t="shared" si="68"/>
        <v>16.933333333333337</v>
      </c>
      <c r="P97" s="22" t="s">
        <v>0</v>
      </c>
      <c r="Q97" s="2"/>
      <c r="R97" s="2"/>
      <c r="T97" s="19">
        <v>204180</v>
      </c>
      <c r="U97" s="19" t="s">
        <v>67</v>
      </c>
      <c r="V97" s="19">
        <v>5.5030000000000003E-2</v>
      </c>
      <c r="W97" s="21">
        <v>0.37534000000000001</v>
      </c>
      <c r="X97" s="19">
        <v>-1.5176499999999999</v>
      </c>
      <c r="Y97" s="19">
        <v>0.20682</v>
      </c>
      <c r="Z97" s="19">
        <v>1.77674</v>
      </c>
      <c r="AA97" s="19">
        <v>1.1932199999999999</v>
      </c>
      <c r="AB97" s="19">
        <v>-0.99241000000000001</v>
      </c>
      <c r="AC97" s="19">
        <v>59.805344993602006</v>
      </c>
      <c r="AD97" s="20">
        <v>2.4918893747334168</v>
      </c>
      <c r="AE97" s="23">
        <v>3.036337197103706E-2</v>
      </c>
      <c r="AF97" s="23">
        <v>1.6099782167453824</v>
      </c>
      <c r="AG97" s="21">
        <v>0.37490388157598348</v>
      </c>
      <c r="AH97" s="19">
        <v>0.20845551101333687</v>
      </c>
      <c r="AI97" s="19">
        <v>0.13243105876715119</v>
      </c>
      <c r="AJ97" s="21">
        <v>6.2685447887176546E-2</v>
      </c>
      <c r="AK97" s="21">
        <v>0.17044328489024402</v>
      </c>
      <c r="AL97" s="19"/>
      <c r="AM97" s="21">
        <v>6.2685447887176546E-2</v>
      </c>
      <c r="AN97" s="21">
        <v>0.17044328489024402</v>
      </c>
      <c r="AO97" s="21">
        <v>0.37490388157598348</v>
      </c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</row>
    <row r="98" spans="1:52" x14ac:dyDescent="0.25">
      <c r="A98" s="7">
        <v>203</v>
      </c>
      <c r="B98" s="5">
        <v>120</v>
      </c>
      <c r="C98" s="6">
        <v>30</v>
      </c>
      <c r="D98" s="5">
        <v>20</v>
      </c>
      <c r="E98" s="4">
        <v>25</v>
      </c>
      <c r="F98" s="4">
        <f t="shared" si="62"/>
        <v>77</v>
      </c>
      <c r="G98" s="4">
        <v>10</v>
      </c>
      <c r="H98" s="4">
        <f t="shared" si="63"/>
        <v>11.8</v>
      </c>
      <c r="I98" s="4">
        <v>23</v>
      </c>
      <c r="J98" s="4">
        <f t="shared" si="64"/>
        <v>73.400000000000006</v>
      </c>
      <c r="K98" s="4">
        <v>6</v>
      </c>
      <c r="L98" s="4">
        <f t="shared" si="65"/>
        <v>7.080000000000001</v>
      </c>
      <c r="M98" s="4">
        <f t="shared" si="66"/>
        <v>60.666666666666671</v>
      </c>
      <c r="N98" s="4">
        <f t="shared" si="67"/>
        <v>15.73333333333332</v>
      </c>
      <c r="O98" s="4">
        <f t="shared" si="68"/>
        <v>23.600000000000005</v>
      </c>
      <c r="P98" s="22" t="s">
        <v>1</v>
      </c>
      <c r="Q98" s="2"/>
      <c r="R98" s="2"/>
      <c r="T98" s="19">
        <v>204210</v>
      </c>
      <c r="U98" s="19" t="s">
        <v>67</v>
      </c>
      <c r="V98" s="19">
        <v>5.5030000000000003E-2</v>
      </c>
      <c r="W98" s="21">
        <v>0.37534000000000001</v>
      </c>
      <c r="X98" s="19">
        <v>-1.5176499999999999</v>
      </c>
      <c r="Y98" s="19">
        <v>0.20682</v>
      </c>
      <c r="Z98" s="19">
        <v>1.77674</v>
      </c>
      <c r="AA98" s="19">
        <v>1.1932199999999999</v>
      </c>
      <c r="AB98" s="19">
        <v>-0.99241000000000001</v>
      </c>
      <c r="AC98" s="19">
        <v>59.805344993602006</v>
      </c>
      <c r="AD98" s="20">
        <v>2.4918893747334168</v>
      </c>
      <c r="AE98" s="23">
        <v>3.036337197103706E-2</v>
      </c>
      <c r="AF98" s="23">
        <v>1.6099782167453824</v>
      </c>
      <c r="AG98" s="21">
        <v>0.37490388157598348</v>
      </c>
      <c r="AH98" s="19">
        <v>0.20845551101333687</v>
      </c>
      <c r="AI98" s="19">
        <v>0.13243105876715119</v>
      </c>
      <c r="AJ98" s="21">
        <v>6.2685447887176546E-2</v>
      </c>
      <c r="AK98" s="21">
        <v>0.17044328489024402</v>
      </c>
      <c r="AL98" s="19"/>
      <c r="AM98" s="21">
        <v>6.2685447887176546E-2</v>
      </c>
      <c r="AN98" s="21">
        <v>0.17044328489024402</v>
      </c>
      <c r="AO98" s="21">
        <v>0.37490388157598348</v>
      </c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</row>
    <row r="99" spans="1:52" x14ac:dyDescent="0.25">
      <c r="A99" s="7">
        <v>203</v>
      </c>
      <c r="B99" s="5">
        <v>150</v>
      </c>
      <c r="C99" s="6">
        <v>30</v>
      </c>
      <c r="D99" s="5">
        <v>20</v>
      </c>
      <c r="E99" s="4">
        <v>26</v>
      </c>
      <c r="F99" s="4">
        <f t="shared" si="62"/>
        <v>78.800000000000011</v>
      </c>
      <c r="G99" s="4">
        <v>6</v>
      </c>
      <c r="H99" s="4">
        <f t="shared" si="63"/>
        <v>8.1600000000000019</v>
      </c>
      <c r="I99" s="4">
        <v>24</v>
      </c>
      <c r="J99" s="4">
        <f t="shared" si="64"/>
        <v>75.2</v>
      </c>
      <c r="K99" s="4">
        <v>4</v>
      </c>
      <c r="L99" s="4">
        <f t="shared" si="65"/>
        <v>5.44</v>
      </c>
      <c r="M99" s="4">
        <f t="shared" si="66"/>
        <v>72.799999999999983</v>
      </c>
      <c r="N99" s="4">
        <f t="shared" si="67"/>
        <v>9.0666666666666913</v>
      </c>
      <c r="O99" s="4">
        <f t="shared" si="68"/>
        <v>18.133333333333333</v>
      </c>
      <c r="P99" s="22" t="s">
        <v>0</v>
      </c>
      <c r="Q99" s="2"/>
      <c r="R99" s="2"/>
      <c r="T99" s="19">
        <v>205030</v>
      </c>
      <c r="U99" s="19" t="s">
        <v>67</v>
      </c>
      <c r="V99" s="19">
        <v>6.1969999999999997E-2</v>
      </c>
      <c r="W99" s="21">
        <v>0.40644999999999998</v>
      </c>
      <c r="X99" s="19">
        <v>-1.57813</v>
      </c>
      <c r="Y99" s="19">
        <v>0.17296</v>
      </c>
      <c r="Z99" s="19">
        <v>1.68333</v>
      </c>
      <c r="AA99" s="19">
        <v>1.0879000000000001</v>
      </c>
      <c r="AB99" s="19">
        <v>-0.97870999999999997</v>
      </c>
      <c r="AC99" s="19">
        <v>48.23141463118462</v>
      </c>
      <c r="AD99" s="20">
        <v>2.0096422762993593</v>
      </c>
      <c r="AE99" s="23">
        <v>2.6416179074609449E-2</v>
      </c>
      <c r="AF99" s="23">
        <v>1.4892239088032491</v>
      </c>
      <c r="AG99" s="21">
        <v>0.40594622424426008</v>
      </c>
      <c r="AH99" s="19">
        <v>0.26178107790687088</v>
      </c>
      <c r="AI99" s="19">
        <v>0.17937643476667847</v>
      </c>
      <c r="AJ99" s="21">
        <v>8.0426951003299829E-2</v>
      </c>
      <c r="AK99" s="21">
        <v>0.22057875633677468</v>
      </c>
      <c r="AL99" s="19"/>
      <c r="AM99" s="21">
        <v>8.0426951003299829E-2</v>
      </c>
      <c r="AN99" s="21">
        <v>0.22057875633677468</v>
      </c>
      <c r="AO99" s="21">
        <v>0.40594622424426008</v>
      </c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</row>
    <row r="100" spans="1:52" x14ac:dyDescent="0.25">
      <c r="A100" s="7">
        <v>203</v>
      </c>
      <c r="B100" s="5">
        <v>180</v>
      </c>
      <c r="C100" s="6">
        <v>30</v>
      </c>
      <c r="D100" s="5">
        <v>20</v>
      </c>
      <c r="E100" s="4">
        <v>26</v>
      </c>
      <c r="F100" s="4">
        <f t="shared" si="62"/>
        <v>78.800000000000011</v>
      </c>
      <c r="G100" s="4">
        <v>7</v>
      </c>
      <c r="H100" s="4">
        <f t="shared" si="63"/>
        <v>9.1600000000000019</v>
      </c>
      <c r="I100" s="4">
        <v>24</v>
      </c>
      <c r="J100" s="4">
        <f t="shared" si="64"/>
        <v>75.2</v>
      </c>
      <c r="K100" s="4">
        <v>5</v>
      </c>
      <c r="L100" s="4">
        <f t="shared" si="65"/>
        <v>6.44</v>
      </c>
      <c r="M100" s="4">
        <f t="shared" si="66"/>
        <v>69.466666666666654</v>
      </c>
      <c r="N100" s="4">
        <f t="shared" si="67"/>
        <v>9.0666666666666771</v>
      </c>
      <c r="O100" s="4">
        <f t="shared" si="68"/>
        <v>21.466666666666669</v>
      </c>
      <c r="P100" s="22" t="s">
        <v>1</v>
      </c>
      <c r="Q100" s="18"/>
      <c r="R100" s="18"/>
      <c r="T100" s="19">
        <v>205045</v>
      </c>
      <c r="U100" s="19" t="s">
        <v>67</v>
      </c>
      <c r="V100" s="19">
        <v>7.0239999999999997E-2</v>
      </c>
      <c r="W100" s="21">
        <v>0.43730000000000002</v>
      </c>
      <c r="X100" s="19">
        <v>-1.6237600000000001</v>
      </c>
      <c r="Y100" s="19">
        <v>0.15384999999999999</v>
      </c>
      <c r="Z100" s="19">
        <v>1.6815100000000001</v>
      </c>
      <c r="AA100" s="19">
        <v>1.0057499999999999</v>
      </c>
      <c r="AB100" s="19">
        <v>-0.97402</v>
      </c>
      <c r="AC100" s="19">
        <v>48.029713936270099</v>
      </c>
      <c r="AD100" s="20">
        <v>2.0012380806779206</v>
      </c>
      <c r="AE100" s="23">
        <v>2.3781541401055505E-2</v>
      </c>
      <c r="AF100" s="23">
        <v>1.425115291205671</v>
      </c>
      <c r="AG100" s="21">
        <v>0.43677035667020148</v>
      </c>
      <c r="AH100" s="19">
        <v>0.30558630780258544</v>
      </c>
      <c r="AI100" s="19">
        <v>0.22023505562875598</v>
      </c>
      <c r="AJ100" s="21">
        <v>0.1004167286919567</v>
      </c>
      <c r="AK100" s="21">
        <v>0.26291068171567072</v>
      </c>
      <c r="AL100" s="19"/>
      <c r="AM100" s="21">
        <v>0.1004167286919567</v>
      </c>
      <c r="AN100" s="21">
        <v>0.26291068171567072</v>
      </c>
      <c r="AO100" s="21">
        <v>0.43677035667020148</v>
      </c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</row>
    <row r="101" spans="1:52" x14ac:dyDescent="0.25">
      <c r="Q101" s="17"/>
      <c r="R101" s="17"/>
      <c r="T101" s="19">
        <v>205060</v>
      </c>
      <c r="U101" s="19" t="s">
        <v>67</v>
      </c>
      <c r="V101" s="19">
        <v>7.4929999999999997E-2</v>
      </c>
      <c r="W101" s="21">
        <v>0.43665999999999999</v>
      </c>
      <c r="X101" s="19">
        <v>-1.6398200000000001</v>
      </c>
      <c r="Y101" s="19">
        <v>0.13355</v>
      </c>
      <c r="Z101" s="19">
        <v>1.5392399999999999</v>
      </c>
      <c r="AA101" s="19">
        <v>0.91708000000000001</v>
      </c>
      <c r="AB101" s="19">
        <v>-1.16692</v>
      </c>
      <c r="AC101" s="19">
        <v>34.613060382402224</v>
      </c>
      <c r="AD101" s="20">
        <v>1.4422108492667594</v>
      </c>
      <c r="AE101" s="23">
        <v>2.2918173347466094E-2</v>
      </c>
      <c r="AF101" s="23">
        <v>1.3600347340566381</v>
      </c>
      <c r="AG101" s="21">
        <v>0.4360984937817492</v>
      </c>
      <c r="AH101" s="19">
        <v>0.32408322682435386</v>
      </c>
      <c r="AI101" s="19">
        <v>0.24616047442076203</v>
      </c>
      <c r="AJ101" s="21">
        <v>0.11910717496568037</v>
      </c>
      <c r="AK101" s="21">
        <v>0.28512185062255796</v>
      </c>
      <c r="AL101" s="19"/>
      <c r="AM101" s="21">
        <v>0.11910717496568037</v>
      </c>
      <c r="AN101" s="21">
        <v>0.28512185062255796</v>
      </c>
      <c r="AO101" s="21">
        <v>0.4360984937817492</v>
      </c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</row>
    <row r="102" spans="1:52" ht="51.75" x14ac:dyDescent="0.25">
      <c r="A102" s="8" t="s">
        <v>54</v>
      </c>
      <c r="B102" s="10" t="s">
        <v>53</v>
      </c>
      <c r="C102" s="14" t="s">
        <v>18</v>
      </c>
      <c r="D102" s="13" t="s">
        <v>17</v>
      </c>
      <c r="E102" s="12" t="s">
        <v>16</v>
      </c>
      <c r="F102" s="12" t="s">
        <v>15</v>
      </c>
      <c r="G102" s="12" t="s">
        <v>52</v>
      </c>
      <c r="H102" s="12" t="s">
        <v>51</v>
      </c>
      <c r="I102" s="12" t="s">
        <v>50</v>
      </c>
      <c r="J102" s="12" t="s">
        <v>49</v>
      </c>
      <c r="K102" s="12" t="s">
        <v>48</v>
      </c>
      <c r="L102" s="12" t="s">
        <v>47</v>
      </c>
      <c r="M102" s="11" t="s">
        <v>8</v>
      </c>
      <c r="N102" s="11" t="s">
        <v>7</v>
      </c>
      <c r="O102" s="11" t="s">
        <v>6</v>
      </c>
      <c r="P102" s="10" t="s">
        <v>5</v>
      </c>
      <c r="Q102" s="67" t="s">
        <v>4</v>
      </c>
      <c r="R102" s="68"/>
      <c r="T102" s="19">
        <v>205090</v>
      </c>
      <c r="U102" s="19" t="s">
        <v>67</v>
      </c>
      <c r="V102" s="19">
        <v>6.8309999999999996E-2</v>
      </c>
      <c r="W102" s="21">
        <v>0.40250000000000002</v>
      </c>
      <c r="X102" s="19">
        <v>-1.63523</v>
      </c>
      <c r="Y102" s="19">
        <v>0.12095</v>
      </c>
      <c r="Z102" s="19">
        <v>1.2581</v>
      </c>
      <c r="AA102" s="19">
        <v>0.88566999999999996</v>
      </c>
      <c r="AB102" s="19">
        <v>-1.38689</v>
      </c>
      <c r="AC102" s="19">
        <v>18.117572171105529</v>
      </c>
      <c r="AD102" s="20">
        <v>0.75489884046273037</v>
      </c>
      <c r="AE102" s="23">
        <v>2.3161676952650423E-2</v>
      </c>
      <c r="AF102" s="23">
        <v>1.3211435231614219</v>
      </c>
      <c r="AG102" s="21">
        <v>0.40194087508868442</v>
      </c>
      <c r="AH102" s="19">
        <v>0.30641572995075278</v>
      </c>
      <c r="AI102" s="19">
        <v>0.23899556631055818</v>
      </c>
      <c r="AJ102" s="21">
        <v>0.11935649240132984</v>
      </c>
      <c r="AK102" s="21">
        <v>0.27270564813065545</v>
      </c>
      <c r="AL102" s="19"/>
      <c r="AM102" s="21">
        <v>0.11935649240132984</v>
      </c>
      <c r="AN102" s="21">
        <v>0.27270564813065545</v>
      </c>
      <c r="AO102" s="21">
        <v>0.40194087508868442</v>
      </c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</row>
    <row r="103" spans="1:52" x14ac:dyDescent="0.25">
      <c r="A103" s="5"/>
      <c r="B103" s="5"/>
      <c r="C103" s="6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3"/>
      <c r="Q103" s="9" t="s">
        <v>3</v>
      </c>
      <c r="R103" s="9" t="s">
        <v>2</v>
      </c>
      <c r="T103" s="19">
        <v>205120</v>
      </c>
      <c r="U103" s="19" t="s">
        <v>67</v>
      </c>
      <c r="V103" s="19">
        <v>5.7189999999999998E-2</v>
      </c>
      <c r="W103" s="21">
        <v>0.37869999999999998</v>
      </c>
      <c r="X103" s="19">
        <v>-1.54467</v>
      </c>
      <c r="Y103" s="19">
        <v>0.15678</v>
      </c>
      <c r="Z103" s="19">
        <v>1.51322</v>
      </c>
      <c r="AA103" s="19">
        <v>1.08778</v>
      </c>
      <c r="AB103" s="19">
        <v>-1.16608</v>
      </c>
      <c r="AC103" s="19">
        <v>32.60018014965565</v>
      </c>
      <c r="AD103" s="20">
        <v>1.3583408395689853</v>
      </c>
      <c r="AE103" s="23">
        <v>2.8531854457818417E-2</v>
      </c>
      <c r="AF103" s="23">
        <v>1.4347624434588866</v>
      </c>
      <c r="AG103" s="21">
        <v>0.37811018361640314</v>
      </c>
      <c r="AH103" s="19">
        <v>0.24898182931229942</v>
      </c>
      <c r="AI103" s="19">
        <v>0.1765862556926916</v>
      </c>
      <c r="AJ103" s="21">
        <v>8.0264339670120213E-2</v>
      </c>
      <c r="AK103" s="21">
        <v>0.2127840425024955</v>
      </c>
      <c r="AL103" s="19"/>
      <c r="AM103" s="21">
        <v>8.0264339670120213E-2</v>
      </c>
      <c r="AN103" s="21">
        <v>0.2127840425024955</v>
      </c>
      <c r="AO103" s="21">
        <v>0.37811018361640314</v>
      </c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</row>
    <row r="104" spans="1:52" x14ac:dyDescent="0.25">
      <c r="A104" s="7">
        <v>204</v>
      </c>
      <c r="B104" s="5">
        <v>30</v>
      </c>
      <c r="C104" s="6">
        <v>30</v>
      </c>
      <c r="D104" s="5">
        <v>20</v>
      </c>
      <c r="E104" s="4">
        <v>25</v>
      </c>
      <c r="F104" s="4">
        <f t="shared" ref="F104:F109" si="69">1.8*E104+32</f>
        <v>77</v>
      </c>
      <c r="G104" s="4">
        <v>5</v>
      </c>
      <c r="H104" s="4">
        <f t="shared" ref="H104:H109" si="70">IF(F104&gt;68,G104+(F104-68)*0.2,CT151-(68-F104)*0.2)</f>
        <v>6.8</v>
      </c>
      <c r="I104" s="4">
        <v>23</v>
      </c>
      <c r="J104" s="4">
        <f t="shared" ref="J104:J109" si="71">1.8*I104+32</f>
        <v>73.400000000000006</v>
      </c>
      <c r="K104" s="4">
        <v>4</v>
      </c>
      <c r="L104" s="4">
        <f t="shared" ref="L104:L109" si="72">IF(J104&gt;68,K104+(J104-68)*0.2,K104-(68-J104)*0.2)</f>
        <v>5.080000000000001</v>
      </c>
      <c r="M104" s="4">
        <f t="shared" ref="M104:M109" si="73">(C104-H104)/C104*100</f>
        <v>77.333333333333329</v>
      </c>
      <c r="N104" s="4">
        <f t="shared" ref="N104:N109" si="74">100-(M104+O104)</f>
        <v>5.7333333333333343</v>
      </c>
      <c r="O104" s="4">
        <f t="shared" ref="O104:O109" si="75">L104/C104*100</f>
        <v>16.933333333333337</v>
      </c>
      <c r="P104" s="22" t="s">
        <v>0</v>
      </c>
      <c r="Q104" s="2"/>
      <c r="R104" s="2"/>
      <c r="T104" s="19">
        <v>205150</v>
      </c>
      <c r="U104" s="19" t="s">
        <v>67</v>
      </c>
      <c r="V104" s="19">
        <v>5.4260000000000003E-2</v>
      </c>
      <c r="W104" s="21">
        <v>0.37605</v>
      </c>
      <c r="X104" s="19">
        <v>-1.5162800000000001</v>
      </c>
      <c r="Y104" s="19">
        <v>0.17849000000000001</v>
      </c>
      <c r="Z104" s="19">
        <v>1.6370899999999999</v>
      </c>
      <c r="AA104" s="19">
        <v>1.16879</v>
      </c>
      <c r="AB104" s="19">
        <v>-1.0753699999999999</v>
      </c>
      <c r="AC104" s="19">
        <v>43.360072530857586</v>
      </c>
      <c r="AD104" s="20">
        <v>1.8066696887857328</v>
      </c>
      <c r="AE104" s="23">
        <v>3.0459305724302371E-2</v>
      </c>
      <c r="AF104" s="23">
        <v>1.5083078800682295</v>
      </c>
      <c r="AG104" s="21">
        <v>0.37549191993614284</v>
      </c>
      <c r="AH104" s="19">
        <v>0.22671664135267017</v>
      </c>
      <c r="AI104" s="19">
        <v>0.15237898658595561</v>
      </c>
      <c r="AJ104" s="21">
        <v>6.8567220774886875E-2</v>
      </c>
      <c r="AK104" s="21">
        <v>0.18954781396931289</v>
      </c>
      <c r="AL104" s="19"/>
      <c r="AM104" s="21">
        <v>6.8567220774886875E-2</v>
      </c>
      <c r="AN104" s="21">
        <v>0.18954781396931289</v>
      </c>
      <c r="AO104" s="21">
        <v>0.37549191993614284</v>
      </c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</row>
    <row r="105" spans="1:52" x14ac:dyDescent="0.25">
      <c r="A105" s="7">
        <v>204</v>
      </c>
      <c r="B105" s="5">
        <v>60</v>
      </c>
      <c r="C105" s="6">
        <v>30</v>
      </c>
      <c r="D105" s="5">
        <v>20</v>
      </c>
      <c r="E105" s="4">
        <v>24</v>
      </c>
      <c r="F105" s="4">
        <f t="shared" si="69"/>
        <v>75.2</v>
      </c>
      <c r="G105" s="4">
        <v>5</v>
      </c>
      <c r="H105" s="4">
        <f t="shared" si="70"/>
        <v>6.44</v>
      </c>
      <c r="I105" s="4">
        <v>23</v>
      </c>
      <c r="J105" s="4">
        <f t="shared" si="71"/>
        <v>73.400000000000006</v>
      </c>
      <c r="K105" s="4">
        <v>4</v>
      </c>
      <c r="L105" s="4">
        <f t="shared" si="72"/>
        <v>5.080000000000001</v>
      </c>
      <c r="M105" s="4">
        <f t="shared" si="73"/>
        <v>78.533333333333331</v>
      </c>
      <c r="N105" s="4">
        <f t="shared" si="74"/>
        <v>4.5333333333333314</v>
      </c>
      <c r="O105" s="4">
        <f t="shared" si="75"/>
        <v>16.933333333333337</v>
      </c>
      <c r="P105" s="22" t="s">
        <v>0</v>
      </c>
      <c r="Q105" s="2"/>
      <c r="R105" s="2"/>
      <c r="T105" s="19">
        <v>205180</v>
      </c>
      <c r="U105" s="19" t="s">
        <v>67</v>
      </c>
      <c r="V105" s="19">
        <v>5.7090000000000002E-2</v>
      </c>
      <c r="W105" s="21">
        <v>0.37658000000000003</v>
      </c>
      <c r="X105" s="19">
        <v>-1.5361</v>
      </c>
      <c r="Y105" s="19">
        <v>0.19947999999999999</v>
      </c>
      <c r="Z105" s="19">
        <v>1.74319</v>
      </c>
      <c r="AA105" s="19">
        <v>1.1477200000000001</v>
      </c>
      <c r="AB105" s="19">
        <v>-1.00648</v>
      </c>
      <c r="AC105" s="19">
        <v>55.359224796406735</v>
      </c>
      <c r="AD105" s="20">
        <v>2.3066343665169473</v>
      </c>
      <c r="AE105" s="23">
        <v>2.9100469778377124E-2</v>
      </c>
      <c r="AF105" s="23">
        <v>1.5829966653373588</v>
      </c>
      <c r="AG105" s="21">
        <v>0.37614558557429256</v>
      </c>
      <c r="AH105" s="19">
        <v>0.21813346786046156</v>
      </c>
      <c r="AI105" s="19">
        <v>0.14124691253908139</v>
      </c>
      <c r="AJ105" s="21">
        <v>6.6322952041066946E-2</v>
      </c>
      <c r="AK105" s="21">
        <v>0.17969019019977148</v>
      </c>
      <c r="AL105" s="19"/>
      <c r="AM105" s="21">
        <v>6.6322952041066946E-2</v>
      </c>
      <c r="AN105" s="21">
        <v>0.17969019019977148</v>
      </c>
      <c r="AO105" s="21">
        <v>0.37614558557429256</v>
      </c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</row>
    <row r="106" spans="1:52" x14ac:dyDescent="0.25">
      <c r="A106" s="7">
        <v>204</v>
      </c>
      <c r="B106" s="5">
        <v>90</v>
      </c>
      <c r="C106" s="6">
        <v>30</v>
      </c>
      <c r="D106" s="5">
        <v>20</v>
      </c>
      <c r="E106" s="4">
        <v>24</v>
      </c>
      <c r="F106" s="4">
        <f t="shared" si="69"/>
        <v>75.2</v>
      </c>
      <c r="G106" s="4">
        <v>8</v>
      </c>
      <c r="H106" s="4">
        <f t="shared" si="70"/>
        <v>9.4400000000000013</v>
      </c>
      <c r="I106" s="4">
        <v>23.5</v>
      </c>
      <c r="J106" s="4">
        <f t="shared" si="71"/>
        <v>74.300000000000011</v>
      </c>
      <c r="K106" s="4">
        <v>6</v>
      </c>
      <c r="L106" s="4">
        <f t="shared" si="72"/>
        <v>7.2600000000000025</v>
      </c>
      <c r="M106" s="4">
        <f t="shared" si="73"/>
        <v>68.533333333333317</v>
      </c>
      <c r="N106" s="4">
        <f t="shared" si="74"/>
        <v>7.2666666666666799</v>
      </c>
      <c r="O106" s="4">
        <f t="shared" si="75"/>
        <v>24.200000000000006</v>
      </c>
      <c r="P106" s="22" t="s">
        <v>1</v>
      </c>
      <c r="Q106" s="2"/>
      <c r="R106" s="2"/>
      <c r="T106" s="19">
        <v>205210</v>
      </c>
      <c r="U106" s="19" t="s">
        <v>67</v>
      </c>
      <c r="V106" s="19">
        <v>5.7090000000000002E-2</v>
      </c>
      <c r="W106" s="21">
        <v>0.37658000000000003</v>
      </c>
      <c r="X106" s="19">
        <v>-1.5361</v>
      </c>
      <c r="Y106" s="19">
        <v>0.19947999999999999</v>
      </c>
      <c r="Z106" s="19">
        <v>1.74319</v>
      </c>
      <c r="AA106" s="19">
        <v>1.1477200000000001</v>
      </c>
      <c r="AB106" s="19">
        <v>-1.00648</v>
      </c>
      <c r="AC106" s="19">
        <v>55.359224796406735</v>
      </c>
      <c r="AD106" s="20">
        <v>2.3066343665169473</v>
      </c>
      <c r="AE106" s="23">
        <v>2.9100469778377124E-2</v>
      </c>
      <c r="AF106" s="23">
        <v>1.5829966653373588</v>
      </c>
      <c r="AG106" s="21">
        <v>0.37614558557429256</v>
      </c>
      <c r="AH106" s="19">
        <v>0.21813346786046156</v>
      </c>
      <c r="AI106" s="19">
        <v>0.14124691253908139</v>
      </c>
      <c r="AJ106" s="21">
        <v>6.6322952041066946E-2</v>
      </c>
      <c r="AK106" s="21">
        <v>0.17969019019977148</v>
      </c>
      <c r="AL106" s="19"/>
      <c r="AM106" s="21">
        <v>6.6322952041066946E-2</v>
      </c>
      <c r="AN106" s="21">
        <v>0.17969019019977148</v>
      </c>
      <c r="AO106" s="21">
        <v>0.37614558557429256</v>
      </c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</row>
    <row r="107" spans="1:52" x14ac:dyDescent="0.25">
      <c r="A107" s="7">
        <v>204</v>
      </c>
      <c r="B107" s="5">
        <v>120</v>
      </c>
      <c r="C107" s="6">
        <v>30</v>
      </c>
      <c r="D107" s="5">
        <v>20</v>
      </c>
      <c r="E107" s="4">
        <v>25</v>
      </c>
      <c r="F107" s="4">
        <f t="shared" si="69"/>
        <v>77</v>
      </c>
      <c r="G107" s="4">
        <v>7</v>
      </c>
      <c r="H107" s="4">
        <f t="shared" si="70"/>
        <v>8.8000000000000007</v>
      </c>
      <c r="I107" s="4">
        <v>24</v>
      </c>
      <c r="J107" s="4">
        <f t="shared" si="71"/>
        <v>75.2</v>
      </c>
      <c r="K107" s="4">
        <v>5</v>
      </c>
      <c r="L107" s="4">
        <f t="shared" si="72"/>
        <v>6.44</v>
      </c>
      <c r="M107" s="4">
        <f t="shared" si="73"/>
        <v>70.666666666666671</v>
      </c>
      <c r="N107" s="4">
        <f t="shared" si="74"/>
        <v>7.86666666666666</v>
      </c>
      <c r="O107" s="4">
        <f t="shared" si="75"/>
        <v>21.466666666666669</v>
      </c>
      <c r="P107" s="22" t="s">
        <v>1</v>
      </c>
      <c r="Q107" s="2"/>
      <c r="R107" s="2"/>
      <c r="T107" s="19">
        <v>206030</v>
      </c>
      <c r="U107" s="19" t="s">
        <v>67</v>
      </c>
      <c r="V107" s="19">
        <v>5.6750000000000002E-2</v>
      </c>
      <c r="W107" s="21">
        <v>0.40155000000000002</v>
      </c>
      <c r="X107" s="19">
        <v>-1.5759099999999999</v>
      </c>
      <c r="Y107" s="19">
        <v>0.16003999999999999</v>
      </c>
      <c r="Z107" s="19">
        <v>1.5780400000000001</v>
      </c>
      <c r="AA107" s="19">
        <v>1.09914</v>
      </c>
      <c r="AB107" s="19">
        <v>-1.00684</v>
      </c>
      <c r="AC107" s="19">
        <v>37.847744217247893</v>
      </c>
      <c r="AD107" s="20">
        <v>1.576989342385329</v>
      </c>
      <c r="AE107" s="23">
        <v>2.6551557399485223E-2</v>
      </c>
      <c r="AF107" s="23">
        <v>1.4455729067997329</v>
      </c>
      <c r="AG107" s="21">
        <v>0.40099171072708945</v>
      </c>
      <c r="AH107" s="19">
        <v>0.26539321145984451</v>
      </c>
      <c r="AI107" s="19">
        <v>0.18563537938879968</v>
      </c>
      <c r="AJ107" s="21">
        <v>8.0681703169932339E-2</v>
      </c>
      <c r="AK107" s="21">
        <v>0.22551429542432211</v>
      </c>
      <c r="AL107" s="19"/>
      <c r="AM107" s="21">
        <v>8.0681703169932339E-2</v>
      </c>
      <c r="AN107" s="21">
        <v>0.22551429542432211</v>
      </c>
      <c r="AO107" s="21">
        <v>0.40099171072708945</v>
      </c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</row>
    <row r="108" spans="1:52" x14ac:dyDescent="0.25">
      <c r="A108" s="7">
        <v>204</v>
      </c>
      <c r="B108" s="5">
        <v>150</v>
      </c>
      <c r="C108" s="6">
        <v>30</v>
      </c>
      <c r="D108" s="5">
        <v>20</v>
      </c>
      <c r="E108" s="4">
        <v>23.5</v>
      </c>
      <c r="F108" s="4">
        <f t="shared" si="69"/>
        <v>74.300000000000011</v>
      </c>
      <c r="G108" s="4">
        <v>6</v>
      </c>
      <c r="H108" s="4">
        <f t="shared" si="70"/>
        <v>7.2600000000000025</v>
      </c>
      <c r="I108" s="4">
        <v>23</v>
      </c>
      <c r="J108" s="4">
        <f t="shared" si="71"/>
        <v>73.400000000000006</v>
      </c>
      <c r="K108" s="4">
        <v>3</v>
      </c>
      <c r="L108" s="4">
        <f t="shared" si="72"/>
        <v>4.080000000000001</v>
      </c>
      <c r="M108" s="4">
        <f t="shared" si="73"/>
        <v>75.799999999999983</v>
      </c>
      <c r="N108" s="4">
        <f t="shared" si="74"/>
        <v>10.600000000000009</v>
      </c>
      <c r="O108" s="4">
        <f t="shared" si="75"/>
        <v>13.600000000000003</v>
      </c>
      <c r="P108" s="22" t="s">
        <v>0</v>
      </c>
      <c r="Q108" s="2"/>
      <c r="R108" s="2"/>
      <c r="T108" s="19">
        <v>206045</v>
      </c>
      <c r="U108" s="19" t="s">
        <v>67</v>
      </c>
      <c r="V108" s="19">
        <v>5.9589999999999997E-2</v>
      </c>
      <c r="W108" s="21">
        <v>0.42708000000000002</v>
      </c>
      <c r="X108" s="19">
        <v>-1.5866899999999999</v>
      </c>
      <c r="Y108" s="19">
        <v>0.17011999999999999</v>
      </c>
      <c r="Z108" s="19">
        <v>1.7649300000000001</v>
      </c>
      <c r="AA108" s="19">
        <v>1.13395</v>
      </c>
      <c r="AB108" s="19">
        <v>-0.86775999999999998</v>
      </c>
      <c r="AC108" s="19">
        <v>58.200940137835531</v>
      </c>
      <c r="AD108" s="20">
        <v>2.4250391724098139</v>
      </c>
      <c r="AE108" s="23">
        <v>2.5900610446208387E-2</v>
      </c>
      <c r="AF108" s="23">
        <v>1.4795171373874607</v>
      </c>
      <c r="AG108" s="21">
        <v>0.42654653548085825</v>
      </c>
      <c r="AH108" s="19">
        <v>0.27648720504194424</v>
      </c>
      <c r="AI108" s="19">
        <v>0.18866563016049417</v>
      </c>
      <c r="AJ108" s="21">
        <v>8.0655049280685273E-2</v>
      </c>
      <c r="AK108" s="21">
        <v>0.23257641760121922</v>
      </c>
      <c r="AL108" s="19"/>
      <c r="AM108" s="21">
        <v>8.0655049280685273E-2</v>
      </c>
      <c r="AN108" s="21">
        <v>0.23257641760121922</v>
      </c>
      <c r="AO108" s="21">
        <v>0.42654653548085825</v>
      </c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</row>
    <row r="109" spans="1:52" x14ac:dyDescent="0.25">
      <c r="A109" s="7">
        <v>204</v>
      </c>
      <c r="B109" s="5">
        <v>180</v>
      </c>
      <c r="C109" s="6">
        <v>30</v>
      </c>
      <c r="D109" s="5">
        <v>20</v>
      </c>
      <c r="E109" s="4">
        <v>23</v>
      </c>
      <c r="F109" s="4">
        <f t="shared" si="69"/>
        <v>73.400000000000006</v>
      </c>
      <c r="G109" s="4">
        <v>5</v>
      </c>
      <c r="H109" s="4">
        <f t="shared" si="70"/>
        <v>6.080000000000001</v>
      </c>
      <c r="I109" s="4">
        <v>23</v>
      </c>
      <c r="J109" s="4">
        <f t="shared" si="71"/>
        <v>73.400000000000006</v>
      </c>
      <c r="K109" s="4">
        <v>3</v>
      </c>
      <c r="L109" s="4">
        <f t="shared" si="72"/>
        <v>4.080000000000001</v>
      </c>
      <c r="M109" s="4">
        <f t="shared" si="73"/>
        <v>79.73333333333332</v>
      </c>
      <c r="N109" s="4">
        <f t="shared" si="74"/>
        <v>6.6666666666666714</v>
      </c>
      <c r="O109" s="4">
        <f t="shared" si="75"/>
        <v>13.600000000000003</v>
      </c>
      <c r="P109" s="22" t="s">
        <v>0</v>
      </c>
      <c r="Q109" s="18"/>
      <c r="R109" s="18"/>
      <c r="T109" s="19">
        <v>206060</v>
      </c>
      <c r="U109" s="19" t="s">
        <v>67</v>
      </c>
      <c r="V109" s="19">
        <v>6.012E-2</v>
      </c>
      <c r="W109" s="21">
        <v>0.42316999999999999</v>
      </c>
      <c r="X109" s="19">
        <v>-1.57768</v>
      </c>
      <c r="Y109" s="19">
        <v>0.1744</v>
      </c>
      <c r="Z109" s="19">
        <v>1.7685999999999999</v>
      </c>
      <c r="AA109" s="19">
        <v>1.1401600000000001</v>
      </c>
      <c r="AB109" s="19">
        <v>-0.88534000000000002</v>
      </c>
      <c r="AC109" s="19">
        <v>58.694850394781561</v>
      </c>
      <c r="AD109" s="20">
        <v>2.4456187664492317</v>
      </c>
      <c r="AE109" s="23">
        <v>2.6443564735235386E-2</v>
      </c>
      <c r="AF109" s="23">
        <v>1.4941699574067011</v>
      </c>
      <c r="AG109" s="21">
        <v>0.4226441595238189</v>
      </c>
      <c r="AH109" s="19">
        <v>0.26957097441521816</v>
      </c>
      <c r="AI109" s="19">
        <v>0.18247747334088482</v>
      </c>
      <c r="AJ109" s="21">
        <v>7.8995168340038752E-2</v>
      </c>
      <c r="AK109" s="21">
        <v>0.22602422387805149</v>
      </c>
      <c r="AL109" s="19"/>
      <c r="AM109" s="21">
        <v>7.8995168340038752E-2</v>
      </c>
      <c r="AN109" s="21">
        <v>0.22602422387805149</v>
      </c>
      <c r="AO109" s="21">
        <v>0.4226441595238189</v>
      </c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</row>
    <row r="110" spans="1:52" x14ac:dyDescent="0.25">
      <c r="Q110" s="17"/>
      <c r="R110" s="17"/>
      <c r="T110" s="19">
        <v>206090</v>
      </c>
      <c r="U110" s="19" t="s">
        <v>67</v>
      </c>
      <c r="V110" s="19">
        <v>6.198E-2</v>
      </c>
      <c r="W110" s="21">
        <v>0.39633000000000002</v>
      </c>
      <c r="X110" s="19">
        <v>-1.59531</v>
      </c>
      <c r="Y110" s="19">
        <v>0.14288999999999999</v>
      </c>
      <c r="Z110" s="19">
        <v>1.43936</v>
      </c>
      <c r="AA110" s="19">
        <v>1.00302</v>
      </c>
      <c r="AB110" s="19">
        <v>-1.16997</v>
      </c>
      <c r="AC110" s="19">
        <v>27.501729110791231</v>
      </c>
      <c r="AD110" s="20">
        <v>1.1459053796163012</v>
      </c>
      <c r="AE110" s="23">
        <v>2.5391596029030856E-2</v>
      </c>
      <c r="AF110" s="23">
        <v>1.3896006225314361</v>
      </c>
      <c r="AG110" s="21">
        <v>0.39576323348554471</v>
      </c>
      <c r="AH110" s="19">
        <v>0.27927720591498495</v>
      </c>
      <c r="AI110" s="19">
        <v>0.20548820116810695</v>
      </c>
      <c r="AJ110" s="21">
        <v>9.4993819891025538E-2</v>
      </c>
      <c r="AK110" s="21">
        <v>0.24238270354154595</v>
      </c>
      <c r="AL110" s="19"/>
      <c r="AM110" s="21">
        <v>9.4993819891025538E-2</v>
      </c>
      <c r="AN110" s="21">
        <v>0.24238270354154595</v>
      </c>
      <c r="AO110" s="21">
        <v>0.39576323348554471</v>
      </c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</row>
    <row r="111" spans="1:52" ht="51.75" x14ac:dyDescent="0.25">
      <c r="A111" s="8" t="s">
        <v>54</v>
      </c>
      <c r="B111" s="10" t="s">
        <v>53</v>
      </c>
      <c r="C111" s="14" t="s">
        <v>18</v>
      </c>
      <c r="D111" s="13" t="s">
        <v>17</v>
      </c>
      <c r="E111" s="12" t="s">
        <v>16</v>
      </c>
      <c r="F111" s="12" t="s">
        <v>15</v>
      </c>
      <c r="G111" s="12" t="s">
        <v>52</v>
      </c>
      <c r="H111" s="12" t="s">
        <v>51</v>
      </c>
      <c r="I111" s="12" t="s">
        <v>50</v>
      </c>
      <c r="J111" s="12" t="s">
        <v>49</v>
      </c>
      <c r="K111" s="12" t="s">
        <v>48</v>
      </c>
      <c r="L111" s="12" t="s">
        <v>47</v>
      </c>
      <c r="M111" s="11" t="s">
        <v>8</v>
      </c>
      <c r="N111" s="11" t="s">
        <v>7</v>
      </c>
      <c r="O111" s="11" t="s">
        <v>6</v>
      </c>
      <c r="P111" s="10" t="s">
        <v>5</v>
      </c>
      <c r="Q111" s="67" t="s">
        <v>4</v>
      </c>
      <c r="R111" s="68"/>
      <c r="T111" s="19">
        <v>206120</v>
      </c>
      <c r="U111" s="19" t="s">
        <v>67</v>
      </c>
      <c r="V111" s="19">
        <v>4.9340000000000002E-2</v>
      </c>
      <c r="W111" s="21">
        <v>0.37268000000000001</v>
      </c>
      <c r="X111" s="19">
        <v>-1.4902200000000001</v>
      </c>
      <c r="Y111" s="19">
        <v>0.16375999999999999</v>
      </c>
      <c r="Z111" s="19">
        <v>1.5506800000000001</v>
      </c>
      <c r="AA111" s="19">
        <v>1.20855</v>
      </c>
      <c r="AB111" s="19">
        <v>-1.1407099999999999</v>
      </c>
      <c r="AC111" s="19">
        <v>35.536937624467868</v>
      </c>
      <c r="AD111" s="20">
        <v>1.4807057343528278</v>
      </c>
      <c r="AE111" s="23">
        <v>3.2342977601686529E-2</v>
      </c>
      <c r="AF111" s="23">
        <v>1.4580083124348793</v>
      </c>
      <c r="AG111" s="21">
        <v>0.37200062705849435</v>
      </c>
      <c r="AH111" s="19">
        <v>0.22861725853447218</v>
      </c>
      <c r="AI111" s="19">
        <v>0.15715832649271361</v>
      </c>
      <c r="AJ111" s="21">
        <v>6.8372310716729598E-2</v>
      </c>
      <c r="AK111" s="21">
        <v>0.19288779251359289</v>
      </c>
      <c r="AL111" s="19"/>
      <c r="AM111" s="21">
        <v>6.8372310716729598E-2</v>
      </c>
      <c r="AN111" s="21">
        <v>0.19288779251359289</v>
      </c>
      <c r="AO111" s="21">
        <v>0.37200062705849435</v>
      </c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</row>
    <row r="112" spans="1:52" x14ac:dyDescent="0.25">
      <c r="A112" s="8"/>
      <c r="B112" s="10"/>
      <c r="C112" s="14"/>
      <c r="D112" s="13"/>
      <c r="E112" s="12"/>
      <c r="F112" s="12"/>
      <c r="G112" s="12"/>
      <c r="H112" s="12"/>
      <c r="I112" s="12"/>
      <c r="J112" s="12"/>
      <c r="K112" s="12"/>
      <c r="L112" s="12"/>
      <c r="M112" s="11"/>
      <c r="N112" s="11"/>
      <c r="O112" s="11"/>
      <c r="P112" s="10"/>
      <c r="Q112" s="9" t="s">
        <v>3</v>
      </c>
      <c r="R112" s="9" t="s">
        <v>2</v>
      </c>
      <c r="T112" s="19">
        <v>206150</v>
      </c>
      <c r="U112" s="19" t="s">
        <v>67</v>
      </c>
      <c r="V112" s="19">
        <v>4.589E-2</v>
      </c>
      <c r="W112" s="21">
        <v>0.36677999999999999</v>
      </c>
      <c r="X112" s="19">
        <v>-1.52559</v>
      </c>
      <c r="Y112" s="19">
        <v>0.14505999999999999</v>
      </c>
      <c r="Z112" s="19">
        <v>1.3873500000000001</v>
      </c>
      <c r="AA112" s="19">
        <v>1.14577</v>
      </c>
      <c r="AB112" s="19">
        <v>-1.19906</v>
      </c>
      <c r="AC112" s="19">
        <v>24.397762536366887</v>
      </c>
      <c r="AD112" s="20">
        <v>1.016573439015287</v>
      </c>
      <c r="AE112" s="23">
        <v>2.9813296550341258E-2</v>
      </c>
      <c r="AF112" s="23">
        <v>1.3965612898010262</v>
      </c>
      <c r="AG112" s="21">
        <v>0.36610861877578965</v>
      </c>
      <c r="AH112" s="19">
        <v>0.24265790076090543</v>
      </c>
      <c r="AI112" s="19">
        <v>0.17357569056344557</v>
      </c>
      <c r="AJ112" s="21">
        <v>7.4416301754310285E-2</v>
      </c>
      <c r="AK112" s="21">
        <v>0.2081167956621755</v>
      </c>
      <c r="AL112" s="19"/>
      <c r="AM112" s="21">
        <v>7.4416301754310285E-2</v>
      </c>
      <c r="AN112" s="21">
        <v>0.2081167956621755</v>
      </c>
      <c r="AO112" s="21">
        <v>0.36610861877578965</v>
      </c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</row>
    <row r="113" spans="1:52" x14ac:dyDescent="0.25">
      <c r="A113" s="7">
        <v>205</v>
      </c>
      <c r="B113" s="5">
        <v>30</v>
      </c>
      <c r="C113" s="6">
        <v>30</v>
      </c>
      <c r="D113" s="5">
        <v>20</v>
      </c>
      <c r="E113" s="4">
        <v>25</v>
      </c>
      <c r="F113" s="4">
        <f t="shared" ref="F113:F118" si="76">1.8*E113+32</f>
        <v>77</v>
      </c>
      <c r="G113" s="4">
        <v>6</v>
      </c>
      <c r="H113" s="4">
        <f t="shared" ref="H113:H118" si="77">IF(F113&gt;68,G113+(F113-68)*0.2,CB151-(68-F113)*0.2)</f>
        <v>7.8</v>
      </c>
      <c r="I113" s="4">
        <v>24</v>
      </c>
      <c r="J113" s="4">
        <f t="shared" ref="J113:J118" si="78">1.8*I113+32</f>
        <v>75.2</v>
      </c>
      <c r="K113" s="4">
        <v>4</v>
      </c>
      <c r="L113" s="4">
        <f t="shared" ref="L113:L118" si="79">IF(J113&gt;68,K113+(J113-68)*0.2,K113-(68-J113)*0.2)</f>
        <v>5.44</v>
      </c>
      <c r="M113" s="4">
        <f t="shared" ref="M113:M118" si="80">(C113-H113)/C113*100</f>
        <v>74</v>
      </c>
      <c r="N113" s="4">
        <f t="shared" ref="N113:N118" si="81">100-(M113+O113)</f>
        <v>7.8666666666666742</v>
      </c>
      <c r="O113" s="4">
        <f t="shared" ref="O113:O118" si="82">L113/C113*100</f>
        <v>18.133333333333333</v>
      </c>
      <c r="P113" s="22" t="s">
        <v>0</v>
      </c>
      <c r="Q113" s="2"/>
      <c r="R113" s="2"/>
      <c r="T113" s="19">
        <v>206180</v>
      </c>
      <c r="U113" s="19" t="s">
        <v>67</v>
      </c>
      <c r="V113" s="19">
        <v>5.7579999999999999E-2</v>
      </c>
      <c r="W113" s="21">
        <v>0.37880999999999998</v>
      </c>
      <c r="X113" s="19">
        <v>-1.5462</v>
      </c>
      <c r="Y113" s="19">
        <v>0.15892000000000001</v>
      </c>
      <c r="Z113" s="19">
        <v>1.5282500000000001</v>
      </c>
      <c r="AA113" s="19">
        <v>1.0862799999999999</v>
      </c>
      <c r="AB113" s="19">
        <v>-1.1546400000000001</v>
      </c>
      <c r="AC113" s="19">
        <v>33.748152273505411</v>
      </c>
      <c r="AD113" s="20">
        <v>1.4061730113960589</v>
      </c>
      <c r="AE113" s="23">
        <v>2.843151486273757E-2</v>
      </c>
      <c r="AF113" s="23">
        <v>1.4418497285255383</v>
      </c>
      <c r="AG113" s="21">
        <v>0.37823175200885778</v>
      </c>
      <c r="AH113" s="19">
        <v>0.24797651434432019</v>
      </c>
      <c r="AI113" s="19">
        <v>0.17516601167827742</v>
      </c>
      <c r="AJ113" s="21">
        <v>7.9699630646761208E-2</v>
      </c>
      <c r="AK113" s="21">
        <v>0.2115712630112988</v>
      </c>
      <c r="AL113" s="19"/>
      <c r="AM113" s="21">
        <v>7.9699630646761208E-2</v>
      </c>
      <c r="AN113" s="21">
        <v>0.2115712630112988</v>
      </c>
      <c r="AO113" s="21">
        <v>0.37823175200885778</v>
      </c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</row>
    <row r="114" spans="1:52" x14ac:dyDescent="0.25">
      <c r="A114" s="7">
        <v>205</v>
      </c>
      <c r="B114" s="5">
        <v>60</v>
      </c>
      <c r="C114" s="6">
        <v>30</v>
      </c>
      <c r="D114" s="5">
        <v>20</v>
      </c>
      <c r="E114" s="4">
        <v>25.5</v>
      </c>
      <c r="F114" s="4">
        <f t="shared" si="76"/>
        <v>77.900000000000006</v>
      </c>
      <c r="G114" s="4">
        <v>9</v>
      </c>
      <c r="H114" s="4">
        <f t="shared" si="77"/>
        <v>10.98</v>
      </c>
      <c r="I114" s="4">
        <v>24</v>
      </c>
      <c r="J114" s="4">
        <f t="shared" si="78"/>
        <v>75.2</v>
      </c>
      <c r="K114" s="4">
        <v>7</v>
      </c>
      <c r="L114" s="4">
        <f t="shared" si="79"/>
        <v>8.4400000000000013</v>
      </c>
      <c r="M114" s="4">
        <f t="shared" si="80"/>
        <v>63.4</v>
      </c>
      <c r="N114" s="4">
        <f t="shared" si="81"/>
        <v>8.4666666666666686</v>
      </c>
      <c r="O114" s="4">
        <f t="shared" si="82"/>
        <v>28.133333333333336</v>
      </c>
      <c r="P114" s="22" t="s">
        <v>1</v>
      </c>
      <c r="Q114" s="2"/>
      <c r="R114" s="2"/>
      <c r="T114" s="19">
        <v>206210</v>
      </c>
      <c r="U114" s="19" t="s">
        <v>67</v>
      </c>
      <c r="V114" s="19">
        <v>5.7579999999999999E-2</v>
      </c>
      <c r="W114" s="21">
        <v>0.37880999999999998</v>
      </c>
      <c r="X114" s="19">
        <v>-1.5462</v>
      </c>
      <c r="Y114" s="19">
        <v>0.15892000000000001</v>
      </c>
      <c r="Z114" s="19">
        <v>1.5282500000000001</v>
      </c>
      <c r="AA114" s="19">
        <v>1.0862799999999999</v>
      </c>
      <c r="AB114" s="19">
        <v>-1.1546400000000001</v>
      </c>
      <c r="AC114" s="19">
        <v>33.748152273505411</v>
      </c>
      <c r="AD114" s="20">
        <v>1.4061730113960589</v>
      </c>
      <c r="AE114" s="23">
        <v>2.843151486273757E-2</v>
      </c>
      <c r="AF114" s="23">
        <v>1.4418497285255383</v>
      </c>
      <c r="AG114" s="21">
        <v>0.37823175200885778</v>
      </c>
      <c r="AH114" s="19">
        <v>0.24797651434432019</v>
      </c>
      <c r="AI114" s="19">
        <v>0.17516601167827742</v>
      </c>
      <c r="AJ114" s="21">
        <v>7.9699630646761208E-2</v>
      </c>
      <c r="AK114" s="21">
        <v>0.2115712630112988</v>
      </c>
      <c r="AL114" s="19"/>
      <c r="AM114" s="21">
        <v>7.9699630646761208E-2</v>
      </c>
      <c r="AN114" s="21">
        <v>0.2115712630112988</v>
      </c>
      <c r="AO114" s="21">
        <v>0.37823175200885778</v>
      </c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</row>
    <row r="115" spans="1:52" x14ac:dyDescent="0.25">
      <c r="A115" s="7">
        <v>205</v>
      </c>
      <c r="B115" s="5">
        <v>90</v>
      </c>
      <c r="C115" s="6">
        <v>30</v>
      </c>
      <c r="D115" s="5">
        <v>20</v>
      </c>
      <c r="E115" s="4">
        <v>25</v>
      </c>
      <c r="F115" s="4">
        <f t="shared" si="76"/>
        <v>77</v>
      </c>
      <c r="G115" s="4">
        <v>10</v>
      </c>
      <c r="H115" s="4">
        <f t="shared" si="77"/>
        <v>11.8</v>
      </c>
      <c r="I115" s="4">
        <v>23</v>
      </c>
      <c r="J115" s="4">
        <f t="shared" si="78"/>
        <v>73.400000000000006</v>
      </c>
      <c r="K115" s="4">
        <v>7</v>
      </c>
      <c r="L115" s="4">
        <f t="shared" si="79"/>
        <v>8.0800000000000018</v>
      </c>
      <c r="M115" s="4">
        <f t="shared" si="80"/>
        <v>60.666666666666671</v>
      </c>
      <c r="N115" s="4">
        <f t="shared" si="81"/>
        <v>12.399999999999991</v>
      </c>
      <c r="O115" s="4">
        <f t="shared" si="82"/>
        <v>26.933333333333337</v>
      </c>
      <c r="P115" s="22" t="s">
        <v>1</v>
      </c>
      <c r="Q115" s="2"/>
      <c r="R115" s="2"/>
      <c r="T115" s="19">
        <v>207030</v>
      </c>
      <c r="U115" s="19" t="s">
        <v>67</v>
      </c>
      <c r="V115" s="19">
        <v>5.885E-2</v>
      </c>
      <c r="W115" s="21">
        <v>0.40388000000000002</v>
      </c>
      <c r="X115" s="19">
        <v>-1.57457</v>
      </c>
      <c r="Y115" s="19">
        <v>0.16425999999999999</v>
      </c>
      <c r="Z115" s="19">
        <v>1.6164700000000001</v>
      </c>
      <c r="AA115" s="19">
        <v>1.0975299999999999</v>
      </c>
      <c r="AB115" s="19">
        <v>-1.00058</v>
      </c>
      <c r="AC115" s="19">
        <v>41.349475015561296</v>
      </c>
      <c r="AD115" s="20">
        <v>1.7228947923150539</v>
      </c>
      <c r="AE115" s="23">
        <v>2.6633607791310944E-2</v>
      </c>
      <c r="AF115" s="23">
        <v>1.4596878731850851</v>
      </c>
      <c r="AG115" s="21">
        <v>0.40333518887521008</v>
      </c>
      <c r="AH115" s="19">
        <v>0.26441290254164673</v>
      </c>
      <c r="AI115" s="19">
        <v>0.18375790469507625</v>
      </c>
      <c r="AJ115" s="21">
        <v>8.0825930815423386E-2</v>
      </c>
      <c r="AK115" s="21">
        <v>0.22408540361836149</v>
      </c>
      <c r="AL115" s="19"/>
      <c r="AM115" s="21">
        <v>8.0825930815423386E-2</v>
      </c>
      <c r="AN115" s="21">
        <v>0.22408540361836149</v>
      </c>
      <c r="AO115" s="21">
        <v>0.40333518887521008</v>
      </c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</row>
    <row r="116" spans="1:52" x14ac:dyDescent="0.25">
      <c r="A116" s="7">
        <v>205</v>
      </c>
      <c r="B116" s="5">
        <v>120</v>
      </c>
      <c r="C116" s="6">
        <v>30</v>
      </c>
      <c r="D116" s="5">
        <v>20</v>
      </c>
      <c r="E116" s="4">
        <v>25.5</v>
      </c>
      <c r="F116" s="4">
        <f t="shared" si="76"/>
        <v>77.900000000000006</v>
      </c>
      <c r="G116" s="4">
        <v>6</v>
      </c>
      <c r="H116" s="4">
        <f t="shared" si="77"/>
        <v>7.9800000000000013</v>
      </c>
      <c r="I116" s="4">
        <v>23.5</v>
      </c>
      <c r="J116" s="4">
        <f t="shared" si="78"/>
        <v>74.300000000000011</v>
      </c>
      <c r="K116" s="4">
        <v>4</v>
      </c>
      <c r="L116" s="4">
        <f t="shared" si="79"/>
        <v>5.2600000000000025</v>
      </c>
      <c r="M116" s="4">
        <f t="shared" si="80"/>
        <v>73.400000000000006</v>
      </c>
      <c r="N116" s="4">
        <f t="shared" si="81"/>
        <v>9.0666666666666487</v>
      </c>
      <c r="O116" s="4">
        <f t="shared" si="82"/>
        <v>17.533333333333342</v>
      </c>
      <c r="P116" s="22" t="s">
        <v>0</v>
      </c>
      <c r="Q116" s="2"/>
      <c r="R116" s="2"/>
      <c r="T116" s="19">
        <v>207045</v>
      </c>
      <c r="U116" s="19" t="s">
        <v>67</v>
      </c>
      <c r="V116" s="19">
        <v>6.3950000000000007E-2</v>
      </c>
      <c r="W116" s="21">
        <v>0.43097000000000002</v>
      </c>
      <c r="X116" s="19">
        <v>-1.61219</v>
      </c>
      <c r="Y116" s="19">
        <v>0.16242000000000001</v>
      </c>
      <c r="Z116" s="19">
        <v>1.70583</v>
      </c>
      <c r="AA116" s="19">
        <v>1.0651600000000001</v>
      </c>
      <c r="AB116" s="19">
        <v>-0.89722000000000002</v>
      </c>
      <c r="AC116" s="19">
        <v>50.796056782606826</v>
      </c>
      <c r="AD116" s="20">
        <v>2.1165023659419511</v>
      </c>
      <c r="AE116" s="23">
        <v>2.4423618072087563E-2</v>
      </c>
      <c r="AF116" s="23">
        <v>1.4535166132907826</v>
      </c>
      <c r="AG116" s="21">
        <v>0.43045212098054175</v>
      </c>
      <c r="AH116" s="19">
        <v>0.2909854180923207</v>
      </c>
      <c r="AI116" s="19">
        <v>0.20377429426313745</v>
      </c>
      <c r="AJ116" s="21">
        <v>8.9178561660355371E-2</v>
      </c>
      <c r="AK116" s="21">
        <v>0.24737985617772906</v>
      </c>
      <c r="AL116" s="19"/>
      <c r="AM116" s="21">
        <v>8.9178561660355371E-2</v>
      </c>
      <c r="AN116" s="21">
        <v>0.24737985617772906</v>
      </c>
      <c r="AO116" s="21">
        <v>0.43045212098054175</v>
      </c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</row>
    <row r="117" spans="1:52" x14ac:dyDescent="0.25">
      <c r="A117" s="7">
        <v>205</v>
      </c>
      <c r="B117" s="5">
        <v>150</v>
      </c>
      <c r="C117" s="6">
        <v>30</v>
      </c>
      <c r="D117" s="5">
        <v>20</v>
      </c>
      <c r="E117" s="4">
        <v>26</v>
      </c>
      <c r="F117" s="4">
        <f t="shared" si="76"/>
        <v>78.800000000000011</v>
      </c>
      <c r="G117" s="4">
        <v>5</v>
      </c>
      <c r="H117" s="4">
        <f t="shared" si="77"/>
        <v>7.1600000000000019</v>
      </c>
      <c r="I117" s="4">
        <v>24</v>
      </c>
      <c r="J117" s="4">
        <f t="shared" si="78"/>
        <v>75.2</v>
      </c>
      <c r="K117" s="4">
        <v>3</v>
      </c>
      <c r="L117" s="4">
        <f t="shared" si="79"/>
        <v>4.4400000000000004</v>
      </c>
      <c r="M117" s="4">
        <f t="shared" si="80"/>
        <v>76.133333333333326</v>
      </c>
      <c r="N117" s="4">
        <f t="shared" si="81"/>
        <v>9.0666666666666771</v>
      </c>
      <c r="O117" s="4">
        <f t="shared" si="82"/>
        <v>14.800000000000002</v>
      </c>
      <c r="P117" s="22" t="s">
        <v>0</v>
      </c>
      <c r="Q117" s="2"/>
      <c r="R117" s="2"/>
      <c r="T117" s="19">
        <v>207060</v>
      </c>
      <c r="U117" s="19" t="s">
        <v>67</v>
      </c>
      <c r="V117" s="19">
        <v>6.6210000000000005E-2</v>
      </c>
      <c r="W117" s="21">
        <v>0.42769000000000001</v>
      </c>
      <c r="X117" s="19">
        <v>-1.6285400000000001</v>
      </c>
      <c r="Y117" s="19">
        <v>0.15404999999999999</v>
      </c>
      <c r="Z117" s="19">
        <v>1.6154299999999999</v>
      </c>
      <c r="AA117" s="19">
        <v>1.00709</v>
      </c>
      <c r="AB117" s="19">
        <v>-0.95664000000000005</v>
      </c>
      <c r="AC117" s="19">
        <v>41.250574368779347</v>
      </c>
      <c r="AD117" s="20">
        <v>1.7187739320324729</v>
      </c>
      <c r="AE117" s="23">
        <v>2.3521228448920847E-2</v>
      </c>
      <c r="AF117" s="23">
        <v>1.4257717321902579</v>
      </c>
      <c r="AG117" s="21">
        <v>0.42717720487189287</v>
      </c>
      <c r="AH117" s="19">
        <v>0.29867754317629558</v>
      </c>
      <c r="AI117" s="19">
        <v>0.21438299667807081</v>
      </c>
      <c r="AJ117" s="21">
        <v>9.5952585421610351E-2</v>
      </c>
      <c r="AK117" s="21">
        <v>0.2565302699271832</v>
      </c>
      <c r="AL117" s="19"/>
      <c r="AM117" s="21">
        <v>9.5952585421610351E-2</v>
      </c>
      <c r="AN117" s="21">
        <v>0.2565302699271832</v>
      </c>
      <c r="AO117" s="21">
        <v>0.42717720487189287</v>
      </c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</row>
    <row r="118" spans="1:52" x14ac:dyDescent="0.25">
      <c r="A118" s="7">
        <v>205</v>
      </c>
      <c r="B118" s="5">
        <v>180</v>
      </c>
      <c r="C118" s="6">
        <v>30</v>
      </c>
      <c r="D118" s="5">
        <v>20</v>
      </c>
      <c r="E118" s="4">
        <v>26</v>
      </c>
      <c r="F118" s="4">
        <f t="shared" si="76"/>
        <v>78.800000000000011</v>
      </c>
      <c r="G118" s="4">
        <v>4</v>
      </c>
      <c r="H118" s="4">
        <f t="shared" si="77"/>
        <v>6.1600000000000019</v>
      </c>
      <c r="I118" s="4">
        <v>24</v>
      </c>
      <c r="J118" s="4">
        <f t="shared" si="78"/>
        <v>75.2</v>
      </c>
      <c r="K118" s="4">
        <v>3</v>
      </c>
      <c r="L118" s="4">
        <f t="shared" si="79"/>
        <v>4.4400000000000004</v>
      </c>
      <c r="M118" s="4">
        <f t="shared" si="80"/>
        <v>79.466666666666654</v>
      </c>
      <c r="N118" s="4">
        <f t="shared" si="81"/>
        <v>5.7333333333333485</v>
      </c>
      <c r="O118" s="4">
        <f t="shared" si="82"/>
        <v>14.800000000000002</v>
      </c>
      <c r="P118" s="22" t="s">
        <v>0</v>
      </c>
      <c r="Q118" s="18"/>
      <c r="R118" s="18"/>
      <c r="T118" s="19">
        <v>207090</v>
      </c>
      <c r="U118" s="19" t="s">
        <v>67</v>
      </c>
      <c r="V118" s="19">
        <v>6.4259999999999998E-2</v>
      </c>
      <c r="W118" s="21">
        <v>0.39683000000000002</v>
      </c>
      <c r="X118" s="19">
        <v>-1.67015</v>
      </c>
      <c r="Y118" s="19">
        <v>0.13111</v>
      </c>
      <c r="Z118" s="19">
        <v>1.19299</v>
      </c>
      <c r="AA118" s="19">
        <v>0.87300999999999995</v>
      </c>
      <c r="AB118" s="19">
        <v>-1.16652</v>
      </c>
      <c r="AC118" s="19">
        <v>15.595165932169325</v>
      </c>
      <c r="AD118" s="20">
        <v>0.64979858050705519</v>
      </c>
      <c r="AE118" s="23">
        <v>2.1372237910636926E-2</v>
      </c>
      <c r="AF118" s="23">
        <v>1.3524150654018248</v>
      </c>
      <c r="AG118" s="21">
        <v>0.39635402242256307</v>
      </c>
      <c r="AH118" s="19">
        <v>0.29922658146376313</v>
      </c>
      <c r="AI118" s="19">
        <v>0.22787626328564831</v>
      </c>
      <c r="AJ118" s="21">
        <v>0.10778165737694215</v>
      </c>
      <c r="AK118" s="21">
        <v>0.26355142237470575</v>
      </c>
      <c r="AL118" s="19"/>
      <c r="AM118" s="21">
        <v>0.10778165737694215</v>
      </c>
      <c r="AN118" s="21">
        <v>0.26355142237470575</v>
      </c>
      <c r="AO118" s="21">
        <v>0.39635402242256307</v>
      </c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</row>
    <row r="119" spans="1:52" x14ac:dyDescent="0.25">
      <c r="Q119" s="17"/>
      <c r="R119" s="17"/>
      <c r="T119" s="19">
        <v>207120</v>
      </c>
      <c r="U119" s="19" t="s">
        <v>67</v>
      </c>
      <c r="V119" s="19">
        <v>5.7480000000000003E-2</v>
      </c>
      <c r="W119" s="21">
        <v>0.37961</v>
      </c>
      <c r="X119" s="19">
        <v>-1.58632</v>
      </c>
      <c r="Y119" s="19">
        <v>0.13108</v>
      </c>
      <c r="Z119" s="19">
        <v>1.2678700000000001</v>
      </c>
      <c r="AA119" s="19">
        <v>0.99612000000000001</v>
      </c>
      <c r="AB119" s="19">
        <v>-1.31542</v>
      </c>
      <c r="AC119" s="19">
        <v>18.529768775895594</v>
      </c>
      <c r="AD119" s="20">
        <v>0.7720736989956497</v>
      </c>
      <c r="AE119" s="23">
        <v>2.5922686041616218E-2</v>
      </c>
      <c r="AF119" s="23">
        <v>1.3523216471053414</v>
      </c>
      <c r="AG119" s="21">
        <v>0.37901197067340531</v>
      </c>
      <c r="AH119" s="19">
        <v>0.27361464645409916</v>
      </c>
      <c r="AI119" s="19">
        <v>0.2061561777898949</v>
      </c>
      <c r="AJ119" s="21">
        <v>9.6886068087825544E-2</v>
      </c>
      <c r="AK119" s="21">
        <v>0.23988541212199704</v>
      </c>
      <c r="AL119" s="19"/>
      <c r="AM119" s="21">
        <v>9.6886068087825544E-2</v>
      </c>
      <c r="AN119" s="21">
        <v>0.23988541212199704</v>
      </c>
      <c r="AO119" s="21">
        <v>0.37901197067340531</v>
      </c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</row>
    <row r="120" spans="1:52" ht="51.75" x14ac:dyDescent="0.25">
      <c r="A120" s="8" t="s">
        <v>54</v>
      </c>
      <c r="B120" s="10" t="s">
        <v>53</v>
      </c>
      <c r="C120" s="14" t="s">
        <v>18</v>
      </c>
      <c r="D120" s="13" t="s">
        <v>17</v>
      </c>
      <c r="E120" s="12" t="s">
        <v>16</v>
      </c>
      <c r="F120" s="12" t="s">
        <v>15</v>
      </c>
      <c r="G120" s="12" t="s">
        <v>52</v>
      </c>
      <c r="H120" s="12" t="s">
        <v>51</v>
      </c>
      <c r="I120" s="12" t="s">
        <v>50</v>
      </c>
      <c r="J120" s="12" t="s">
        <v>49</v>
      </c>
      <c r="K120" s="12" t="s">
        <v>48</v>
      </c>
      <c r="L120" s="12" t="s">
        <v>47</v>
      </c>
      <c r="M120" s="11" t="s">
        <v>8</v>
      </c>
      <c r="N120" s="11" t="s">
        <v>7</v>
      </c>
      <c r="O120" s="11" t="s">
        <v>6</v>
      </c>
      <c r="P120" s="10" t="s">
        <v>5</v>
      </c>
      <c r="Q120" s="69" t="s">
        <v>4</v>
      </c>
      <c r="R120" s="70"/>
      <c r="T120" s="19">
        <v>207150</v>
      </c>
      <c r="U120" s="19" t="s">
        <v>67</v>
      </c>
      <c r="V120" s="19">
        <v>5.4379999999999998E-2</v>
      </c>
      <c r="W120" s="21">
        <v>0.37672</v>
      </c>
      <c r="X120" s="19">
        <v>-1.52424</v>
      </c>
      <c r="Y120" s="19">
        <v>0.16238</v>
      </c>
      <c r="Z120" s="19">
        <v>1.5427599999999999</v>
      </c>
      <c r="AA120" s="19">
        <v>1.1371500000000001</v>
      </c>
      <c r="AB120" s="19">
        <v>-1.1402600000000001</v>
      </c>
      <c r="AC120" s="19">
        <v>34.894742671204263</v>
      </c>
      <c r="AD120" s="20">
        <v>1.4539476113001777</v>
      </c>
      <c r="AE120" s="23">
        <v>2.9906115068797114E-2</v>
      </c>
      <c r="AF120" s="23">
        <v>1.4533827456282638</v>
      </c>
      <c r="AG120" s="21">
        <v>0.37610995136040809</v>
      </c>
      <c r="AH120" s="19">
        <v>0.23952800109714428</v>
      </c>
      <c r="AI120" s="19">
        <v>0.16684832984129883</v>
      </c>
      <c r="AJ120" s="21">
        <v>7.4609802529385982E-2</v>
      </c>
      <c r="AK120" s="21">
        <v>0.20318816546922155</v>
      </c>
      <c r="AL120" s="19"/>
      <c r="AM120" s="21">
        <v>7.4609802529385982E-2</v>
      </c>
      <c r="AN120" s="21">
        <v>0.20318816546922155</v>
      </c>
      <c r="AO120" s="21">
        <v>0.37610995136040809</v>
      </c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</row>
    <row r="121" spans="1:52" x14ac:dyDescent="0.25">
      <c r="A121" s="8"/>
      <c r="B121" s="10"/>
      <c r="C121" s="14"/>
      <c r="D121" s="13"/>
      <c r="E121" s="12"/>
      <c r="F121" s="12"/>
      <c r="G121" s="12"/>
      <c r="H121" s="12"/>
      <c r="I121" s="12"/>
      <c r="J121" s="12"/>
      <c r="K121" s="12"/>
      <c r="L121" s="12"/>
      <c r="M121" s="11"/>
      <c r="N121" s="11"/>
      <c r="O121" s="11"/>
      <c r="P121" s="10"/>
      <c r="Q121" s="9" t="s">
        <v>3</v>
      </c>
      <c r="R121" s="9" t="s">
        <v>2</v>
      </c>
      <c r="T121" s="19">
        <v>207180</v>
      </c>
      <c r="U121" s="19" t="s">
        <v>67</v>
      </c>
      <c r="V121" s="19">
        <v>5.4260000000000003E-2</v>
      </c>
      <c r="W121" s="21">
        <v>0.37605</v>
      </c>
      <c r="X121" s="19">
        <v>-1.5162800000000001</v>
      </c>
      <c r="Y121" s="19">
        <v>0.17849000000000001</v>
      </c>
      <c r="Z121" s="19">
        <v>1.6370899999999999</v>
      </c>
      <c r="AA121" s="19">
        <v>1.16879</v>
      </c>
      <c r="AB121" s="19">
        <v>-1.0753699999999999</v>
      </c>
      <c r="AC121" s="19">
        <v>43.360072530857586</v>
      </c>
      <c r="AD121" s="20">
        <v>1.8066696887857328</v>
      </c>
      <c r="AE121" s="23">
        <v>3.0459305724302371E-2</v>
      </c>
      <c r="AF121" s="23">
        <v>1.5083078800682295</v>
      </c>
      <c r="AG121" s="21">
        <v>0.37549191993614284</v>
      </c>
      <c r="AH121" s="19">
        <v>0.22671664135267017</v>
      </c>
      <c r="AI121" s="19">
        <v>0.15237898658595561</v>
      </c>
      <c r="AJ121" s="21">
        <v>6.8567220774886875E-2</v>
      </c>
      <c r="AK121" s="21">
        <v>0.18954781396931289</v>
      </c>
      <c r="AL121" s="19"/>
      <c r="AM121" s="21">
        <v>6.8567220774886875E-2</v>
      </c>
      <c r="AN121" s="21">
        <v>0.18954781396931289</v>
      </c>
      <c r="AO121" s="21">
        <v>0.37549191993614284</v>
      </c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</row>
    <row r="122" spans="1:52" x14ac:dyDescent="0.25">
      <c r="A122" s="7">
        <v>206</v>
      </c>
      <c r="B122" s="5">
        <v>30</v>
      </c>
      <c r="C122" s="6">
        <v>30</v>
      </c>
      <c r="D122" s="5">
        <v>20</v>
      </c>
      <c r="E122" s="4">
        <v>24</v>
      </c>
      <c r="F122" s="4">
        <f t="shared" ref="F122:F127" si="83">1.8*E122+32</f>
        <v>75.2</v>
      </c>
      <c r="G122" s="4">
        <v>8</v>
      </c>
      <c r="H122" s="4">
        <f t="shared" ref="H122:H127" si="84">IF(F122&gt;68,G122+(F122-68)*0.2,BJ151-(68-F122)*0.2)</f>
        <v>9.4400000000000013</v>
      </c>
      <c r="I122" s="4">
        <v>23</v>
      </c>
      <c r="J122" s="4">
        <f t="shared" ref="J122:J127" si="85">1.8*I122+32</f>
        <v>73.400000000000006</v>
      </c>
      <c r="K122" s="4">
        <v>4</v>
      </c>
      <c r="L122" s="4">
        <f t="shared" ref="L122:L127" si="86">IF(J122&gt;68,K122+(J122-68)*0.2,K122-(68-J122)*0.2)</f>
        <v>5.080000000000001</v>
      </c>
      <c r="M122" s="4">
        <f t="shared" ref="M122:M127" si="87">(C122-H122)/C122*100</f>
        <v>68.533333333333317</v>
      </c>
      <c r="N122" s="4">
        <f t="shared" ref="N122:N127" si="88">100-(M122+O122)</f>
        <v>14.533333333333346</v>
      </c>
      <c r="O122" s="4">
        <f t="shared" ref="O122:O127" si="89">L122/C122*100</f>
        <v>16.933333333333337</v>
      </c>
      <c r="P122" s="22" t="s">
        <v>0</v>
      </c>
      <c r="Q122" s="2"/>
      <c r="R122" s="2"/>
      <c r="T122" s="19">
        <v>207210</v>
      </c>
      <c r="U122" s="19" t="s">
        <v>67</v>
      </c>
      <c r="V122" s="19">
        <v>5.4260000000000003E-2</v>
      </c>
      <c r="W122" s="21">
        <v>0.37605</v>
      </c>
      <c r="X122" s="19">
        <v>-1.5162800000000001</v>
      </c>
      <c r="Y122" s="19">
        <v>0.17849000000000001</v>
      </c>
      <c r="Z122" s="19">
        <v>1.6370899999999999</v>
      </c>
      <c r="AA122" s="19">
        <v>1.16879</v>
      </c>
      <c r="AB122" s="19">
        <v>-1.0753699999999999</v>
      </c>
      <c r="AC122" s="19">
        <v>43.360072530857586</v>
      </c>
      <c r="AD122" s="20">
        <v>1.8066696887857328</v>
      </c>
      <c r="AE122" s="23">
        <v>3.0459305724302371E-2</v>
      </c>
      <c r="AF122" s="23">
        <v>1.5083078800682295</v>
      </c>
      <c r="AG122" s="21">
        <v>0.37549191993614284</v>
      </c>
      <c r="AH122" s="19">
        <v>0.22671664135267017</v>
      </c>
      <c r="AI122" s="19">
        <v>0.15237898658595561</v>
      </c>
      <c r="AJ122" s="21">
        <v>6.8567220774886875E-2</v>
      </c>
      <c r="AK122" s="21">
        <v>0.18954781396931289</v>
      </c>
      <c r="AL122" s="19"/>
      <c r="AM122" s="21">
        <v>6.8567220774886875E-2</v>
      </c>
      <c r="AN122" s="21">
        <v>0.18954781396931289</v>
      </c>
      <c r="AO122" s="21">
        <v>0.37549191993614284</v>
      </c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</row>
    <row r="123" spans="1:52" x14ac:dyDescent="0.25">
      <c r="A123" s="7">
        <v>206</v>
      </c>
      <c r="B123" s="5">
        <v>60</v>
      </c>
      <c r="C123" s="6">
        <v>30</v>
      </c>
      <c r="D123" s="5">
        <v>20</v>
      </c>
      <c r="E123" s="4">
        <v>24</v>
      </c>
      <c r="F123" s="4">
        <f t="shared" si="83"/>
        <v>75.2</v>
      </c>
      <c r="G123" s="4">
        <v>7</v>
      </c>
      <c r="H123" s="4">
        <f t="shared" si="84"/>
        <v>8.4400000000000013</v>
      </c>
      <c r="I123" s="4">
        <v>23</v>
      </c>
      <c r="J123" s="4">
        <f t="shared" si="85"/>
        <v>73.400000000000006</v>
      </c>
      <c r="K123" s="4">
        <v>4</v>
      </c>
      <c r="L123" s="4">
        <f t="shared" si="86"/>
        <v>5.080000000000001</v>
      </c>
      <c r="M123" s="4">
        <f t="shared" si="87"/>
        <v>71.866666666666674</v>
      </c>
      <c r="N123" s="4">
        <f t="shared" si="88"/>
        <v>11.199999999999989</v>
      </c>
      <c r="O123" s="4">
        <f t="shared" si="89"/>
        <v>16.933333333333337</v>
      </c>
      <c r="P123" s="22" t="s">
        <v>0</v>
      </c>
      <c r="Q123" s="2"/>
      <c r="R123" s="2"/>
      <c r="T123" s="19">
        <v>208030</v>
      </c>
      <c r="U123" s="19" t="s">
        <v>67</v>
      </c>
      <c r="V123" s="19">
        <v>5.5500000000000001E-2</v>
      </c>
      <c r="W123" s="21">
        <v>0.39903</v>
      </c>
      <c r="X123" s="19">
        <v>-1.59287</v>
      </c>
      <c r="Y123" s="19">
        <v>0.15587999999999999</v>
      </c>
      <c r="Z123" s="19">
        <v>1.5225900000000001</v>
      </c>
      <c r="AA123" s="19">
        <v>1.07342</v>
      </c>
      <c r="AB123" s="19">
        <v>-0.99936999999999998</v>
      </c>
      <c r="AC123" s="19">
        <v>33.311178679754761</v>
      </c>
      <c r="AD123" s="20">
        <v>1.387965778323115</v>
      </c>
      <c r="AE123" s="23">
        <v>2.5534655325919579E-2</v>
      </c>
      <c r="AF123" s="23">
        <v>1.4317922257995035</v>
      </c>
      <c r="AG123" s="21">
        <v>0.39848896795257832</v>
      </c>
      <c r="AH123" s="19">
        <v>0.26918246670011703</v>
      </c>
      <c r="AI123" s="19">
        <v>0.18996447114294981</v>
      </c>
      <c r="AJ123" s="21">
        <v>8.1834410451123121E-2</v>
      </c>
      <c r="AK123" s="21">
        <v>0.22957346892153341</v>
      </c>
      <c r="AL123" s="19"/>
      <c r="AM123" s="21">
        <v>8.1834410451123121E-2</v>
      </c>
      <c r="AN123" s="21">
        <v>0.22957346892153341</v>
      </c>
      <c r="AO123" s="21">
        <v>0.39848896795257832</v>
      </c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</row>
    <row r="124" spans="1:52" x14ac:dyDescent="0.25">
      <c r="A124" s="7">
        <v>206</v>
      </c>
      <c r="B124" s="5">
        <v>90</v>
      </c>
      <c r="C124" s="6">
        <v>30</v>
      </c>
      <c r="D124" s="5">
        <v>20</v>
      </c>
      <c r="E124" s="4">
        <v>24.5</v>
      </c>
      <c r="F124" s="4">
        <f t="shared" si="83"/>
        <v>76.099999999999994</v>
      </c>
      <c r="G124" s="4">
        <v>8</v>
      </c>
      <c r="H124" s="4">
        <f t="shared" si="84"/>
        <v>9.6199999999999992</v>
      </c>
      <c r="I124" s="4">
        <v>23.5</v>
      </c>
      <c r="J124" s="4">
        <f t="shared" si="85"/>
        <v>74.300000000000011</v>
      </c>
      <c r="K124" s="4">
        <v>5</v>
      </c>
      <c r="L124" s="4">
        <f t="shared" si="86"/>
        <v>6.2600000000000025</v>
      </c>
      <c r="M124" s="4">
        <f t="shared" si="87"/>
        <v>67.933333333333351</v>
      </c>
      <c r="N124" s="4">
        <f t="shared" si="88"/>
        <v>11.199999999999974</v>
      </c>
      <c r="O124" s="4">
        <f t="shared" si="89"/>
        <v>20.866666666666674</v>
      </c>
      <c r="P124" s="22" t="s">
        <v>1</v>
      </c>
      <c r="Q124" s="2"/>
      <c r="R124" s="2"/>
      <c r="T124" s="19">
        <v>208045</v>
      </c>
      <c r="U124" s="19" t="s">
        <v>67</v>
      </c>
      <c r="V124" s="19">
        <v>5.8950000000000002E-2</v>
      </c>
      <c r="W124" s="21">
        <v>0.42493999999999998</v>
      </c>
      <c r="X124" s="19">
        <v>-1.60615</v>
      </c>
      <c r="Y124" s="19">
        <v>0.16417000000000001</v>
      </c>
      <c r="Z124" s="19">
        <v>1.7070099999999999</v>
      </c>
      <c r="AA124" s="19">
        <v>1.09754</v>
      </c>
      <c r="AB124" s="19">
        <v>-0.86580000000000001</v>
      </c>
      <c r="AC124" s="19">
        <v>50.934259896892854</v>
      </c>
      <c r="AD124" s="20">
        <v>2.1222608290372023</v>
      </c>
      <c r="AE124" s="23">
        <v>2.4765665341206226E-2</v>
      </c>
      <c r="AF124" s="23">
        <v>1.4593854095279915</v>
      </c>
      <c r="AG124" s="21">
        <v>0.42441977157630445</v>
      </c>
      <c r="AH124" s="19">
        <v>0.28296326359298973</v>
      </c>
      <c r="AI124" s="19">
        <v>0.1958453243715938</v>
      </c>
      <c r="AJ124" s="21">
        <v>8.3096346208055824E-2</v>
      </c>
      <c r="AK124" s="21">
        <v>0.23940429398229177</v>
      </c>
      <c r="AL124" s="19"/>
      <c r="AM124" s="21">
        <v>8.3096346208055824E-2</v>
      </c>
      <c r="AN124" s="21">
        <v>0.23940429398229177</v>
      </c>
      <c r="AO124" s="21">
        <v>0.42441977157630445</v>
      </c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</row>
    <row r="125" spans="1:52" x14ac:dyDescent="0.25">
      <c r="A125" s="7">
        <v>206</v>
      </c>
      <c r="B125" s="5">
        <v>120</v>
      </c>
      <c r="C125" s="6">
        <v>30</v>
      </c>
      <c r="D125" s="5">
        <v>20</v>
      </c>
      <c r="E125" s="4">
        <v>24</v>
      </c>
      <c r="F125" s="4">
        <f t="shared" si="83"/>
        <v>75.2</v>
      </c>
      <c r="G125" s="4">
        <v>7</v>
      </c>
      <c r="H125" s="4">
        <f t="shared" si="84"/>
        <v>8.4400000000000013</v>
      </c>
      <c r="I125" s="4">
        <v>23</v>
      </c>
      <c r="J125" s="4">
        <f t="shared" si="85"/>
        <v>73.400000000000006</v>
      </c>
      <c r="K125" s="4">
        <v>3</v>
      </c>
      <c r="L125" s="4">
        <f t="shared" si="86"/>
        <v>4.080000000000001</v>
      </c>
      <c r="M125" s="4">
        <f t="shared" si="87"/>
        <v>71.866666666666674</v>
      </c>
      <c r="N125" s="4">
        <f t="shared" si="88"/>
        <v>14.533333333333317</v>
      </c>
      <c r="O125" s="4">
        <f t="shared" si="89"/>
        <v>13.600000000000003</v>
      </c>
      <c r="P125" s="22" t="s">
        <v>0</v>
      </c>
      <c r="Q125" s="2"/>
      <c r="R125" s="2"/>
      <c r="T125" s="19">
        <v>208060</v>
      </c>
      <c r="U125" s="19" t="s">
        <v>67</v>
      </c>
      <c r="V125" s="19">
        <v>5.9979999999999999E-2</v>
      </c>
      <c r="W125" s="21">
        <v>0.42216999999999999</v>
      </c>
      <c r="X125" s="19">
        <v>-1.59398</v>
      </c>
      <c r="Y125" s="19">
        <v>0.16561000000000001</v>
      </c>
      <c r="Z125" s="19">
        <v>1.7025300000000001</v>
      </c>
      <c r="AA125" s="19">
        <v>1.1039399999999999</v>
      </c>
      <c r="AB125" s="19">
        <v>-0.90156999999999998</v>
      </c>
      <c r="AC125" s="19">
        <v>50.411544096093664</v>
      </c>
      <c r="AD125" s="20">
        <v>2.1004810040039028</v>
      </c>
      <c r="AE125" s="23">
        <v>2.5469475411531693E-2</v>
      </c>
      <c r="AF125" s="23">
        <v>1.4642323577431158</v>
      </c>
      <c r="AG125" s="21">
        <v>0.42163938206417145</v>
      </c>
      <c r="AH125" s="19">
        <v>0.27837437284063893</v>
      </c>
      <c r="AI125" s="19">
        <v>0.19242132364195572</v>
      </c>
      <c r="AJ125" s="21">
        <v>8.2899970318519381E-2</v>
      </c>
      <c r="AK125" s="21">
        <v>0.23539784824129734</v>
      </c>
      <c r="AL125" s="19"/>
      <c r="AM125" s="21">
        <v>8.2899970318519381E-2</v>
      </c>
      <c r="AN125" s="21">
        <v>0.23539784824129734</v>
      </c>
      <c r="AO125" s="21">
        <v>0.42163938206417145</v>
      </c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</row>
    <row r="126" spans="1:52" x14ac:dyDescent="0.25">
      <c r="A126" s="7">
        <v>206</v>
      </c>
      <c r="B126" s="5">
        <v>150</v>
      </c>
      <c r="C126" s="6">
        <v>30</v>
      </c>
      <c r="D126" s="5">
        <v>20</v>
      </c>
      <c r="E126" s="4">
        <v>25</v>
      </c>
      <c r="F126" s="4">
        <f t="shared" si="83"/>
        <v>77</v>
      </c>
      <c r="G126" s="4">
        <v>9</v>
      </c>
      <c r="H126" s="4">
        <f t="shared" si="84"/>
        <v>10.8</v>
      </c>
      <c r="I126" s="4">
        <v>23</v>
      </c>
      <c r="J126" s="4">
        <f t="shared" si="85"/>
        <v>73.400000000000006</v>
      </c>
      <c r="K126" s="4">
        <v>3</v>
      </c>
      <c r="L126" s="4">
        <f t="shared" si="86"/>
        <v>4.080000000000001</v>
      </c>
      <c r="M126" s="4">
        <f t="shared" si="87"/>
        <v>64</v>
      </c>
      <c r="N126" s="4">
        <f t="shared" si="88"/>
        <v>22.399999999999991</v>
      </c>
      <c r="O126" s="4">
        <f t="shared" si="89"/>
        <v>13.600000000000003</v>
      </c>
      <c r="P126" s="22" t="s">
        <v>0</v>
      </c>
      <c r="Q126" s="2"/>
      <c r="R126" s="2"/>
      <c r="T126" s="19">
        <v>208090</v>
      </c>
      <c r="U126" s="19" t="s">
        <v>67</v>
      </c>
      <c r="V126" s="19">
        <v>6.5000000000000002E-2</v>
      </c>
      <c r="W126" s="21">
        <v>0.39895999999999998</v>
      </c>
      <c r="X126" s="19">
        <v>-1.63215</v>
      </c>
      <c r="Y126" s="19">
        <v>0.12928000000000001</v>
      </c>
      <c r="Z126" s="19">
        <v>1.2905899999999999</v>
      </c>
      <c r="AA126" s="19">
        <v>0.91874999999999996</v>
      </c>
      <c r="AB126" s="19">
        <v>-1.2599499999999999</v>
      </c>
      <c r="AC126" s="19">
        <v>19.524953129150294</v>
      </c>
      <c r="AD126" s="20">
        <v>0.81353971371459555</v>
      </c>
      <c r="AE126" s="23">
        <v>2.3326522535848444E-2</v>
      </c>
      <c r="AF126" s="23">
        <v>1.3467283420689387</v>
      </c>
      <c r="AG126" s="21">
        <v>0.39841723059157297</v>
      </c>
      <c r="AH126" s="19">
        <v>0.29681494692268895</v>
      </c>
      <c r="AI126" s="19">
        <v>0.2264906404588681</v>
      </c>
      <c r="AJ126" s="21">
        <v>0.10881229446919105</v>
      </c>
      <c r="AK126" s="21">
        <v>0.26165279369077854</v>
      </c>
      <c r="AL126" s="19"/>
      <c r="AM126" s="21">
        <v>0.10881229446919105</v>
      </c>
      <c r="AN126" s="21">
        <v>0.26165279369077854</v>
      </c>
      <c r="AO126" s="21">
        <v>0.39841723059157297</v>
      </c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</row>
    <row r="127" spans="1:52" x14ac:dyDescent="0.25">
      <c r="A127" s="7">
        <v>206</v>
      </c>
      <c r="B127" s="5">
        <v>180</v>
      </c>
      <c r="C127" s="6">
        <v>30</v>
      </c>
      <c r="D127" s="5">
        <v>20</v>
      </c>
      <c r="E127" s="4">
        <v>25</v>
      </c>
      <c r="F127" s="4">
        <f t="shared" si="83"/>
        <v>77</v>
      </c>
      <c r="G127" s="4">
        <v>6</v>
      </c>
      <c r="H127" s="4">
        <f t="shared" si="84"/>
        <v>7.8</v>
      </c>
      <c r="I127" s="4">
        <v>23.5</v>
      </c>
      <c r="J127" s="4">
        <f t="shared" si="85"/>
        <v>74.300000000000011</v>
      </c>
      <c r="K127" s="4">
        <v>4</v>
      </c>
      <c r="L127" s="4">
        <f t="shared" si="86"/>
        <v>5.2600000000000025</v>
      </c>
      <c r="M127" s="4">
        <f t="shared" si="87"/>
        <v>74</v>
      </c>
      <c r="N127" s="4">
        <f t="shared" si="88"/>
        <v>8.4666666666666544</v>
      </c>
      <c r="O127" s="4">
        <f t="shared" si="89"/>
        <v>17.533333333333342</v>
      </c>
      <c r="P127" s="22" t="s">
        <v>0</v>
      </c>
      <c r="Q127" s="18"/>
      <c r="R127" s="18"/>
      <c r="T127" s="19">
        <v>208120</v>
      </c>
      <c r="U127" s="19" t="s">
        <v>67</v>
      </c>
      <c r="V127" s="19">
        <v>5.765E-2</v>
      </c>
      <c r="W127" s="21">
        <v>0.37980999999999998</v>
      </c>
      <c r="X127" s="19">
        <v>-1.5604199999999999</v>
      </c>
      <c r="Y127" s="19">
        <v>0.14000000000000001</v>
      </c>
      <c r="Z127" s="19">
        <v>1.3871100000000001</v>
      </c>
      <c r="AA127" s="19">
        <v>1.0420799999999999</v>
      </c>
      <c r="AB127" s="19">
        <v>-1.2694399999999999</v>
      </c>
      <c r="AC127" s="19">
        <v>24.384283559252449</v>
      </c>
      <c r="AD127" s="20">
        <v>1.016011814968852</v>
      </c>
      <c r="AE127" s="23">
        <v>2.7515664155748229E-2</v>
      </c>
      <c r="AF127" s="23">
        <v>1.380384264602885</v>
      </c>
      <c r="AG127" s="21">
        <v>0.37919001969796956</v>
      </c>
      <c r="AH127" s="19">
        <v>0.26391089614891522</v>
      </c>
      <c r="AI127" s="19">
        <v>0.19462361002087702</v>
      </c>
      <c r="AJ127" s="21">
        <v>9.0239830191982812E-2</v>
      </c>
      <c r="AK127" s="21">
        <v>0.22926725308489612</v>
      </c>
      <c r="AL127" s="19"/>
      <c r="AM127" s="21">
        <v>9.0239830191982812E-2</v>
      </c>
      <c r="AN127" s="21">
        <v>0.22926725308489612</v>
      </c>
      <c r="AO127" s="21">
        <v>0.37919001969796956</v>
      </c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</row>
    <row r="128" spans="1:52" x14ac:dyDescent="0.25">
      <c r="Q128" s="17"/>
      <c r="R128" s="17"/>
      <c r="T128" s="19">
        <v>208150</v>
      </c>
      <c r="U128" s="19" t="s">
        <v>67</v>
      </c>
      <c r="V128" s="19">
        <v>4.8689999999999997E-2</v>
      </c>
      <c r="W128" s="21">
        <v>0.37197999999999998</v>
      </c>
      <c r="X128" s="19">
        <v>-1.4914799999999999</v>
      </c>
      <c r="Y128" s="19">
        <v>0.15959999999999999</v>
      </c>
      <c r="Z128" s="19">
        <v>1.5225299999999999</v>
      </c>
      <c r="AA128" s="19">
        <v>1.2034800000000001</v>
      </c>
      <c r="AB128" s="19">
        <v>-1.15883</v>
      </c>
      <c r="AC128" s="19">
        <v>33.306576888235078</v>
      </c>
      <c r="AD128" s="20">
        <v>1.3877740370097948</v>
      </c>
      <c r="AE128" s="23">
        <v>3.2249278293116961E-2</v>
      </c>
      <c r="AF128" s="23">
        <v>1.4441090844161215</v>
      </c>
      <c r="AG128" s="21">
        <v>0.37128555796031582</v>
      </c>
      <c r="AH128" s="19">
        <v>0.23114532970837603</v>
      </c>
      <c r="AI128" s="19">
        <v>0.16023931499349328</v>
      </c>
      <c r="AJ128" s="21">
        <v>6.9454156347037332E-2</v>
      </c>
      <c r="AK128" s="21">
        <v>0.19569232235093464</v>
      </c>
      <c r="AL128" s="19"/>
      <c r="AM128" s="21">
        <v>6.9454156347037332E-2</v>
      </c>
      <c r="AN128" s="21">
        <v>0.19569232235093464</v>
      </c>
      <c r="AO128" s="21">
        <v>0.37128555796031582</v>
      </c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</row>
    <row r="129" spans="1:52" ht="51.75" x14ac:dyDescent="0.25">
      <c r="A129" s="8" t="s">
        <v>54</v>
      </c>
      <c r="B129" s="10" t="s">
        <v>53</v>
      </c>
      <c r="C129" s="14" t="s">
        <v>18</v>
      </c>
      <c r="D129" s="13" t="s">
        <v>17</v>
      </c>
      <c r="E129" s="12" t="s">
        <v>16</v>
      </c>
      <c r="F129" s="12" t="s">
        <v>15</v>
      </c>
      <c r="G129" s="12" t="s">
        <v>52</v>
      </c>
      <c r="H129" s="12" t="s">
        <v>51</v>
      </c>
      <c r="I129" s="12" t="s">
        <v>50</v>
      </c>
      <c r="J129" s="12" t="s">
        <v>49</v>
      </c>
      <c r="K129" s="12" t="s">
        <v>48</v>
      </c>
      <c r="L129" s="12" t="s">
        <v>47</v>
      </c>
      <c r="M129" s="11" t="s">
        <v>8</v>
      </c>
      <c r="N129" s="11" t="s">
        <v>7</v>
      </c>
      <c r="O129" s="11" t="s">
        <v>6</v>
      </c>
      <c r="P129" s="10" t="s">
        <v>5</v>
      </c>
      <c r="Q129" s="67" t="s">
        <v>4</v>
      </c>
      <c r="R129" s="68"/>
      <c r="T129" s="19">
        <v>208180</v>
      </c>
      <c r="U129" s="19" t="s">
        <v>67</v>
      </c>
      <c r="V129" s="19">
        <v>5.799E-2</v>
      </c>
      <c r="W129" s="21">
        <v>0.37890000000000001</v>
      </c>
      <c r="X129" s="19">
        <v>-1.5481</v>
      </c>
      <c r="Y129" s="19">
        <v>0.16120000000000001</v>
      </c>
      <c r="Z129" s="19">
        <v>1.5436399999999999</v>
      </c>
      <c r="AA129" s="19">
        <v>1.0842799999999999</v>
      </c>
      <c r="AB129" s="19">
        <v>-1.14273</v>
      </c>
      <c r="AC129" s="19">
        <v>34.965520695436723</v>
      </c>
      <c r="AD129" s="20">
        <v>1.4568966956431968</v>
      </c>
      <c r="AE129" s="23">
        <v>2.830740118752182E-2</v>
      </c>
      <c r="AF129" s="23">
        <v>1.449439191287786</v>
      </c>
      <c r="AG129" s="21">
        <v>0.37833459584379941</v>
      </c>
      <c r="AH129" s="19">
        <v>0.24694527563683366</v>
      </c>
      <c r="AI129" s="19">
        <v>0.17369739595876504</v>
      </c>
      <c r="AJ129" s="21">
        <v>7.9136577394634644E-2</v>
      </c>
      <c r="AK129" s="21">
        <v>0.21032133579779935</v>
      </c>
      <c r="AL129" s="19"/>
      <c r="AM129" s="21">
        <v>7.9136577394634644E-2</v>
      </c>
      <c r="AN129" s="21">
        <v>0.21032133579779935</v>
      </c>
      <c r="AO129" s="21">
        <v>0.37833459584379941</v>
      </c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</row>
    <row r="130" spans="1:52" x14ac:dyDescent="0.25">
      <c r="A130" s="8"/>
      <c r="B130" s="10"/>
      <c r="C130" s="14"/>
      <c r="D130" s="13"/>
      <c r="E130" s="12"/>
      <c r="F130" s="12"/>
      <c r="G130" s="12"/>
      <c r="H130" s="12"/>
      <c r="I130" s="12"/>
      <c r="J130" s="12"/>
      <c r="K130" s="12"/>
      <c r="L130" s="12"/>
      <c r="M130" s="11"/>
      <c r="N130" s="11"/>
      <c r="O130" s="11"/>
      <c r="P130" s="10"/>
      <c r="Q130" s="9" t="s">
        <v>3</v>
      </c>
      <c r="R130" s="9" t="s">
        <v>2</v>
      </c>
      <c r="T130" s="19">
        <v>208210</v>
      </c>
      <c r="U130" s="19" t="s">
        <v>67</v>
      </c>
      <c r="V130" s="19">
        <v>5.799E-2</v>
      </c>
      <c r="W130" s="21">
        <v>0.37890000000000001</v>
      </c>
      <c r="X130" s="19">
        <v>-1.5481</v>
      </c>
      <c r="Y130" s="19">
        <v>0.16120000000000001</v>
      </c>
      <c r="Z130" s="19">
        <v>1.5436399999999999</v>
      </c>
      <c r="AA130" s="19">
        <v>1.0842799999999999</v>
      </c>
      <c r="AB130" s="19">
        <v>-1.14273</v>
      </c>
      <c r="AC130" s="19">
        <v>34.965520695436723</v>
      </c>
      <c r="AD130" s="20">
        <v>1.4568966956431968</v>
      </c>
      <c r="AE130" s="23">
        <v>2.830740118752182E-2</v>
      </c>
      <c r="AF130" s="23">
        <v>1.449439191287786</v>
      </c>
      <c r="AG130" s="21">
        <v>0.37833459584379941</v>
      </c>
      <c r="AH130" s="19">
        <v>0.24694527563683366</v>
      </c>
      <c r="AI130" s="19">
        <v>0.17369739595876504</v>
      </c>
      <c r="AJ130" s="21">
        <v>7.9136577394634644E-2</v>
      </c>
      <c r="AK130" s="21">
        <v>0.21032133579779935</v>
      </c>
      <c r="AL130" s="19"/>
      <c r="AM130" s="21">
        <v>7.9136577394634644E-2</v>
      </c>
      <c r="AN130" s="21">
        <v>0.21032133579779935</v>
      </c>
      <c r="AO130" s="21">
        <v>0.37833459584379941</v>
      </c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</row>
    <row r="131" spans="1:52" x14ac:dyDescent="0.25">
      <c r="A131" s="7">
        <v>207</v>
      </c>
      <c r="B131" s="5">
        <v>30</v>
      </c>
      <c r="C131" s="6">
        <v>30</v>
      </c>
      <c r="D131" s="5">
        <v>20</v>
      </c>
      <c r="E131" s="4">
        <v>25</v>
      </c>
      <c r="F131" s="4">
        <f t="shared" ref="F131:F136" si="90">1.8*E131+32</f>
        <v>77</v>
      </c>
      <c r="G131" s="4">
        <v>7</v>
      </c>
      <c r="H131" s="4">
        <f t="shared" ref="H131:H136" si="91">IF(F131&gt;68,G131+(F131-68)*0.2,AR151-(68-F131)*0.2)</f>
        <v>8.8000000000000007</v>
      </c>
      <c r="I131" s="4">
        <v>23.5</v>
      </c>
      <c r="J131" s="4">
        <f t="shared" ref="J131:J136" si="92">1.8*I131+32</f>
        <v>74.300000000000011</v>
      </c>
      <c r="K131" s="4">
        <v>4</v>
      </c>
      <c r="L131" s="4">
        <f t="shared" ref="L131:L136" si="93">IF(J131&gt;68,K131+(J131-68)*0.2,K131-(68-J131)*0.2)</f>
        <v>5.2600000000000025</v>
      </c>
      <c r="M131" s="4">
        <f t="shared" ref="M131:M136" si="94">(C131-H131)/C131*100</f>
        <v>70.666666666666671</v>
      </c>
      <c r="N131" s="4">
        <f t="shared" ref="N131:N136" si="95">100-(M131+O131)</f>
        <v>11.799999999999983</v>
      </c>
      <c r="O131" s="4">
        <f t="shared" ref="O131:O136" si="96">L131/C131*100</f>
        <v>17.533333333333342</v>
      </c>
      <c r="P131" s="22" t="s">
        <v>0</v>
      </c>
      <c r="Q131" s="2"/>
      <c r="R131" s="2"/>
      <c r="T131" s="19">
        <v>301030</v>
      </c>
      <c r="U131" s="19" t="s">
        <v>67</v>
      </c>
      <c r="V131" s="19">
        <v>6.7040000000000002E-2</v>
      </c>
      <c r="W131" s="21">
        <v>0.41033999999999998</v>
      </c>
      <c r="X131" s="19">
        <v>-1.60412</v>
      </c>
      <c r="Y131" s="19">
        <v>0.15723000000000001</v>
      </c>
      <c r="Z131" s="19">
        <v>1.6149199999999999</v>
      </c>
      <c r="AA131" s="19">
        <v>1.00404</v>
      </c>
      <c r="AB131" s="19">
        <v>-1.05697</v>
      </c>
      <c r="AC131" s="19">
        <v>41.20216149202313</v>
      </c>
      <c r="AD131" s="20">
        <v>1.7167567288342971</v>
      </c>
      <c r="AE131" s="23">
        <v>2.4881697165912885E-2</v>
      </c>
      <c r="AF131" s="23">
        <v>1.4362498621065425</v>
      </c>
      <c r="AG131" s="21">
        <v>0.4098237513685421</v>
      </c>
      <c r="AH131" s="19">
        <v>0.28154536618374032</v>
      </c>
      <c r="AI131" s="19">
        <v>0.20158667302869882</v>
      </c>
      <c r="AJ131" s="21">
        <v>9.2959404074234947E-2</v>
      </c>
      <c r="AK131" s="21">
        <v>0.24156601960621957</v>
      </c>
      <c r="AL131" s="19"/>
      <c r="AM131" s="21">
        <v>9.2959404074234947E-2</v>
      </c>
      <c r="AN131" s="21">
        <v>0.24156601960621957</v>
      </c>
      <c r="AO131" s="21">
        <v>0.4098237513685421</v>
      </c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</row>
    <row r="132" spans="1:52" x14ac:dyDescent="0.25">
      <c r="A132" s="7">
        <v>207</v>
      </c>
      <c r="B132" s="5">
        <v>60</v>
      </c>
      <c r="C132" s="6">
        <v>30</v>
      </c>
      <c r="D132" s="5">
        <v>20</v>
      </c>
      <c r="E132" s="4">
        <v>25.5</v>
      </c>
      <c r="F132" s="4">
        <f t="shared" si="90"/>
        <v>77.900000000000006</v>
      </c>
      <c r="G132" s="4">
        <v>8</v>
      </c>
      <c r="H132" s="4">
        <f t="shared" si="91"/>
        <v>9.98</v>
      </c>
      <c r="I132" s="4">
        <v>24</v>
      </c>
      <c r="J132" s="4">
        <f t="shared" si="92"/>
        <v>75.2</v>
      </c>
      <c r="K132" s="4">
        <v>5</v>
      </c>
      <c r="L132" s="4">
        <f t="shared" si="93"/>
        <v>6.44</v>
      </c>
      <c r="M132" s="4">
        <f t="shared" si="94"/>
        <v>66.733333333333334</v>
      </c>
      <c r="N132" s="4">
        <f t="shared" si="95"/>
        <v>11.799999999999997</v>
      </c>
      <c r="O132" s="4">
        <f t="shared" si="96"/>
        <v>21.466666666666669</v>
      </c>
      <c r="P132" s="22" t="s">
        <v>1</v>
      </c>
      <c r="Q132" s="2"/>
      <c r="R132" s="2"/>
      <c r="T132" s="19">
        <v>301045</v>
      </c>
      <c r="U132" s="19" t="s">
        <v>67</v>
      </c>
      <c r="V132" s="19">
        <v>7.3330000000000006E-2</v>
      </c>
      <c r="W132" s="21">
        <v>0.43953999999999999</v>
      </c>
      <c r="X132" s="19">
        <v>-1.6517599999999999</v>
      </c>
      <c r="Y132" s="19">
        <v>0.14047999999999999</v>
      </c>
      <c r="Z132" s="19">
        <v>1.5603499999999999</v>
      </c>
      <c r="AA132" s="19">
        <v>0.92771999999999999</v>
      </c>
      <c r="AB132" s="19">
        <v>-1.04993</v>
      </c>
      <c r="AC132" s="19">
        <v>36.337077904898365</v>
      </c>
      <c r="AD132" s="20">
        <v>1.5140449127040985</v>
      </c>
      <c r="AE132" s="23">
        <v>2.2296669683764512E-2</v>
      </c>
      <c r="AF132" s="23">
        <v>1.3819107650933717</v>
      </c>
      <c r="AG132" s="21">
        <v>0.43901375914594343</v>
      </c>
      <c r="AH132" s="19">
        <v>0.32249573385772412</v>
      </c>
      <c r="AI132" s="19">
        <v>0.24079162362629589</v>
      </c>
      <c r="AJ132" s="21">
        <v>0.11310607638650598</v>
      </c>
      <c r="AK132" s="21">
        <v>0.28164367874201002</v>
      </c>
      <c r="AL132" s="19"/>
      <c r="AM132" s="21">
        <v>0.11310607638650598</v>
      </c>
      <c r="AN132" s="21">
        <v>0.28164367874201002</v>
      </c>
      <c r="AO132" s="21">
        <v>0.43901375914594343</v>
      </c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</row>
    <row r="133" spans="1:52" x14ac:dyDescent="0.25">
      <c r="A133" s="7">
        <v>207</v>
      </c>
      <c r="B133" s="5">
        <v>90</v>
      </c>
      <c r="C133" s="6">
        <v>30</v>
      </c>
      <c r="D133" s="5">
        <v>20</v>
      </c>
      <c r="E133" s="4">
        <v>25</v>
      </c>
      <c r="F133" s="4">
        <f t="shared" si="90"/>
        <v>77</v>
      </c>
      <c r="G133" s="4">
        <v>11</v>
      </c>
      <c r="H133" s="4">
        <f t="shared" si="91"/>
        <v>12.8</v>
      </c>
      <c r="I133" s="4">
        <v>23.5</v>
      </c>
      <c r="J133" s="4">
        <f t="shared" si="92"/>
        <v>74.300000000000011</v>
      </c>
      <c r="K133" s="4">
        <v>6</v>
      </c>
      <c r="L133" s="4">
        <f t="shared" si="93"/>
        <v>7.2600000000000025</v>
      </c>
      <c r="M133" s="4">
        <f t="shared" si="94"/>
        <v>57.333333333333336</v>
      </c>
      <c r="N133" s="4">
        <f t="shared" si="95"/>
        <v>18.466666666666654</v>
      </c>
      <c r="O133" s="4">
        <f t="shared" si="96"/>
        <v>24.200000000000006</v>
      </c>
      <c r="P133" s="22" t="s">
        <v>1</v>
      </c>
      <c r="Q133" s="2"/>
      <c r="R133" s="2"/>
      <c r="T133" s="19">
        <v>301060</v>
      </c>
      <c r="U133" s="19" t="s">
        <v>67</v>
      </c>
      <c r="V133" s="19">
        <v>7.7990000000000004E-2</v>
      </c>
      <c r="W133" s="21">
        <v>0.43763000000000002</v>
      </c>
      <c r="X133" s="19">
        <v>-1.70181</v>
      </c>
      <c r="Y133" s="19">
        <v>0.1295</v>
      </c>
      <c r="Z133" s="19">
        <v>1.30901</v>
      </c>
      <c r="AA133" s="19">
        <v>0.80227999999999999</v>
      </c>
      <c r="AB133" s="19">
        <v>-1.1214599999999999</v>
      </c>
      <c r="AC133" s="19">
        <v>20.370889828729513</v>
      </c>
      <c r="AD133" s="20">
        <v>0.84878707619706306</v>
      </c>
      <c r="AE133" s="23">
        <v>1.9869640064374024E-2</v>
      </c>
      <c r="AF133" s="23">
        <v>1.347410725344405</v>
      </c>
      <c r="AG133" s="21">
        <v>0.43715925446047599</v>
      </c>
      <c r="AH133" s="19">
        <v>0.33793343752062777</v>
      </c>
      <c r="AI133" s="19">
        <v>0.26093473580214943</v>
      </c>
      <c r="AJ133" s="21">
        <v>0.12767487982395404</v>
      </c>
      <c r="AK133" s="21">
        <v>0.2994340866613886</v>
      </c>
      <c r="AL133" s="19"/>
      <c r="AM133" s="21">
        <v>0.12767487982395404</v>
      </c>
      <c r="AN133" s="21">
        <v>0.2994340866613886</v>
      </c>
      <c r="AO133" s="21">
        <v>0.43715925446047599</v>
      </c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</row>
    <row r="134" spans="1:52" x14ac:dyDescent="0.25">
      <c r="A134" s="7">
        <v>207</v>
      </c>
      <c r="B134" s="5">
        <v>120</v>
      </c>
      <c r="C134" s="6">
        <v>30</v>
      </c>
      <c r="D134" s="5">
        <v>20</v>
      </c>
      <c r="E134" s="4">
        <v>25</v>
      </c>
      <c r="F134" s="4">
        <f t="shared" si="90"/>
        <v>77</v>
      </c>
      <c r="G134" s="4">
        <v>9</v>
      </c>
      <c r="H134" s="4">
        <f t="shared" si="91"/>
        <v>10.8</v>
      </c>
      <c r="I134" s="4">
        <v>23</v>
      </c>
      <c r="J134" s="4">
        <f t="shared" si="92"/>
        <v>73.400000000000006</v>
      </c>
      <c r="K134" s="4">
        <v>5</v>
      </c>
      <c r="L134" s="4">
        <f t="shared" si="93"/>
        <v>6.080000000000001</v>
      </c>
      <c r="M134" s="4">
        <f t="shared" si="94"/>
        <v>64</v>
      </c>
      <c r="N134" s="4">
        <f t="shared" si="95"/>
        <v>15.733333333333334</v>
      </c>
      <c r="O134" s="4">
        <f t="shared" si="96"/>
        <v>20.266666666666669</v>
      </c>
      <c r="P134" s="22" t="s">
        <v>1</v>
      </c>
      <c r="Q134" s="2"/>
      <c r="R134" s="2"/>
      <c r="T134" s="19">
        <v>301090</v>
      </c>
      <c r="U134" s="19" t="s">
        <v>67</v>
      </c>
      <c r="V134" s="19">
        <v>7.6880000000000004E-2</v>
      </c>
      <c r="W134" s="21">
        <v>0.4108</v>
      </c>
      <c r="X134" s="19">
        <v>-1.6808399999999999</v>
      </c>
      <c r="Y134" s="19">
        <v>0.10768999999999999</v>
      </c>
      <c r="Z134" s="19">
        <v>1.0082199999999999</v>
      </c>
      <c r="AA134" s="19">
        <v>0.75992999999999999</v>
      </c>
      <c r="AB134" s="19">
        <v>-1.5930800000000001</v>
      </c>
      <c r="AC134" s="19">
        <v>10.19107505303624</v>
      </c>
      <c r="AD134" s="20">
        <v>0.42462812720984333</v>
      </c>
      <c r="AE134" s="23">
        <v>2.0852589793985927E-2</v>
      </c>
      <c r="AF134" s="23">
        <v>1.2814155799219653</v>
      </c>
      <c r="AG134" s="21">
        <v>0.41028761863346053</v>
      </c>
      <c r="AH134" s="19">
        <v>0.32947250388809002</v>
      </c>
      <c r="AI134" s="19">
        <v>0.26705578827200704</v>
      </c>
      <c r="AJ134" s="21">
        <v>0.14315951751704897</v>
      </c>
      <c r="AK134" s="21">
        <v>0.29826414608004853</v>
      </c>
      <c r="AL134" s="19"/>
      <c r="AM134" s="21">
        <v>0.14315951751704897</v>
      </c>
      <c r="AN134" s="21">
        <v>0.29826414608004853</v>
      </c>
      <c r="AO134" s="21">
        <v>0.41028761863346053</v>
      </c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</row>
    <row r="135" spans="1:52" x14ac:dyDescent="0.25">
      <c r="A135" s="7">
        <v>207</v>
      </c>
      <c r="B135" s="5">
        <v>150</v>
      </c>
      <c r="C135" s="6">
        <v>30</v>
      </c>
      <c r="D135" s="5">
        <v>20</v>
      </c>
      <c r="E135" s="4">
        <v>25.5</v>
      </c>
      <c r="F135" s="4">
        <f t="shared" si="90"/>
        <v>77.900000000000006</v>
      </c>
      <c r="G135" s="4">
        <v>6</v>
      </c>
      <c r="H135" s="4">
        <f t="shared" si="91"/>
        <v>7.9800000000000013</v>
      </c>
      <c r="I135" s="4">
        <v>23.5</v>
      </c>
      <c r="J135" s="4">
        <f t="shared" si="92"/>
        <v>74.300000000000011</v>
      </c>
      <c r="K135" s="4">
        <v>3.5</v>
      </c>
      <c r="L135" s="4">
        <f t="shared" si="93"/>
        <v>4.7600000000000025</v>
      </c>
      <c r="M135" s="4">
        <f t="shared" si="94"/>
        <v>73.400000000000006</v>
      </c>
      <c r="N135" s="4">
        <f t="shared" si="95"/>
        <v>10.73333333333332</v>
      </c>
      <c r="O135" s="4">
        <f t="shared" si="96"/>
        <v>15.866666666666676</v>
      </c>
      <c r="P135" s="22" t="s">
        <v>0</v>
      </c>
      <c r="Q135" s="2"/>
      <c r="R135" s="2"/>
      <c r="T135" s="19">
        <v>301120</v>
      </c>
      <c r="U135" s="19" t="s">
        <v>67</v>
      </c>
      <c r="V135" s="19">
        <v>5.4260000000000003E-2</v>
      </c>
      <c r="W135" s="21">
        <v>0.37605</v>
      </c>
      <c r="X135" s="19">
        <v>-1.5162800000000001</v>
      </c>
      <c r="Y135" s="19">
        <v>0.17849000000000001</v>
      </c>
      <c r="Z135" s="19">
        <v>1.6370899999999999</v>
      </c>
      <c r="AA135" s="19">
        <v>1.16879</v>
      </c>
      <c r="AB135" s="19">
        <v>-1.0753699999999999</v>
      </c>
      <c r="AC135" s="19">
        <v>43.360072530857586</v>
      </c>
      <c r="AD135" s="20">
        <v>1.8066696887857328</v>
      </c>
      <c r="AE135" s="23">
        <v>3.0459305724302371E-2</v>
      </c>
      <c r="AF135" s="23">
        <v>1.5083078800682295</v>
      </c>
      <c r="AG135" s="21">
        <v>0.37549191993614284</v>
      </c>
      <c r="AH135" s="19">
        <v>0.22671664135267017</v>
      </c>
      <c r="AI135" s="19">
        <v>0.15237898658595561</v>
      </c>
      <c r="AJ135" s="21">
        <v>6.8567220774886875E-2</v>
      </c>
      <c r="AK135" s="21">
        <v>0.18954781396931289</v>
      </c>
      <c r="AL135" s="19"/>
      <c r="AM135" s="21">
        <v>6.8567220774886875E-2</v>
      </c>
      <c r="AN135" s="21">
        <v>0.18954781396931289</v>
      </c>
      <c r="AO135" s="21">
        <v>0.37549191993614284</v>
      </c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</row>
    <row r="136" spans="1:52" x14ac:dyDescent="0.25">
      <c r="A136" s="7">
        <v>207</v>
      </c>
      <c r="B136" s="5">
        <v>180</v>
      </c>
      <c r="C136" s="6">
        <v>30</v>
      </c>
      <c r="D136" s="5">
        <v>20</v>
      </c>
      <c r="E136" s="4">
        <v>26</v>
      </c>
      <c r="F136" s="4">
        <f t="shared" si="90"/>
        <v>78.800000000000011</v>
      </c>
      <c r="G136" s="4">
        <v>5</v>
      </c>
      <c r="H136" s="4">
        <f t="shared" si="91"/>
        <v>7.1600000000000019</v>
      </c>
      <c r="I136" s="4">
        <v>24</v>
      </c>
      <c r="J136" s="4">
        <f t="shared" si="92"/>
        <v>75.2</v>
      </c>
      <c r="K136" s="4">
        <v>3</v>
      </c>
      <c r="L136" s="4">
        <f t="shared" si="93"/>
        <v>4.4400000000000004</v>
      </c>
      <c r="M136" s="4">
        <f t="shared" si="94"/>
        <v>76.133333333333326</v>
      </c>
      <c r="N136" s="4">
        <f t="shared" si="95"/>
        <v>9.0666666666666771</v>
      </c>
      <c r="O136" s="4">
        <f t="shared" si="96"/>
        <v>14.800000000000002</v>
      </c>
      <c r="P136" s="22" t="s">
        <v>0</v>
      </c>
      <c r="Q136" s="18"/>
      <c r="R136" s="18"/>
      <c r="T136" s="19">
        <v>301150</v>
      </c>
      <c r="U136" s="19" t="s">
        <v>67</v>
      </c>
      <c r="V136" s="19">
        <v>5.2880000000000003E-2</v>
      </c>
      <c r="W136" s="21">
        <v>0.37448999999999999</v>
      </c>
      <c r="X136" s="19">
        <v>-1.49987</v>
      </c>
      <c r="Y136" s="19">
        <v>0.19886999999999999</v>
      </c>
      <c r="Z136" s="19">
        <v>1.74057</v>
      </c>
      <c r="AA136" s="19">
        <v>1.2223999999999999</v>
      </c>
      <c r="AB136" s="19">
        <v>-1.01624</v>
      </c>
      <c r="AC136" s="19">
        <v>55.026260521642079</v>
      </c>
      <c r="AD136" s="20">
        <v>2.29276085506842</v>
      </c>
      <c r="AE136" s="23">
        <v>3.1632243855978681E-2</v>
      </c>
      <c r="AF136" s="23">
        <v>1.580774785543609</v>
      </c>
      <c r="AG136" s="21">
        <v>0.37398852512690534</v>
      </c>
      <c r="AH136" s="19">
        <v>0.20880491745762736</v>
      </c>
      <c r="AI136" s="19">
        <v>0.1340940644977629</v>
      </c>
      <c r="AJ136" s="21">
        <v>6.1855080071869788E-2</v>
      </c>
      <c r="AK136" s="21">
        <v>0.17144949097769513</v>
      </c>
      <c r="AL136" s="19"/>
      <c r="AM136" s="21">
        <v>6.1855080071869788E-2</v>
      </c>
      <c r="AN136" s="21">
        <v>0.17144949097769513</v>
      </c>
      <c r="AO136" s="21">
        <v>0.37398852512690534</v>
      </c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</row>
    <row r="137" spans="1:52" x14ac:dyDescent="0.25">
      <c r="Q137" s="17"/>
      <c r="R137" s="17"/>
      <c r="T137" s="19">
        <v>301180</v>
      </c>
      <c r="U137" s="19" t="s">
        <v>67</v>
      </c>
      <c r="V137" s="19">
        <v>5.7509999999999999E-2</v>
      </c>
      <c r="W137" s="21">
        <v>0.3785</v>
      </c>
      <c r="X137" s="19">
        <v>-1.5441100000000001</v>
      </c>
      <c r="Y137" s="19">
        <v>0.16395999999999999</v>
      </c>
      <c r="Z137" s="19">
        <v>1.5588599999999999</v>
      </c>
      <c r="AA137" s="19">
        <v>1.0956900000000001</v>
      </c>
      <c r="AB137" s="19">
        <v>-1.12988</v>
      </c>
      <c r="AC137" s="19">
        <v>36.212624389036861</v>
      </c>
      <c r="AD137" s="20">
        <v>1.5088593495432026</v>
      </c>
      <c r="AE137" s="23">
        <v>2.8568668520360871E-2</v>
      </c>
      <c r="AF137" s="23">
        <v>1.4586799047039798</v>
      </c>
      <c r="AG137" s="21">
        <v>0.37793754659378098</v>
      </c>
      <c r="AH137" s="19">
        <v>0.24399590481081176</v>
      </c>
      <c r="AI137" s="19">
        <v>0.17042051459041435</v>
      </c>
      <c r="AJ137" s="21">
        <v>7.742749955549974E-2</v>
      </c>
      <c r="AK137" s="21">
        <v>0.20720820970061304</v>
      </c>
      <c r="AL137" s="19"/>
      <c r="AM137" s="21">
        <v>7.742749955549974E-2</v>
      </c>
      <c r="AN137" s="21">
        <v>0.20720820970061304</v>
      </c>
      <c r="AO137" s="21">
        <v>0.37793754659378098</v>
      </c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</row>
    <row r="138" spans="1:52" ht="51.75" x14ac:dyDescent="0.25">
      <c r="A138" s="8" t="s">
        <v>54</v>
      </c>
      <c r="B138" s="10" t="s">
        <v>53</v>
      </c>
      <c r="C138" s="14" t="s">
        <v>18</v>
      </c>
      <c r="D138" s="13" t="s">
        <v>17</v>
      </c>
      <c r="E138" s="12" t="s">
        <v>16</v>
      </c>
      <c r="F138" s="12" t="s">
        <v>15</v>
      </c>
      <c r="G138" s="12" t="s">
        <v>52</v>
      </c>
      <c r="H138" s="12" t="s">
        <v>51</v>
      </c>
      <c r="I138" s="12" t="s">
        <v>50</v>
      </c>
      <c r="J138" s="12" t="s">
        <v>49</v>
      </c>
      <c r="K138" s="12" t="s">
        <v>48</v>
      </c>
      <c r="L138" s="12" t="s">
        <v>47</v>
      </c>
      <c r="M138" s="11" t="s">
        <v>8</v>
      </c>
      <c r="N138" s="11" t="s">
        <v>7</v>
      </c>
      <c r="O138" s="11" t="s">
        <v>6</v>
      </c>
      <c r="P138" s="10" t="s">
        <v>5</v>
      </c>
      <c r="Q138" s="67" t="s">
        <v>4</v>
      </c>
      <c r="R138" s="68"/>
      <c r="T138" s="19">
        <v>301210</v>
      </c>
      <c r="U138" s="19" t="s">
        <v>67</v>
      </c>
      <c r="V138" s="19">
        <v>5.7509999999999999E-2</v>
      </c>
      <c r="W138" s="21">
        <v>0.3785</v>
      </c>
      <c r="X138" s="19">
        <v>-1.5441100000000001</v>
      </c>
      <c r="Y138" s="19">
        <v>0.16395999999999999</v>
      </c>
      <c r="Z138" s="19">
        <v>1.5588599999999999</v>
      </c>
      <c r="AA138" s="19">
        <v>1.0956900000000001</v>
      </c>
      <c r="AB138" s="19">
        <v>-1.12988</v>
      </c>
      <c r="AC138" s="19">
        <v>36.212624389036861</v>
      </c>
      <c r="AD138" s="20">
        <v>1.5088593495432026</v>
      </c>
      <c r="AE138" s="23">
        <v>2.8568668520360871E-2</v>
      </c>
      <c r="AF138" s="23">
        <v>1.4586799047039798</v>
      </c>
      <c r="AG138" s="21">
        <v>0.37793754659378098</v>
      </c>
      <c r="AH138" s="19">
        <v>0.24399590481081176</v>
      </c>
      <c r="AI138" s="19">
        <v>0.17042051459041435</v>
      </c>
      <c r="AJ138" s="21">
        <v>7.742749955549974E-2</v>
      </c>
      <c r="AK138" s="21">
        <v>0.20720820970061304</v>
      </c>
      <c r="AL138" s="19"/>
      <c r="AM138" s="21">
        <v>7.742749955549974E-2</v>
      </c>
      <c r="AN138" s="21">
        <v>0.20720820970061304</v>
      </c>
      <c r="AO138" s="21">
        <v>0.37793754659378098</v>
      </c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</row>
    <row r="139" spans="1:52" x14ac:dyDescent="0.25">
      <c r="A139" s="8"/>
      <c r="B139" s="10"/>
      <c r="C139" s="14"/>
      <c r="D139" s="13"/>
      <c r="E139" s="12"/>
      <c r="F139" s="12"/>
      <c r="G139" s="12"/>
      <c r="H139" s="12"/>
      <c r="I139" s="12"/>
      <c r="J139" s="12"/>
      <c r="K139" s="12"/>
      <c r="L139" s="12"/>
      <c r="M139" s="11"/>
      <c r="N139" s="11"/>
      <c r="O139" s="11"/>
      <c r="P139" s="10"/>
      <c r="Q139" s="9" t="s">
        <v>3</v>
      </c>
      <c r="R139" s="9" t="s">
        <v>2</v>
      </c>
      <c r="T139" s="19">
        <v>302030</v>
      </c>
      <c r="U139" s="19" t="s">
        <v>67</v>
      </c>
      <c r="V139" s="19">
        <v>6.4449999999999993E-2</v>
      </c>
      <c r="W139" s="21">
        <v>0.40866999999999998</v>
      </c>
      <c r="X139" s="19">
        <v>-1.61039</v>
      </c>
      <c r="Y139" s="19">
        <v>0.14756</v>
      </c>
      <c r="Z139" s="19">
        <v>1.50898</v>
      </c>
      <c r="AA139" s="19">
        <v>0.99668000000000001</v>
      </c>
      <c r="AB139" s="19">
        <v>-1.08734</v>
      </c>
      <c r="AC139" s="19">
        <v>32.283454474872642</v>
      </c>
      <c r="AD139" s="20">
        <v>1.3451439364530267</v>
      </c>
      <c r="AE139" s="23">
        <v>2.4525055564492245E-2</v>
      </c>
      <c r="AF139" s="23">
        <v>1.4046237261128363</v>
      </c>
      <c r="AG139" s="21">
        <v>0.40812948333601284</v>
      </c>
      <c r="AH139" s="19">
        <v>0.28726957729087421</v>
      </c>
      <c r="AI139" s="19">
        <v>0.20946531318018746</v>
      </c>
      <c r="AJ139" s="21">
        <v>9.5975454215939032E-2</v>
      </c>
      <c r="AK139" s="21">
        <v>0.24836744523553084</v>
      </c>
      <c r="AL139" s="19"/>
      <c r="AM139" s="21">
        <v>9.5975454215939032E-2</v>
      </c>
      <c r="AN139" s="21">
        <v>0.24836744523553084</v>
      </c>
      <c r="AO139" s="21">
        <v>0.40812948333601284</v>
      </c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</row>
    <row r="140" spans="1:52" x14ac:dyDescent="0.25">
      <c r="A140" s="7">
        <v>208</v>
      </c>
      <c r="B140" s="5">
        <v>30</v>
      </c>
      <c r="C140" s="6">
        <v>30</v>
      </c>
      <c r="D140" s="5">
        <v>20</v>
      </c>
      <c r="E140" s="4">
        <v>23.5</v>
      </c>
      <c r="F140" s="4">
        <f t="shared" ref="F140:F145" si="97">1.8*E140+32</f>
        <v>74.300000000000011</v>
      </c>
      <c r="G140" s="4">
        <v>9</v>
      </c>
      <c r="H140" s="4">
        <f t="shared" ref="H140:H145" si="98">IF(F140&gt;68,G140+(F140-68)*0.2,Z151-(68-F140)*0.2)</f>
        <v>10.260000000000002</v>
      </c>
      <c r="I140" s="4">
        <v>23</v>
      </c>
      <c r="J140" s="4">
        <f t="shared" ref="J140:J145" si="99">1.8*I140+32</f>
        <v>73.400000000000006</v>
      </c>
      <c r="K140" s="4">
        <v>4</v>
      </c>
      <c r="L140" s="4">
        <f t="shared" ref="L140:L145" si="100">IF(J140&gt;68,K140+(J140-68)*0.2,K140-(68-J140)*0.2)</f>
        <v>5.080000000000001</v>
      </c>
      <c r="M140" s="4">
        <f t="shared" ref="M140:M145" si="101">(C140-H140)/C140*100</f>
        <v>65.8</v>
      </c>
      <c r="N140" s="4">
        <f t="shared" ref="N140:N145" si="102">100-(M140+O140)</f>
        <v>17.266666666666666</v>
      </c>
      <c r="O140" s="4">
        <f t="shared" ref="O140:O145" si="103">L140/C140*100</f>
        <v>16.933333333333337</v>
      </c>
      <c r="P140" s="22" t="s">
        <v>0</v>
      </c>
      <c r="Q140" s="2"/>
      <c r="R140" s="2"/>
      <c r="T140" s="19">
        <v>302045</v>
      </c>
      <c r="U140" s="19" t="s">
        <v>67</v>
      </c>
      <c r="V140" s="19">
        <v>7.4829999999999994E-2</v>
      </c>
      <c r="W140" s="21">
        <v>0.44023000000000001</v>
      </c>
      <c r="X140" s="19">
        <v>-1.6758500000000001</v>
      </c>
      <c r="Y140" s="19">
        <v>0.13655</v>
      </c>
      <c r="Z140" s="19">
        <v>1.47462</v>
      </c>
      <c r="AA140" s="19">
        <v>0.87744</v>
      </c>
      <c r="AB140" s="19">
        <v>-1.0548299999999999</v>
      </c>
      <c r="AC140" s="19">
        <v>29.827716043245879</v>
      </c>
      <c r="AD140" s="20">
        <v>1.2428215018019115</v>
      </c>
      <c r="AE140" s="23">
        <v>2.1093565700814557E-2</v>
      </c>
      <c r="AF140" s="23">
        <v>1.3694620444600702</v>
      </c>
      <c r="AG140" s="21">
        <v>0.43973182650127779</v>
      </c>
      <c r="AH140" s="19">
        <v>0.33009760952379957</v>
      </c>
      <c r="AI140" s="19">
        <v>0.24946665316136624</v>
      </c>
      <c r="AJ140" s="21">
        <v>0.11837919840467512</v>
      </c>
      <c r="AK140" s="21">
        <v>0.2897821313425829</v>
      </c>
      <c r="AL140" s="19"/>
      <c r="AM140" s="21">
        <v>0.11837919840467512</v>
      </c>
      <c r="AN140" s="21">
        <v>0.2897821313425829</v>
      </c>
      <c r="AO140" s="21">
        <v>0.43973182650127779</v>
      </c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</row>
    <row r="141" spans="1:52" x14ac:dyDescent="0.25">
      <c r="A141" s="7">
        <v>208</v>
      </c>
      <c r="B141" s="5">
        <v>60</v>
      </c>
      <c r="C141" s="6">
        <v>30</v>
      </c>
      <c r="D141" s="5">
        <v>20</v>
      </c>
      <c r="E141" s="4">
        <v>23.5</v>
      </c>
      <c r="F141" s="4">
        <f t="shared" si="97"/>
        <v>74.300000000000011</v>
      </c>
      <c r="G141" s="4">
        <v>8</v>
      </c>
      <c r="H141" s="4">
        <f t="shared" si="98"/>
        <v>9.2600000000000016</v>
      </c>
      <c r="I141" s="4">
        <v>23.5</v>
      </c>
      <c r="J141" s="4">
        <f t="shared" si="99"/>
        <v>74.300000000000011</v>
      </c>
      <c r="K141" s="4">
        <v>4</v>
      </c>
      <c r="L141" s="4">
        <f t="shared" si="100"/>
        <v>5.2600000000000025</v>
      </c>
      <c r="M141" s="4">
        <f t="shared" si="101"/>
        <v>69.133333333333326</v>
      </c>
      <c r="N141" s="4">
        <f t="shared" si="102"/>
        <v>13.333333333333329</v>
      </c>
      <c r="O141" s="4">
        <f t="shared" si="103"/>
        <v>17.533333333333342</v>
      </c>
      <c r="P141" s="22" t="s">
        <v>0</v>
      </c>
      <c r="Q141" s="2"/>
      <c r="R141" s="2"/>
      <c r="T141" s="19">
        <v>302060</v>
      </c>
      <c r="U141" s="19" t="s">
        <v>67</v>
      </c>
      <c r="V141" s="19">
        <v>8.1890000000000004E-2</v>
      </c>
      <c r="W141" s="21">
        <v>0.44198999999999999</v>
      </c>
      <c r="X141" s="19">
        <v>-1.70051</v>
      </c>
      <c r="Y141" s="19">
        <v>0.12315</v>
      </c>
      <c r="Z141" s="19">
        <v>1.2457400000000001</v>
      </c>
      <c r="AA141" s="19">
        <v>0.77432999999999996</v>
      </c>
      <c r="AB141" s="19">
        <v>-1.2295100000000001</v>
      </c>
      <c r="AC141" s="19">
        <v>17.609215161596026</v>
      </c>
      <c r="AD141" s="20">
        <v>0.73371729839983446</v>
      </c>
      <c r="AE141" s="23">
        <v>1.9929206169433597E-2</v>
      </c>
      <c r="AF141" s="23">
        <v>1.3278530027167286</v>
      </c>
      <c r="AG141" s="21">
        <v>0.44150085924266858</v>
      </c>
      <c r="AH141" s="19">
        <v>0.34621382153804126</v>
      </c>
      <c r="AI141" s="19">
        <v>0.271820981848021</v>
      </c>
      <c r="AJ141" s="21">
        <v>0.13744728802877598</v>
      </c>
      <c r="AK141" s="21">
        <v>0.30901740169303116</v>
      </c>
      <c r="AL141" s="19"/>
      <c r="AM141" s="21">
        <v>0.13744728802877598</v>
      </c>
      <c r="AN141" s="21">
        <v>0.30901740169303116</v>
      </c>
      <c r="AO141" s="21">
        <v>0.44150085924266858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 spans="1:52" x14ac:dyDescent="0.25">
      <c r="A142" s="7">
        <v>208</v>
      </c>
      <c r="B142" s="5">
        <v>90</v>
      </c>
      <c r="C142" s="6">
        <v>30</v>
      </c>
      <c r="D142" s="5">
        <v>20</v>
      </c>
      <c r="E142" s="4">
        <v>24</v>
      </c>
      <c r="F142" s="4">
        <f t="shared" si="97"/>
        <v>75.2</v>
      </c>
      <c r="G142" s="4">
        <v>10</v>
      </c>
      <c r="H142" s="4">
        <f t="shared" si="98"/>
        <v>11.440000000000001</v>
      </c>
      <c r="I142" s="4">
        <v>23.5</v>
      </c>
      <c r="J142" s="4">
        <f t="shared" si="99"/>
        <v>74.300000000000011</v>
      </c>
      <c r="K142" s="4">
        <v>6</v>
      </c>
      <c r="L142" s="4">
        <f t="shared" si="100"/>
        <v>7.2600000000000025</v>
      </c>
      <c r="M142" s="4">
        <f t="shared" si="101"/>
        <v>61.86666666666666</v>
      </c>
      <c r="N142" s="4">
        <f t="shared" si="102"/>
        <v>13.933333333333337</v>
      </c>
      <c r="O142" s="4">
        <f t="shared" si="103"/>
        <v>24.200000000000006</v>
      </c>
      <c r="P142" s="22" t="s">
        <v>1</v>
      </c>
      <c r="Q142" s="2"/>
      <c r="R142" s="2"/>
      <c r="T142" s="19">
        <v>302090</v>
      </c>
      <c r="U142" s="19" t="s">
        <v>67</v>
      </c>
      <c r="V142" s="19">
        <v>7.4899999999999994E-2</v>
      </c>
      <c r="W142" s="21">
        <v>0.40894999999999998</v>
      </c>
      <c r="X142" s="19">
        <v>-1.6709000000000001</v>
      </c>
      <c r="Y142" s="19">
        <v>0.10929999999999999</v>
      </c>
      <c r="Z142" s="19">
        <v>1.06925</v>
      </c>
      <c r="AA142" s="19">
        <v>0.78610999999999998</v>
      </c>
      <c r="AB142" s="19">
        <v>-1.5661</v>
      </c>
      <c r="AC142" s="19">
        <v>11.728703296934867</v>
      </c>
      <c r="AD142" s="20">
        <v>0.48869597070561949</v>
      </c>
      <c r="AE142" s="23">
        <v>2.1335361214388192E-2</v>
      </c>
      <c r="AF142" s="23">
        <v>1.2861748112359108</v>
      </c>
      <c r="AG142" s="21">
        <v>0.40842495585933969</v>
      </c>
      <c r="AH142" s="19">
        <v>0.32533520477173794</v>
      </c>
      <c r="AI142" s="19">
        <v>0.26225120729601781</v>
      </c>
      <c r="AJ142" s="21">
        <v>0.13899599809005792</v>
      </c>
      <c r="AK142" s="21">
        <v>0.29379320603387787</v>
      </c>
      <c r="AL142" s="19"/>
      <c r="AM142" s="21">
        <v>0.13899599809005792</v>
      </c>
      <c r="AN142" s="21">
        <v>0.29379320603387787</v>
      </c>
      <c r="AO142" s="21">
        <v>0.40842495585933969</v>
      </c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 spans="1:52" x14ac:dyDescent="0.25">
      <c r="A143" s="7">
        <v>208</v>
      </c>
      <c r="B143" s="5">
        <v>120</v>
      </c>
      <c r="C143" s="6">
        <v>30</v>
      </c>
      <c r="D143" s="5">
        <v>20</v>
      </c>
      <c r="E143" s="4">
        <v>23.5</v>
      </c>
      <c r="F143" s="4">
        <f t="shared" si="97"/>
        <v>74.300000000000011</v>
      </c>
      <c r="G143" s="4">
        <v>8</v>
      </c>
      <c r="H143" s="4">
        <f t="shared" si="98"/>
        <v>9.2600000000000016</v>
      </c>
      <c r="I143" s="4">
        <v>23.5</v>
      </c>
      <c r="J143" s="4">
        <f t="shared" si="99"/>
        <v>74.300000000000011</v>
      </c>
      <c r="K143" s="4">
        <v>4.5</v>
      </c>
      <c r="L143" s="4">
        <f t="shared" si="100"/>
        <v>5.7600000000000025</v>
      </c>
      <c r="M143" s="4">
        <f t="shared" si="101"/>
        <v>69.133333333333326</v>
      </c>
      <c r="N143" s="4">
        <f t="shared" si="102"/>
        <v>11.666666666666657</v>
      </c>
      <c r="O143" s="4">
        <f t="shared" si="103"/>
        <v>19.20000000000001</v>
      </c>
      <c r="P143" s="22" t="s">
        <v>0</v>
      </c>
      <c r="Q143" s="2"/>
      <c r="R143" s="2"/>
      <c r="T143" s="19">
        <v>302120</v>
      </c>
      <c r="U143" s="19" t="s">
        <v>67</v>
      </c>
      <c r="V143" s="19">
        <v>6.6790000000000002E-2</v>
      </c>
      <c r="W143" s="21">
        <v>0.38863999999999999</v>
      </c>
      <c r="X143" s="19">
        <v>-1.65263</v>
      </c>
      <c r="Y143" s="19">
        <v>0.11101</v>
      </c>
      <c r="Z143" s="19">
        <v>1.02275</v>
      </c>
      <c r="AA143" s="19">
        <v>0.8347</v>
      </c>
      <c r="AB143" s="19">
        <v>-1.5598700000000001</v>
      </c>
      <c r="AC143" s="19">
        <v>10.537801171656449</v>
      </c>
      <c r="AD143" s="20">
        <v>0.43907504881901871</v>
      </c>
      <c r="AE143" s="23">
        <v>2.2252048610311232E-2</v>
      </c>
      <c r="AF143" s="23">
        <v>1.2912490053783445</v>
      </c>
      <c r="AG143" s="21">
        <v>0.38810911259938508</v>
      </c>
      <c r="AH143" s="19">
        <v>0.30482995098580556</v>
      </c>
      <c r="AI143" s="19">
        <v>0.24347853137996517</v>
      </c>
      <c r="AJ143" s="21">
        <v>0.12603393791844172</v>
      </c>
      <c r="AK143" s="21">
        <v>0.27415424118288534</v>
      </c>
      <c r="AL143" s="19"/>
      <c r="AM143" s="21">
        <v>0.12603393791844172</v>
      </c>
      <c r="AN143" s="21">
        <v>0.27415424118288534</v>
      </c>
      <c r="AO143" s="21">
        <v>0.38810911259938508</v>
      </c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 spans="1:52" x14ac:dyDescent="0.25">
      <c r="A144" s="7">
        <v>208</v>
      </c>
      <c r="B144" s="5">
        <v>150</v>
      </c>
      <c r="C144" s="6">
        <v>30</v>
      </c>
      <c r="D144" s="5">
        <v>20</v>
      </c>
      <c r="E144" s="4">
        <v>25</v>
      </c>
      <c r="F144" s="4">
        <f t="shared" si="97"/>
        <v>77</v>
      </c>
      <c r="G144" s="4">
        <v>7</v>
      </c>
      <c r="H144" s="4">
        <f t="shared" si="98"/>
        <v>8.8000000000000007</v>
      </c>
      <c r="I144" s="4">
        <v>23</v>
      </c>
      <c r="J144" s="4">
        <f t="shared" si="99"/>
        <v>73.400000000000006</v>
      </c>
      <c r="K144" s="4">
        <v>3</v>
      </c>
      <c r="L144" s="4">
        <f t="shared" si="100"/>
        <v>4.080000000000001</v>
      </c>
      <c r="M144" s="4">
        <f t="shared" si="101"/>
        <v>70.666666666666671</v>
      </c>
      <c r="N144" s="4">
        <f t="shared" si="102"/>
        <v>15.73333333333332</v>
      </c>
      <c r="O144" s="4">
        <f t="shared" si="103"/>
        <v>13.600000000000003</v>
      </c>
      <c r="P144" s="22" t="s">
        <v>0</v>
      </c>
      <c r="Q144" s="2"/>
      <c r="R144" s="2"/>
      <c r="T144" s="19">
        <v>302150</v>
      </c>
      <c r="U144" s="19" t="s">
        <v>67</v>
      </c>
      <c r="V144" s="19">
        <v>5.8950000000000002E-2</v>
      </c>
      <c r="W144" s="21">
        <v>0.37952999999999998</v>
      </c>
      <c r="X144" s="19">
        <v>-1.55497</v>
      </c>
      <c r="Y144" s="19">
        <v>0.1585</v>
      </c>
      <c r="Z144" s="19">
        <v>1.5303599999999999</v>
      </c>
      <c r="AA144" s="19">
        <v>1.0663800000000001</v>
      </c>
      <c r="AB144" s="19">
        <v>-1.15588</v>
      </c>
      <c r="AC144" s="19">
        <v>33.912515088668847</v>
      </c>
      <c r="AD144" s="20">
        <v>1.4130214620278687</v>
      </c>
      <c r="AE144" s="23">
        <v>2.7863136337093065E-2</v>
      </c>
      <c r="AF144" s="23">
        <v>1.4404560102463768</v>
      </c>
      <c r="AG144" s="21">
        <v>0.37896785923055298</v>
      </c>
      <c r="AH144" s="19">
        <v>0.2506348161910692</v>
      </c>
      <c r="AI144" s="19">
        <v>0.17767630964179193</v>
      </c>
      <c r="AJ144" s="21">
        <v>8.141081711389786E-2</v>
      </c>
      <c r="AK144" s="21">
        <v>0.21415556291643056</v>
      </c>
      <c r="AL144" s="19"/>
      <c r="AM144" s="21">
        <v>8.141081711389786E-2</v>
      </c>
      <c r="AN144" s="21">
        <v>0.21415556291643056</v>
      </c>
      <c r="AO144" s="21">
        <v>0.37896785923055298</v>
      </c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</row>
    <row r="145" spans="1:52" x14ac:dyDescent="0.25">
      <c r="A145" s="7">
        <v>208</v>
      </c>
      <c r="B145" s="5">
        <v>180</v>
      </c>
      <c r="C145" s="6">
        <v>30</v>
      </c>
      <c r="D145" s="5">
        <v>20</v>
      </c>
      <c r="E145" s="4">
        <v>24.5</v>
      </c>
      <c r="F145" s="4">
        <f t="shared" si="97"/>
        <v>76.099999999999994</v>
      </c>
      <c r="G145" s="4">
        <v>6</v>
      </c>
      <c r="H145" s="4">
        <f t="shared" si="98"/>
        <v>7.6199999999999992</v>
      </c>
      <c r="I145" s="4">
        <v>23.5</v>
      </c>
      <c r="J145" s="4">
        <f t="shared" si="99"/>
        <v>74.300000000000011</v>
      </c>
      <c r="K145" s="4">
        <v>4</v>
      </c>
      <c r="L145" s="4">
        <f t="shared" si="100"/>
        <v>5.2600000000000025</v>
      </c>
      <c r="M145" s="4">
        <f t="shared" si="101"/>
        <v>74.600000000000009</v>
      </c>
      <c r="N145" s="4">
        <f t="shared" si="102"/>
        <v>7.8666666666666458</v>
      </c>
      <c r="O145" s="4">
        <f t="shared" si="103"/>
        <v>17.533333333333342</v>
      </c>
      <c r="P145" s="22" t="s">
        <v>0</v>
      </c>
      <c r="Q145" s="2"/>
      <c r="R145" s="2"/>
      <c r="T145" s="19">
        <v>302180</v>
      </c>
      <c r="U145" s="19" t="s">
        <v>67</v>
      </c>
      <c r="V145" s="19">
        <v>6.3780000000000003E-2</v>
      </c>
      <c r="W145" s="21">
        <v>0.38540999999999997</v>
      </c>
      <c r="X145" s="19">
        <v>-1.5922499999999999</v>
      </c>
      <c r="Y145" s="19">
        <v>0.12017</v>
      </c>
      <c r="Z145" s="19">
        <v>1.2704599999999999</v>
      </c>
      <c r="AA145" s="19">
        <v>0.94005000000000005</v>
      </c>
      <c r="AB145" s="19">
        <v>-1.5002200000000001</v>
      </c>
      <c r="AC145" s="19">
        <v>18.64060484030491</v>
      </c>
      <c r="AD145" s="20">
        <v>0.77669186834603787</v>
      </c>
      <c r="AE145" s="23">
        <v>2.5571134703112838E-2</v>
      </c>
      <c r="AF145" s="23">
        <v>1.3187728572779749</v>
      </c>
      <c r="AG145" s="21">
        <v>0.3847952245677882</v>
      </c>
      <c r="AH145" s="19">
        <v>0.28798855774113574</v>
      </c>
      <c r="AI145" s="19">
        <v>0.22402525925723271</v>
      </c>
      <c r="AJ145" s="21">
        <v>0.11204774627286396</v>
      </c>
      <c r="AK145" s="21">
        <v>0.25600690849918423</v>
      </c>
      <c r="AL145" s="19"/>
      <c r="AM145" s="21">
        <v>0.11204774627286396</v>
      </c>
      <c r="AN145" s="21">
        <v>0.25600690849918423</v>
      </c>
      <c r="AO145" s="21">
        <v>0.3847952245677882</v>
      </c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</row>
    <row r="146" spans="1:52" x14ac:dyDescent="0.25">
      <c r="Q146" s="17"/>
      <c r="R146" s="17"/>
      <c r="T146" s="19">
        <v>302210</v>
      </c>
      <c r="U146" s="19" t="s">
        <v>67</v>
      </c>
      <c r="V146" s="19">
        <v>6.3780000000000003E-2</v>
      </c>
      <c r="W146" s="21">
        <v>0.38540999999999997</v>
      </c>
      <c r="X146" s="19">
        <v>-1.5922499999999999</v>
      </c>
      <c r="Y146" s="19">
        <v>0.12017</v>
      </c>
      <c r="Z146" s="19">
        <v>1.2704599999999999</v>
      </c>
      <c r="AA146" s="19">
        <v>0.94005000000000005</v>
      </c>
      <c r="AB146" s="19">
        <v>-1.5002200000000001</v>
      </c>
      <c r="AC146" s="19">
        <v>18.64060484030491</v>
      </c>
      <c r="AD146" s="20">
        <v>0.77669186834603787</v>
      </c>
      <c r="AE146" s="23">
        <v>2.5571134703112838E-2</v>
      </c>
      <c r="AF146" s="23">
        <v>1.3187728572779749</v>
      </c>
      <c r="AG146" s="21">
        <v>0.3847952245677882</v>
      </c>
      <c r="AH146" s="19">
        <v>0.28798855774113574</v>
      </c>
      <c r="AI146" s="19">
        <v>0.22402525925723271</v>
      </c>
      <c r="AJ146" s="21">
        <v>0.11204774627286396</v>
      </c>
      <c r="AK146" s="21">
        <v>0.25600690849918423</v>
      </c>
      <c r="AL146" s="19"/>
      <c r="AM146" s="21">
        <v>0.11204774627286396</v>
      </c>
      <c r="AN146" s="21">
        <v>0.25600690849918423</v>
      </c>
      <c r="AO146" s="21">
        <v>0.3847952245677882</v>
      </c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</row>
    <row r="147" spans="1:52" ht="51.75" x14ac:dyDescent="0.25">
      <c r="A147" s="8" t="s">
        <v>54</v>
      </c>
      <c r="B147" s="10" t="s">
        <v>53</v>
      </c>
      <c r="C147" s="14" t="s">
        <v>18</v>
      </c>
      <c r="D147" s="13" t="s">
        <v>17</v>
      </c>
      <c r="E147" s="12" t="s">
        <v>16</v>
      </c>
      <c r="F147" s="12" t="s">
        <v>15</v>
      </c>
      <c r="G147" s="12" t="s">
        <v>52</v>
      </c>
      <c r="H147" s="12" t="s">
        <v>51</v>
      </c>
      <c r="I147" s="12" t="s">
        <v>50</v>
      </c>
      <c r="J147" s="12" t="s">
        <v>49</v>
      </c>
      <c r="K147" s="12" t="s">
        <v>48</v>
      </c>
      <c r="L147" s="12" t="s">
        <v>47</v>
      </c>
      <c r="M147" s="11" t="s">
        <v>8</v>
      </c>
      <c r="N147" s="11" t="s">
        <v>7</v>
      </c>
      <c r="O147" s="11" t="s">
        <v>6</v>
      </c>
      <c r="P147" s="10" t="s">
        <v>5</v>
      </c>
      <c r="Q147" s="67" t="s">
        <v>4</v>
      </c>
      <c r="R147" s="68"/>
      <c r="T147" s="19">
        <v>303030</v>
      </c>
      <c r="U147" s="19" t="s">
        <v>67</v>
      </c>
      <c r="V147" s="19">
        <v>6.4909999999999995E-2</v>
      </c>
      <c r="W147" s="21">
        <v>0.40901999999999999</v>
      </c>
      <c r="X147" s="19">
        <v>-1.6006</v>
      </c>
      <c r="Y147" s="19">
        <v>0.15454000000000001</v>
      </c>
      <c r="Z147" s="19">
        <v>1.5770599999999999</v>
      </c>
      <c r="AA147" s="19">
        <v>1.0174700000000001</v>
      </c>
      <c r="AB147" s="19">
        <v>-1.0606199999999999</v>
      </c>
      <c r="AC147" s="19">
        <v>37.762435805481196</v>
      </c>
      <c r="AD147" s="20">
        <v>1.5734348252283832</v>
      </c>
      <c r="AE147" s="23">
        <v>2.5084185282523843E-2</v>
      </c>
      <c r="AF147" s="23">
        <v>1.427381290786103</v>
      </c>
      <c r="AG147" s="21">
        <v>0.40848685583652644</v>
      </c>
      <c r="AH147" s="19">
        <v>0.28118856521598806</v>
      </c>
      <c r="AI147" s="19">
        <v>0.20186611465950516</v>
      </c>
      <c r="AJ147" s="21">
        <v>9.2196831646857269E-2</v>
      </c>
      <c r="AK147" s="21">
        <v>0.24152733993774661</v>
      </c>
      <c r="AL147" s="19"/>
      <c r="AM147" s="21">
        <v>9.2196831646857269E-2</v>
      </c>
      <c r="AN147" s="21">
        <v>0.24152733993774661</v>
      </c>
      <c r="AO147" s="21">
        <v>0.40848685583652644</v>
      </c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</row>
    <row r="148" spans="1:52" x14ac:dyDescent="0.25">
      <c r="A148" s="8"/>
      <c r="B148" s="10"/>
      <c r="C148" s="14"/>
      <c r="D148" s="13"/>
      <c r="E148" s="12"/>
      <c r="F148" s="12"/>
      <c r="G148" s="12"/>
      <c r="H148" s="12"/>
      <c r="I148" s="12"/>
      <c r="J148" s="12"/>
      <c r="K148" s="12"/>
      <c r="L148" s="12"/>
      <c r="M148" s="11"/>
      <c r="N148" s="11"/>
      <c r="O148" s="11"/>
      <c r="P148" s="10"/>
      <c r="Q148" s="9" t="s">
        <v>3</v>
      </c>
      <c r="R148" s="9" t="s">
        <v>2</v>
      </c>
      <c r="T148" s="19">
        <v>303045</v>
      </c>
      <c r="U148" s="19" t="s">
        <v>67</v>
      </c>
      <c r="V148" s="19">
        <v>7.2989999999999999E-2</v>
      </c>
      <c r="W148" s="21">
        <v>0.43948999999999999</v>
      </c>
      <c r="X148" s="19">
        <v>-1.64076</v>
      </c>
      <c r="Y148" s="19">
        <v>0.14315</v>
      </c>
      <c r="Z148" s="19">
        <v>1.6034900000000001</v>
      </c>
      <c r="AA148" s="19">
        <v>0.95013000000000003</v>
      </c>
      <c r="AB148" s="19">
        <v>-1.04396</v>
      </c>
      <c r="AC148" s="19">
        <v>40.131925743895579</v>
      </c>
      <c r="AD148" s="20">
        <v>1.6721635726623159</v>
      </c>
      <c r="AE148" s="23">
        <v>2.2868622210144428E-2</v>
      </c>
      <c r="AF148" s="23">
        <v>1.3904327867597952</v>
      </c>
      <c r="AG148" s="21">
        <v>0.43895339825658358</v>
      </c>
      <c r="AH148" s="19">
        <v>0.31861524512306005</v>
      </c>
      <c r="AI148" s="19">
        <v>0.23621780462542055</v>
      </c>
      <c r="AJ148" s="21">
        <v>0.1105012162980627</v>
      </c>
      <c r="AK148" s="21">
        <v>0.27741652487424029</v>
      </c>
      <c r="AL148" s="19"/>
      <c r="AM148" s="21">
        <v>0.1105012162980627</v>
      </c>
      <c r="AN148" s="21">
        <v>0.27741652487424029</v>
      </c>
      <c r="AO148" s="21">
        <v>0.43895339825658358</v>
      </c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</row>
    <row r="149" spans="1:52" x14ac:dyDescent="0.25">
      <c r="A149" s="7">
        <v>301</v>
      </c>
      <c r="B149" s="5">
        <v>30</v>
      </c>
      <c r="C149" s="6">
        <v>30</v>
      </c>
      <c r="D149" s="5">
        <v>20</v>
      </c>
      <c r="E149" s="4">
        <v>26</v>
      </c>
      <c r="F149" s="4">
        <f t="shared" ref="F149:F154" si="104">1.8*E149+32</f>
        <v>78.800000000000011</v>
      </c>
      <c r="G149" s="4">
        <v>6</v>
      </c>
      <c r="H149" s="4">
        <f t="shared" ref="H149:H154" si="105">IF(F149&gt;68,G149+(F149-68)*0.2,EV165-(68-F149)*0.2)</f>
        <v>8.1600000000000019</v>
      </c>
      <c r="I149" s="4">
        <v>24</v>
      </c>
      <c r="J149" s="4">
        <f t="shared" ref="J149:J154" si="106">1.8*I149+32</f>
        <v>75.2</v>
      </c>
      <c r="K149" s="4">
        <v>5</v>
      </c>
      <c r="L149" s="4">
        <f t="shared" ref="L149:L154" si="107">IF(J149&gt;68,K149+(J149-68)*0.2,K149-(68-J149)*0.2)</f>
        <v>6.44</v>
      </c>
      <c r="M149" s="4">
        <f t="shared" ref="M149:M154" si="108">(C149-H149)/C149*100</f>
        <v>72.799999999999983</v>
      </c>
      <c r="N149" s="4">
        <f t="shared" ref="N149:N154" si="109">100-(M149+O149)</f>
        <v>5.7333333333333485</v>
      </c>
      <c r="O149" s="4">
        <f t="shared" ref="O149:O154" si="110">L149/C149*100</f>
        <v>21.466666666666669</v>
      </c>
      <c r="P149" s="22" t="s">
        <v>1</v>
      </c>
      <c r="Q149" s="2"/>
      <c r="R149" s="2"/>
      <c r="T149" s="19">
        <v>303060</v>
      </c>
      <c r="U149" s="19" t="s">
        <v>67</v>
      </c>
      <c r="V149" s="19">
        <v>7.7590000000000006E-2</v>
      </c>
      <c r="W149" s="21">
        <v>0.43920999999999999</v>
      </c>
      <c r="X149" s="19">
        <v>-1.6514500000000001</v>
      </c>
      <c r="Y149" s="19">
        <v>0.12592</v>
      </c>
      <c r="Z149" s="19">
        <v>1.46286</v>
      </c>
      <c r="AA149" s="19">
        <v>0.87419000000000002</v>
      </c>
      <c r="AB149" s="19">
        <v>-1.2535700000000001</v>
      </c>
      <c r="AC149" s="19">
        <v>29.030866590388513</v>
      </c>
      <c r="AD149" s="20">
        <v>1.209619441266188</v>
      </c>
      <c r="AE149" s="23">
        <v>2.2312590758894746E-2</v>
      </c>
      <c r="AF149" s="23">
        <v>1.3363493292288873</v>
      </c>
      <c r="AG149" s="21">
        <v>0.43864697768033484</v>
      </c>
      <c r="AH149" s="19">
        <v>0.33395065062548812</v>
      </c>
      <c r="AI149" s="19">
        <v>0.25874320320047345</v>
      </c>
      <c r="AJ149" s="21">
        <v>0.12876346627219992</v>
      </c>
      <c r="AK149" s="21">
        <v>0.29634692691298081</v>
      </c>
      <c r="AL149" s="19"/>
      <c r="AM149" s="21">
        <v>0.12876346627219992</v>
      </c>
      <c r="AN149" s="21">
        <v>0.29634692691298081</v>
      </c>
      <c r="AO149" s="21">
        <v>0.43864697768033484</v>
      </c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</row>
    <row r="150" spans="1:52" x14ac:dyDescent="0.25">
      <c r="A150" s="7">
        <v>301</v>
      </c>
      <c r="B150" s="5">
        <v>60</v>
      </c>
      <c r="C150" s="6">
        <v>30</v>
      </c>
      <c r="D150" s="5">
        <v>20</v>
      </c>
      <c r="E150" s="4">
        <v>26</v>
      </c>
      <c r="F150" s="4">
        <f t="shared" si="104"/>
        <v>78.800000000000011</v>
      </c>
      <c r="G150" s="4">
        <v>12</v>
      </c>
      <c r="H150" s="4">
        <f t="shared" si="105"/>
        <v>14.160000000000002</v>
      </c>
      <c r="I150" s="4">
        <v>24</v>
      </c>
      <c r="J150" s="4">
        <f t="shared" si="106"/>
        <v>75.2</v>
      </c>
      <c r="K150" s="4">
        <v>8</v>
      </c>
      <c r="L150" s="4">
        <f t="shared" si="107"/>
        <v>9.4400000000000013</v>
      </c>
      <c r="M150" s="4">
        <f t="shared" si="108"/>
        <v>52.79999999999999</v>
      </c>
      <c r="N150" s="4">
        <f t="shared" si="109"/>
        <v>15.733333333333334</v>
      </c>
      <c r="O150" s="4">
        <f t="shared" si="110"/>
        <v>31.466666666666672</v>
      </c>
      <c r="P150" s="22" t="s">
        <v>1</v>
      </c>
      <c r="Q150" s="2"/>
      <c r="R150" s="2"/>
      <c r="T150" s="19">
        <v>303090</v>
      </c>
      <c r="U150" s="19" t="s">
        <v>67</v>
      </c>
      <c r="V150" s="19">
        <v>6.4850000000000005E-2</v>
      </c>
      <c r="W150" s="21">
        <v>0.39576</v>
      </c>
      <c r="X150" s="19">
        <v>-1.71071</v>
      </c>
      <c r="Y150" s="19">
        <v>0.13300000000000001</v>
      </c>
      <c r="Z150" s="19">
        <v>1.1012200000000001</v>
      </c>
      <c r="AA150" s="19">
        <v>0.81682999999999995</v>
      </c>
      <c r="AB150" s="19">
        <v>-1.07962</v>
      </c>
      <c r="AC150" s="19">
        <v>12.624668988776104</v>
      </c>
      <c r="AD150" s="20">
        <v>0.52602787453233768</v>
      </c>
      <c r="AE150" s="23">
        <v>1.9466595289932498E-2</v>
      </c>
      <c r="AF150" s="23">
        <v>1.3583134465871542</v>
      </c>
      <c r="AG150" s="21">
        <v>0.39534695926114971</v>
      </c>
      <c r="AH150" s="19">
        <v>0.30315214414558816</v>
      </c>
      <c r="AI150" s="19">
        <v>0.23086524117755197</v>
      </c>
      <c r="AJ150" s="21">
        <v>0.10812921022286265</v>
      </c>
      <c r="AK150" s="21">
        <v>0.26700869266157007</v>
      </c>
      <c r="AL150" s="19"/>
      <c r="AM150" s="21">
        <v>0.10812921022286265</v>
      </c>
      <c r="AN150" s="21">
        <v>0.26700869266157007</v>
      </c>
      <c r="AO150" s="21">
        <v>0.39534695926114971</v>
      </c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</row>
    <row r="151" spans="1:52" x14ac:dyDescent="0.25">
      <c r="A151" s="7">
        <v>301</v>
      </c>
      <c r="B151" s="5">
        <v>90</v>
      </c>
      <c r="C151" s="6">
        <v>30</v>
      </c>
      <c r="D151" s="5">
        <v>20</v>
      </c>
      <c r="E151" s="4">
        <v>26.5</v>
      </c>
      <c r="F151" s="4">
        <f t="shared" si="104"/>
        <v>79.7</v>
      </c>
      <c r="G151" s="4">
        <v>13</v>
      </c>
      <c r="H151" s="4">
        <f t="shared" si="105"/>
        <v>15.34</v>
      </c>
      <c r="I151" s="4">
        <v>24</v>
      </c>
      <c r="J151" s="4">
        <f t="shared" si="106"/>
        <v>75.2</v>
      </c>
      <c r="K151" s="4">
        <v>9</v>
      </c>
      <c r="L151" s="4">
        <f t="shared" si="107"/>
        <v>10.440000000000001</v>
      </c>
      <c r="M151" s="4">
        <f t="shared" si="108"/>
        <v>48.866666666666667</v>
      </c>
      <c r="N151" s="4">
        <f t="shared" si="109"/>
        <v>16.333333333333329</v>
      </c>
      <c r="O151" s="4">
        <f t="shared" si="110"/>
        <v>34.800000000000004</v>
      </c>
      <c r="P151" s="22" t="s">
        <v>1</v>
      </c>
      <c r="Q151" s="2"/>
      <c r="R151" s="2"/>
      <c r="T151" s="19">
        <v>303120</v>
      </c>
      <c r="U151" s="19" t="s">
        <v>67</v>
      </c>
      <c r="V151" s="19">
        <v>6.4000000000000001E-2</v>
      </c>
      <c r="W151" s="21">
        <v>0.38546000000000002</v>
      </c>
      <c r="X151" s="19">
        <v>-1.59107</v>
      </c>
      <c r="Y151" s="19">
        <v>0.12058000000000001</v>
      </c>
      <c r="Z151" s="19">
        <v>1.2826299999999999</v>
      </c>
      <c r="AA151" s="19">
        <v>0.94094</v>
      </c>
      <c r="AB151" s="19">
        <v>-1.498</v>
      </c>
      <c r="AC151" s="19">
        <v>19.17034814511068</v>
      </c>
      <c r="AD151" s="20">
        <v>0.79876450604627836</v>
      </c>
      <c r="AE151" s="23">
        <v>2.5640707238377185E-2</v>
      </c>
      <c r="AF151" s="23">
        <v>1.3200184456966031</v>
      </c>
      <c r="AG151" s="21">
        <v>0.38484433316449945</v>
      </c>
      <c r="AH151" s="19">
        <v>0.28765071669325382</v>
      </c>
      <c r="AI151" s="19">
        <v>0.22360194574788819</v>
      </c>
      <c r="AJ151" s="21">
        <v>0.11184446637239406</v>
      </c>
      <c r="AK151" s="21">
        <v>0.25562633122057099</v>
      </c>
      <c r="AL151" s="19"/>
      <c r="AM151" s="21">
        <v>0.11184446637239406</v>
      </c>
      <c r="AN151" s="21">
        <v>0.25562633122057099</v>
      </c>
      <c r="AO151" s="21">
        <v>0.38484433316449945</v>
      </c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</row>
    <row r="152" spans="1:52" x14ac:dyDescent="0.25">
      <c r="A152" s="7">
        <v>301</v>
      </c>
      <c r="B152" s="5">
        <v>120</v>
      </c>
      <c r="C152" s="6">
        <v>30</v>
      </c>
      <c r="D152" s="5">
        <v>20</v>
      </c>
      <c r="E152" s="4">
        <v>26</v>
      </c>
      <c r="F152" s="4">
        <f t="shared" si="104"/>
        <v>78.800000000000011</v>
      </c>
      <c r="G152" s="4">
        <v>5</v>
      </c>
      <c r="H152" s="4">
        <f t="shared" si="105"/>
        <v>7.1600000000000019</v>
      </c>
      <c r="I152" s="4">
        <v>24</v>
      </c>
      <c r="J152" s="4">
        <f t="shared" si="106"/>
        <v>75.2</v>
      </c>
      <c r="K152" s="4">
        <v>3</v>
      </c>
      <c r="L152" s="4">
        <f t="shared" si="107"/>
        <v>4.4400000000000004</v>
      </c>
      <c r="M152" s="4">
        <f t="shared" si="108"/>
        <v>76.133333333333326</v>
      </c>
      <c r="N152" s="4">
        <f t="shared" si="109"/>
        <v>9.0666666666666771</v>
      </c>
      <c r="O152" s="4">
        <f t="shared" si="110"/>
        <v>14.800000000000002</v>
      </c>
      <c r="P152" s="22" t="s">
        <v>0</v>
      </c>
      <c r="Q152" s="2"/>
      <c r="R152" s="2"/>
      <c r="T152" s="19">
        <v>303150</v>
      </c>
      <c r="U152" s="19" t="s">
        <v>67</v>
      </c>
      <c r="V152" s="19">
        <v>6.3250000000000001E-2</v>
      </c>
      <c r="W152" s="21">
        <v>0.38285999999999998</v>
      </c>
      <c r="X152" s="19">
        <v>-1.5819700000000001</v>
      </c>
      <c r="Y152" s="19">
        <v>0.13997000000000001</v>
      </c>
      <c r="Z152" s="19">
        <v>1.4380500000000001</v>
      </c>
      <c r="AA152" s="19">
        <v>0.98302</v>
      </c>
      <c r="AB152" s="19">
        <v>-1.28176</v>
      </c>
      <c r="AC152" s="19">
        <v>27.418898254889957</v>
      </c>
      <c r="AD152" s="20">
        <v>1.1424540939537482</v>
      </c>
      <c r="AE152" s="23">
        <v>2.6183638721406943E-2</v>
      </c>
      <c r="AF152" s="23">
        <v>1.3802889143292962</v>
      </c>
      <c r="AG152" s="21">
        <v>0.38228538278694002</v>
      </c>
      <c r="AH152" s="19">
        <v>0.27099717596977235</v>
      </c>
      <c r="AI152" s="19">
        <v>0.20163603505506</v>
      </c>
      <c r="AJ152" s="21">
        <v>9.6216540884377921E-2</v>
      </c>
      <c r="AK152" s="21">
        <v>0.23631660551241618</v>
      </c>
      <c r="AL152" s="19"/>
      <c r="AM152" s="21">
        <v>9.6216540884377921E-2</v>
      </c>
      <c r="AN152" s="21">
        <v>0.23631660551241618</v>
      </c>
      <c r="AO152" s="21">
        <v>0.38228538278694002</v>
      </c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</row>
    <row r="153" spans="1:52" x14ac:dyDescent="0.25">
      <c r="A153" s="7">
        <v>301</v>
      </c>
      <c r="B153" s="5">
        <v>150</v>
      </c>
      <c r="C153" s="6">
        <v>30</v>
      </c>
      <c r="D153" s="5">
        <v>20</v>
      </c>
      <c r="E153" s="4">
        <v>27</v>
      </c>
      <c r="F153" s="4">
        <f t="shared" si="104"/>
        <v>80.599999999999994</v>
      </c>
      <c r="G153" s="4">
        <v>4</v>
      </c>
      <c r="H153" s="4">
        <f t="shared" si="105"/>
        <v>6.52</v>
      </c>
      <c r="I153" s="4">
        <v>24</v>
      </c>
      <c r="J153" s="4">
        <f t="shared" si="106"/>
        <v>75.2</v>
      </c>
      <c r="K153" s="4">
        <v>2.5</v>
      </c>
      <c r="L153" s="4">
        <f t="shared" si="107"/>
        <v>3.9400000000000004</v>
      </c>
      <c r="M153" s="4">
        <f t="shared" si="108"/>
        <v>78.26666666666668</v>
      </c>
      <c r="N153" s="4">
        <f t="shared" si="109"/>
        <v>8.5999999999999801</v>
      </c>
      <c r="O153" s="4">
        <f t="shared" si="110"/>
        <v>13.133333333333336</v>
      </c>
      <c r="P153" s="22" t="s">
        <v>0</v>
      </c>
      <c r="Q153" s="2"/>
      <c r="R153" s="2"/>
      <c r="T153" s="19">
        <v>303180</v>
      </c>
      <c r="U153" s="19" t="s">
        <v>67</v>
      </c>
      <c r="V153" s="19">
        <v>6.13E-2</v>
      </c>
      <c r="W153" s="21">
        <v>0.38247999999999999</v>
      </c>
      <c r="X153" s="19">
        <v>-1.5777000000000001</v>
      </c>
      <c r="Y153" s="19">
        <v>0.13346</v>
      </c>
      <c r="Z153" s="19">
        <v>1.3645499999999999</v>
      </c>
      <c r="AA153" s="19">
        <v>0.99099000000000004</v>
      </c>
      <c r="AB153" s="19">
        <v>-1.3349500000000001</v>
      </c>
      <c r="AC153" s="19">
        <v>23.149946942871701</v>
      </c>
      <c r="AD153" s="20">
        <v>0.96458112261965423</v>
      </c>
      <c r="AE153" s="23">
        <v>2.644234699211586E-2</v>
      </c>
      <c r="AF153" s="23">
        <v>1.3597529196448082</v>
      </c>
      <c r="AG153" s="21">
        <v>0.38187458727925971</v>
      </c>
      <c r="AH153" s="19">
        <v>0.273954188380504</v>
      </c>
      <c r="AI153" s="19">
        <v>0.20619632576236843</v>
      </c>
      <c r="AJ153" s="21">
        <v>9.8619515202598929E-2</v>
      </c>
      <c r="AK153" s="21">
        <v>0.24007525707143623</v>
      </c>
      <c r="AL153" s="19"/>
      <c r="AM153" s="21">
        <v>9.8619515202598929E-2</v>
      </c>
      <c r="AN153" s="21">
        <v>0.24007525707143623</v>
      </c>
      <c r="AO153" s="21">
        <v>0.38187458727925971</v>
      </c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</row>
    <row r="154" spans="1:52" x14ac:dyDescent="0.25">
      <c r="A154" s="7">
        <v>301</v>
      </c>
      <c r="B154" s="5">
        <v>180</v>
      </c>
      <c r="C154" s="6">
        <v>30</v>
      </c>
      <c r="D154" s="5">
        <v>20</v>
      </c>
      <c r="E154" s="4">
        <v>27</v>
      </c>
      <c r="F154" s="4">
        <f t="shared" si="104"/>
        <v>80.599999999999994</v>
      </c>
      <c r="G154" s="4">
        <v>5</v>
      </c>
      <c r="H154" s="4">
        <f t="shared" si="105"/>
        <v>7.52</v>
      </c>
      <c r="I154" s="4">
        <v>24.5</v>
      </c>
      <c r="J154" s="4">
        <f t="shared" si="106"/>
        <v>76.099999999999994</v>
      </c>
      <c r="K154" s="4">
        <v>3.5</v>
      </c>
      <c r="L154" s="4">
        <f t="shared" si="107"/>
        <v>5.1199999999999992</v>
      </c>
      <c r="M154" s="4">
        <f t="shared" si="108"/>
        <v>74.933333333333323</v>
      </c>
      <c r="N154" s="4">
        <f t="shared" si="109"/>
        <v>8.0000000000000142</v>
      </c>
      <c r="O154" s="4">
        <f t="shared" si="110"/>
        <v>17.066666666666663</v>
      </c>
      <c r="P154" s="22" t="s">
        <v>0</v>
      </c>
      <c r="Q154" s="18"/>
      <c r="R154" s="18"/>
      <c r="T154" s="19">
        <v>303210</v>
      </c>
      <c r="U154" s="19" t="s">
        <v>67</v>
      </c>
      <c r="V154" s="19">
        <v>6.13E-2</v>
      </c>
      <c r="W154" s="21">
        <v>0.38247999999999999</v>
      </c>
      <c r="X154" s="19">
        <v>-1.5777000000000001</v>
      </c>
      <c r="Y154" s="19">
        <v>0.13346</v>
      </c>
      <c r="Z154" s="19">
        <v>1.3645499999999999</v>
      </c>
      <c r="AA154" s="19">
        <v>0.99099000000000004</v>
      </c>
      <c r="AB154" s="19">
        <v>-1.3349500000000001</v>
      </c>
      <c r="AC154" s="19">
        <v>23.149946942871701</v>
      </c>
      <c r="AD154" s="20">
        <v>0.96458112261965423</v>
      </c>
      <c r="AE154" s="23">
        <v>2.644234699211586E-2</v>
      </c>
      <c r="AF154" s="23">
        <v>1.3597529196448082</v>
      </c>
      <c r="AG154" s="21">
        <v>0.38187458727925971</v>
      </c>
      <c r="AH154" s="19">
        <v>0.273954188380504</v>
      </c>
      <c r="AI154" s="19">
        <v>0.20619632576236843</v>
      </c>
      <c r="AJ154" s="21">
        <v>9.8619515202598929E-2</v>
      </c>
      <c r="AK154" s="21">
        <v>0.24007525707143623</v>
      </c>
      <c r="AL154" s="19"/>
      <c r="AM154" s="21">
        <v>9.8619515202598929E-2</v>
      </c>
      <c r="AN154" s="21">
        <v>0.24007525707143623</v>
      </c>
      <c r="AO154" s="21">
        <v>0.38187458727925971</v>
      </c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</row>
    <row r="155" spans="1:52" x14ac:dyDescent="0.25">
      <c r="Q155" s="17"/>
      <c r="R155" s="17"/>
      <c r="T155" s="19">
        <v>304030</v>
      </c>
      <c r="U155" s="19" t="s">
        <v>67</v>
      </c>
      <c r="V155" s="19">
        <v>6.8709999999999993E-2</v>
      </c>
      <c r="W155" s="21">
        <v>0.41267999999999999</v>
      </c>
      <c r="X155" s="19">
        <v>-1.63517</v>
      </c>
      <c r="Y155" s="19">
        <v>0.13250000000000001</v>
      </c>
      <c r="Z155" s="19">
        <v>1.3989100000000001</v>
      </c>
      <c r="AA155" s="19">
        <v>0.91917000000000004</v>
      </c>
      <c r="AB155" s="19">
        <v>-1.20733</v>
      </c>
      <c r="AC155" s="19">
        <v>25.055899591586282</v>
      </c>
      <c r="AD155" s="20">
        <v>1.0439958163160952</v>
      </c>
      <c r="AE155" s="23">
        <v>2.3164877077626919E-2</v>
      </c>
      <c r="AF155" s="23">
        <v>1.3567505302998617</v>
      </c>
      <c r="AG155" s="21">
        <v>0.41213522938870939</v>
      </c>
      <c r="AH155" s="19">
        <v>0.30566805352325177</v>
      </c>
      <c r="AI155" s="19">
        <v>0.2320366880053385</v>
      </c>
      <c r="AJ155" s="21">
        <v>0.11136842387841844</v>
      </c>
      <c r="AK155" s="21">
        <v>0.26885237076429513</v>
      </c>
      <c r="AL155" s="19"/>
      <c r="AM155" s="21">
        <v>0.11136842387841844</v>
      </c>
      <c r="AN155" s="21">
        <v>0.26885237076429513</v>
      </c>
      <c r="AO155" s="21">
        <v>0.41213522938870939</v>
      </c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</row>
    <row r="156" spans="1:52" ht="51.75" x14ac:dyDescent="0.25">
      <c r="A156" s="8" t="s">
        <v>54</v>
      </c>
      <c r="B156" s="10" t="s">
        <v>53</v>
      </c>
      <c r="C156" s="14" t="s">
        <v>18</v>
      </c>
      <c r="D156" s="13" t="s">
        <v>17</v>
      </c>
      <c r="E156" s="12" t="s">
        <v>16</v>
      </c>
      <c r="F156" s="12" t="s">
        <v>15</v>
      </c>
      <c r="G156" s="12" t="s">
        <v>52</v>
      </c>
      <c r="H156" s="12" t="s">
        <v>51</v>
      </c>
      <c r="I156" s="12" t="s">
        <v>50</v>
      </c>
      <c r="J156" s="12" t="s">
        <v>49</v>
      </c>
      <c r="K156" s="12" t="s">
        <v>48</v>
      </c>
      <c r="L156" s="12" t="s">
        <v>47</v>
      </c>
      <c r="M156" s="11" t="s">
        <v>8</v>
      </c>
      <c r="N156" s="11" t="s">
        <v>7</v>
      </c>
      <c r="O156" s="11" t="s">
        <v>6</v>
      </c>
      <c r="P156" s="10" t="s">
        <v>5</v>
      </c>
      <c r="Q156" s="67" t="s">
        <v>4</v>
      </c>
      <c r="R156" s="68"/>
      <c r="T156" s="19">
        <v>304045</v>
      </c>
      <c r="U156" s="19" t="s">
        <v>67</v>
      </c>
      <c r="V156" s="19">
        <v>7.1110000000000007E-2</v>
      </c>
      <c r="W156" s="21">
        <v>0.43657000000000001</v>
      </c>
      <c r="X156" s="19">
        <v>-1.6624000000000001</v>
      </c>
      <c r="Y156" s="19">
        <v>0.14430999999999999</v>
      </c>
      <c r="Z156" s="19">
        <v>1.5430900000000001</v>
      </c>
      <c r="AA156" s="19">
        <v>0.92784</v>
      </c>
      <c r="AB156" s="19">
        <v>-0.98519999999999996</v>
      </c>
      <c r="AC156" s="19">
        <v>34.921267625180555</v>
      </c>
      <c r="AD156" s="20">
        <v>1.4550528177158564</v>
      </c>
      <c r="AE156" s="23">
        <v>2.1757049509257938E-2</v>
      </c>
      <c r="AF156" s="23">
        <v>1.3941515951919696</v>
      </c>
      <c r="AG156" s="21">
        <v>0.43607430114418594</v>
      </c>
      <c r="AH156" s="19">
        <v>0.31884822522043166</v>
      </c>
      <c r="AI156" s="19">
        <v>0.23566962855719456</v>
      </c>
      <c r="AJ156" s="21">
        <v>0.10843725093031648</v>
      </c>
      <c r="AK156" s="21">
        <v>0.2772589268888131</v>
      </c>
      <c r="AL156" s="19"/>
      <c r="AM156" s="21">
        <v>0.10843725093031648</v>
      </c>
      <c r="AN156" s="21">
        <v>0.2772589268888131</v>
      </c>
      <c r="AO156" s="21">
        <v>0.43607430114418594</v>
      </c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</row>
    <row r="157" spans="1:52" x14ac:dyDescent="0.25">
      <c r="A157" s="8"/>
      <c r="B157" s="10"/>
      <c r="C157" s="14"/>
      <c r="D157" s="13"/>
      <c r="E157" s="12"/>
      <c r="F157" s="12"/>
      <c r="G157" s="12"/>
      <c r="H157" s="12"/>
      <c r="I157" s="12"/>
      <c r="J157" s="12"/>
      <c r="K157" s="12"/>
      <c r="L157" s="12"/>
      <c r="M157" s="11"/>
      <c r="N157" s="11"/>
      <c r="O157" s="11"/>
      <c r="P157" s="10"/>
      <c r="Q157" s="9" t="s">
        <v>3</v>
      </c>
      <c r="R157" s="9" t="s">
        <v>2</v>
      </c>
      <c r="T157" s="19">
        <v>304060</v>
      </c>
      <c r="U157" s="19" t="s">
        <v>67</v>
      </c>
      <c r="V157" s="19">
        <v>6.9769999999999999E-2</v>
      </c>
      <c r="W157" s="21">
        <v>0.42968000000000001</v>
      </c>
      <c r="X157" s="19">
        <v>-1.67119</v>
      </c>
      <c r="Y157" s="19">
        <v>0.14341000000000001</v>
      </c>
      <c r="Z157" s="19">
        <v>1.47881</v>
      </c>
      <c r="AA157" s="19">
        <v>0.90990000000000004</v>
      </c>
      <c r="AB157" s="19">
        <v>-0.98762000000000005</v>
      </c>
      <c r="AC157" s="19">
        <v>30.116881489628121</v>
      </c>
      <c r="AD157" s="20">
        <v>1.2548700620678384</v>
      </c>
      <c r="AE157" s="23">
        <v>2.1321119289378892E-2</v>
      </c>
      <c r="AF157" s="23">
        <v>1.3912654493308378</v>
      </c>
      <c r="AG157" s="21">
        <v>0.42920261027497886</v>
      </c>
      <c r="AH157" s="19">
        <v>0.31580652227770489</v>
      </c>
      <c r="AI157" s="19">
        <v>0.23397576353405602</v>
      </c>
      <c r="AJ157" s="21">
        <v>0.1074466795668062</v>
      </c>
      <c r="AK157" s="21">
        <v>0.27489114290588046</v>
      </c>
      <c r="AL157" s="19"/>
      <c r="AM157" s="21">
        <v>0.1074466795668062</v>
      </c>
      <c r="AN157" s="21">
        <v>0.27489114290588046</v>
      </c>
      <c r="AO157" s="21">
        <v>0.42920261027497886</v>
      </c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</row>
    <row r="158" spans="1:52" x14ac:dyDescent="0.25">
      <c r="A158" s="7">
        <v>302</v>
      </c>
      <c r="B158" s="5">
        <v>30</v>
      </c>
      <c r="C158" s="6">
        <v>30</v>
      </c>
      <c r="D158" s="5">
        <v>20</v>
      </c>
      <c r="E158" s="4">
        <v>26</v>
      </c>
      <c r="F158" s="4">
        <f t="shared" ref="F158:F163" si="111">1.8*E158+32</f>
        <v>78.800000000000011</v>
      </c>
      <c r="G158" s="4">
        <v>7.5</v>
      </c>
      <c r="H158" s="4">
        <f t="shared" ref="H158:H163" si="112">IF(F158&gt;68,G158+(F158-68)*0.2,ED165-(68-F158)*0.2)</f>
        <v>9.6600000000000019</v>
      </c>
      <c r="I158" s="4">
        <v>24</v>
      </c>
      <c r="J158" s="4">
        <f t="shared" ref="J158:J163" si="113">1.8*I158+32</f>
        <v>75.2</v>
      </c>
      <c r="K158" s="4">
        <v>5</v>
      </c>
      <c r="L158" s="4">
        <f t="shared" ref="L158:L163" si="114">IF(J158&gt;68,K158+(J158-68)*0.2,K158-(68-J158)*0.2)</f>
        <v>6.44</v>
      </c>
      <c r="M158" s="4">
        <f t="shared" ref="M158:M163" si="115">(C158-H158)/C158*100</f>
        <v>67.799999999999983</v>
      </c>
      <c r="N158" s="4">
        <f t="shared" ref="N158:N163" si="116">100-(M158+O158)</f>
        <v>10.733333333333348</v>
      </c>
      <c r="O158" s="4">
        <f t="shared" ref="O158:O163" si="117">L158/C158*100</f>
        <v>21.466666666666669</v>
      </c>
      <c r="P158" s="22" t="s">
        <v>1</v>
      </c>
      <c r="Q158" s="2"/>
      <c r="R158" s="2"/>
      <c r="T158" s="19">
        <v>304090</v>
      </c>
      <c r="U158" s="19" t="s">
        <v>67</v>
      </c>
      <c r="V158" s="19">
        <v>6.2939999999999996E-2</v>
      </c>
      <c r="W158" s="21">
        <v>0.39717999999999998</v>
      </c>
      <c r="X158" s="19">
        <v>-1.60928</v>
      </c>
      <c r="Y158" s="19">
        <v>0.13677</v>
      </c>
      <c r="Z158" s="19">
        <v>1.3786400000000001</v>
      </c>
      <c r="AA158" s="19">
        <v>0.97070000000000001</v>
      </c>
      <c r="AB158" s="19">
        <v>-1.20722</v>
      </c>
      <c r="AC158" s="19">
        <v>23.913326856869041</v>
      </c>
      <c r="AD158" s="20">
        <v>0.99638861903621001</v>
      </c>
      <c r="AE158" s="23">
        <v>2.4587818577715831E-2</v>
      </c>
      <c r="AF158" s="23">
        <v>1.3701559468354296</v>
      </c>
      <c r="AG158" s="21">
        <v>0.39661896130238622</v>
      </c>
      <c r="AH158" s="19">
        <v>0.28651199456473941</v>
      </c>
      <c r="AI158" s="19">
        <v>0.21417182832127116</v>
      </c>
      <c r="AJ158" s="21">
        <v>0.10042886504809848</v>
      </c>
      <c r="AK158" s="21">
        <v>0.25034191144300527</v>
      </c>
      <c r="AL158" s="19"/>
      <c r="AM158" s="21">
        <v>0.10042886504809848</v>
      </c>
      <c r="AN158" s="21">
        <v>0.25034191144300527</v>
      </c>
      <c r="AO158" s="21">
        <v>0.39661896130238622</v>
      </c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</row>
    <row r="159" spans="1:52" x14ac:dyDescent="0.25">
      <c r="A159" s="7">
        <v>302</v>
      </c>
      <c r="B159" s="5">
        <v>60</v>
      </c>
      <c r="C159" s="6">
        <v>30</v>
      </c>
      <c r="D159" s="5">
        <v>20</v>
      </c>
      <c r="E159" s="4">
        <v>26</v>
      </c>
      <c r="F159" s="4">
        <f t="shared" si="111"/>
        <v>78.800000000000011</v>
      </c>
      <c r="G159" s="4">
        <v>13</v>
      </c>
      <c r="H159" s="4">
        <f t="shared" si="112"/>
        <v>15.160000000000002</v>
      </c>
      <c r="I159" s="4">
        <v>24</v>
      </c>
      <c r="J159" s="4">
        <f t="shared" si="113"/>
        <v>75.2</v>
      </c>
      <c r="K159" s="4">
        <v>9</v>
      </c>
      <c r="L159" s="4">
        <f t="shared" si="114"/>
        <v>10.440000000000001</v>
      </c>
      <c r="M159" s="4">
        <f t="shared" si="115"/>
        <v>49.466666666666661</v>
      </c>
      <c r="N159" s="4">
        <f t="shared" si="116"/>
        <v>15.733333333333334</v>
      </c>
      <c r="O159" s="4">
        <f t="shared" si="117"/>
        <v>34.800000000000004</v>
      </c>
      <c r="P159" s="22" t="s">
        <v>1</v>
      </c>
      <c r="Q159" s="2"/>
      <c r="R159" s="2"/>
      <c r="T159" s="19">
        <v>304120</v>
      </c>
      <c r="U159" s="19" t="s">
        <v>67</v>
      </c>
      <c r="V159" s="19">
        <v>6.0679999999999998E-2</v>
      </c>
      <c r="W159" s="21">
        <v>0.38272</v>
      </c>
      <c r="X159" s="19">
        <v>-1.5876600000000001</v>
      </c>
      <c r="Y159" s="19">
        <v>0.12659999999999999</v>
      </c>
      <c r="Z159" s="19">
        <v>1.2761</v>
      </c>
      <c r="AA159" s="19">
        <v>0.97199999999999998</v>
      </c>
      <c r="AB159" s="19">
        <v>-1.39175</v>
      </c>
      <c r="AC159" s="19">
        <v>18.884261252234374</v>
      </c>
      <c r="AD159" s="20">
        <v>0.78684421884309896</v>
      </c>
      <c r="AE159" s="23">
        <v>2.5842825792732334E-2</v>
      </c>
      <c r="AF159" s="23">
        <v>1.3384433676499077</v>
      </c>
      <c r="AG159" s="21">
        <v>0.38211218791472468</v>
      </c>
      <c r="AH159" s="19">
        <v>0.28005852143389648</v>
      </c>
      <c r="AI159" s="19">
        <v>0.21398126865288558</v>
      </c>
      <c r="AJ159" s="21">
        <v>0.10351854821590534</v>
      </c>
      <c r="AK159" s="21">
        <v>0.24701989504339103</v>
      </c>
      <c r="AL159" s="19"/>
      <c r="AM159" s="21">
        <v>0.10351854821590534</v>
      </c>
      <c r="AN159" s="21">
        <v>0.24701989504339103</v>
      </c>
      <c r="AO159" s="21">
        <v>0.38211218791472468</v>
      </c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</row>
    <row r="160" spans="1:52" x14ac:dyDescent="0.25">
      <c r="A160" s="7">
        <v>302</v>
      </c>
      <c r="B160" s="5">
        <v>90</v>
      </c>
      <c r="C160" s="6">
        <v>30</v>
      </c>
      <c r="D160" s="5">
        <v>20</v>
      </c>
      <c r="E160" s="4">
        <v>27</v>
      </c>
      <c r="F160" s="4">
        <f t="shared" si="111"/>
        <v>80.599999999999994</v>
      </c>
      <c r="G160" s="4">
        <v>12</v>
      </c>
      <c r="H160" s="4">
        <f t="shared" si="112"/>
        <v>14.52</v>
      </c>
      <c r="I160" s="4">
        <v>24</v>
      </c>
      <c r="J160" s="4">
        <f t="shared" si="113"/>
        <v>75.2</v>
      </c>
      <c r="K160" s="4">
        <v>8.5</v>
      </c>
      <c r="L160" s="4">
        <f t="shared" si="114"/>
        <v>9.9400000000000013</v>
      </c>
      <c r="M160" s="4">
        <f t="shared" si="115"/>
        <v>51.6</v>
      </c>
      <c r="N160" s="4">
        <f t="shared" si="116"/>
        <v>15.266666666666652</v>
      </c>
      <c r="O160" s="4">
        <f t="shared" si="117"/>
        <v>33.13333333333334</v>
      </c>
      <c r="P160" s="22" t="s">
        <v>1</v>
      </c>
      <c r="Q160" s="2"/>
      <c r="R160" s="2"/>
      <c r="T160" s="19">
        <v>304150</v>
      </c>
      <c r="U160" s="19" t="s">
        <v>67</v>
      </c>
      <c r="V160" s="19">
        <v>5.8860000000000003E-2</v>
      </c>
      <c r="W160" s="21">
        <v>0.37902000000000002</v>
      </c>
      <c r="X160" s="19">
        <v>-1.55298</v>
      </c>
      <c r="Y160" s="19">
        <v>0.16622999999999999</v>
      </c>
      <c r="Z160" s="19">
        <v>1.57561</v>
      </c>
      <c r="AA160" s="19">
        <v>1.0786899999999999</v>
      </c>
      <c r="AB160" s="19">
        <v>-1.1177600000000001</v>
      </c>
      <c r="AC160" s="19">
        <v>37.636566773366148</v>
      </c>
      <c r="AD160" s="20">
        <v>1.5681902822235896</v>
      </c>
      <c r="AE160" s="23">
        <v>2.7991102204556324E-2</v>
      </c>
      <c r="AF160" s="23">
        <v>1.4663241926942798</v>
      </c>
      <c r="AG160" s="21">
        <v>0.37848402496174055</v>
      </c>
      <c r="AH160" s="19">
        <v>0.24477983385433197</v>
      </c>
      <c r="AI160" s="19">
        <v>0.17058408623591823</v>
      </c>
      <c r="AJ160" s="21">
        <v>7.800816484567559E-2</v>
      </c>
      <c r="AK160" s="21">
        <v>0.2076819600451251</v>
      </c>
      <c r="AL160" s="19"/>
      <c r="AM160" s="21">
        <v>7.800816484567559E-2</v>
      </c>
      <c r="AN160" s="21">
        <v>0.2076819600451251</v>
      </c>
      <c r="AO160" s="21">
        <v>0.37848402496174055</v>
      </c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</row>
    <row r="161" spans="1:52" x14ac:dyDescent="0.25">
      <c r="A161" s="7">
        <v>302</v>
      </c>
      <c r="B161" s="5">
        <v>120</v>
      </c>
      <c r="C161" s="6">
        <v>30</v>
      </c>
      <c r="D161" s="5">
        <v>20</v>
      </c>
      <c r="E161" s="4">
        <v>27</v>
      </c>
      <c r="F161" s="4">
        <f t="shared" si="111"/>
        <v>80.599999999999994</v>
      </c>
      <c r="G161" s="4">
        <v>11</v>
      </c>
      <c r="H161" s="4">
        <f t="shared" si="112"/>
        <v>13.52</v>
      </c>
      <c r="I161" s="4">
        <v>24</v>
      </c>
      <c r="J161" s="4">
        <f t="shared" si="113"/>
        <v>75.2</v>
      </c>
      <c r="K161" s="4">
        <v>7</v>
      </c>
      <c r="L161" s="4">
        <f t="shared" si="114"/>
        <v>8.4400000000000013</v>
      </c>
      <c r="M161" s="4">
        <f t="shared" si="115"/>
        <v>54.933333333333337</v>
      </c>
      <c r="N161" s="4">
        <f t="shared" si="116"/>
        <v>16.933333333333323</v>
      </c>
      <c r="O161" s="4">
        <f t="shared" si="117"/>
        <v>28.133333333333336</v>
      </c>
      <c r="P161" s="22" t="s">
        <v>1</v>
      </c>
      <c r="Q161" s="2"/>
      <c r="R161" s="2"/>
      <c r="T161" s="19">
        <v>304180</v>
      </c>
      <c r="U161" s="19" t="s">
        <v>67</v>
      </c>
      <c r="V161" s="19">
        <v>6.368E-2</v>
      </c>
      <c r="W161" s="21">
        <v>0.38538</v>
      </c>
      <c r="X161" s="19">
        <v>-1.5929599999999999</v>
      </c>
      <c r="Y161" s="19">
        <v>0.11999</v>
      </c>
      <c r="Z161" s="19">
        <v>1.2643899999999999</v>
      </c>
      <c r="AA161" s="19">
        <v>0.93945999999999996</v>
      </c>
      <c r="AB161" s="19">
        <v>-1.5007299999999999</v>
      </c>
      <c r="AC161" s="19">
        <v>18.381883105462126</v>
      </c>
      <c r="AD161" s="20">
        <v>0.76591179606092197</v>
      </c>
      <c r="AE161" s="23">
        <v>2.5529364259675634E-2</v>
      </c>
      <c r="AF161" s="23">
        <v>1.3182263849227183</v>
      </c>
      <c r="AG161" s="21">
        <v>0.38476598227758052</v>
      </c>
      <c r="AH161" s="19">
        <v>0.28815463720823026</v>
      </c>
      <c r="AI161" s="19">
        <v>0.22422703039243114</v>
      </c>
      <c r="AJ161" s="21">
        <v>0.11214065735915561</v>
      </c>
      <c r="AK161" s="21">
        <v>0.2561908338003307</v>
      </c>
      <c r="AL161" s="19"/>
      <c r="AM161" s="21">
        <v>0.11214065735915561</v>
      </c>
      <c r="AN161" s="21">
        <v>0.2561908338003307</v>
      </c>
      <c r="AO161" s="21">
        <v>0.38476598227758052</v>
      </c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</row>
    <row r="162" spans="1:52" x14ac:dyDescent="0.25">
      <c r="A162" s="7">
        <v>302</v>
      </c>
      <c r="B162" s="5">
        <v>150</v>
      </c>
      <c r="C162" s="6">
        <v>30</v>
      </c>
      <c r="D162" s="5">
        <v>20</v>
      </c>
      <c r="E162" s="4">
        <v>26</v>
      </c>
      <c r="F162" s="4">
        <f t="shared" si="111"/>
        <v>78.800000000000011</v>
      </c>
      <c r="G162" s="4">
        <v>5.5</v>
      </c>
      <c r="H162" s="4">
        <f t="shared" si="112"/>
        <v>7.6600000000000019</v>
      </c>
      <c r="I162" s="4">
        <v>24</v>
      </c>
      <c r="J162" s="4">
        <f t="shared" si="113"/>
        <v>75.2</v>
      </c>
      <c r="K162" s="4">
        <v>4</v>
      </c>
      <c r="L162" s="4">
        <f t="shared" si="114"/>
        <v>5.44</v>
      </c>
      <c r="M162" s="4">
        <f t="shared" si="115"/>
        <v>74.466666666666654</v>
      </c>
      <c r="N162" s="4">
        <f t="shared" si="116"/>
        <v>7.4000000000000057</v>
      </c>
      <c r="O162" s="4">
        <f t="shared" si="117"/>
        <v>18.133333333333333</v>
      </c>
      <c r="P162" s="22" t="s">
        <v>0</v>
      </c>
      <c r="Q162" s="2"/>
      <c r="R162" s="2"/>
      <c r="T162" s="19">
        <v>304210</v>
      </c>
      <c r="U162" s="19" t="s">
        <v>67</v>
      </c>
      <c r="V162" s="19">
        <v>6.368E-2</v>
      </c>
      <c r="W162" s="21">
        <v>0.38538</v>
      </c>
      <c r="X162" s="19">
        <v>-1.5929599999999999</v>
      </c>
      <c r="Y162" s="19">
        <v>0.11999</v>
      </c>
      <c r="Z162" s="19">
        <v>1.2643899999999999</v>
      </c>
      <c r="AA162" s="19">
        <v>0.93945999999999996</v>
      </c>
      <c r="AB162" s="19">
        <v>-1.5007299999999999</v>
      </c>
      <c r="AC162" s="19">
        <v>18.381883105462126</v>
      </c>
      <c r="AD162" s="20">
        <v>0.76591179606092197</v>
      </c>
      <c r="AE162" s="23">
        <v>2.5529364259675634E-2</v>
      </c>
      <c r="AF162" s="23">
        <v>1.3182263849227183</v>
      </c>
      <c r="AG162" s="21">
        <v>0.38476598227758052</v>
      </c>
      <c r="AH162" s="19">
        <v>0.28815463720823026</v>
      </c>
      <c r="AI162" s="19">
        <v>0.22422703039243114</v>
      </c>
      <c r="AJ162" s="21">
        <v>0.11214065735915561</v>
      </c>
      <c r="AK162" s="21">
        <v>0.2561908338003307</v>
      </c>
      <c r="AL162" s="19"/>
      <c r="AM162" s="21">
        <v>0.11214065735915561</v>
      </c>
      <c r="AN162" s="21">
        <v>0.2561908338003307</v>
      </c>
      <c r="AO162" s="21">
        <v>0.38476598227758052</v>
      </c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</row>
    <row r="163" spans="1:52" x14ac:dyDescent="0.25">
      <c r="A163" s="7">
        <v>302</v>
      </c>
      <c r="B163" s="5">
        <v>180</v>
      </c>
      <c r="C163" s="6">
        <v>30</v>
      </c>
      <c r="D163" s="5">
        <v>20</v>
      </c>
      <c r="E163" s="4">
        <v>26</v>
      </c>
      <c r="F163" s="4">
        <f t="shared" si="111"/>
        <v>78.800000000000011</v>
      </c>
      <c r="G163" s="4">
        <v>8</v>
      </c>
      <c r="H163" s="4">
        <f t="shared" si="112"/>
        <v>10.160000000000002</v>
      </c>
      <c r="I163" s="4">
        <v>23.5</v>
      </c>
      <c r="J163" s="4">
        <f t="shared" si="113"/>
        <v>74.300000000000011</v>
      </c>
      <c r="K163" s="4">
        <v>6</v>
      </c>
      <c r="L163" s="4">
        <f t="shared" si="114"/>
        <v>7.2600000000000025</v>
      </c>
      <c r="M163" s="4">
        <f t="shared" si="115"/>
        <v>66.133333333333326</v>
      </c>
      <c r="N163" s="4">
        <f t="shared" si="116"/>
        <v>9.6666666666666714</v>
      </c>
      <c r="O163" s="4">
        <f t="shared" si="117"/>
        <v>24.200000000000006</v>
      </c>
      <c r="P163" s="22" t="s">
        <v>1</v>
      </c>
      <c r="Q163" s="18"/>
      <c r="R163" s="18"/>
      <c r="T163" s="19">
        <v>305030</v>
      </c>
      <c r="U163" s="19" t="s">
        <v>67</v>
      </c>
      <c r="V163" s="19">
        <v>5.8049999999999997E-2</v>
      </c>
      <c r="W163" s="21">
        <v>0.40328000000000003</v>
      </c>
      <c r="X163" s="19">
        <v>-1.5440100000000001</v>
      </c>
      <c r="Y163" s="19">
        <v>0.19982</v>
      </c>
      <c r="Z163" s="19">
        <v>1.82419</v>
      </c>
      <c r="AA163" s="19">
        <v>1.18743</v>
      </c>
      <c r="AB163" s="19">
        <v>-0.90613999999999995</v>
      </c>
      <c r="AC163" s="19">
        <v>66.709855510791712</v>
      </c>
      <c r="AD163" s="20">
        <v>2.7795773129496548</v>
      </c>
      <c r="AE163" s="23">
        <v>2.857524745678602E-2</v>
      </c>
      <c r="AF163" s="23">
        <v>1.5842364453109619</v>
      </c>
      <c r="AG163" s="21">
        <v>0.40282528656149519</v>
      </c>
      <c r="AH163" s="19">
        <v>0.23340165684398681</v>
      </c>
      <c r="AI163" s="19">
        <v>0.14967644518653275</v>
      </c>
      <c r="AJ163" s="21">
        <v>6.8057829502661871E-2</v>
      </c>
      <c r="AK163" s="21">
        <v>0.19153905101525978</v>
      </c>
      <c r="AL163" s="19"/>
      <c r="AM163" s="21">
        <v>6.8057829502661871E-2</v>
      </c>
      <c r="AN163" s="21">
        <v>0.19153905101525978</v>
      </c>
      <c r="AO163" s="21">
        <v>0.40282528656149519</v>
      </c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</row>
    <row r="164" spans="1:52" x14ac:dyDescent="0.25">
      <c r="Q164" s="17"/>
      <c r="R164" s="17"/>
      <c r="T164" s="19">
        <v>305045</v>
      </c>
      <c r="U164" s="19" t="s">
        <v>67</v>
      </c>
      <c r="V164" s="19">
        <v>6.2950000000000006E-2</v>
      </c>
      <c r="W164" s="21">
        <v>0.43108000000000002</v>
      </c>
      <c r="X164" s="19">
        <v>-1.5895900000000001</v>
      </c>
      <c r="Y164" s="19">
        <v>0.17163</v>
      </c>
      <c r="Z164" s="19">
        <v>1.7815000000000001</v>
      </c>
      <c r="AA164" s="19">
        <v>1.11765</v>
      </c>
      <c r="AB164" s="19">
        <v>-0.87804000000000004</v>
      </c>
      <c r="AC164" s="19">
        <v>60.464435134475998</v>
      </c>
      <c r="AD164" s="20">
        <v>2.5193514639364998</v>
      </c>
      <c r="AE164" s="23">
        <v>2.5728235361159525E-2</v>
      </c>
      <c r="AF164" s="23">
        <v>1.4846702288962594</v>
      </c>
      <c r="AG164" s="21">
        <v>0.43055694691744367</v>
      </c>
      <c r="AH164" s="19">
        <v>0.27968174370830867</v>
      </c>
      <c r="AI164" s="19">
        <v>0.19122704277403901</v>
      </c>
      <c r="AJ164" s="21">
        <v>8.3479603754462658E-2</v>
      </c>
      <c r="AK164" s="21">
        <v>0.23545439324117384</v>
      </c>
      <c r="AL164" s="19"/>
      <c r="AM164" s="21">
        <v>8.3479603754462658E-2</v>
      </c>
      <c r="AN164" s="21">
        <v>0.23545439324117384</v>
      </c>
      <c r="AO164" s="21">
        <v>0.43055694691744367</v>
      </c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</row>
    <row r="165" spans="1:52" ht="51.75" x14ac:dyDescent="0.25">
      <c r="A165" s="8" t="s">
        <v>54</v>
      </c>
      <c r="B165" s="10" t="s">
        <v>53</v>
      </c>
      <c r="C165" s="14" t="s">
        <v>18</v>
      </c>
      <c r="D165" s="13" t="s">
        <v>17</v>
      </c>
      <c r="E165" s="12" t="s">
        <v>16</v>
      </c>
      <c r="F165" s="12" t="s">
        <v>15</v>
      </c>
      <c r="G165" s="12" t="s">
        <v>52</v>
      </c>
      <c r="H165" s="12" t="s">
        <v>51</v>
      </c>
      <c r="I165" s="12" t="s">
        <v>50</v>
      </c>
      <c r="J165" s="12" t="s">
        <v>49</v>
      </c>
      <c r="K165" s="12" t="s">
        <v>48</v>
      </c>
      <c r="L165" s="12" t="s">
        <v>47</v>
      </c>
      <c r="M165" s="11" t="s">
        <v>8</v>
      </c>
      <c r="N165" s="11" t="s">
        <v>7</v>
      </c>
      <c r="O165" s="11" t="s">
        <v>6</v>
      </c>
      <c r="P165" s="10" t="s">
        <v>5</v>
      </c>
      <c r="Q165" s="71" t="s">
        <v>4</v>
      </c>
      <c r="R165" s="71"/>
      <c r="T165" s="19">
        <v>305060</v>
      </c>
      <c r="U165" s="19" t="s">
        <v>67</v>
      </c>
      <c r="V165" s="19">
        <v>6.5979999999999997E-2</v>
      </c>
      <c r="W165" s="21">
        <v>0.42725000000000002</v>
      </c>
      <c r="X165" s="19">
        <v>-1.6321300000000001</v>
      </c>
      <c r="Y165" s="19">
        <v>0.15343999999999999</v>
      </c>
      <c r="Z165" s="19">
        <v>1.60345</v>
      </c>
      <c r="AA165" s="19">
        <v>1.00176</v>
      </c>
      <c r="AB165" s="19">
        <v>-0.95343</v>
      </c>
      <c r="AC165" s="19">
        <v>40.128229627151811</v>
      </c>
      <c r="AD165" s="20">
        <v>1.672009567797992</v>
      </c>
      <c r="AE165" s="23">
        <v>2.3327596786645033E-2</v>
      </c>
      <c r="AF165" s="23">
        <v>1.4237705318898275</v>
      </c>
      <c r="AG165" s="21">
        <v>0.42674136077174024</v>
      </c>
      <c r="AH165" s="19">
        <v>0.29937203367576154</v>
      </c>
      <c r="AI165" s="19">
        <v>0.2151716939536174</v>
      </c>
      <c r="AJ165" s="21">
        <v>9.6161805947340737E-2</v>
      </c>
      <c r="AK165" s="21">
        <v>0.25727186381468947</v>
      </c>
      <c r="AL165" s="19"/>
      <c r="AM165" s="21">
        <v>9.6161805947340737E-2</v>
      </c>
      <c r="AN165" s="21">
        <v>0.25727186381468947</v>
      </c>
      <c r="AO165" s="21">
        <v>0.42674136077174024</v>
      </c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 spans="1:52" x14ac:dyDescent="0.25">
      <c r="A166" s="8"/>
      <c r="B166" s="10"/>
      <c r="C166" s="14"/>
      <c r="D166" s="13"/>
      <c r="E166" s="12"/>
      <c r="F166" s="12"/>
      <c r="G166" s="12"/>
      <c r="H166" s="12"/>
      <c r="I166" s="12"/>
      <c r="J166" s="12"/>
      <c r="K166" s="12"/>
      <c r="L166" s="12"/>
      <c r="M166" s="11"/>
      <c r="N166" s="11"/>
      <c r="O166" s="11"/>
      <c r="P166" s="10"/>
      <c r="Q166" s="9" t="s">
        <v>3</v>
      </c>
      <c r="R166" s="9" t="s">
        <v>2</v>
      </c>
      <c r="T166" s="19">
        <v>305090</v>
      </c>
      <c r="U166" s="19" t="s">
        <v>67</v>
      </c>
      <c r="V166" s="19">
        <v>6.522E-2</v>
      </c>
      <c r="W166" s="21">
        <v>0.39839000000000002</v>
      </c>
      <c r="X166" s="19">
        <v>-1.6593899999999999</v>
      </c>
      <c r="Y166" s="19">
        <v>0.12870999999999999</v>
      </c>
      <c r="Z166" s="19">
        <v>1.2115199999999999</v>
      </c>
      <c r="AA166" s="19">
        <v>0.87978999999999996</v>
      </c>
      <c r="AB166" s="19">
        <v>-1.21855</v>
      </c>
      <c r="AC166" s="19">
        <v>16.274962628891739</v>
      </c>
      <c r="AD166" s="20">
        <v>0.67812344287048909</v>
      </c>
      <c r="AE166" s="23">
        <v>2.1908366624624698E-2</v>
      </c>
      <c r="AF166" s="23">
        <v>1.3449619562250958</v>
      </c>
      <c r="AG166" s="21">
        <v>0.39789075369782212</v>
      </c>
      <c r="AH166" s="19">
        <v>0.30066213959652505</v>
      </c>
      <c r="AI166" s="19">
        <v>0.23022855252891983</v>
      </c>
      <c r="AJ166" s="21">
        <v>0.11034880059342465</v>
      </c>
      <c r="AK166" s="21">
        <v>0.26544534606272241</v>
      </c>
      <c r="AL166" s="19"/>
      <c r="AM166" s="21">
        <v>0.11034880059342465</v>
      </c>
      <c r="AN166" s="21">
        <v>0.26544534606272241</v>
      </c>
      <c r="AO166" s="21">
        <v>0.39789075369782212</v>
      </c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 spans="1:52" x14ac:dyDescent="0.25">
      <c r="A167" s="7">
        <v>303</v>
      </c>
      <c r="B167" s="5">
        <v>30</v>
      </c>
      <c r="C167" s="6">
        <v>30</v>
      </c>
      <c r="D167" s="5">
        <v>20</v>
      </c>
      <c r="E167" s="4">
        <v>23.5</v>
      </c>
      <c r="F167" s="4">
        <f t="shared" ref="F167:F172" si="118">1.8*E167+32</f>
        <v>74.300000000000011</v>
      </c>
      <c r="G167" s="4">
        <v>7.5</v>
      </c>
      <c r="H167" s="4">
        <f t="shared" ref="H167:H172" si="119">IF(F167&gt;68,G167+(F167-68)*0.2,DL165-(68-F167)*0.2)</f>
        <v>8.7600000000000016</v>
      </c>
      <c r="I167" s="4">
        <v>23.5</v>
      </c>
      <c r="J167" s="4">
        <f t="shared" ref="J167:J172" si="120">1.8*I167+32</f>
        <v>74.300000000000011</v>
      </c>
      <c r="K167" s="4">
        <v>5</v>
      </c>
      <c r="L167" s="4">
        <f t="shared" ref="L167:L172" si="121">IF(J167&gt;68,K167+(J167-68)*0.2,K167-(68-J167)*0.2)</f>
        <v>6.2600000000000025</v>
      </c>
      <c r="M167" s="4">
        <f t="shared" ref="M167:M172" si="122">(C167-H167)/C167*100</f>
        <v>70.8</v>
      </c>
      <c r="N167" s="4">
        <f t="shared" ref="N167:N172" si="123">100-(M167+O167)</f>
        <v>8.3333333333333286</v>
      </c>
      <c r="O167" s="4">
        <f t="shared" ref="O167:O172" si="124">L167/C167*100</f>
        <v>20.866666666666674</v>
      </c>
      <c r="P167" s="22" t="s">
        <v>1</v>
      </c>
      <c r="Q167" s="2"/>
      <c r="R167" s="2"/>
      <c r="T167" s="19">
        <v>305120</v>
      </c>
      <c r="U167" s="19" t="s">
        <v>67</v>
      </c>
      <c r="V167" s="19">
        <v>5.8720000000000001E-2</v>
      </c>
      <c r="W167" s="21">
        <v>0.3805</v>
      </c>
      <c r="X167" s="19">
        <v>-1.60677</v>
      </c>
      <c r="Y167" s="19">
        <v>0.12714</v>
      </c>
      <c r="Z167" s="19">
        <v>1.20543</v>
      </c>
      <c r="AA167" s="19">
        <v>0.95777000000000001</v>
      </c>
      <c r="AB167" s="19">
        <v>-1.33535</v>
      </c>
      <c r="AC167" s="19">
        <v>16.04833568639912</v>
      </c>
      <c r="AD167" s="20">
        <v>0.66868065359996331</v>
      </c>
      <c r="AE167" s="23">
        <v>2.4730335033892398E-2</v>
      </c>
      <c r="AF167" s="23">
        <v>1.3401086177809283</v>
      </c>
      <c r="AG167" s="21">
        <v>0.37992867511804879</v>
      </c>
      <c r="AH167" s="19">
        <v>0.28010033686999569</v>
      </c>
      <c r="AI167" s="19">
        <v>0.21352428497119125</v>
      </c>
      <c r="AJ167" s="21">
        <v>0.10174006129619143</v>
      </c>
      <c r="AK167" s="21">
        <v>0.24681231092059347</v>
      </c>
      <c r="AL167" s="19"/>
      <c r="AM167" s="21">
        <v>0.10174006129619143</v>
      </c>
      <c r="AN167" s="21">
        <v>0.24681231092059347</v>
      </c>
      <c r="AO167" s="21">
        <v>0.37992867511804879</v>
      </c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</row>
    <row r="168" spans="1:52" x14ac:dyDescent="0.25">
      <c r="A168" s="7">
        <v>303</v>
      </c>
      <c r="B168" s="5">
        <v>60</v>
      </c>
      <c r="C168" s="6">
        <v>30</v>
      </c>
      <c r="D168" s="5">
        <v>20</v>
      </c>
      <c r="E168" s="4">
        <v>23.5</v>
      </c>
      <c r="F168" s="4">
        <f t="shared" si="118"/>
        <v>74.300000000000011</v>
      </c>
      <c r="G168" s="4">
        <v>11</v>
      </c>
      <c r="H168" s="4">
        <f t="shared" si="119"/>
        <v>12.260000000000002</v>
      </c>
      <c r="I168" s="4">
        <v>23.5</v>
      </c>
      <c r="J168" s="4">
        <f t="shared" si="120"/>
        <v>74.300000000000011</v>
      </c>
      <c r="K168" s="4">
        <v>8</v>
      </c>
      <c r="L168" s="4">
        <f t="shared" si="121"/>
        <v>9.2600000000000016</v>
      </c>
      <c r="M168" s="4">
        <f t="shared" si="122"/>
        <v>59.133333333333326</v>
      </c>
      <c r="N168" s="4">
        <f t="shared" si="123"/>
        <v>10</v>
      </c>
      <c r="O168" s="4">
        <f t="shared" si="124"/>
        <v>30.866666666666671</v>
      </c>
      <c r="P168" s="22" t="s">
        <v>1</v>
      </c>
      <c r="Q168" s="2"/>
      <c r="R168" s="2"/>
      <c r="T168" s="19">
        <v>305150</v>
      </c>
      <c r="U168" s="19" t="s">
        <v>67</v>
      </c>
      <c r="V168" s="19">
        <v>6.2820000000000001E-2</v>
      </c>
      <c r="W168" s="21">
        <v>0.38488</v>
      </c>
      <c r="X168" s="19">
        <v>-1.59378</v>
      </c>
      <c r="Y168" s="19">
        <v>0.12076000000000001</v>
      </c>
      <c r="Z168" s="19">
        <v>1.2499499999999999</v>
      </c>
      <c r="AA168" s="19">
        <v>0.94445000000000001</v>
      </c>
      <c r="AB168" s="19">
        <v>-1.4794</v>
      </c>
      <c r="AC168" s="19">
        <v>17.780746898407543</v>
      </c>
      <c r="AD168" s="20">
        <v>0.74086445410031432</v>
      </c>
      <c r="AE168" s="23">
        <v>2.5481207239559371E-2</v>
      </c>
      <c r="AF168" s="23">
        <v>1.3205656609528389</v>
      </c>
      <c r="AG168" s="21">
        <v>0.38426865079338363</v>
      </c>
      <c r="AH168" s="19">
        <v>0.28710881900955321</v>
      </c>
      <c r="AI168" s="19">
        <v>0.22283388521624842</v>
      </c>
      <c r="AJ168" s="21">
        <v>0.11069353274628706</v>
      </c>
      <c r="AK168" s="21">
        <v>0.25497135211290078</v>
      </c>
      <c r="AL168" s="19"/>
      <c r="AM168" s="21">
        <v>0.11069353274628706</v>
      </c>
      <c r="AN168" s="21">
        <v>0.25497135211290078</v>
      </c>
      <c r="AO168" s="21">
        <v>0.38426865079338363</v>
      </c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</row>
    <row r="169" spans="1:52" x14ac:dyDescent="0.25">
      <c r="A169" s="7">
        <v>303</v>
      </c>
      <c r="B169" s="5">
        <v>90</v>
      </c>
      <c r="C169" s="6">
        <v>30</v>
      </c>
      <c r="D169" s="5">
        <v>20</v>
      </c>
      <c r="E169" s="4">
        <v>25.5</v>
      </c>
      <c r="F169" s="4">
        <f t="shared" si="118"/>
        <v>77.900000000000006</v>
      </c>
      <c r="G169" s="4">
        <v>12</v>
      </c>
      <c r="H169" s="4">
        <f t="shared" si="119"/>
        <v>13.98</v>
      </c>
      <c r="I169" s="4">
        <v>24</v>
      </c>
      <c r="J169" s="4">
        <f t="shared" si="120"/>
        <v>75.2</v>
      </c>
      <c r="K169" s="4">
        <v>6</v>
      </c>
      <c r="L169" s="4">
        <f t="shared" si="121"/>
        <v>7.44</v>
      </c>
      <c r="M169" s="4">
        <f t="shared" si="122"/>
        <v>53.400000000000006</v>
      </c>
      <c r="N169" s="4">
        <f t="shared" si="123"/>
        <v>21.799999999999983</v>
      </c>
      <c r="O169" s="4">
        <f t="shared" si="124"/>
        <v>24.800000000000004</v>
      </c>
      <c r="P169" s="22" t="s">
        <v>1</v>
      </c>
      <c r="Q169" s="2"/>
      <c r="R169" s="2"/>
      <c r="T169" s="19">
        <v>305180</v>
      </c>
      <c r="U169" s="19" t="s">
        <v>67</v>
      </c>
      <c r="V169" s="19">
        <v>6.5110000000000001E-2</v>
      </c>
      <c r="W169" s="21">
        <v>0.38716</v>
      </c>
      <c r="X169" s="19">
        <v>-1.60494</v>
      </c>
      <c r="Y169" s="19">
        <v>0.11337</v>
      </c>
      <c r="Z169" s="19">
        <v>1.1934499999999999</v>
      </c>
      <c r="AA169" s="19">
        <v>0.90669</v>
      </c>
      <c r="AB169" s="19">
        <v>-1.60293</v>
      </c>
      <c r="AC169" s="19">
        <v>15.611692913659056</v>
      </c>
      <c r="AD169" s="20">
        <v>0.65048720473579402</v>
      </c>
      <c r="AE169" s="23">
        <v>2.483476186510564E-2</v>
      </c>
      <c r="AF169" s="23">
        <v>1.2982848821747479</v>
      </c>
      <c r="AG169" s="21">
        <v>0.38655281553701881</v>
      </c>
      <c r="AH169" s="19">
        <v>0.29598148880520736</v>
      </c>
      <c r="AI169" s="19">
        <v>0.23416155811616263</v>
      </c>
      <c r="AJ169" s="21">
        <v>0.12018340824067653</v>
      </c>
      <c r="AK169" s="21">
        <v>0.26507152346068497</v>
      </c>
      <c r="AL169" s="19"/>
      <c r="AM169" s="21">
        <v>0.12018340824067653</v>
      </c>
      <c r="AN169" s="21">
        <v>0.26507152346068497</v>
      </c>
      <c r="AO169" s="21">
        <v>0.38655281553701881</v>
      </c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</row>
    <row r="170" spans="1:52" x14ac:dyDescent="0.25">
      <c r="A170" s="7">
        <v>303</v>
      </c>
      <c r="B170" s="5">
        <v>120</v>
      </c>
      <c r="C170" s="6">
        <v>30</v>
      </c>
      <c r="D170" s="5">
        <v>20</v>
      </c>
      <c r="E170" s="4">
        <v>25.5</v>
      </c>
      <c r="F170" s="4">
        <f t="shared" si="118"/>
        <v>77.900000000000006</v>
      </c>
      <c r="G170" s="4">
        <v>8</v>
      </c>
      <c r="H170" s="4">
        <f t="shared" si="119"/>
        <v>9.98</v>
      </c>
      <c r="I170" s="4">
        <v>23.5</v>
      </c>
      <c r="J170" s="4">
        <f t="shared" si="120"/>
        <v>74.300000000000011</v>
      </c>
      <c r="K170" s="4">
        <v>6</v>
      </c>
      <c r="L170" s="4">
        <f t="shared" si="121"/>
        <v>7.2600000000000025</v>
      </c>
      <c r="M170" s="4">
        <f t="shared" si="122"/>
        <v>66.733333333333334</v>
      </c>
      <c r="N170" s="4">
        <f t="shared" si="123"/>
        <v>9.0666666666666629</v>
      </c>
      <c r="O170" s="4">
        <f t="shared" si="124"/>
        <v>24.200000000000006</v>
      </c>
      <c r="P170" s="22" t="s">
        <v>1</v>
      </c>
      <c r="Q170" s="2"/>
      <c r="R170" s="2"/>
      <c r="T170" s="19">
        <v>305210</v>
      </c>
      <c r="U170" s="19" t="s">
        <v>67</v>
      </c>
      <c r="V170" s="19">
        <v>6.5110000000000001E-2</v>
      </c>
      <c r="W170" s="21">
        <v>0.38716</v>
      </c>
      <c r="X170" s="19">
        <v>-1.60494</v>
      </c>
      <c r="Y170" s="19">
        <v>0.11337</v>
      </c>
      <c r="Z170" s="19">
        <v>1.1934499999999999</v>
      </c>
      <c r="AA170" s="19">
        <v>0.90669</v>
      </c>
      <c r="AB170" s="19">
        <v>-1.60293</v>
      </c>
      <c r="AC170" s="19">
        <v>15.611692913659056</v>
      </c>
      <c r="AD170" s="20">
        <v>0.65048720473579402</v>
      </c>
      <c r="AE170" s="23">
        <v>2.483476186510564E-2</v>
      </c>
      <c r="AF170" s="23">
        <v>1.2982848821747479</v>
      </c>
      <c r="AG170" s="21">
        <v>0.38655281553701881</v>
      </c>
      <c r="AH170" s="19">
        <v>0.29598148880520736</v>
      </c>
      <c r="AI170" s="19">
        <v>0.23416155811616263</v>
      </c>
      <c r="AJ170" s="21">
        <v>0.12018340824067653</v>
      </c>
      <c r="AK170" s="21">
        <v>0.26507152346068497</v>
      </c>
      <c r="AL170" s="19"/>
      <c r="AM170" s="21">
        <v>0.12018340824067653</v>
      </c>
      <c r="AN170" s="21">
        <v>0.26507152346068497</v>
      </c>
      <c r="AO170" s="21">
        <v>0.38655281553701881</v>
      </c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</row>
    <row r="171" spans="1:52" x14ac:dyDescent="0.25">
      <c r="A171" s="7">
        <v>303</v>
      </c>
      <c r="B171" s="5">
        <v>150</v>
      </c>
      <c r="C171" s="6">
        <v>30</v>
      </c>
      <c r="D171" s="5">
        <v>20</v>
      </c>
      <c r="E171" s="4">
        <v>26</v>
      </c>
      <c r="F171" s="4">
        <f t="shared" si="118"/>
        <v>78.800000000000011</v>
      </c>
      <c r="G171" s="4">
        <v>6</v>
      </c>
      <c r="H171" s="4">
        <f t="shared" si="119"/>
        <v>8.1600000000000019</v>
      </c>
      <c r="I171" s="4">
        <v>24</v>
      </c>
      <c r="J171" s="4">
        <f t="shared" si="120"/>
        <v>75.2</v>
      </c>
      <c r="K171" s="4">
        <v>5</v>
      </c>
      <c r="L171" s="4">
        <f t="shared" si="121"/>
        <v>6.44</v>
      </c>
      <c r="M171" s="4">
        <f t="shared" si="122"/>
        <v>72.799999999999983</v>
      </c>
      <c r="N171" s="4">
        <f t="shared" si="123"/>
        <v>5.7333333333333485</v>
      </c>
      <c r="O171" s="4">
        <f t="shared" si="124"/>
        <v>21.466666666666669</v>
      </c>
      <c r="P171" s="22" t="s">
        <v>1</v>
      </c>
      <c r="Q171" s="2"/>
      <c r="R171" s="2"/>
      <c r="T171" s="19">
        <v>306030</v>
      </c>
      <c r="U171" s="19" t="s">
        <v>67</v>
      </c>
      <c r="V171" s="19">
        <v>7.1650000000000005E-2</v>
      </c>
      <c r="W171" s="21">
        <v>0.41583999999999999</v>
      </c>
      <c r="X171" s="19">
        <v>-1.6437900000000001</v>
      </c>
      <c r="Y171" s="19">
        <v>0.12377000000000001</v>
      </c>
      <c r="Z171" s="19">
        <v>1.33992</v>
      </c>
      <c r="AA171" s="19">
        <v>0.87955000000000005</v>
      </c>
      <c r="AB171" s="19">
        <v>-1.3162400000000001</v>
      </c>
      <c r="AC171" s="19">
        <v>21.873586604808136</v>
      </c>
      <c r="AD171" s="20">
        <v>0.91139944186700561</v>
      </c>
      <c r="AE171" s="23">
        <v>2.2709626942532764E-2</v>
      </c>
      <c r="AF171" s="23">
        <v>1.3297500030844658</v>
      </c>
      <c r="AG171" s="21">
        <v>0.41528585714082583</v>
      </c>
      <c r="AH171" s="19">
        <v>0.31607253330812135</v>
      </c>
      <c r="AI171" s="19">
        <v>0.24542653344306603</v>
      </c>
      <c r="AJ171" s="21">
        <v>0.12196826822298747</v>
      </c>
      <c r="AK171" s="21">
        <v>0.28074953337559372</v>
      </c>
      <c r="AL171" s="19"/>
      <c r="AM171" s="21">
        <v>0.12196826822298747</v>
      </c>
      <c r="AN171" s="21">
        <v>0.28074953337559372</v>
      </c>
      <c r="AO171" s="21">
        <v>0.41528585714082583</v>
      </c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 spans="1:52" x14ac:dyDescent="0.25">
      <c r="A172" s="7">
        <v>303</v>
      </c>
      <c r="B172" s="5">
        <v>180</v>
      </c>
      <c r="C172" s="6">
        <v>30</v>
      </c>
      <c r="D172" s="5">
        <v>20</v>
      </c>
      <c r="E172" s="4">
        <v>26</v>
      </c>
      <c r="F172" s="4">
        <f t="shared" si="118"/>
        <v>78.800000000000011</v>
      </c>
      <c r="G172" s="4">
        <v>7</v>
      </c>
      <c r="H172" s="4">
        <f t="shared" si="119"/>
        <v>9.1600000000000019</v>
      </c>
      <c r="I172" s="4">
        <v>24</v>
      </c>
      <c r="J172" s="4">
        <f t="shared" si="120"/>
        <v>75.2</v>
      </c>
      <c r="K172" s="4">
        <v>5</v>
      </c>
      <c r="L172" s="4">
        <f t="shared" si="121"/>
        <v>6.44</v>
      </c>
      <c r="M172" s="4">
        <f t="shared" si="122"/>
        <v>69.466666666666654</v>
      </c>
      <c r="N172" s="4">
        <f t="shared" si="123"/>
        <v>9.0666666666666771</v>
      </c>
      <c r="O172" s="4">
        <f t="shared" si="124"/>
        <v>21.466666666666669</v>
      </c>
      <c r="P172" s="22" t="s">
        <v>1</v>
      </c>
      <c r="Q172" s="2"/>
      <c r="R172" s="2"/>
      <c r="T172" s="19">
        <v>306045</v>
      </c>
      <c r="U172" s="19" t="s">
        <v>67</v>
      </c>
      <c r="V172" s="19">
        <v>7.8780000000000003E-2</v>
      </c>
      <c r="W172" s="21">
        <v>0.44414999999999999</v>
      </c>
      <c r="X172" s="19">
        <v>-1.6830099999999999</v>
      </c>
      <c r="Y172" s="19">
        <v>0.1295</v>
      </c>
      <c r="Z172" s="19">
        <v>1.4066700000000001</v>
      </c>
      <c r="AA172" s="19">
        <v>0.83547000000000005</v>
      </c>
      <c r="AB172" s="19">
        <v>-1.14418</v>
      </c>
      <c r="AC172" s="19">
        <v>25.507623614608587</v>
      </c>
      <c r="AD172" s="20">
        <v>1.062817650608691</v>
      </c>
      <c r="AE172" s="23">
        <v>2.0748657413556089E-2</v>
      </c>
      <c r="AF172" s="23">
        <v>1.347410725344405</v>
      </c>
      <c r="AG172" s="21">
        <v>0.44364312687560364</v>
      </c>
      <c r="AH172" s="19">
        <v>0.34001318778210726</v>
      </c>
      <c r="AI172" s="19">
        <v>0.26206023966577774</v>
      </c>
      <c r="AJ172" s="21">
        <v>0.12850339322709814</v>
      </c>
      <c r="AK172" s="21">
        <v>0.30103671372394247</v>
      </c>
      <c r="AL172" s="19"/>
      <c r="AM172" s="21">
        <v>0.12850339322709814</v>
      </c>
      <c r="AN172" s="21">
        <v>0.30103671372394247</v>
      </c>
      <c r="AO172" s="21">
        <v>0.44364312687560364</v>
      </c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</row>
    <row r="173" spans="1:52" x14ac:dyDescent="0.25">
      <c r="T173" s="19">
        <v>306060</v>
      </c>
      <c r="U173" s="19" t="s">
        <v>67</v>
      </c>
      <c r="V173" s="19">
        <v>8.1890000000000004E-2</v>
      </c>
      <c r="W173" s="21">
        <v>0.44198999999999999</v>
      </c>
      <c r="X173" s="19">
        <v>-1.70051</v>
      </c>
      <c r="Y173" s="19">
        <v>0.12315</v>
      </c>
      <c r="Z173" s="19">
        <v>1.2457400000000001</v>
      </c>
      <c r="AA173" s="19">
        <v>0.77432999999999996</v>
      </c>
      <c r="AB173" s="19">
        <v>-1.2295100000000001</v>
      </c>
      <c r="AC173" s="19">
        <v>17.609215161596026</v>
      </c>
      <c r="AD173" s="20">
        <v>0.73371729839983446</v>
      </c>
      <c r="AE173" s="23">
        <v>1.9929206169433597E-2</v>
      </c>
      <c r="AF173" s="23">
        <v>1.3278530027167286</v>
      </c>
      <c r="AG173" s="21">
        <v>0.44150085924266858</v>
      </c>
      <c r="AH173" s="19">
        <v>0.34621382153804126</v>
      </c>
      <c r="AI173" s="19">
        <v>0.271820981848021</v>
      </c>
      <c r="AJ173" s="21">
        <v>0.13744728802877598</v>
      </c>
      <c r="AK173" s="21">
        <v>0.30901740169303116</v>
      </c>
      <c r="AL173" s="19"/>
      <c r="AM173" s="21">
        <v>0.13744728802877598</v>
      </c>
      <c r="AN173" s="21">
        <v>0.30901740169303116</v>
      </c>
      <c r="AO173" s="21">
        <v>0.44150085924266858</v>
      </c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</row>
    <row r="174" spans="1:52" ht="51.75" x14ac:dyDescent="0.25">
      <c r="A174" s="8" t="s">
        <v>54</v>
      </c>
      <c r="B174" s="10" t="s">
        <v>53</v>
      </c>
      <c r="C174" s="14" t="s">
        <v>18</v>
      </c>
      <c r="D174" s="13" t="s">
        <v>17</v>
      </c>
      <c r="E174" s="12" t="s">
        <v>16</v>
      </c>
      <c r="F174" s="12" t="s">
        <v>15</v>
      </c>
      <c r="G174" s="12" t="s">
        <v>52</v>
      </c>
      <c r="H174" s="12" t="s">
        <v>51</v>
      </c>
      <c r="I174" s="12" t="s">
        <v>50</v>
      </c>
      <c r="J174" s="12" t="s">
        <v>49</v>
      </c>
      <c r="K174" s="12" t="s">
        <v>48</v>
      </c>
      <c r="L174" s="12" t="s">
        <v>47</v>
      </c>
      <c r="M174" s="11" t="s">
        <v>8</v>
      </c>
      <c r="N174" s="11" t="s">
        <v>7</v>
      </c>
      <c r="O174" s="11" t="s">
        <v>6</v>
      </c>
      <c r="P174" s="10" t="s">
        <v>5</v>
      </c>
      <c r="Q174" s="71" t="s">
        <v>4</v>
      </c>
      <c r="R174" s="71"/>
      <c r="T174" s="19">
        <v>306090</v>
      </c>
      <c r="U174" s="19" t="s">
        <v>67</v>
      </c>
      <c r="V174" s="19">
        <v>6.5759999999999999E-2</v>
      </c>
      <c r="W174" s="21">
        <v>0.39976</v>
      </c>
      <c r="X174" s="19">
        <v>-1.6336999999999999</v>
      </c>
      <c r="Y174" s="19">
        <v>0.12744</v>
      </c>
      <c r="Z174" s="19">
        <v>1.28156</v>
      </c>
      <c r="AA174" s="19">
        <v>0.91022000000000003</v>
      </c>
      <c r="AB174" s="19">
        <v>-1.28427</v>
      </c>
      <c r="AC174" s="19">
        <v>19.123175027818306</v>
      </c>
      <c r="AD174" s="20">
        <v>0.7967989594924294</v>
      </c>
      <c r="AE174" s="23">
        <v>2.3243418403925256E-2</v>
      </c>
      <c r="AF174" s="23">
        <v>1.3410346518228209</v>
      </c>
      <c r="AG174" s="21">
        <v>0.39921486198908729</v>
      </c>
      <c r="AH174" s="19">
        <v>0.29907261742803437</v>
      </c>
      <c r="AI174" s="19">
        <v>0.22935575757681959</v>
      </c>
      <c r="AJ174" s="21">
        <v>0.1111186305079685</v>
      </c>
      <c r="AK174" s="21">
        <v>0.26421418750242698</v>
      </c>
      <c r="AL174" s="19"/>
      <c r="AM174" s="21">
        <v>0.1111186305079685</v>
      </c>
      <c r="AN174" s="21">
        <v>0.26421418750242698</v>
      </c>
      <c r="AO174" s="21">
        <v>0.39921486198908729</v>
      </c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</row>
    <row r="175" spans="1:52" x14ac:dyDescent="0.25">
      <c r="A175" s="8"/>
      <c r="B175" s="10"/>
      <c r="C175" s="14"/>
      <c r="D175" s="13"/>
      <c r="E175" s="12"/>
      <c r="F175" s="12"/>
      <c r="G175" s="12"/>
      <c r="H175" s="12"/>
      <c r="I175" s="12"/>
      <c r="J175" s="12"/>
      <c r="K175" s="12"/>
      <c r="L175" s="12"/>
      <c r="M175" s="11"/>
      <c r="N175" s="11"/>
      <c r="O175" s="11"/>
      <c r="P175" s="10"/>
      <c r="Q175" s="9" t="s">
        <v>3</v>
      </c>
      <c r="R175" s="9" t="s">
        <v>2</v>
      </c>
      <c r="T175" s="19">
        <v>306120</v>
      </c>
      <c r="U175" s="19" t="s">
        <v>67</v>
      </c>
      <c r="V175" s="19">
        <v>6.4180000000000001E-2</v>
      </c>
      <c r="W175" s="21">
        <v>0.38599</v>
      </c>
      <c r="X175" s="19">
        <v>-1.5964100000000001</v>
      </c>
      <c r="Y175" s="19">
        <v>0.11759</v>
      </c>
      <c r="Z175" s="19">
        <v>1.2427999999999999</v>
      </c>
      <c r="AA175" s="19">
        <v>0.92884999999999995</v>
      </c>
      <c r="AB175" s="19">
        <v>-1.53694</v>
      </c>
      <c r="AC175" s="19">
        <v>17.490410399663038</v>
      </c>
      <c r="AD175" s="20">
        <v>0.7287670999859599</v>
      </c>
      <c r="AE175" s="23">
        <v>2.5327364466067075E-2</v>
      </c>
      <c r="AF175" s="23">
        <v>1.3109616882938364</v>
      </c>
      <c r="AG175" s="21">
        <v>0.38537663051357063</v>
      </c>
      <c r="AH175" s="19">
        <v>0.29085790695108626</v>
      </c>
      <c r="AI175" s="19">
        <v>0.22768439762067422</v>
      </c>
      <c r="AJ175" s="21">
        <v>0.11492283699104786</v>
      </c>
      <c r="AK175" s="21">
        <v>0.25927115228588027</v>
      </c>
      <c r="AL175" s="19"/>
      <c r="AM175" s="21">
        <v>0.11492283699104786</v>
      </c>
      <c r="AN175" s="21">
        <v>0.25927115228588027</v>
      </c>
      <c r="AO175" s="21">
        <v>0.38537663051357063</v>
      </c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</row>
    <row r="176" spans="1:52" x14ac:dyDescent="0.25">
      <c r="A176" s="7">
        <v>304</v>
      </c>
      <c r="B176" s="5">
        <v>30</v>
      </c>
      <c r="C176" s="6">
        <v>30</v>
      </c>
      <c r="D176" s="5">
        <v>20</v>
      </c>
      <c r="E176" s="4">
        <v>25.5</v>
      </c>
      <c r="F176" s="4">
        <f t="shared" ref="F176:F181" si="125">1.8*E176+32</f>
        <v>77.900000000000006</v>
      </c>
      <c r="G176" s="4">
        <v>9</v>
      </c>
      <c r="H176" s="4">
        <f t="shared" ref="H176:H181" si="126">IF(F176&gt;68,G176+(F176-68)*0.2,CT165-(68-F176)*0.2)</f>
        <v>10.98</v>
      </c>
      <c r="I176" s="4">
        <v>24.5</v>
      </c>
      <c r="J176" s="4">
        <f t="shared" ref="J176:J181" si="127">1.8*I176+32</f>
        <v>76.099999999999994</v>
      </c>
      <c r="K176" s="4">
        <v>6</v>
      </c>
      <c r="L176" s="4">
        <f t="shared" ref="L176:L181" si="128">IF(J176&gt;68,K176+(J176-68)*0.2,K176-(68-J176)*0.2)</f>
        <v>7.6199999999999992</v>
      </c>
      <c r="M176" s="4">
        <f t="shared" ref="M176:M181" si="129">(C176-H176)/C176*100</f>
        <v>63.4</v>
      </c>
      <c r="N176" s="4">
        <f t="shared" ref="N176:N181" si="130">100-(M176+O176)</f>
        <v>11.200000000000003</v>
      </c>
      <c r="O176" s="4">
        <f t="shared" ref="O176:O181" si="131">L176/C176*100</f>
        <v>25.399999999999995</v>
      </c>
      <c r="P176" s="22" t="s">
        <v>1</v>
      </c>
      <c r="Q176" s="2"/>
      <c r="R176" s="2"/>
      <c r="T176" s="19">
        <v>306150</v>
      </c>
      <c r="U176" s="19" t="s">
        <v>67</v>
      </c>
      <c r="V176" s="19">
        <v>5.8720000000000001E-2</v>
      </c>
      <c r="W176" s="21">
        <v>0.3805</v>
      </c>
      <c r="X176" s="19">
        <v>-1.60677</v>
      </c>
      <c r="Y176" s="19">
        <v>0.12714</v>
      </c>
      <c r="Z176" s="19">
        <v>1.20543</v>
      </c>
      <c r="AA176" s="19">
        <v>0.95777000000000001</v>
      </c>
      <c r="AB176" s="19">
        <v>-1.33535</v>
      </c>
      <c r="AC176" s="19">
        <v>16.04833568639912</v>
      </c>
      <c r="AD176" s="20">
        <v>0.66868065359996331</v>
      </c>
      <c r="AE176" s="23">
        <v>2.4730335033892398E-2</v>
      </c>
      <c r="AF176" s="23">
        <v>1.3401086177809283</v>
      </c>
      <c r="AG176" s="21">
        <v>0.37992867511804879</v>
      </c>
      <c r="AH176" s="19">
        <v>0.28010033686999569</v>
      </c>
      <c r="AI176" s="19">
        <v>0.21352428497119125</v>
      </c>
      <c r="AJ176" s="21">
        <v>0.10174006129619143</v>
      </c>
      <c r="AK176" s="21">
        <v>0.24681231092059347</v>
      </c>
      <c r="AL176" s="19"/>
      <c r="AM176" s="21">
        <v>0.10174006129619143</v>
      </c>
      <c r="AN176" s="21">
        <v>0.24681231092059347</v>
      </c>
      <c r="AO176" s="21">
        <v>0.37992867511804879</v>
      </c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</row>
    <row r="177" spans="1:52" x14ac:dyDescent="0.25">
      <c r="A177" s="7">
        <v>304</v>
      </c>
      <c r="B177" s="5">
        <v>60</v>
      </c>
      <c r="C177" s="6">
        <v>30</v>
      </c>
      <c r="D177" s="5">
        <v>20</v>
      </c>
      <c r="E177" s="4">
        <v>25</v>
      </c>
      <c r="F177" s="4">
        <f t="shared" si="125"/>
        <v>77</v>
      </c>
      <c r="G177" s="4">
        <v>10</v>
      </c>
      <c r="H177" s="4">
        <f t="shared" si="126"/>
        <v>11.8</v>
      </c>
      <c r="I177" s="4">
        <v>24</v>
      </c>
      <c r="J177" s="4">
        <f t="shared" si="127"/>
        <v>75.2</v>
      </c>
      <c r="K177" s="4">
        <v>6</v>
      </c>
      <c r="L177" s="4">
        <f t="shared" si="128"/>
        <v>7.44</v>
      </c>
      <c r="M177" s="4">
        <f t="shared" si="129"/>
        <v>60.666666666666671</v>
      </c>
      <c r="N177" s="4">
        <f t="shared" si="130"/>
        <v>14.533333333333331</v>
      </c>
      <c r="O177" s="4">
        <f t="shared" si="131"/>
        <v>24.800000000000004</v>
      </c>
      <c r="P177" s="22" t="s">
        <v>1</v>
      </c>
      <c r="Q177" s="2"/>
      <c r="R177" s="2"/>
      <c r="T177" s="19">
        <v>306180</v>
      </c>
      <c r="U177" s="19" t="s">
        <v>67</v>
      </c>
      <c r="V177" s="19">
        <v>6.1969999999999997E-2</v>
      </c>
      <c r="W177" s="21">
        <v>0.38329000000000002</v>
      </c>
      <c r="X177" s="19">
        <v>-1.6408199999999999</v>
      </c>
      <c r="Y177" s="19">
        <v>0.1208</v>
      </c>
      <c r="Z177" s="19">
        <v>1.1000000000000001</v>
      </c>
      <c r="AA177" s="19">
        <v>0.88865000000000005</v>
      </c>
      <c r="AB177" s="19">
        <v>-1.3811100000000001</v>
      </c>
      <c r="AC177" s="19">
        <v>12.58925411794168</v>
      </c>
      <c r="AD177" s="20">
        <v>0.52455225491423663</v>
      </c>
      <c r="AE177" s="23">
        <v>2.2865463011463267E-2</v>
      </c>
      <c r="AF177" s="23">
        <v>1.3206872951464237</v>
      </c>
      <c r="AG177" s="21">
        <v>0.38276109503274791</v>
      </c>
      <c r="AH177" s="19">
        <v>0.291716080721654</v>
      </c>
      <c r="AI177" s="19">
        <v>0.22687191943080268</v>
      </c>
      <c r="AJ177" s="21">
        <v>0.11138527274521268</v>
      </c>
      <c r="AK177" s="21">
        <v>0.25929400007622833</v>
      </c>
      <c r="AL177" s="19"/>
      <c r="AM177" s="21">
        <v>0.11138527274521268</v>
      </c>
      <c r="AN177" s="21">
        <v>0.25929400007622833</v>
      </c>
      <c r="AO177" s="21">
        <v>0.38276109503274791</v>
      </c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</row>
    <row r="178" spans="1:52" x14ac:dyDescent="0.25">
      <c r="A178" s="7">
        <v>304</v>
      </c>
      <c r="B178" s="5">
        <v>90</v>
      </c>
      <c r="C178" s="6">
        <v>30</v>
      </c>
      <c r="D178" s="5">
        <v>20</v>
      </c>
      <c r="E178" s="4">
        <v>26.5</v>
      </c>
      <c r="F178" s="4">
        <f t="shared" si="125"/>
        <v>79.7</v>
      </c>
      <c r="G178" s="4">
        <v>8</v>
      </c>
      <c r="H178" s="4">
        <f t="shared" si="126"/>
        <v>10.34</v>
      </c>
      <c r="I178" s="4">
        <v>24.5</v>
      </c>
      <c r="J178" s="4">
        <f t="shared" si="127"/>
        <v>76.099999999999994</v>
      </c>
      <c r="K178" s="4">
        <v>5</v>
      </c>
      <c r="L178" s="4">
        <f t="shared" si="128"/>
        <v>6.6199999999999992</v>
      </c>
      <c r="M178" s="4">
        <f t="shared" si="129"/>
        <v>65.533333333333331</v>
      </c>
      <c r="N178" s="4">
        <f t="shared" si="130"/>
        <v>12.400000000000006</v>
      </c>
      <c r="O178" s="4">
        <f t="shared" si="131"/>
        <v>22.066666666666666</v>
      </c>
      <c r="P178" s="22" t="s">
        <v>1</v>
      </c>
      <c r="Q178" s="2"/>
      <c r="R178" s="2"/>
      <c r="T178" s="19">
        <v>306210</v>
      </c>
      <c r="U178" s="19" t="s">
        <v>67</v>
      </c>
      <c r="V178" s="19">
        <v>6.1969999999999997E-2</v>
      </c>
      <c r="W178" s="21">
        <v>0.38329000000000002</v>
      </c>
      <c r="X178" s="19">
        <v>-1.6408199999999999</v>
      </c>
      <c r="Y178" s="19">
        <v>0.1208</v>
      </c>
      <c r="Z178" s="19">
        <v>1.1000000000000001</v>
      </c>
      <c r="AA178" s="19">
        <v>0.88865000000000005</v>
      </c>
      <c r="AB178" s="19">
        <v>-1.3811100000000001</v>
      </c>
      <c r="AC178" s="19">
        <v>12.58925411794168</v>
      </c>
      <c r="AD178" s="20">
        <v>0.52455225491423663</v>
      </c>
      <c r="AE178" s="23">
        <v>2.2865463011463267E-2</v>
      </c>
      <c r="AF178" s="23">
        <v>1.3206872951464237</v>
      </c>
      <c r="AG178" s="21">
        <v>0.38276109503274791</v>
      </c>
      <c r="AH178" s="19">
        <v>0.291716080721654</v>
      </c>
      <c r="AI178" s="19">
        <v>0.22687191943080268</v>
      </c>
      <c r="AJ178" s="21">
        <v>0.11138527274521268</v>
      </c>
      <c r="AK178" s="21">
        <v>0.25929400007622833</v>
      </c>
      <c r="AL178" s="19"/>
      <c r="AM178" s="21">
        <v>0.11138527274521268</v>
      </c>
      <c r="AN178" s="21">
        <v>0.25929400007622833</v>
      </c>
      <c r="AO178" s="21">
        <v>0.38276109503274791</v>
      </c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</row>
    <row r="179" spans="1:52" x14ac:dyDescent="0.25">
      <c r="A179" s="7">
        <v>304</v>
      </c>
      <c r="B179" s="5">
        <v>120</v>
      </c>
      <c r="C179" s="6">
        <v>30</v>
      </c>
      <c r="D179" s="5">
        <v>20</v>
      </c>
      <c r="E179" s="4">
        <v>26.5</v>
      </c>
      <c r="F179" s="4">
        <f t="shared" si="125"/>
        <v>79.7</v>
      </c>
      <c r="G179" s="4">
        <v>8</v>
      </c>
      <c r="H179" s="4">
        <f t="shared" si="126"/>
        <v>10.34</v>
      </c>
      <c r="I179" s="4">
        <v>24.5</v>
      </c>
      <c r="J179" s="4">
        <f t="shared" si="127"/>
        <v>76.099999999999994</v>
      </c>
      <c r="K179" s="4">
        <v>5</v>
      </c>
      <c r="L179" s="4">
        <f t="shared" si="128"/>
        <v>6.6199999999999992</v>
      </c>
      <c r="M179" s="4">
        <f t="shared" si="129"/>
        <v>65.533333333333331</v>
      </c>
      <c r="N179" s="4">
        <f t="shared" si="130"/>
        <v>12.400000000000006</v>
      </c>
      <c r="O179" s="4">
        <f t="shared" si="131"/>
        <v>22.066666666666666</v>
      </c>
      <c r="P179" s="22" t="s">
        <v>1</v>
      </c>
      <c r="Q179" s="2"/>
      <c r="R179" s="2"/>
      <c r="T179" s="19">
        <v>307030</v>
      </c>
      <c r="U179" s="19" t="s">
        <v>67</v>
      </c>
      <c r="V179" s="19">
        <v>6.1190000000000001E-2</v>
      </c>
      <c r="W179" s="21">
        <v>0.40593000000000001</v>
      </c>
      <c r="X179" s="19">
        <v>-1.57765</v>
      </c>
      <c r="Y179" s="19">
        <v>0.16878000000000001</v>
      </c>
      <c r="Z179" s="19">
        <v>1.6551499999999999</v>
      </c>
      <c r="AA179" s="19">
        <v>1.08761</v>
      </c>
      <c r="AB179" s="19">
        <v>-0.99148999999999998</v>
      </c>
      <c r="AC179" s="19">
        <v>45.201203684383991</v>
      </c>
      <c r="AD179" s="20">
        <v>1.8833834868493329</v>
      </c>
      <c r="AE179" s="23">
        <v>2.6445391455066275E-2</v>
      </c>
      <c r="AF179" s="23">
        <v>1.4749591758154985</v>
      </c>
      <c r="AG179" s="21">
        <v>0.40540874612932049</v>
      </c>
      <c r="AH179" s="19">
        <v>0.26396100798676914</v>
      </c>
      <c r="AI179" s="19">
        <v>0.18230924195578752</v>
      </c>
      <c r="AJ179" s="21">
        <v>8.1295625922289311E-2</v>
      </c>
      <c r="AK179" s="21">
        <v>0.22313512497127833</v>
      </c>
      <c r="AL179" s="19"/>
      <c r="AM179" s="21">
        <v>8.1295625922289311E-2</v>
      </c>
      <c r="AN179" s="21">
        <v>0.22313512497127833</v>
      </c>
      <c r="AO179" s="21">
        <v>0.40540874612932049</v>
      </c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</row>
    <row r="180" spans="1:52" x14ac:dyDescent="0.25">
      <c r="A180" s="7">
        <v>304</v>
      </c>
      <c r="B180" s="5">
        <v>150</v>
      </c>
      <c r="C180" s="6">
        <v>30</v>
      </c>
      <c r="D180" s="5">
        <v>20</v>
      </c>
      <c r="E180" s="4">
        <v>23.5</v>
      </c>
      <c r="F180" s="4">
        <f t="shared" si="125"/>
        <v>74.300000000000011</v>
      </c>
      <c r="G180" s="4">
        <v>6</v>
      </c>
      <c r="H180" s="4">
        <f t="shared" si="126"/>
        <v>7.2600000000000025</v>
      </c>
      <c r="I180" s="4">
        <v>23.5</v>
      </c>
      <c r="J180" s="4">
        <f t="shared" si="127"/>
        <v>74.300000000000011</v>
      </c>
      <c r="K180" s="4">
        <v>4</v>
      </c>
      <c r="L180" s="4">
        <f t="shared" si="128"/>
        <v>5.2600000000000025</v>
      </c>
      <c r="M180" s="4">
        <f t="shared" si="129"/>
        <v>75.799999999999983</v>
      </c>
      <c r="N180" s="4">
        <f t="shared" si="130"/>
        <v>6.6666666666666714</v>
      </c>
      <c r="O180" s="4">
        <f t="shared" si="131"/>
        <v>17.533333333333342</v>
      </c>
      <c r="P180" s="22" t="s">
        <v>0</v>
      </c>
      <c r="Q180" s="2"/>
      <c r="R180" s="2"/>
      <c r="T180" s="19">
        <v>307045</v>
      </c>
      <c r="U180" s="19" t="s">
        <v>67</v>
      </c>
      <c r="V180" s="19">
        <v>6.7169999999999994E-2</v>
      </c>
      <c r="W180" s="21">
        <v>0.43401000000000001</v>
      </c>
      <c r="X180" s="19">
        <v>-1.6245799999999999</v>
      </c>
      <c r="Y180" s="19">
        <v>0.15672</v>
      </c>
      <c r="Z180" s="19">
        <v>1.67222</v>
      </c>
      <c r="AA180" s="19">
        <v>1.0232399999999999</v>
      </c>
      <c r="AB180" s="19">
        <v>-0.93279999999999996</v>
      </c>
      <c r="AC180" s="19">
        <v>47.013220256294701</v>
      </c>
      <c r="AD180" s="20">
        <v>1.9588841773456125</v>
      </c>
      <c r="AE180" s="23">
        <v>2.3736681366312878E-2</v>
      </c>
      <c r="AF180" s="23">
        <v>1.434564237393934</v>
      </c>
      <c r="AG180" s="21">
        <v>0.43349247969779292</v>
      </c>
      <c r="AH180" s="19">
        <v>0.30046086882628664</v>
      </c>
      <c r="AI180" s="19">
        <v>0.21429559494807815</v>
      </c>
      <c r="AJ180" s="21">
        <v>9.5723041853423146E-2</v>
      </c>
      <c r="AK180" s="21">
        <v>0.2573782318871824</v>
      </c>
      <c r="AL180" s="19"/>
      <c r="AM180" s="21">
        <v>9.5723041853423146E-2</v>
      </c>
      <c r="AN180" s="21">
        <v>0.2573782318871824</v>
      </c>
      <c r="AO180" s="21">
        <v>0.43349247969779292</v>
      </c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</row>
    <row r="181" spans="1:52" x14ac:dyDescent="0.25">
      <c r="A181" s="7">
        <v>304</v>
      </c>
      <c r="B181" s="5">
        <v>180</v>
      </c>
      <c r="C181" s="6">
        <v>30</v>
      </c>
      <c r="D181" s="5">
        <v>20</v>
      </c>
      <c r="E181" s="4">
        <v>23.5</v>
      </c>
      <c r="F181" s="4">
        <f t="shared" si="125"/>
        <v>74.300000000000011</v>
      </c>
      <c r="G181" s="4">
        <v>9</v>
      </c>
      <c r="H181" s="4">
        <f t="shared" si="126"/>
        <v>10.260000000000002</v>
      </c>
      <c r="I181" s="4">
        <v>23.5</v>
      </c>
      <c r="J181" s="4">
        <f t="shared" si="127"/>
        <v>74.300000000000011</v>
      </c>
      <c r="K181" s="4">
        <v>6</v>
      </c>
      <c r="L181" s="4">
        <f t="shared" si="128"/>
        <v>7.2600000000000025</v>
      </c>
      <c r="M181" s="4">
        <f t="shared" si="129"/>
        <v>65.8</v>
      </c>
      <c r="N181" s="4">
        <f t="shared" si="130"/>
        <v>10</v>
      </c>
      <c r="O181" s="4">
        <f t="shared" si="131"/>
        <v>24.200000000000006</v>
      </c>
      <c r="P181" s="22" t="s">
        <v>1</v>
      </c>
      <c r="Q181" s="2"/>
      <c r="R181" s="2"/>
      <c r="T181" s="19">
        <v>307060</v>
      </c>
      <c r="U181" s="19" t="s">
        <v>67</v>
      </c>
      <c r="V181" s="19">
        <v>7.0239999999999997E-2</v>
      </c>
      <c r="W181" s="21">
        <v>0.43104999999999999</v>
      </c>
      <c r="X181" s="19">
        <v>-1.6543600000000001</v>
      </c>
      <c r="Y181" s="19">
        <v>0.14334</v>
      </c>
      <c r="Z181" s="19">
        <v>1.52312</v>
      </c>
      <c r="AA181" s="19">
        <v>0.93313000000000001</v>
      </c>
      <c r="AB181" s="19">
        <v>-1.01898</v>
      </c>
      <c r="AC181" s="19">
        <v>33.351855461503284</v>
      </c>
      <c r="AD181" s="20">
        <v>1.3896606442293036</v>
      </c>
      <c r="AE181" s="23">
        <v>2.216358450716456E-2</v>
      </c>
      <c r="AF181" s="23">
        <v>1.3910412219060366</v>
      </c>
      <c r="AG181" s="21">
        <v>0.43054476775907136</v>
      </c>
      <c r="AH181" s="19">
        <v>0.31416410787122229</v>
      </c>
      <c r="AI181" s="19">
        <v>0.23259915122163341</v>
      </c>
      <c r="AJ181" s="21">
        <v>0.10749115832219969</v>
      </c>
      <c r="AK181" s="21">
        <v>0.27338162954642786</v>
      </c>
      <c r="AL181" s="19"/>
      <c r="AM181" s="21">
        <v>0.10749115832219969</v>
      </c>
      <c r="AN181" s="21">
        <v>0.27338162954642786</v>
      </c>
      <c r="AO181" s="21">
        <v>0.43054476775907136</v>
      </c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</row>
    <row r="182" spans="1:52" x14ac:dyDescent="0.25">
      <c r="T182" s="19">
        <v>307090</v>
      </c>
      <c r="U182" s="19" t="s">
        <v>67</v>
      </c>
      <c r="V182" s="19">
        <v>7.3260000000000006E-2</v>
      </c>
      <c r="W182" s="21">
        <v>0.40786</v>
      </c>
      <c r="X182" s="19">
        <v>-1.62199</v>
      </c>
      <c r="Y182" s="19">
        <v>0.10702</v>
      </c>
      <c r="Z182" s="19">
        <v>1.2536499999999999</v>
      </c>
      <c r="AA182" s="19">
        <v>0.85443000000000002</v>
      </c>
      <c r="AB182" s="19">
        <v>-1.7141500000000001</v>
      </c>
      <c r="AC182" s="19">
        <v>17.932878250867851</v>
      </c>
      <c r="AD182" s="20">
        <v>0.74720326045282714</v>
      </c>
      <c r="AE182" s="23">
        <v>2.387866264932827E-2</v>
      </c>
      <c r="AF182" s="23">
        <v>1.2794402232005595</v>
      </c>
      <c r="AG182" s="21">
        <v>0.40724858116071311</v>
      </c>
      <c r="AH182" s="19">
        <v>0.31984184492524603</v>
      </c>
      <c r="AI182" s="19">
        <v>0.25795054597847283</v>
      </c>
      <c r="AJ182" s="21">
        <v>0.13793793251231587</v>
      </c>
      <c r="AK182" s="21">
        <v>0.28889619545185941</v>
      </c>
      <c r="AL182" s="19"/>
      <c r="AM182" s="21">
        <v>0.13793793251231587</v>
      </c>
      <c r="AN182" s="21">
        <v>0.28889619545185941</v>
      </c>
      <c r="AO182" s="21">
        <v>0.40724858116071311</v>
      </c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 spans="1:52" ht="51.75" x14ac:dyDescent="0.25">
      <c r="A183" s="8" t="s">
        <v>54</v>
      </c>
      <c r="B183" s="10" t="s">
        <v>53</v>
      </c>
      <c r="C183" s="14" t="s">
        <v>18</v>
      </c>
      <c r="D183" s="13" t="s">
        <v>17</v>
      </c>
      <c r="E183" s="12" t="s">
        <v>16</v>
      </c>
      <c r="F183" s="12" t="s">
        <v>15</v>
      </c>
      <c r="G183" s="12" t="s">
        <v>52</v>
      </c>
      <c r="H183" s="12" t="s">
        <v>51</v>
      </c>
      <c r="I183" s="12" t="s">
        <v>50</v>
      </c>
      <c r="J183" s="12" t="s">
        <v>49</v>
      </c>
      <c r="K183" s="12" t="s">
        <v>48</v>
      </c>
      <c r="L183" s="12" t="s">
        <v>47</v>
      </c>
      <c r="M183" s="11" t="s">
        <v>8</v>
      </c>
      <c r="N183" s="11" t="s">
        <v>7</v>
      </c>
      <c r="O183" s="11" t="s">
        <v>6</v>
      </c>
      <c r="P183" s="10" t="s">
        <v>5</v>
      </c>
      <c r="Q183" s="71" t="s">
        <v>4</v>
      </c>
      <c r="R183" s="71"/>
      <c r="T183" s="19">
        <v>307120</v>
      </c>
      <c r="U183" s="19" t="s">
        <v>67</v>
      </c>
      <c r="V183" s="19">
        <v>6.3710000000000003E-2</v>
      </c>
      <c r="W183" s="21">
        <v>0.38441999999999998</v>
      </c>
      <c r="X183" s="19">
        <v>-1.58561</v>
      </c>
      <c r="Y183" s="19">
        <v>0.12744</v>
      </c>
      <c r="Z183" s="19">
        <v>1.3486400000000001</v>
      </c>
      <c r="AA183" s="19">
        <v>0.95923000000000003</v>
      </c>
      <c r="AB183" s="19">
        <v>-1.41066</v>
      </c>
      <c r="AC183" s="19">
        <v>22.317215135537221</v>
      </c>
      <c r="AD183" s="20">
        <v>0.9298839639807176</v>
      </c>
      <c r="AE183" s="23">
        <v>2.5965100027331951E-2</v>
      </c>
      <c r="AF183" s="23">
        <v>1.3410346518228209</v>
      </c>
      <c r="AG183" s="21">
        <v>0.3838131468856042</v>
      </c>
      <c r="AH183" s="19">
        <v>0.28132363616399092</v>
      </c>
      <c r="AI183" s="19">
        <v>0.21529710379880779</v>
      </c>
      <c r="AJ183" s="21">
        <v>0.10565030139736792</v>
      </c>
      <c r="AK183" s="21">
        <v>0.24831036998139935</v>
      </c>
      <c r="AL183" s="19"/>
      <c r="AM183" s="21">
        <v>0.10565030139736792</v>
      </c>
      <c r="AN183" s="21">
        <v>0.24831036998139935</v>
      </c>
      <c r="AO183" s="21">
        <v>0.3838131468856042</v>
      </c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 spans="1:52" x14ac:dyDescent="0.25">
      <c r="A184" s="8"/>
      <c r="B184" s="10"/>
      <c r="C184" s="14"/>
      <c r="D184" s="13"/>
      <c r="E184" s="12"/>
      <c r="F184" s="12"/>
      <c r="G184" s="12"/>
      <c r="H184" s="12"/>
      <c r="I184" s="12"/>
      <c r="J184" s="12"/>
      <c r="K184" s="12"/>
      <c r="L184" s="12"/>
      <c r="M184" s="11"/>
      <c r="N184" s="11"/>
      <c r="O184" s="11"/>
      <c r="P184" s="10"/>
      <c r="Q184" s="9" t="s">
        <v>3</v>
      </c>
      <c r="R184" s="9" t="s">
        <v>2</v>
      </c>
      <c r="T184" s="19">
        <v>307150</v>
      </c>
      <c r="U184" s="19" t="s">
        <v>67</v>
      </c>
      <c r="V184" s="19">
        <v>5.6550000000000003E-2</v>
      </c>
      <c r="W184" s="21">
        <v>0.37652999999999998</v>
      </c>
      <c r="X184" s="19">
        <v>-1.5317799999999999</v>
      </c>
      <c r="Y184" s="19">
        <v>0.19528999999999999</v>
      </c>
      <c r="Z184" s="19">
        <v>1.72316</v>
      </c>
      <c r="AA184" s="19">
        <v>1.1529100000000001</v>
      </c>
      <c r="AB184" s="19">
        <v>-1.0186599999999999</v>
      </c>
      <c r="AC184" s="19">
        <v>52.863997406762216</v>
      </c>
      <c r="AD184" s="20">
        <v>2.2026665586150922</v>
      </c>
      <c r="AE184" s="23">
        <v>2.9391381503684172E-2</v>
      </c>
      <c r="AF184" s="23">
        <v>1.5677976170058929</v>
      </c>
      <c r="AG184" s="21">
        <v>0.37607150564056097</v>
      </c>
      <c r="AH184" s="19">
        <v>0.21972024523607619</v>
      </c>
      <c r="AI184" s="19">
        <v>0.14330324568087538</v>
      </c>
      <c r="AJ184" s="21">
        <v>6.6635047739773343E-2</v>
      </c>
      <c r="AK184" s="21">
        <v>0.18151174545847579</v>
      </c>
      <c r="AL184" s="19"/>
      <c r="AM184" s="21">
        <v>6.6635047739773343E-2</v>
      </c>
      <c r="AN184" s="21">
        <v>0.18151174545847579</v>
      </c>
      <c r="AO184" s="21">
        <v>0.37607150564056097</v>
      </c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 spans="1:52" x14ac:dyDescent="0.25">
      <c r="A185" s="7">
        <v>305</v>
      </c>
      <c r="B185" s="5">
        <v>30</v>
      </c>
      <c r="C185" s="6">
        <v>30</v>
      </c>
      <c r="D185" s="5">
        <v>20</v>
      </c>
      <c r="E185" s="4">
        <v>25</v>
      </c>
      <c r="F185" s="4">
        <f t="shared" ref="F185:F190" si="132">1.8*E185+32</f>
        <v>77</v>
      </c>
      <c r="G185" s="4">
        <v>5</v>
      </c>
      <c r="H185" s="4">
        <f t="shared" ref="H185:H190" si="133">IF(F185&gt;68,G185+(F185-68)*0.2,CB165-(68-F185)*0.2)</f>
        <v>6.8</v>
      </c>
      <c r="I185" s="4">
        <v>24</v>
      </c>
      <c r="J185" s="4">
        <f t="shared" ref="J185:J190" si="134">1.8*I185+32</f>
        <v>75.2</v>
      </c>
      <c r="K185" s="4">
        <v>3</v>
      </c>
      <c r="L185" s="4">
        <f t="shared" ref="L185:L190" si="135">IF(J185&gt;68,K185+(J185-68)*0.2,K185-(68-J185)*0.2)</f>
        <v>4.4400000000000004</v>
      </c>
      <c r="M185" s="4">
        <f t="shared" ref="M185:M190" si="136">(C185-H185)/C185*100</f>
        <v>77.333333333333329</v>
      </c>
      <c r="N185" s="4">
        <f t="shared" ref="N185:N190" si="137">100-(M185+O185)</f>
        <v>7.8666666666666742</v>
      </c>
      <c r="O185" s="4">
        <f t="shared" ref="O185:O190" si="138">L185/C185*100</f>
        <v>14.800000000000002</v>
      </c>
      <c r="P185" s="22" t="s">
        <v>0</v>
      </c>
      <c r="Q185" s="2"/>
      <c r="R185" s="2"/>
      <c r="T185" s="19">
        <v>307180</v>
      </c>
      <c r="U185" s="19" t="s">
        <v>67</v>
      </c>
      <c r="V185" s="19">
        <v>6.0260000000000001E-2</v>
      </c>
      <c r="W185" s="21">
        <v>0.38111</v>
      </c>
      <c r="X185" s="19">
        <v>-1.5664199999999999</v>
      </c>
      <c r="Y185" s="19">
        <v>0.14477999999999999</v>
      </c>
      <c r="Z185" s="19">
        <v>1.4468799999999999</v>
      </c>
      <c r="AA185" s="19">
        <v>1.0266900000000001</v>
      </c>
      <c r="AB185" s="19">
        <v>-1.2412099999999999</v>
      </c>
      <c r="AC185" s="19">
        <v>27.982080393524434</v>
      </c>
      <c r="AD185" s="20">
        <v>1.1659200163968515</v>
      </c>
      <c r="AE185" s="23">
        <v>2.7138135090332492E-2</v>
      </c>
      <c r="AF185" s="23">
        <v>1.3956611836540869</v>
      </c>
      <c r="AG185" s="21">
        <v>0.38052001122417101</v>
      </c>
      <c r="AH185" s="19">
        <v>0.26323918538620661</v>
      </c>
      <c r="AI185" s="19">
        <v>0.19283641692923248</v>
      </c>
      <c r="AJ185" s="21">
        <v>9.0026540679606901E-2</v>
      </c>
      <c r="AK185" s="21">
        <v>0.22803780115771954</v>
      </c>
      <c r="AL185" s="19"/>
      <c r="AM185" s="21">
        <v>9.0026540679606901E-2</v>
      </c>
      <c r="AN185" s="21">
        <v>0.22803780115771954</v>
      </c>
      <c r="AO185" s="21">
        <v>0.38052001122417101</v>
      </c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 spans="1:52" x14ac:dyDescent="0.25">
      <c r="A186" s="7">
        <v>305</v>
      </c>
      <c r="B186" s="5">
        <v>60</v>
      </c>
      <c r="C186" s="6">
        <v>30</v>
      </c>
      <c r="D186" s="5">
        <v>20</v>
      </c>
      <c r="E186" s="4">
        <v>26</v>
      </c>
      <c r="F186" s="4">
        <f t="shared" si="132"/>
        <v>78.800000000000011</v>
      </c>
      <c r="G186" s="4">
        <v>8</v>
      </c>
      <c r="H186" s="4">
        <f t="shared" si="133"/>
        <v>10.160000000000002</v>
      </c>
      <c r="I186" s="4">
        <v>24</v>
      </c>
      <c r="J186" s="4">
        <f t="shared" si="134"/>
        <v>75.2</v>
      </c>
      <c r="K186" s="4">
        <v>5</v>
      </c>
      <c r="L186" s="4">
        <f t="shared" si="135"/>
        <v>6.44</v>
      </c>
      <c r="M186" s="4">
        <f t="shared" si="136"/>
        <v>66.133333333333326</v>
      </c>
      <c r="N186" s="4">
        <f t="shared" si="137"/>
        <v>12.400000000000006</v>
      </c>
      <c r="O186" s="4">
        <f t="shared" si="138"/>
        <v>21.466666666666669</v>
      </c>
      <c r="P186" s="22" t="s">
        <v>1</v>
      </c>
      <c r="Q186" s="2"/>
      <c r="R186" s="2"/>
      <c r="T186" s="19">
        <v>307210</v>
      </c>
      <c r="U186" s="19" t="s">
        <v>67</v>
      </c>
      <c r="V186" s="19">
        <v>6.0260000000000001E-2</v>
      </c>
      <c r="W186" s="21">
        <v>0.38111</v>
      </c>
      <c r="X186" s="19">
        <v>-1.5664199999999999</v>
      </c>
      <c r="Y186" s="19">
        <v>0.14477999999999999</v>
      </c>
      <c r="Z186" s="19">
        <v>1.4468799999999999</v>
      </c>
      <c r="AA186" s="19">
        <v>1.0266900000000001</v>
      </c>
      <c r="AB186" s="19">
        <v>-1.2412099999999999</v>
      </c>
      <c r="AC186" s="19">
        <v>27.982080393524434</v>
      </c>
      <c r="AD186" s="20">
        <v>1.1659200163968515</v>
      </c>
      <c r="AE186" s="23">
        <v>2.7138135090332492E-2</v>
      </c>
      <c r="AF186" s="23">
        <v>1.3956611836540869</v>
      </c>
      <c r="AG186" s="21">
        <v>0.38052001122417101</v>
      </c>
      <c r="AH186" s="19">
        <v>0.26323918538620661</v>
      </c>
      <c r="AI186" s="19">
        <v>0.19283641692923248</v>
      </c>
      <c r="AJ186" s="21">
        <v>9.0026540679606901E-2</v>
      </c>
      <c r="AK186" s="21">
        <v>0.22803780115771954</v>
      </c>
      <c r="AL186" s="19"/>
      <c r="AM186" s="21">
        <v>9.0026540679606901E-2</v>
      </c>
      <c r="AN186" s="21">
        <v>0.22803780115771954</v>
      </c>
      <c r="AO186" s="21">
        <v>0.38052001122417101</v>
      </c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 spans="1:52" x14ac:dyDescent="0.25">
      <c r="A187" s="7">
        <v>305</v>
      </c>
      <c r="B187" s="5">
        <v>90</v>
      </c>
      <c r="C187" s="6">
        <v>30</v>
      </c>
      <c r="D187" s="5">
        <v>20</v>
      </c>
      <c r="E187" s="4">
        <v>27</v>
      </c>
      <c r="F187" s="4">
        <f t="shared" si="132"/>
        <v>80.599999999999994</v>
      </c>
      <c r="G187" s="4">
        <v>10</v>
      </c>
      <c r="H187" s="4">
        <f t="shared" si="133"/>
        <v>12.52</v>
      </c>
      <c r="I187" s="4">
        <v>24</v>
      </c>
      <c r="J187" s="4">
        <f t="shared" si="134"/>
        <v>75.2</v>
      </c>
      <c r="K187" s="4">
        <v>6</v>
      </c>
      <c r="L187" s="4">
        <f t="shared" si="135"/>
        <v>7.44</v>
      </c>
      <c r="M187" s="4">
        <f t="shared" si="136"/>
        <v>58.266666666666666</v>
      </c>
      <c r="N187" s="4">
        <f t="shared" si="137"/>
        <v>16.933333333333337</v>
      </c>
      <c r="O187" s="4">
        <f t="shared" si="138"/>
        <v>24.800000000000004</v>
      </c>
      <c r="P187" s="22" t="s">
        <v>1</v>
      </c>
      <c r="Q187" s="2"/>
      <c r="R187" s="2"/>
      <c r="T187" s="19">
        <v>308030</v>
      </c>
      <c r="U187" s="19" t="s">
        <v>67</v>
      </c>
      <c r="V187" s="19">
        <v>5.9060000000000001E-2</v>
      </c>
      <c r="W187" s="21">
        <v>0.40376000000000001</v>
      </c>
      <c r="X187" s="19">
        <v>-1.5855900000000001</v>
      </c>
      <c r="Y187" s="19">
        <v>0.15859999999999999</v>
      </c>
      <c r="Z187" s="19">
        <v>1.56952</v>
      </c>
      <c r="AA187" s="19">
        <v>1.07297</v>
      </c>
      <c r="AB187" s="19">
        <v>-1.0164299999999999</v>
      </c>
      <c r="AC187" s="19">
        <v>37.112482002896357</v>
      </c>
      <c r="AD187" s="20">
        <v>1.5463534167873483</v>
      </c>
      <c r="AE187" s="23">
        <v>2.5966295791910458E-2</v>
      </c>
      <c r="AF187" s="23">
        <v>1.4407877256886934</v>
      </c>
      <c r="AG187" s="21">
        <v>0.40321411316098787</v>
      </c>
      <c r="AH187" s="19">
        <v>0.2703213000232586</v>
      </c>
      <c r="AI187" s="19">
        <v>0.19048523180274599</v>
      </c>
      <c r="AJ187" s="21">
        <v>8.3923113969345042E-2</v>
      </c>
      <c r="AK187" s="21">
        <v>0.23040326591300231</v>
      </c>
      <c r="AL187" s="19"/>
      <c r="AM187" s="21">
        <v>8.3923113969345042E-2</v>
      </c>
      <c r="AN187" s="21">
        <v>0.23040326591300231</v>
      </c>
      <c r="AO187" s="21">
        <v>0.40321411316098787</v>
      </c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 spans="1:52" x14ac:dyDescent="0.25">
      <c r="A188" s="7">
        <v>305</v>
      </c>
      <c r="B188" s="5">
        <v>120</v>
      </c>
      <c r="C188" s="6">
        <v>30</v>
      </c>
      <c r="D188" s="5">
        <v>20</v>
      </c>
      <c r="E188" s="4">
        <v>27</v>
      </c>
      <c r="F188" s="4">
        <f t="shared" si="132"/>
        <v>80.599999999999994</v>
      </c>
      <c r="G188" s="4">
        <v>9</v>
      </c>
      <c r="H188" s="4">
        <f t="shared" si="133"/>
        <v>11.52</v>
      </c>
      <c r="I188" s="4">
        <v>24</v>
      </c>
      <c r="J188" s="4">
        <f t="shared" si="134"/>
        <v>75.2</v>
      </c>
      <c r="K188" s="4">
        <v>5</v>
      </c>
      <c r="L188" s="4">
        <f t="shared" si="135"/>
        <v>6.44</v>
      </c>
      <c r="M188" s="4">
        <f t="shared" si="136"/>
        <v>61.6</v>
      </c>
      <c r="N188" s="4">
        <f t="shared" si="137"/>
        <v>16.933333333333337</v>
      </c>
      <c r="O188" s="4">
        <f t="shared" si="138"/>
        <v>21.466666666666669</v>
      </c>
      <c r="P188" s="22" t="s">
        <v>1</v>
      </c>
      <c r="Q188" s="2"/>
      <c r="R188" s="2"/>
      <c r="T188" s="19">
        <v>308045</v>
      </c>
      <c r="U188" s="19" t="s">
        <v>67</v>
      </c>
      <c r="V188" s="19">
        <v>6.0780000000000001E-2</v>
      </c>
      <c r="W188" s="21">
        <v>0.4294</v>
      </c>
      <c r="X188" s="19">
        <v>-1.57073</v>
      </c>
      <c r="Y188" s="19">
        <v>0.18301000000000001</v>
      </c>
      <c r="Z188" s="19">
        <v>1.84859</v>
      </c>
      <c r="AA188" s="19">
        <v>1.17041</v>
      </c>
      <c r="AB188" s="19">
        <v>-0.84555000000000002</v>
      </c>
      <c r="AC188" s="19">
        <v>70.565106284510946</v>
      </c>
      <c r="AD188" s="20">
        <v>2.9402127618546228</v>
      </c>
      <c r="AE188" s="23">
        <v>2.6870144379244579E-2</v>
      </c>
      <c r="AF188" s="23">
        <v>1.5240878468128314</v>
      </c>
      <c r="AG188" s="21">
        <v>0.42888965190761574</v>
      </c>
      <c r="AH188" s="19">
        <v>0.26575452545643019</v>
      </c>
      <c r="AI188" s="19">
        <v>0.17628370129489185</v>
      </c>
      <c r="AJ188" s="21">
        <v>7.6670031219893187E-2</v>
      </c>
      <c r="AK188" s="21">
        <v>0.22101911337566102</v>
      </c>
      <c r="AL188" s="19"/>
      <c r="AM188" s="21">
        <v>7.6670031219893187E-2</v>
      </c>
      <c r="AN188" s="21">
        <v>0.22101911337566102</v>
      </c>
      <c r="AO188" s="21">
        <v>0.42888965190761574</v>
      </c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 spans="1:52" x14ac:dyDescent="0.25">
      <c r="A189" s="7">
        <v>305</v>
      </c>
      <c r="B189" s="5">
        <v>150</v>
      </c>
      <c r="C189" s="6">
        <v>30</v>
      </c>
      <c r="D189" s="5">
        <v>20</v>
      </c>
      <c r="E189" s="4">
        <v>27</v>
      </c>
      <c r="F189" s="4">
        <f t="shared" si="132"/>
        <v>80.599999999999994</v>
      </c>
      <c r="G189" s="4">
        <v>8</v>
      </c>
      <c r="H189" s="4">
        <f t="shared" si="133"/>
        <v>10.52</v>
      </c>
      <c r="I189" s="4">
        <v>24.5</v>
      </c>
      <c r="J189" s="4">
        <f t="shared" si="134"/>
        <v>76.099999999999994</v>
      </c>
      <c r="K189" s="4">
        <v>5.5</v>
      </c>
      <c r="L189" s="4">
        <f t="shared" si="135"/>
        <v>7.1199999999999992</v>
      </c>
      <c r="M189" s="4">
        <f t="shared" si="136"/>
        <v>64.933333333333337</v>
      </c>
      <c r="N189" s="4">
        <f t="shared" si="137"/>
        <v>11.333333333333329</v>
      </c>
      <c r="O189" s="4">
        <f t="shared" si="138"/>
        <v>23.733333333333331</v>
      </c>
      <c r="P189" s="22" t="s">
        <v>1</v>
      </c>
      <c r="Q189" s="2"/>
      <c r="R189" s="2"/>
      <c r="T189" s="19">
        <v>308060</v>
      </c>
      <c r="U189" s="19" t="s">
        <v>67</v>
      </c>
      <c r="V189" s="19">
        <v>6.0900000000000003E-2</v>
      </c>
      <c r="W189" s="21">
        <v>0.42470999999999998</v>
      </c>
      <c r="X189" s="19">
        <v>-1.55271</v>
      </c>
      <c r="Y189" s="19">
        <v>0.21351000000000001</v>
      </c>
      <c r="Z189" s="19">
        <v>1.9723999999999999</v>
      </c>
      <c r="AA189" s="19">
        <v>1.21573</v>
      </c>
      <c r="AB189" s="19">
        <v>-0.81089999999999995</v>
      </c>
      <c r="AC189" s="19">
        <v>93.842593123701846</v>
      </c>
      <c r="AD189" s="20">
        <v>3.9101080468209104</v>
      </c>
      <c r="AE189" s="23">
        <v>2.8008509626636809E-2</v>
      </c>
      <c r="AF189" s="23">
        <v>1.634970797290263</v>
      </c>
      <c r="AG189" s="21">
        <v>0.42430204543798988</v>
      </c>
      <c r="AH189" s="19">
        <v>0.23796643636440207</v>
      </c>
      <c r="AI189" s="19">
        <v>0.14815633375603163</v>
      </c>
      <c r="AJ189" s="21">
        <v>6.8754082805199568E-2</v>
      </c>
      <c r="AK189" s="21">
        <v>0.19306138506021686</v>
      </c>
      <c r="AL189" s="19"/>
      <c r="AM189" s="21">
        <v>6.8754082805199568E-2</v>
      </c>
      <c r="AN189" s="21">
        <v>0.19306138506021686</v>
      </c>
      <c r="AO189" s="21">
        <v>0.42430204543798988</v>
      </c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 spans="1:52" x14ac:dyDescent="0.25">
      <c r="A190" s="7">
        <v>305</v>
      </c>
      <c r="B190" s="5">
        <v>180</v>
      </c>
      <c r="C190" s="6">
        <v>30</v>
      </c>
      <c r="D190" s="5">
        <v>20</v>
      </c>
      <c r="E190" s="4">
        <v>27.5</v>
      </c>
      <c r="F190" s="4">
        <f t="shared" si="132"/>
        <v>81.5</v>
      </c>
      <c r="G190" s="4">
        <v>8.5</v>
      </c>
      <c r="H190" s="4">
        <f t="shared" si="133"/>
        <v>11.2</v>
      </c>
      <c r="I190" s="4">
        <v>25</v>
      </c>
      <c r="J190" s="4">
        <f t="shared" si="134"/>
        <v>77</v>
      </c>
      <c r="K190" s="4">
        <v>6</v>
      </c>
      <c r="L190" s="4">
        <f t="shared" si="135"/>
        <v>7.8</v>
      </c>
      <c r="M190" s="4">
        <f t="shared" si="136"/>
        <v>62.666666666666671</v>
      </c>
      <c r="N190" s="4">
        <f t="shared" si="137"/>
        <v>11.333333333333329</v>
      </c>
      <c r="O190" s="4">
        <f t="shared" si="138"/>
        <v>26</v>
      </c>
      <c r="P190" s="22" t="s">
        <v>1</v>
      </c>
      <c r="Q190" s="5"/>
      <c r="R190" s="5"/>
      <c r="T190" s="19">
        <v>308090</v>
      </c>
      <c r="U190" s="19" t="s">
        <v>67</v>
      </c>
      <c r="V190" s="19">
        <v>5.5079999999999997E-2</v>
      </c>
      <c r="W190" s="21">
        <v>0.39045000000000002</v>
      </c>
      <c r="X190" s="19">
        <v>-1.5293600000000001</v>
      </c>
      <c r="Y190" s="19">
        <v>0.18171999999999999</v>
      </c>
      <c r="Z190" s="19">
        <v>1.6921900000000001</v>
      </c>
      <c r="AA190" s="19">
        <v>1.17944</v>
      </c>
      <c r="AB190" s="19">
        <v>-1.0011699999999999</v>
      </c>
      <c r="AC190" s="19">
        <v>49.225484572714315</v>
      </c>
      <c r="AD190" s="20">
        <v>2.0510618571964296</v>
      </c>
      <c r="AE190" s="23">
        <v>2.9555614953866945E-2</v>
      </c>
      <c r="AF190" s="23">
        <v>1.5195675124656411</v>
      </c>
      <c r="AG190" s="21">
        <v>0.38990787265181936</v>
      </c>
      <c r="AH190" s="19">
        <v>0.23489684336616887</v>
      </c>
      <c r="AI190" s="19">
        <v>0.15624280149307421</v>
      </c>
      <c r="AJ190" s="21">
        <v>6.9216910730902137E-2</v>
      </c>
      <c r="AK190" s="21">
        <v>0.19556982242962154</v>
      </c>
      <c r="AL190" s="19"/>
      <c r="AM190" s="21">
        <v>6.9216910730902137E-2</v>
      </c>
      <c r="AN190" s="21">
        <v>0.19556982242962154</v>
      </c>
      <c r="AO190" s="21">
        <v>0.38990787265181936</v>
      </c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 spans="1:52" x14ac:dyDescent="0.25">
      <c r="T191" s="19">
        <v>308120</v>
      </c>
      <c r="U191" s="19" t="s">
        <v>67</v>
      </c>
      <c r="V191" s="19">
        <v>5.3400000000000003E-2</v>
      </c>
      <c r="W191" s="21">
        <v>0.37573000000000001</v>
      </c>
      <c r="X191" s="19">
        <v>-1.51203</v>
      </c>
      <c r="Y191" s="19">
        <v>0.17252999999999999</v>
      </c>
      <c r="Z191" s="19">
        <v>1.60354</v>
      </c>
      <c r="AA191" s="19">
        <v>1.1717900000000001</v>
      </c>
      <c r="AB191" s="19">
        <v>-1.0988500000000001</v>
      </c>
      <c r="AC191" s="19">
        <v>40.136546368573548</v>
      </c>
      <c r="AD191" s="20">
        <v>1.6723560986905646</v>
      </c>
      <c r="AE191" s="23">
        <v>3.0758843328395492E-2</v>
      </c>
      <c r="AF191" s="23">
        <v>1.4877501406689091</v>
      </c>
      <c r="AG191" s="21">
        <v>0.37513731204012002</v>
      </c>
      <c r="AH191" s="19">
        <v>0.22950519982075834</v>
      </c>
      <c r="AI191" s="19">
        <v>0.15598190761857839</v>
      </c>
      <c r="AJ191" s="21">
        <v>6.9576664827335918E-2</v>
      </c>
      <c r="AK191" s="21">
        <v>0.19274355371966836</v>
      </c>
      <c r="AL191" s="19"/>
      <c r="AM191" s="21">
        <v>6.9576664827335918E-2</v>
      </c>
      <c r="AN191" s="21">
        <v>0.19274355371966836</v>
      </c>
      <c r="AO191" s="21">
        <v>0.37513731204012002</v>
      </c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</row>
    <row r="192" spans="1:52" ht="51.75" x14ac:dyDescent="0.25">
      <c r="A192" s="8" t="s">
        <v>54</v>
      </c>
      <c r="B192" s="10" t="s">
        <v>53</v>
      </c>
      <c r="C192" s="14" t="s">
        <v>18</v>
      </c>
      <c r="D192" s="13" t="s">
        <v>17</v>
      </c>
      <c r="E192" s="12" t="s">
        <v>16</v>
      </c>
      <c r="F192" s="12" t="s">
        <v>15</v>
      </c>
      <c r="G192" s="12" t="s">
        <v>52</v>
      </c>
      <c r="H192" s="12" t="s">
        <v>51</v>
      </c>
      <c r="I192" s="12" t="s">
        <v>50</v>
      </c>
      <c r="J192" s="12" t="s">
        <v>49</v>
      </c>
      <c r="K192" s="12" t="s">
        <v>48</v>
      </c>
      <c r="L192" s="12" t="s">
        <v>47</v>
      </c>
      <c r="M192" s="11" t="s">
        <v>8</v>
      </c>
      <c r="N192" s="11" t="s">
        <v>7</v>
      </c>
      <c r="O192" s="11" t="s">
        <v>6</v>
      </c>
      <c r="P192" s="10" t="s">
        <v>5</v>
      </c>
      <c r="Q192" s="71" t="s">
        <v>4</v>
      </c>
      <c r="R192" s="71"/>
      <c r="T192" s="19">
        <v>308150</v>
      </c>
      <c r="U192" s="19" t="s">
        <v>67</v>
      </c>
      <c r="V192" s="19">
        <v>6.0699999999999997E-2</v>
      </c>
      <c r="W192" s="21">
        <v>0.38283</v>
      </c>
      <c r="X192" s="19">
        <v>-1.5839700000000001</v>
      </c>
      <c r="Y192" s="19">
        <v>0.12726000000000001</v>
      </c>
      <c r="Z192" s="19">
        <v>1.2903899999999999</v>
      </c>
      <c r="AA192" s="19">
        <v>0.97777000000000003</v>
      </c>
      <c r="AB192" s="19">
        <v>-1.3898999999999999</v>
      </c>
      <c r="AC192" s="19">
        <v>19.515963626015434</v>
      </c>
      <c r="AD192" s="20">
        <v>0.81316515108397647</v>
      </c>
      <c r="AE192" s="23">
        <v>2.6063335829263679E-2</v>
      </c>
      <c r="AF192" s="23">
        <v>1.340478954637655</v>
      </c>
      <c r="AG192" s="21">
        <v>0.38221688825860078</v>
      </c>
      <c r="AH192" s="19">
        <v>0.27918328180141871</v>
      </c>
      <c r="AI192" s="19">
        <v>0.21295540372735572</v>
      </c>
      <c r="AJ192" s="21">
        <v>0.10291156610017421</v>
      </c>
      <c r="AK192" s="21">
        <v>0.24606934276438722</v>
      </c>
      <c r="AL192" s="19"/>
      <c r="AM192" s="21">
        <v>0.10291156610017421</v>
      </c>
      <c r="AN192" s="21">
        <v>0.24606934276438722</v>
      </c>
      <c r="AO192" s="21">
        <v>0.38221688825860078</v>
      </c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 spans="1:52" x14ac:dyDescent="0.25">
      <c r="A193" s="8"/>
      <c r="B193" s="10"/>
      <c r="C193" s="14"/>
      <c r="D193" s="13"/>
      <c r="E193" s="12"/>
      <c r="F193" s="12"/>
      <c r="G193" s="12"/>
      <c r="H193" s="12"/>
      <c r="I193" s="12"/>
      <c r="J193" s="12"/>
      <c r="K193" s="12"/>
      <c r="L193" s="12"/>
      <c r="M193" s="11"/>
      <c r="N193" s="11"/>
      <c r="O193" s="11"/>
      <c r="P193" s="10"/>
      <c r="Q193" s="9" t="s">
        <v>3</v>
      </c>
      <c r="R193" s="9" t="s">
        <v>2</v>
      </c>
      <c r="T193" s="19">
        <v>308180</v>
      </c>
      <c r="U193" s="19" t="s">
        <v>67</v>
      </c>
      <c r="V193" s="19">
        <v>6.5159999999999996E-2</v>
      </c>
      <c r="W193" s="21">
        <v>0.38716</v>
      </c>
      <c r="X193" s="19">
        <v>-1.61948</v>
      </c>
      <c r="Y193" s="19">
        <v>0.11285000000000001</v>
      </c>
      <c r="Z193" s="19">
        <v>1.13805</v>
      </c>
      <c r="AA193" s="19">
        <v>0.88736000000000004</v>
      </c>
      <c r="AB193" s="19">
        <v>-1.58283</v>
      </c>
      <c r="AC193" s="19">
        <v>13.742001765475937</v>
      </c>
      <c r="AD193" s="20">
        <v>0.57258340689483067</v>
      </c>
      <c r="AE193" s="23">
        <v>2.4017068680276546E-2</v>
      </c>
      <c r="AF193" s="23">
        <v>1.2967313184992164</v>
      </c>
      <c r="AG193" s="21">
        <v>0.38657759283676163</v>
      </c>
      <c r="AH193" s="19">
        <v>0.29811603250104302</v>
      </c>
      <c r="AI193" s="19">
        <v>0.23633078867402063</v>
      </c>
      <c r="AJ193" s="21">
        <v>0.12128820621894193</v>
      </c>
      <c r="AK193" s="21">
        <v>0.26722341058753185</v>
      </c>
      <c r="AL193" s="19"/>
      <c r="AM193" s="21">
        <v>0.12128820621894193</v>
      </c>
      <c r="AN193" s="21">
        <v>0.26722341058753185</v>
      </c>
      <c r="AO193" s="21">
        <v>0.38657759283676163</v>
      </c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 spans="1:52" x14ac:dyDescent="0.25">
      <c r="A194" s="7">
        <v>306</v>
      </c>
      <c r="B194" s="5">
        <v>30</v>
      </c>
      <c r="C194" s="6">
        <v>30</v>
      </c>
      <c r="D194" s="5">
        <v>20</v>
      </c>
      <c r="E194" s="4">
        <v>26.5</v>
      </c>
      <c r="F194" s="4">
        <f t="shared" ref="F194:F199" si="139">1.8*E194+32</f>
        <v>79.7</v>
      </c>
      <c r="G194" s="4">
        <v>9.5</v>
      </c>
      <c r="H194" s="4">
        <f t="shared" ref="H194:H199" si="140">IF(F194&gt;68,G194+(F194-68)*0.2,BJ165-(68-F194)*0.2)</f>
        <v>11.84</v>
      </c>
      <c r="I194" s="4">
        <v>24</v>
      </c>
      <c r="J194" s="4">
        <f t="shared" ref="J194:J199" si="141">1.8*I194+32</f>
        <v>75.2</v>
      </c>
      <c r="K194" s="4">
        <v>7</v>
      </c>
      <c r="L194" s="4">
        <f t="shared" ref="L194:L199" si="142">IF(J194&gt;68,K194+(J194-68)*0.2,K194-(68-J194)*0.2)</f>
        <v>8.4400000000000013</v>
      </c>
      <c r="M194" s="4">
        <f t="shared" ref="M194:M199" si="143">(C194-H194)/C194*100</f>
        <v>60.533333333333339</v>
      </c>
      <c r="N194" s="4">
        <f t="shared" ref="N194:N199" si="144">100-(M194+O194)</f>
        <v>11.333333333333329</v>
      </c>
      <c r="O194" s="4">
        <f t="shared" ref="O194:O199" si="145">L194/C194*100</f>
        <v>28.133333333333336</v>
      </c>
      <c r="P194" s="22" t="s">
        <v>1</v>
      </c>
      <c r="Q194" s="2"/>
      <c r="R194" s="2"/>
      <c r="T194" s="19">
        <v>308210</v>
      </c>
      <c r="U194" s="19" t="s">
        <v>67</v>
      </c>
      <c r="V194" s="19">
        <v>6.5159999999999996E-2</v>
      </c>
      <c r="W194" s="21">
        <v>0.38716</v>
      </c>
      <c r="X194" s="19">
        <v>-1.61948</v>
      </c>
      <c r="Y194" s="19">
        <v>0.11285000000000001</v>
      </c>
      <c r="Z194" s="19">
        <v>1.13805</v>
      </c>
      <c r="AA194" s="19">
        <v>0.88736000000000004</v>
      </c>
      <c r="AB194" s="19">
        <v>-1.58283</v>
      </c>
      <c r="AC194" s="19">
        <v>13.742001765475937</v>
      </c>
      <c r="AD194" s="20">
        <v>0.57258340689483067</v>
      </c>
      <c r="AE194" s="23">
        <v>2.4017068680276546E-2</v>
      </c>
      <c r="AF194" s="23">
        <v>1.2967313184992164</v>
      </c>
      <c r="AG194" s="21">
        <v>0.38657759283676163</v>
      </c>
      <c r="AH194" s="19">
        <v>0.29811603250104302</v>
      </c>
      <c r="AI194" s="19">
        <v>0.23633078867402063</v>
      </c>
      <c r="AJ194" s="21">
        <v>0.12128820621894193</v>
      </c>
      <c r="AK194" s="21">
        <v>0.26722341058753185</v>
      </c>
      <c r="AL194" s="19"/>
      <c r="AM194" s="21">
        <v>0.12128820621894193</v>
      </c>
      <c r="AN194" s="21">
        <v>0.26722341058753185</v>
      </c>
      <c r="AO194" s="21">
        <v>0.38657759283676163</v>
      </c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 spans="1:52" x14ac:dyDescent="0.25">
      <c r="A195" s="7">
        <v>306</v>
      </c>
      <c r="B195" s="5">
        <v>60</v>
      </c>
      <c r="C195" s="6">
        <v>30</v>
      </c>
      <c r="D195" s="5">
        <v>20</v>
      </c>
      <c r="E195" s="4">
        <v>26</v>
      </c>
      <c r="F195" s="4">
        <f t="shared" si="139"/>
        <v>78.800000000000011</v>
      </c>
      <c r="G195" s="4">
        <v>13</v>
      </c>
      <c r="H195" s="4">
        <f t="shared" si="140"/>
        <v>15.160000000000002</v>
      </c>
      <c r="I195" s="4">
        <v>24</v>
      </c>
      <c r="J195" s="4">
        <f t="shared" si="141"/>
        <v>75.2</v>
      </c>
      <c r="K195" s="4">
        <v>9</v>
      </c>
      <c r="L195" s="4">
        <f t="shared" si="142"/>
        <v>10.440000000000001</v>
      </c>
      <c r="M195" s="4">
        <f t="shared" si="143"/>
        <v>49.466666666666661</v>
      </c>
      <c r="N195" s="4">
        <f t="shared" si="144"/>
        <v>15.733333333333334</v>
      </c>
      <c r="O195" s="4">
        <f t="shared" si="145"/>
        <v>34.800000000000004</v>
      </c>
      <c r="P195" s="22" t="s">
        <v>1</v>
      </c>
      <c r="Q195" s="2"/>
      <c r="R195" s="2"/>
      <c r="T195" s="19">
        <v>401030</v>
      </c>
      <c r="U195" s="19" t="s">
        <v>67</v>
      </c>
      <c r="V195" s="19">
        <v>7.621E-2</v>
      </c>
      <c r="W195" s="21">
        <v>0.42085</v>
      </c>
      <c r="X195" s="19">
        <v>-1.63618</v>
      </c>
      <c r="Y195" s="19">
        <v>0.11147</v>
      </c>
      <c r="Z195" s="19">
        <v>1.3081499999999999</v>
      </c>
      <c r="AA195" s="19">
        <v>0.84652000000000005</v>
      </c>
      <c r="AB195" s="19">
        <v>-1.5693600000000001</v>
      </c>
      <c r="AC195" s="19">
        <v>20.33059083416418</v>
      </c>
      <c r="AD195" s="20">
        <v>0.84710795142350748</v>
      </c>
      <c r="AE195" s="23">
        <v>2.3111067180675578E-2</v>
      </c>
      <c r="AF195" s="23">
        <v>1.2926174068755356</v>
      </c>
      <c r="AG195" s="21">
        <v>0.42025405777141295</v>
      </c>
      <c r="AH195" s="19">
        <v>0.32869352021552717</v>
      </c>
      <c r="AI195" s="19">
        <v>0.26295045981841214</v>
      </c>
      <c r="AJ195" s="21">
        <v>0.13845324465645811</v>
      </c>
      <c r="AK195" s="21">
        <v>0.29582199001696963</v>
      </c>
      <c r="AL195" s="19"/>
      <c r="AM195" s="21">
        <v>0.13845324465645811</v>
      </c>
      <c r="AN195" s="21">
        <v>0.29582199001696963</v>
      </c>
      <c r="AO195" s="21">
        <v>0.42025405777141295</v>
      </c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 spans="1:52" x14ac:dyDescent="0.25">
      <c r="A196" s="7">
        <v>306</v>
      </c>
      <c r="B196" s="5">
        <v>90</v>
      </c>
      <c r="C196" s="6">
        <v>30</v>
      </c>
      <c r="D196" s="5">
        <v>20</v>
      </c>
      <c r="E196" s="4">
        <v>27</v>
      </c>
      <c r="F196" s="4">
        <f t="shared" si="139"/>
        <v>80.599999999999994</v>
      </c>
      <c r="G196" s="4">
        <v>9</v>
      </c>
      <c r="H196" s="4">
        <f t="shared" si="140"/>
        <v>11.52</v>
      </c>
      <c r="I196" s="4">
        <v>24</v>
      </c>
      <c r="J196" s="4">
        <f t="shared" si="141"/>
        <v>75.2</v>
      </c>
      <c r="K196" s="4">
        <v>6</v>
      </c>
      <c r="L196" s="4">
        <f t="shared" si="142"/>
        <v>7.44</v>
      </c>
      <c r="M196" s="4">
        <f t="shared" si="143"/>
        <v>61.6</v>
      </c>
      <c r="N196" s="4">
        <f t="shared" si="144"/>
        <v>13.599999999999994</v>
      </c>
      <c r="O196" s="4">
        <f t="shared" si="145"/>
        <v>24.800000000000004</v>
      </c>
      <c r="P196" s="22" t="s">
        <v>1</v>
      </c>
      <c r="Q196" s="2"/>
      <c r="R196" s="2"/>
      <c r="T196" s="19">
        <v>401045</v>
      </c>
      <c r="U196" s="19" t="s">
        <v>67</v>
      </c>
      <c r="V196" s="19">
        <v>8.1530000000000005E-2</v>
      </c>
      <c r="W196" s="21">
        <v>0.44888</v>
      </c>
      <c r="X196" s="19">
        <v>-1.63368</v>
      </c>
      <c r="Y196" s="19">
        <v>0.11971999999999999</v>
      </c>
      <c r="Z196" s="19">
        <v>1.50092</v>
      </c>
      <c r="AA196" s="19">
        <v>0.88012999999999997</v>
      </c>
      <c r="AB196" s="19">
        <v>-1.38916</v>
      </c>
      <c r="AC196" s="19">
        <v>31.689836609119755</v>
      </c>
      <c r="AD196" s="20">
        <v>1.3204098587133231</v>
      </c>
      <c r="AE196" s="23">
        <v>2.3244488827547021E-2</v>
      </c>
      <c r="AF196" s="23">
        <v>1.3174071009484596</v>
      </c>
      <c r="AG196" s="21">
        <v>0.44825932689199977</v>
      </c>
      <c r="AH196" s="19">
        <v>0.34397215046641966</v>
      </c>
      <c r="AI196" s="19">
        <v>0.27039338131840462</v>
      </c>
      <c r="AJ196" s="21">
        <v>0.13881670755307129</v>
      </c>
      <c r="AK196" s="21">
        <v>0.30718276589241211</v>
      </c>
      <c r="AL196" s="19"/>
      <c r="AM196" s="21">
        <v>0.13881670755307129</v>
      </c>
      <c r="AN196" s="21">
        <v>0.30718276589241211</v>
      </c>
      <c r="AO196" s="21">
        <v>0.44825932689199977</v>
      </c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 spans="1:52" x14ac:dyDescent="0.25">
      <c r="A197" s="7">
        <v>306</v>
      </c>
      <c r="B197" s="5">
        <v>120</v>
      </c>
      <c r="C197" s="6">
        <v>30</v>
      </c>
      <c r="D197" s="5">
        <v>20</v>
      </c>
      <c r="E197" s="4">
        <v>27</v>
      </c>
      <c r="F197" s="4">
        <f t="shared" si="139"/>
        <v>80.599999999999994</v>
      </c>
      <c r="G197" s="4">
        <v>8</v>
      </c>
      <c r="H197" s="4">
        <f t="shared" si="140"/>
        <v>10.52</v>
      </c>
      <c r="I197" s="4">
        <v>24</v>
      </c>
      <c r="J197" s="4">
        <f t="shared" si="141"/>
        <v>75.2</v>
      </c>
      <c r="K197" s="4">
        <v>6</v>
      </c>
      <c r="L197" s="4">
        <f t="shared" si="142"/>
        <v>7.44</v>
      </c>
      <c r="M197" s="4">
        <f t="shared" si="143"/>
        <v>64.933333333333337</v>
      </c>
      <c r="N197" s="4">
        <f t="shared" si="144"/>
        <v>10.266666666666652</v>
      </c>
      <c r="O197" s="4">
        <f t="shared" si="145"/>
        <v>24.800000000000004</v>
      </c>
      <c r="P197" s="22" t="s">
        <v>1</v>
      </c>
      <c r="Q197" s="2"/>
      <c r="R197" s="2"/>
      <c r="T197" s="19">
        <v>401060</v>
      </c>
      <c r="U197" s="19" t="s">
        <v>67</v>
      </c>
      <c r="V197" s="19">
        <v>8.1949999999999995E-2</v>
      </c>
      <c r="W197" s="21">
        <v>0.44463999999999998</v>
      </c>
      <c r="X197" s="19">
        <v>-1.61704</v>
      </c>
      <c r="Y197" s="19">
        <v>0.11319</v>
      </c>
      <c r="Z197" s="19">
        <v>1.4855799999999999</v>
      </c>
      <c r="AA197" s="19">
        <v>0.88065000000000004</v>
      </c>
      <c r="AB197" s="19">
        <v>-1.5581799999999999</v>
      </c>
      <c r="AC197" s="19">
        <v>30.590036839170146</v>
      </c>
      <c r="AD197" s="20">
        <v>1.2745848682987562</v>
      </c>
      <c r="AE197" s="23">
        <v>2.4152383725254429E-2</v>
      </c>
      <c r="AF197" s="23">
        <v>1.2977468996150974</v>
      </c>
      <c r="AG197" s="21">
        <v>0.44397997005434275</v>
      </c>
      <c r="AH197" s="19">
        <v>0.34374734556780473</v>
      </c>
      <c r="AI197" s="19">
        <v>0.27404128826530272</v>
      </c>
      <c r="AJ197" s="21">
        <v>0.14468912142634258</v>
      </c>
      <c r="AK197" s="21">
        <v>0.30889431691655372</v>
      </c>
      <c r="AL197" s="19"/>
      <c r="AM197" s="21">
        <v>0.14468912142634258</v>
      </c>
      <c r="AN197" s="21">
        <v>0.30889431691655372</v>
      </c>
      <c r="AO197" s="21">
        <v>0.44397997005434275</v>
      </c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 spans="1:52" x14ac:dyDescent="0.25">
      <c r="A198" s="7">
        <v>306</v>
      </c>
      <c r="B198" s="5">
        <v>150</v>
      </c>
      <c r="C198" s="6">
        <v>30</v>
      </c>
      <c r="D198" s="5">
        <v>20</v>
      </c>
      <c r="E198" s="4">
        <v>27</v>
      </c>
      <c r="F198" s="4">
        <f t="shared" si="139"/>
        <v>80.599999999999994</v>
      </c>
      <c r="G198" s="4">
        <v>9</v>
      </c>
      <c r="H198" s="4">
        <f t="shared" si="140"/>
        <v>11.52</v>
      </c>
      <c r="I198" s="4">
        <v>24</v>
      </c>
      <c r="J198" s="4">
        <f t="shared" si="141"/>
        <v>75.2</v>
      </c>
      <c r="K198" s="4">
        <v>5</v>
      </c>
      <c r="L198" s="4">
        <f t="shared" si="142"/>
        <v>6.44</v>
      </c>
      <c r="M198" s="4">
        <f t="shared" si="143"/>
        <v>61.6</v>
      </c>
      <c r="N198" s="4">
        <f t="shared" si="144"/>
        <v>16.933333333333337</v>
      </c>
      <c r="O198" s="4">
        <f t="shared" si="145"/>
        <v>21.466666666666669</v>
      </c>
      <c r="P198" s="22" t="s">
        <v>1</v>
      </c>
      <c r="Q198" s="2"/>
      <c r="R198" s="2"/>
      <c r="T198" s="19">
        <v>401090</v>
      </c>
      <c r="U198" s="19" t="s">
        <v>67</v>
      </c>
      <c r="V198" s="19">
        <v>7.2559999999999999E-2</v>
      </c>
      <c r="W198" s="21">
        <v>0.40482000000000001</v>
      </c>
      <c r="X198" s="19">
        <v>-1.71461</v>
      </c>
      <c r="Y198" s="19">
        <v>0.11973</v>
      </c>
      <c r="Z198" s="19">
        <v>0.99521000000000004</v>
      </c>
      <c r="AA198" s="19">
        <v>0.75502000000000002</v>
      </c>
      <c r="AB198" s="19">
        <v>-1.2784800000000001</v>
      </c>
      <c r="AC198" s="19">
        <v>9.8903121804427254</v>
      </c>
      <c r="AD198" s="20">
        <v>0.41209634085178021</v>
      </c>
      <c r="AE198" s="23">
        <v>1.9292566237709807E-2</v>
      </c>
      <c r="AF198" s="23">
        <v>1.3174374357172207</v>
      </c>
      <c r="AG198" s="21">
        <v>0.40438042424138798</v>
      </c>
      <c r="AH198" s="19">
        <v>0.32037974115645279</v>
      </c>
      <c r="AI198" s="19">
        <v>0.2530214752440344</v>
      </c>
      <c r="AJ198" s="21">
        <v>0.1275206621505468</v>
      </c>
      <c r="AK198" s="21">
        <v>0.28670060820024357</v>
      </c>
      <c r="AL198" s="19"/>
      <c r="AM198" s="21">
        <v>0.1275206621505468</v>
      </c>
      <c r="AN198" s="21">
        <v>0.28670060820024357</v>
      </c>
      <c r="AO198" s="21">
        <v>0.40438042424138798</v>
      </c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199" spans="1:52" x14ac:dyDescent="0.25">
      <c r="A199" s="7">
        <v>306</v>
      </c>
      <c r="B199" s="5">
        <v>180</v>
      </c>
      <c r="C199" s="6">
        <v>30</v>
      </c>
      <c r="D199" s="5">
        <v>20</v>
      </c>
      <c r="E199" s="4">
        <v>27.5</v>
      </c>
      <c r="F199" s="4">
        <f t="shared" si="139"/>
        <v>81.5</v>
      </c>
      <c r="G199" s="4">
        <v>10</v>
      </c>
      <c r="H199" s="4">
        <f t="shared" si="140"/>
        <v>12.7</v>
      </c>
      <c r="I199" s="4">
        <v>23.5</v>
      </c>
      <c r="J199" s="4">
        <f t="shared" si="141"/>
        <v>74.300000000000011</v>
      </c>
      <c r="K199" s="4">
        <v>6</v>
      </c>
      <c r="L199" s="4">
        <f t="shared" si="142"/>
        <v>7.2600000000000025</v>
      </c>
      <c r="M199" s="4">
        <f t="shared" si="143"/>
        <v>57.666666666666664</v>
      </c>
      <c r="N199" s="4">
        <f t="shared" si="144"/>
        <v>18.133333333333326</v>
      </c>
      <c r="O199" s="4">
        <f t="shared" si="145"/>
        <v>24.200000000000006</v>
      </c>
      <c r="P199" s="22" t="s">
        <v>1</v>
      </c>
      <c r="Q199" s="5"/>
      <c r="R199" s="5"/>
      <c r="T199" s="19">
        <v>401120</v>
      </c>
      <c r="U199" s="19" t="s">
        <v>67</v>
      </c>
      <c r="V199" s="19">
        <v>5.9549999999999999E-2</v>
      </c>
      <c r="W199" s="21">
        <v>0.38157999999999997</v>
      </c>
      <c r="X199" s="19">
        <v>-1.5762400000000001</v>
      </c>
      <c r="Y199" s="19">
        <v>0.13200000000000001</v>
      </c>
      <c r="Z199" s="19">
        <v>1.32619</v>
      </c>
      <c r="AA199" s="19">
        <v>1.00038</v>
      </c>
      <c r="AB199" s="19">
        <v>-1.33843</v>
      </c>
      <c r="AC199" s="19">
        <v>21.192881022902682</v>
      </c>
      <c r="AD199" s="20">
        <v>0.8830367092876118</v>
      </c>
      <c r="AE199" s="23">
        <v>2.6531389779982418E-2</v>
      </c>
      <c r="AF199" s="23">
        <v>1.3551894123510362</v>
      </c>
      <c r="AG199" s="21">
        <v>0.38096587653585118</v>
      </c>
      <c r="AH199" s="19">
        <v>0.27358625840702444</v>
      </c>
      <c r="AI199" s="19">
        <v>0.20611226564267499</v>
      </c>
      <c r="AJ199" s="21">
        <v>9.7958078501263146E-2</v>
      </c>
      <c r="AK199" s="21">
        <v>0.23984926202484971</v>
      </c>
      <c r="AL199" s="19"/>
      <c r="AM199" s="21">
        <v>9.7958078501263146E-2</v>
      </c>
      <c r="AN199" s="21">
        <v>0.23984926202484971</v>
      </c>
      <c r="AO199" s="21">
        <v>0.38096587653585118</v>
      </c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00" spans="1:52" x14ac:dyDescent="0.25">
      <c r="Q200" s="17"/>
      <c r="R200" s="17"/>
      <c r="T200" s="19">
        <v>401150</v>
      </c>
      <c r="U200" s="19" t="s">
        <v>67</v>
      </c>
      <c r="V200" s="19">
        <v>5.9249999999999997E-2</v>
      </c>
      <c r="W200" s="21">
        <v>0.37925999999999999</v>
      </c>
      <c r="X200" s="19">
        <v>-1.5541</v>
      </c>
      <c r="Y200" s="19">
        <v>0.16719000000000001</v>
      </c>
      <c r="Z200" s="19">
        <v>1.58419</v>
      </c>
      <c r="AA200" s="19">
        <v>1.0762700000000001</v>
      </c>
      <c r="AB200" s="19">
        <v>-1.11463</v>
      </c>
      <c r="AC200" s="19">
        <v>38.387515074900762</v>
      </c>
      <c r="AD200" s="20">
        <v>1.5994797947875317</v>
      </c>
      <c r="AE200" s="23">
        <v>2.7919009082785329E-2</v>
      </c>
      <c r="AF200" s="23">
        <v>1.4695690605119542</v>
      </c>
      <c r="AG200" s="21">
        <v>0.37872993548924272</v>
      </c>
      <c r="AH200" s="19">
        <v>0.24462692630063287</v>
      </c>
      <c r="AI200" s="19">
        <v>0.1702483621860249</v>
      </c>
      <c r="AJ200" s="21">
        <v>7.8040490679649355E-2</v>
      </c>
      <c r="AK200" s="21">
        <v>0.20743764424332889</v>
      </c>
      <c r="AL200" s="19"/>
      <c r="AM200" s="21">
        <v>7.8040490679649355E-2</v>
      </c>
      <c r="AN200" s="21">
        <v>0.20743764424332889</v>
      </c>
      <c r="AO200" s="21">
        <v>0.37872993548924272</v>
      </c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</row>
    <row r="201" spans="1:52" ht="51.75" x14ac:dyDescent="0.25">
      <c r="A201" s="8" t="s">
        <v>54</v>
      </c>
      <c r="B201" s="10" t="s">
        <v>53</v>
      </c>
      <c r="C201" s="14" t="s">
        <v>18</v>
      </c>
      <c r="D201" s="13" t="s">
        <v>17</v>
      </c>
      <c r="E201" s="12" t="s">
        <v>16</v>
      </c>
      <c r="F201" s="12" t="s">
        <v>15</v>
      </c>
      <c r="G201" s="12" t="s">
        <v>52</v>
      </c>
      <c r="H201" s="12" t="s">
        <v>51</v>
      </c>
      <c r="I201" s="12" t="s">
        <v>50</v>
      </c>
      <c r="J201" s="12" t="s">
        <v>49</v>
      </c>
      <c r="K201" s="12" t="s">
        <v>48</v>
      </c>
      <c r="L201" s="12" t="s">
        <v>47</v>
      </c>
      <c r="M201" s="11" t="s">
        <v>8</v>
      </c>
      <c r="N201" s="11" t="s">
        <v>7</v>
      </c>
      <c r="O201" s="11" t="s">
        <v>6</v>
      </c>
      <c r="P201" s="10" t="s">
        <v>5</v>
      </c>
      <c r="Q201" s="67" t="s">
        <v>4</v>
      </c>
      <c r="R201" s="68"/>
      <c r="T201" s="19">
        <v>401180</v>
      </c>
      <c r="U201" s="19" t="s">
        <v>67</v>
      </c>
      <c r="V201" s="19">
        <v>6.4259999999999998E-2</v>
      </c>
      <c r="W201" s="21">
        <v>0.38630999999999999</v>
      </c>
      <c r="X201" s="19">
        <v>-1.6048100000000001</v>
      </c>
      <c r="Y201" s="19">
        <v>0.11561</v>
      </c>
      <c r="Z201" s="19">
        <v>1.198</v>
      </c>
      <c r="AA201" s="19">
        <v>0.91491</v>
      </c>
      <c r="AB201" s="19">
        <v>-1.55477</v>
      </c>
      <c r="AC201" s="19">
        <v>15.776112696993486</v>
      </c>
      <c r="AD201" s="20">
        <v>0.65733802904139527</v>
      </c>
      <c r="AE201" s="23">
        <v>2.4842196917659431E-2</v>
      </c>
      <c r="AF201" s="23">
        <v>1.304998462484338</v>
      </c>
      <c r="AG201" s="21">
        <v>0.38570717997003745</v>
      </c>
      <c r="AH201" s="19">
        <v>0.29354317966086518</v>
      </c>
      <c r="AI201" s="19">
        <v>0.23090845057143022</v>
      </c>
      <c r="AJ201" s="21">
        <v>0.11718266628490975</v>
      </c>
      <c r="AK201" s="21">
        <v>0.26222581511614773</v>
      </c>
      <c r="AL201" s="19"/>
      <c r="AM201" s="21">
        <v>0.11718266628490975</v>
      </c>
      <c r="AN201" s="21">
        <v>0.26222581511614773</v>
      </c>
      <c r="AO201" s="21">
        <v>0.38570717997003745</v>
      </c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</row>
    <row r="202" spans="1:52" x14ac:dyDescent="0.25">
      <c r="A202" s="8"/>
      <c r="B202" s="10"/>
      <c r="C202" s="14"/>
      <c r="D202" s="13"/>
      <c r="E202" s="12"/>
      <c r="F202" s="12"/>
      <c r="G202" s="12"/>
      <c r="H202" s="12"/>
      <c r="I202" s="12"/>
      <c r="J202" s="12"/>
      <c r="K202" s="12"/>
      <c r="L202" s="12"/>
      <c r="M202" s="11"/>
      <c r="N202" s="11"/>
      <c r="O202" s="11"/>
      <c r="P202" s="10"/>
      <c r="Q202" s="9" t="s">
        <v>3</v>
      </c>
      <c r="R202" s="9" t="s">
        <v>2</v>
      </c>
      <c r="T202" s="19">
        <v>401210</v>
      </c>
      <c r="U202" s="19" t="s">
        <v>67</v>
      </c>
      <c r="V202" s="19">
        <v>6.4259999999999998E-2</v>
      </c>
      <c r="W202" s="21">
        <v>0.38630999999999999</v>
      </c>
      <c r="X202" s="19">
        <v>-1.6048100000000001</v>
      </c>
      <c r="Y202" s="19">
        <v>0.11561</v>
      </c>
      <c r="Z202" s="19">
        <v>1.198</v>
      </c>
      <c r="AA202" s="19">
        <v>0.91491</v>
      </c>
      <c r="AB202" s="19">
        <v>-1.55477</v>
      </c>
      <c r="AC202" s="19">
        <v>15.776112696993486</v>
      </c>
      <c r="AD202" s="20">
        <v>0.65733802904139527</v>
      </c>
      <c r="AE202" s="23">
        <v>2.4842196917659431E-2</v>
      </c>
      <c r="AF202" s="23">
        <v>1.304998462484338</v>
      </c>
      <c r="AG202" s="21">
        <v>0.38570717997003745</v>
      </c>
      <c r="AH202" s="19">
        <v>0.29354317966086518</v>
      </c>
      <c r="AI202" s="19">
        <v>0.23090845057143022</v>
      </c>
      <c r="AJ202" s="21">
        <v>0.11718266628490975</v>
      </c>
      <c r="AK202" s="21">
        <v>0.26222581511614773</v>
      </c>
      <c r="AL202" s="19"/>
      <c r="AM202" s="21">
        <v>0.11718266628490975</v>
      </c>
      <c r="AN202" s="21">
        <v>0.26222581511614773</v>
      </c>
      <c r="AO202" s="21">
        <v>0.38570717997003745</v>
      </c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</row>
    <row r="203" spans="1:52" x14ac:dyDescent="0.25">
      <c r="A203" s="7">
        <v>307</v>
      </c>
      <c r="B203" s="5">
        <v>30</v>
      </c>
      <c r="C203" s="6">
        <v>30</v>
      </c>
      <c r="D203" s="5">
        <v>20</v>
      </c>
      <c r="E203" s="4">
        <v>26</v>
      </c>
      <c r="F203" s="4">
        <f t="shared" ref="F203:F208" si="146">1.8*E203+32</f>
        <v>78.800000000000011</v>
      </c>
      <c r="G203" s="4">
        <v>6</v>
      </c>
      <c r="H203" s="4">
        <f t="shared" ref="H203:H208" si="147">IF(F203&gt;68,G203+(F203-68)*0.2,AR165-(68-F203)*0.2)</f>
        <v>8.1600000000000019</v>
      </c>
      <c r="I203" s="4">
        <v>24</v>
      </c>
      <c r="J203" s="4">
        <f t="shared" ref="J203:J208" si="148">1.8*I203+32</f>
        <v>75.2</v>
      </c>
      <c r="K203" s="4">
        <v>4</v>
      </c>
      <c r="L203" s="4">
        <f t="shared" ref="L203:L208" si="149">IF(J203&gt;68,K203+(J203-68)*0.2,K203-(68-J203)*0.2)</f>
        <v>5.44</v>
      </c>
      <c r="M203" s="4">
        <f t="shared" ref="M203:M208" si="150">(C203-H203)/C203*100</f>
        <v>72.799999999999983</v>
      </c>
      <c r="N203" s="4">
        <f t="shared" ref="N203:N208" si="151">100-(M203+O203)</f>
        <v>9.0666666666666913</v>
      </c>
      <c r="O203" s="4">
        <f t="shared" ref="O203:O208" si="152">L203/C203*100</f>
        <v>18.133333333333333</v>
      </c>
      <c r="P203" s="22" t="s">
        <v>0</v>
      </c>
      <c r="Q203" s="2"/>
      <c r="R203" s="2"/>
      <c r="T203" s="19">
        <v>402030</v>
      </c>
      <c r="U203" s="19" t="s">
        <v>67</v>
      </c>
      <c r="V203" s="19">
        <v>6.7739999999999995E-2</v>
      </c>
      <c r="W203" s="21">
        <v>0.41154000000000002</v>
      </c>
      <c r="X203" s="19">
        <v>-1.6394899999999999</v>
      </c>
      <c r="Y203" s="19">
        <v>0.13433999999999999</v>
      </c>
      <c r="Z203" s="19">
        <v>1.38788</v>
      </c>
      <c r="AA203" s="19">
        <v>0.92061999999999999</v>
      </c>
      <c r="AB203" s="19">
        <v>-1.17371</v>
      </c>
      <c r="AC203" s="19">
        <v>24.427555011481171</v>
      </c>
      <c r="AD203" s="20">
        <v>1.0178147921450489</v>
      </c>
      <c r="AE203" s="23">
        <v>2.2935594409973718E-2</v>
      </c>
      <c r="AF203" s="23">
        <v>1.3625109461476426</v>
      </c>
      <c r="AG203" s="21">
        <v>0.41100805914009686</v>
      </c>
      <c r="AH203" s="19">
        <v>0.30395136283575985</v>
      </c>
      <c r="AI203" s="19">
        <v>0.22962372602433842</v>
      </c>
      <c r="AJ203" s="21">
        <v>0.10911325928786864</v>
      </c>
      <c r="AK203" s="21">
        <v>0.26678754443004915</v>
      </c>
      <c r="AL203" s="19"/>
      <c r="AM203" s="21">
        <v>0.10911325928786864</v>
      </c>
      <c r="AN203" s="21">
        <v>0.26678754443004915</v>
      </c>
      <c r="AO203" s="21">
        <v>0.41100805914009686</v>
      </c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</row>
    <row r="204" spans="1:52" x14ac:dyDescent="0.25">
      <c r="A204" s="7">
        <v>307</v>
      </c>
      <c r="B204" s="5">
        <v>60</v>
      </c>
      <c r="C204" s="6">
        <v>30</v>
      </c>
      <c r="D204" s="5">
        <v>20</v>
      </c>
      <c r="E204" s="4">
        <v>26</v>
      </c>
      <c r="F204" s="4">
        <f t="shared" si="146"/>
        <v>78.800000000000011</v>
      </c>
      <c r="G204" s="4">
        <v>9</v>
      </c>
      <c r="H204" s="4">
        <f t="shared" si="147"/>
        <v>11.160000000000002</v>
      </c>
      <c r="I204" s="4">
        <v>24</v>
      </c>
      <c r="J204" s="4">
        <f t="shared" si="148"/>
        <v>75.2</v>
      </c>
      <c r="K204" s="4">
        <v>6</v>
      </c>
      <c r="L204" s="4">
        <f t="shared" si="149"/>
        <v>7.44</v>
      </c>
      <c r="M204" s="4">
        <f t="shared" si="150"/>
        <v>62.79999999999999</v>
      </c>
      <c r="N204" s="4">
        <f t="shared" si="151"/>
        <v>12.400000000000006</v>
      </c>
      <c r="O204" s="4">
        <f t="shared" si="152"/>
        <v>24.800000000000004</v>
      </c>
      <c r="P204" s="22" t="s">
        <v>1</v>
      </c>
      <c r="Q204" s="2"/>
      <c r="R204" s="2"/>
      <c r="T204" s="19">
        <v>402045</v>
      </c>
      <c r="U204" s="19" t="s">
        <v>67</v>
      </c>
      <c r="V204" s="19">
        <v>7.6869999999999994E-2</v>
      </c>
      <c r="W204" s="21">
        <v>0.44252999999999998</v>
      </c>
      <c r="X204" s="19">
        <v>-1.6722399999999999</v>
      </c>
      <c r="Y204" s="19">
        <v>0.13245000000000001</v>
      </c>
      <c r="Z204" s="19">
        <v>1.46394</v>
      </c>
      <c r="AA204" s="19">
        <v>0.86629</v>
      </c>
      <c r="AB204" s="19">
        <v>-1.1169899999999999</v>
      </c>
      <c r="AC204" s="19">
        <v>29.103150154127544</v>
      </c>
      <c r="AD204" s="20">
        <v>1.212631256421981</v>
      </c>
      <c r="AE204" s="23">
        <v>2.1269633177799969E-2</v>
      </c>
      <c r="AF204" s="23">
        <v>1.3565943376139089</v>
      </c>
      <c r="AG204" s="21">
        <v>0.44201384937424515</v>
      </c>
      <c r="AH204" s="19">
        <v>0.3345990698284535</v>
      </c>
      <c r="AI204" s="19">
        <v>0.25558024257587131</v>
      </c>
      <c r="AJ204" s="21">
        <v>0.12366209498895671</v>
      </c>
      <c r="AK204" s="21">
        <v>0.29508965620216243</v>
      </c>
      <c r="AL204" s="19"/>
      <c r="AM204" s="21">
        <v>0.12366209498895671</v>
      </c>
      <c r="AN204" s="21">
        <v>0.29508965620216243</v>
      </c>
      <c r="AO204" s="21">
        <v>0.44201384937424515</v>
      </c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</row>
    <row r="205" spans="1:52" x14ac:dyDescent="0.25">
      <c r="A205" s="7">
        <v>307</v>
      </c>
      <c r="B205" s="5">
        <v>90</v>
      </c>
      <c r="C205" s="6">
        <v>30</v>
      </c>
      <c r="D205" s="5">
        <v>20</v>
      </c>
      <c r="E205" s="4">
        <v>26</v>
      </c>
      <c r="F205" s="4">
        <f t="shared" si="146"/>
        <v>78.800000000000011</v>
      </c>
      <c r="G205" s="4">
        <v>10</v>
      </c>
      <c r="H205" s="4">
        <f t="shared" si="147"/>
        <v>12.160000000000002</v>
      </c>
      <c r="I205" s="4">
        <v>24</v>
      </c>
      <c r="J205" s="4">
        <f t="shared" si="148"/>
        <v>75.2</v>
      </c>
      <c r="K205" s="4">
        <v>8</v>
      </c>
      <c r="L205" s="4">
        <f t="shared" si="149"/>
        <v>9.4400000000000013</v>
      </c>
      <c r="M205" s="4">
        <f t="shared" si="150"/>
        <v>59.466666666666654</v>
      </c>
      <c r="N205" s="4">
        <f t="shared" si="151"/>
        <v>9.0666666666666771</v>
      </c>
      <c r="O205" s="4">
        <f t="shared" si="152"/>
        <v>31.466666666666672</v>
      </c>
      <c r="P205" s="22" t="s">
        <v>1</v>
      </c>
      <c r="Q205" s="2"/>
      <c r="R205" s="2"/>
      <c r="T205" s="19">
        <v>402060</v>
      </c>
      <c r="U205" s="19" t="s">
        <v>67</v>
      </c>
      <c r="V205" s="19">
        <v>8.1769999999999995E-2</v>
      </c>
      <c r="W205" s="21">
        <v>0.44307000000000002</v>
      </c>
      <c r="X205" s="19">
        <v>-1.6682600000000001</v>
      </c>
      <c r="Y205" s="19">
        <v>0.11913</v>
      </c>
      <c r="Z205" s="19">
        <v>1.33317</v>
      </c>
      <c r="AA205" s="19">
        <v>0.81647999999999998</v>
      </c>
      <c r="AB205" s="19">
        <v>-1.3491299999999999</v>
      </c>
      <c r="AC205" s="19">
        <v>21.536245834079743</v>
      </c>
      <c r="AD205" s="20">
        <v>0.8973435764199893</v>
      </c>
      <c r="AE205" s="23">
        <v>2.1465450127215593E-2</v>
      </c>
      <c r="AF205" s="23">
        <v>1.3156185853435876</v>
      </c>
      <c r="AG205" s="21">
        <v>0.44251869470882188</v>
      </c>
      <c r="AH205" s="19">
        <v>0.34519985666818326</v>
      </c>
      <c r="AI205" s="19">
        <v>0.27263100401077478</v>
      </c>
      <c r="AJ205" s="21">
        <v>0.14015449452141704</v>
      </c>
      <c r="AK205" s="21">
        <v>0.30891543033947899</v>
      </c>
      <c r="AL205" s="19"/>
      <c r="AM205" s="21">
        <v>0.14015449452141704</v>
      </c>
      <c r="AN205" s="21">
        <v>0.30891543033947899</v>
      </c>
      <c r="AO205" s="21">
        <v>0.44251869470882188</v>
      </c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</row>
    <row r="206" spans="1:52" x14ac:dyDescent="0.25">
      <c r="A206" s="7">
        <v>307</v>
      </c>
      <c r="B206" s="5">
        <v>120</v>
      </c>
      <c r="C206" s="6">
        <v>30</v>
      </c>
      <c r="D206" s="5">
        <v>20</v>
      </c>
      <c r="E206" s="4">
        <v>26</v>
      </c>
      <c r="F206" s="4">
        <f t="shared" si="146"/>
        <v>78.800000000000011</v>
      </c>
      <c r="G206" s="4">
        <v>7</v>
      </c>
      <c r="H206" s="4">
        <f t="shared" si="147"/>
        <v>9.1600000000000019</v>
      </c>
      <c r="I206" s="4">
        <v>24</v>
      </c>
      <c r="J206" s="4">
        <f t="shared" si="148"/>
        <v>75.2</v>
      </c>
      <c r="K206" s="4">
        <v>5.5</v>
      </c>
      <c r="L206" s="4">
        <f t="shared" si="149"/>
        <v>6.94</v>
      </c>
      <c r="M206" s="4">
        <f t="shared" si="150"/>
        <v>69.466666666666654</v>
      </c>
      <c r="N206" s="4">
        <f t="shared" si="151"/>
        <v>7.4000000000000057</v>
      </c>
      <c r="O206" s="4">
        <f t="shared" si="152"/>
        <v>23.133333333333333</v>
      </c>
      <c r="P206" s="22" t="s">
        <v>1</v>
      </c>
      <c r="Q206" s="2"/>
      <c r="R206" s="2"/>
      <c r="T206" s="19">
        <v>402090</v>
      </c>
      <c r="U206" s="19" t="s">
        <v>67</v>
      </c>
      <c r="V206" s="19">
        <v>7.3830000000000007E-2</v>
      </c>
      <c r="W206" s="21">
        <v>0.40849999999999997</v>
      </c>
      <c r="X206" s="19">
        <v>-1.62168</v>
      </c>
      <c r="Y206" s="19">
        <v>0.10551000000000001</v>
      </c>
      <c r="Z206" s="19">
        <v>1.2455799999999999</v>
      </c>
      <c r="AA206" s="19">
        <v>0.84919999999999995</v>
      </c>
      <c r="AB206" s="19">
        <v>-1.75579</v>
      </c>
      <c r="AC206" s="19">
        <v>17.602728881873393</v>
      </c>
      <c r="AD206" s="20">
        <v>0.73344703674472467</v>
      </c>
      <c r="AE206" s="23">
        <v>2.389571335633706E-2</v>
      </c>
      <c r="AF206" s="23">
        <v>1.274999457553166</v>
      </c>
      <c r="AG206" s="21">
        <v>0.40788546480018439</v>
      </c>
      <c r="AH206" s="19">
        <v>0.32152232391710278</v>
      </c>
      <c r="AI206" s="19">
        <v>0.26024382108523081</v>
      </c>
      <c r="AJ206" s="21">
        <v>0.14022008723597193</v>
      </c>
      <c r="AK206" s="21">
        <v>0.2908830725011668</v>
      </c>
      <c r="AL206" s="19"/>
      <c r="AM206" s="21">
        <v>0.14022008723597193</v>
      </c>
      <c r="AN206" s="21">
        <v>0.2908830725011668</v>
      </c>
      <c r="AO206" s="21">
        <v>0.40788546480018439</v>
      </c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</row>
    <row r="207" spans="1:52" x14ac:dyDescent="0.25">
      <c r="A207" s="7">
        <v>307</v>
      </c>
      <c r="B207" s="5">
        <v>150</v>
      </c>
      <c r="C207" s="6">
        <v>30</v>
      </c>
      <c r="D207" s="5">
        <v>20</v>
      </c>
      <c r="E207" s="4">
        <v>26.5</v>
      </c>
      <c r="F207" s="4">
        <f t="shared" si="146"/>
        <v>79.7</v>
      </c>
      <c r="G207" s="4">
        <v>4</v>
      </c>
      <c r="H207" s="4">
        <f t="shared" si="147"/>
        <v>6.3400000000000007</v>
      </c>
      <c r="I207" s="4">
        <v>24</v>
      </c>
      <c r="J207" s="4">
        <f t="shared" si="148"/>
        <v>75.2</v>
      </c>
      <c r="K207" s="4">
        <v>3</v>
      </c>
      <c r="L207" s="4">
        <f t="shared" si="149"/>
        <v>4.4400000000000004</v>
      </c>
      <c r="M207" s="4">
        <f t="shared" si="150"/>
        <v>78.86666666666666</v>
      </c>
      <c r="N207" s="4">
        <f t="shared" si="151"/>
        <v>6.3333333333333428</v>
      </c>
      <c r="O207" s="4">
        <f t="shared" si="152"/>
        <v>14.800000000000002</v>
      </c>
      <c r="P207" s="22" t="s">
        <v>0</v>
      </c>
      <c r="Q207" s="2"/>
      <c r="R207" s="2"/>
      <c r="T207" s="19">
        <v>402120</v>
      </c>
      <c r="U207" s="19" t="s">
        <v>67</v>
      </c>
      <c r="V207" s="19">
        <v>5.7829999999999999E-2</v>
      </c>
      <c r="W207" s="21">
        <v>0.37929000000000002</v>
      </c>
      <c r="X207" s="19">
        <v>-1.55037</v>
      </c>
      <c r="Y207" s="19">
        <v>0.15265000000000001</v>
      </c>
      <c r="Z207" s="19">
        <v>1.48814</v>
      </c>
      <c r="AA207" s="19">
        <v>1.07142</v>
      </c>
      <c r="AB207" s="19">
        <v>-1.1889400000000001</v>
      </c>
      <c r="AC207" s="19">
        <v>30.770885910414059</v>
      </c>
      <c r="AD207" s="20">
        <v>1.2821202462672525</v>
      </c>
      <c r="AE207" s="23">
        <v>2.8159828141934413E-2</v>
      </c>
      <c r="AF207" s="23">
        <v>1.4211829873157089</v>
      </c>
      <c r="AG207" s="21">
        <v>0.37869593949741986</v>
      </c>
      <c r="AH207" s="19">
        <v>0.25332999308668042</v>
      </c>
      <c r="AI207" s="19">
        <v>0.18155768850016388</v>
      </c>
      <c r="AJ207" s="21">
        <v>8.3018014933376488E-2</v>
      </c>
      <c r="AK207" s="21">
        <v>0.21744384079342216</v>
      </c>
      <c r="AL207" s="19"/>
      <c r="AM207" s="21">
        <v>8.3018014933376488E-2</v>
      </c>
      <c r="AN207" s="21">
        <v>0.21744384079342216</v>
      </c>
      <c r="AO207" s="21">
        <v>0.37869593949741986</v>
      </c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</row>
    <row r="208" spans="1:52" x14ac:dyDescent="0.25">
      <c r="A208" s="7">
        <v>307</v>
      </c>
      <c r="B208" s="5">
        <v>180</v>
      </c>
      <c r="C208" s="6">
        <v>30</v>
      </c>
      <c r="D208" s="5">
        <v>20</v>
      </c>
      <c r="E208" s="4">
        <v>26.5</v>
      </c>
      <c r="F208" s="4">
        <f t="shared" si="146"/>
        <v>79.7</v>
      </c>
      <c r="G208" s="4">
        <v>6</v>
      </c>
      <c r="H208" s="4">
        <f t="shared" si="147"/>
        <v>8.34</v>
      </c>
      <c r="I208" s="4">
        <v>24</v>
      </c>
      <c r="J208" s="4">
        <f t="shared" si="148"/>
        <v>75.2</v>
      </c>
      <c r="K208" s="4">
        <v>4.5</v>
      </c>
      <c r="L208" s="4">
        <f t="shared" si="149"/>
        <v>5.94</v>
      </c>
      <c r="M208" s="4">
        <f t="shared" si="150"/>
        <v>72.2</v>
      </c>
      <c r="N208" s="4">
        <f t="shared" si="151"/>
        <v>8</v>
      </c>
      <c r="O208" s="4">
        <f t="shared" si="152"/>
        <v>19.8</v>
      </c>
      <c r="P208" s="22" t="s">
        <v>68</v>
      </c>
      <c r="Q208" s="18"/>
      <c r="R208" s="18"/>
      <c r="T208" s="19">
        <v>402150</v>
      </c>
      <c r="U208" s="19" t="s">
        <v>67</v>
      </c>
      <c r="V208" s="19">
        <v>6.6030000000000005E-2</v>
      </c>
      <c r="W208" s="21">
        <v>0.38816000000000001</v>
      </c>
      <c r="X208" s="19">
        <v>-1.6075200000000001</v>
      </c>
      <c r="Y208" s="19">
        <v>0.11061</v>
      </c>
      <c r="Z208" s="19">
        <v>1.17533</v>
      </c>
      <c r="AA208" s="19">
        <v>0.89415</v>
      </c>
      <c r="AB208" s="19">
        <v>-1.6606700000000001</v>
      </c>
      <c r="AC208" s="19">
        <v>14.973730074223841</v>
      </c>
      <c r="AD208" s="20">
        <v>0.62390541975932667</v>
      </c>
      <c r="AE208" s="23">
        <v>2.468766411393598E-2</v>
      </c>
      <c r="AF208" s="23">
        <v>1.2900602686114395</v>
      </c>
      <c r="AG208" s="21">
        <v>0.38755203880037126</v>
      </c>
      <c r="AH208" s="19">
        <v>0.29921322674069561</v>
      </c>
      <c r="AI208" s="19">
        <v>0.23837747966130132</v>
      </c>
      <c r="AJ208" s="21">
        <v>0.12396530331415259</v>
      </c>
      <c r="AK208" s="21">
        <v>0.26879535320099845</v>
      </c>
      <c r="AL208" s="19"/>
      <c r="AM208" s="21">
        <v>0.12396530331415259</v>
      </c>
      <c r="AN208" s="21">
        <v>0.26879535320099845</v>
      </c>
      <c r="AO208" s="21">
        <v>0.38755203880037126</v>
      </c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</row>
    <row r="209" spans="1:52" x14ac:dyDescent="0.25">
      <c r="Q209" s="17"/>
      <c r="R209" s="17"/>
      <c r="T209" s="19">
        <v>402180</v>
      </c>
      <c r="U209" s="19" t="s">
        <v>67</v>
      </c>
      <c r="V209" s="19">
        <v>7.2800000000000004E-2</v>
      </c>
      <c r="W209" s="21">
        <v>0.39521000000000001</v>
      </c>
      <c r="X209" s="19">
        <v>-1.6487400000000001</v>
      </c>
      <c r="Y209" s="19">
        <v>9.9040000000000003E-2</v>
      </c>
      <c r="Z209" s="19">
        <v>0.96023999999999998</v>
      </c>
      <c r="AA209" s="19">
        <v>0.78795000000000004</v>
      </c>
      <c r="AB209" s="19">
        <v>-1.9112100000000001</v>
      </c>
      <c r="AC209" s="19">
        <v>9.1251497445596019</v>
      </c>
      <c r="AD209" s="20">
        <v>0.38021457268998343</v>
      </c>
      <c r="AE209" s="23">
        <v>2.2452256755337047E-2</v>
      </c>
      <c r="AF209" s="23">
        <v>1.256145653657343</v>
      </c>
      <c r="AG209" s="21">
        <v>0.39465462496844572</v>
      </c>
      <c r="AH209" s="19">
        <v>0.31887702416025865</v>
      </c>
      <c r="AI209" s="19">
        <v>0.26238601296727693</v>
      </c>
      <c r="AJ209" s="21">
        <v>0.14540712783580909</v>
      </c>
      <c r="AK209" s="21">
        <v>0.29063151856376779</v>
      </c>
      <c r="AL209" s="19"/>
      <c r="AM209" s="21">
        <v>0.14540712783580909</v>
      </c>
      <c r="AN209" s="21">
        <v>0.29063151856376779</v>
      </c>
      <c r="AO209" s="21">
        <v>0.39465462496844572</v>
      </c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</row>
    <row r="210" spans="1:52" ht="51.75" x14ac:dyDescent="0.25">
      <c r="A210" s="8" t="s">
        <v>54</v>
      </c>
      <c r="B210" s="10" t="s">
        <v>53</v>
      </c>
      <c r="C210" s="14" t="s">
        <v>18</v>
      </c>
      <c r="D210" s="13" t="s">
        <v>17</v>
      </c>
      <c r="E210" s="12" t="s">
        <v>16</v>
      </c>
      <c r="F210" s="12" t="s">
        <v>15</v>
      </c>
      <c r="G210" s="12" t="s">
        <v>52</v>
      </c>
      <c r="H210" s="12" t="s">
        <v>51</v>
      </c>
      <c r="I210" s="12" t="s">
        <v>50</v>
      </c>
      <c r="J210" s="12" t="s">
        <v>49</v>
      </c>
      <c r="K210" s="12" t="s">
        <v>48</v>
      </c>
      <c r="L210" s="12" t="s">
        <v>47</v>
      </c>
      <c r="M210" s="11" t="s">
        <v>8</v>
      </c>
      <c r="N210" s="11" t="s">
        <v>7</v>
      </c>
      <c r="O210" s="11" t="s">
        <v>6</v>
      </c>
      <c r="P210" s="10" t="s">
        <v>5</v>
      </c>
      <c r="Q210" s="67" t="s">
        <v>4</v>
      </c>
      <c r="R210" s="68"/>
      <c r="T210" s="19">
        <v>402210</v>
      </c>
      <c r="U210" s="19" t="s">
        <v>67</v>
      </c>
      <c r="V210" s="19">
        <v>7.2800000000000004E-2</v>
      </c>
      <c r="W210" s="21">
        <v>0.39521000000000001</v>
      </c>
      <c r="X210" s="19">
        <v>-1.6487400000000001</v>
      </c>
      <c r="Y210" s="19">
        <v>9.9040000000000003E-2</v>
      </c>
      <c r="Z210" s="19">
        <v>0.96023999999999998</v>
      </c>
      <c r="AA210" s="19">
        <v>0.78795000000000004</v>
      </c>
      <c r="AB210" s="19">
        <v>-1.9112100000000001</v>
      </c>
      <c r="AC210" s="19">
        <v>9.1251497445596019</v>
      </c>
      <c r="AD210" s="20">
        <v>0.38021457268998343</v>
      </c>
      <c r="AE210" s="23">
        <v>2.2452256755337047E-2</v>
      </c>
      <c r="AF210" s="23">
        <v>1.256145653657343</v>
      </c>
      <c r="AG210" s="21">
        <v>0.39465462496844572</v>
      </c>
      <c r="AH210" s="19">
        <v>0.31887702416025865</v>
      </c>
      <c r="AI210" s="19">
        <v>0.26238601296727693</v>
      </c>
      <c r="AJ210" s="21">
        <v>0.14540712783580909</v>
      </c>
      <c r="AK210" s="21">
        <v>0.29063151856376779</v>
      </c>
      <c r="AL210" s="19"/>
      <c r="AM210" s="21">
        <v>0.14540712783580909</v>
      </c>
      <c r="AN210" s="21">
        <v>0.29063151856376779</v>
      </c>
      <c r="AO210" s="21">
        <v>0.39465462496844572</v>
      </c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</row>
    <row r="211" spans="1:52" x14ac:dyDescent="0.25">
      <c r="A211" s="8"/>
      <c r="B211" s="10"/>
      <c r="C211" s="14"/>
      <c r="D211" s="13"/>
      <c r="E211" s="12"/>
      <c r="F211" s="12"/>
      <c r="G211" s="12"/>
      <c r="H211" s="12"/>
      <c r="I211" s="12"/>
      <c r="J211" s="12"/>
      <c r="K211" s="12"/>
      <c r="L211" s="12"/>
      <c r="M211" s="11"/>
      <c r="N211" s="11"/>
      <c r="O211" s="11"/>
      <c r="P211" s="10"/>
      <c r="Q211" s="9" t="s">
        <v>3</v>
      </c>
      <c r="R211" s="9" t="s">
        <v>2</v>
      </c>
      <c r="T211" s="19">
        <v>403030</v>
      </c>
      <c r="U211" s="19" t="s">
        <v>67</v>
      </c>
      <c r="V211" s="19">
        <v>7.3249999999999996E-2</v>
      </c>
      <c r="W211" s="21">
        <v>0.41677999999999998</v>
      </c>
      <c r="X211" s="19">
        <v>-1.67045</v>
      </c>
      <c r="Y211" s="19">
        <v>0.12156</v>
      </c>
      <c r="Z211" s="19">
        <v>1.2407900000000001</v>
      </c>
      <c r="AA211" s="19">
        <v>0.83065</v>
      </c>
      <c r="AB211" s="19">
        <v>-1.3072699999999999</v>
      </c>
      <c r="AC211" s="19">
        <v>17.409648386942333</v>
      </c>
      <c r="AD211" s="20">
        <v>0.72540201612259725</v>
      </c>
      <c r="AE211" s="23">
        <v>2.1357479589642188E-2</v>
      </c>
      <c r="AF211" s="23">
        <v>1.3230004746548294</v>
      </c>
      <c r="AG211" s="21">
        <v>0.41626484208573394</v>
      </c>
      <c r="AH211" s="19">
        <v>0.32237442452380566</v>
      </c>
      <c r="AI211" s="19">
        <v>0.25236840928405374</v>
      </c>
      <c r="AJ211" s="21">
        <v>0.12653316636622014</v>
      </c>
      <c r="AK211" s="21">
        <v>0.2873714169039297</v>
      </c>
      <c r="AL211" s="19"/>
      <c r="AM211" s="21">
        <v>0.12653316636622014</v>
      </c>
      <c r="AN211" s="21">
        <v>0.2873714169039297</v>
      </c>
      <c r="AO211" s="21">
        <v>0.41626484208573394</v>
      </c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</row>
    <row r="212" spans="1:52" x14ac:dyDescent="0.25">
      <c r="A212" s="7">
        <v>308</v>
      </c>
      <c r="B212" s="5">
        <v>30</v>
      </c>
      <c r="C212" s="6">
        <v>30</v>
      </c>
      <c r="D212" s="5">
        <v>20</v>
      </c>
      <c r="E212" s="4">
        <v>26.5</v>
      </c>
      <c r="F212" s="4">
        <f t="shared" ref="F212:F217" si="153">1.8*E212+32</f>
        <v>79.7</v>
      </c>
      <c r="G212" s="4">
        <v>7</v>
      </c>
      <c r="H212" s="4">
        <f t="shared" ref="H212:H217" si="154">IF(F212&gt;68,G212+(F212-68)*0.2,Z165-(68-F212)*0.2)</f>
        <v>9.34</v>
      </c>
      <c r="I212" s="4">
        <v>24</v>
      </c>
      <c r="J212" s="4">
        <f t="shared" ref="J212:J217" si="155">1.8*I212+32</f>
        <v>75.2</v>
      </c>
      <c r="K212" s="4">
        <v>4</v>
      </c>
      <c r="L212" s="4">
        <f t="shared" ref="L212:L217" si="156">IF(J212&gt;68,K212+(J212-68)*0.2,K212-(68-J212)*0.2)</f>
        <v>5.44</v>
      </c>
      <c r="M212" s="4">
        <f t="shared" ref="M212:M217" si="157">(C212-H212)/C212*100</f>
        <v>68.86666666666666</v>
      </c>
      <c r="N212" s="4">
        <f t="shared" ref="N212:N217" si="158">100-(M212+O212)</f>
        <v>13</v>
      </c>
      <c r="O212" s="4">
        <f t="shared" ref="O212:O217" si="159">L212/C212*100</f>
        <v>18.133333333333333</v>
      </c>
      <c r="P212" s="22" t="s">
        <v>0</v>
      </c>
      <c r="Q212" s="2"/>
      <c r="R212" s="2"/>
      <c r="T212" s="19">
        <v>403045</v>
      </c>
      <c r="U212" s="19" t="s">
        <v>67</v>
      </c>
      <c r="V212" s="19">
        <v>7.1160000000000001E-2</v>
      </c>
      <c r="W212" s="21">
        <v>0.43712000000000001</v>
      </c>
      <c r="X212" s="19">
        <v>-1.6523099999999999</v>
      </c>
      <c r="Y212" s="19">
        <v>0.14498</v>
      </c>
      <c r="Z212" s="19">
        <v>1.5722</v>
      </c>
      <c r="AA212" s="19">
        <v>0.94420999999999999</v>
      </c>
      <c r="AB212" s="19">
        <v>-0.99673</v>
      </c>
      <c r="AC212" s="19">
        <v>37.342208543034268</v>
      </c>
      <c r="AD212" s="20">
        <v>1.5559253559597612</v>
      </c>
      <c r="AE212" s="23">
        <v>2.2268450567607526E-2</v>
      </c>
      <c r="AF212" s="23">
        <v>1.3963040573971455</v>
      </c>
      <c r="AG212" s="21">
        <v>0.43660951440220153</v>
      </c>
      <c r="AH212" s="19">
        <v>0.31706706159308784</v>
      </c>
      <c r="AI212" s="19">
        <v>0.23382802045612036</v>
      </c>
      <c r="AJ212" s="21">
        <v>0.10773732869664289</v>
      </c>
      <c r="AK212" s="21">
        <v>0.27544754102460411</v>
      </c>
      <c r="AL212" s="19"/>
      <c r="AM212" s="21">
        <v>0.10773732869664289</v>
      </c>
      <c r="AN212" s="21">
        <v>0.27544754102460411</v>
      </c>
      <c r="AO212" s="21">
        <v>0.43660951440220153</v>
      </c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</row>
    <row r="213" spans="1:52" x14ac:dyDescent="0.25">
      <c r="A213" s="7">
        <v>308</v>
      </c>
      <c r="B213" s="5">
        <v>60</v>
      </c>
      <c r="C213" s="6">
        <v>30</v>
      </c>
      <c r="D213" s="5">
        <v>20</v>
      </c>
      <c r="E213" s="4">
        <v>26.5</v>
      </c>
      <c r="F213" s="4">
        <f t="shared" si="153"/>
        <v>79.7</v>
      </c>
      <c r="G213" s="4">
        <v>4</v>
      </c>
      <c r="H213" s="4">
        <f t="shared" si="154"/>
        <v>6.3400000000000007</v>
      </c>
      <c r="I213" s="4">
        <v>24</v>
      </c>
      <c r="J213" s="4">
        <f t="shared" si="155"/>
        <v>75.2</v>
      </c>
      <c r="K213" s="4">
        <v>3</v>
      </c>
      <c r="L213" s="4">
        <f t="shared" si="156"/>
        <v>4.4400000000000004</v>
      </c>
      <c r="M213" s="4">
        <f t="shared" si="157"/>
        <v>78.86666666666666</v>
      </c>
      <c r="N213" s="4">
        <f t="shared" si="158"/>
        <v>6.3333333333333428</v>
      </c>
      <c r="O213" s="4">
        <f t="shared" si="159"/>
        <v>14.800000000000002</v>
      </c>
      <c r="P213" s="22" t="s">
        <v>0</v>
      </c>
      <c r="Q213" s="2"/>
      <c r="R213" s="2"/>
      <c r="T213" s="19">
        <v>403060</v>
      </c>
      <c r="U213" s="19" t="s">
        <v>67</v>
      </c>
      <c r="V213" s="19">
        <v>6.5329999999999999E-2</v>
      </c>
      <c r="W213" s="21">
        <v>0.42775000000000002</v>
      </c>
      <c r="X213" s="19">
        <v>-1.6038300000000001</v>
      </c>
      <c r="Y213" s="19">
        <v>0.16502</v>
      </c>
      <c r="Z213" s="19">
        <v>1.7129399999999999</v>
      </c>
      <c r="AA213" s="19">
        <v>1.0641700000000001</v>
      </c>
      <c r="AB213" s="19">
        <v>-0.92652999999999996</v>
      </c>
      <c r="AC213" s="19">
        <v>51.634502864220067</v>
      </c>
      <c r="AD213" s="20">
        <v>2.1514376193425027</v>
      </c>
      <c r="AE213" s="23">
        <v>2.4898317459638154E-2</v>
      </c>
      <c r="AF213" s="23">
        <v>1.4622445117545093</v>
      </c>
      <c r="AG213" s="21">
        <v>0.4272340779588657</v>
      </c>
      <c r="AH213" s="19">
        <v>0.28612027488233049</v>
      </c>
      <c r="AI213" s="19">
        <v>0.19976000969512836</v>
      </c>
      <c r="AJ213" s="21">
        <v>8.8781721069081998E-2</v>
      </c>
      <c r="AK213" s="21">
        <v>0.24294014228872943</v>
      </c>
      <c r="AL213" s="19"/>
      <c r="AM213" s="21">
        <v>8.8781721069081998E-2</v>
      </c>
      <c r="AN213" s="21">
        <v>0.24294014228872943</v>
      </c>
      <c r="AO213" s="21">
        <v>0.4272340779588657</v>
      </c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</row>
    <row r="214" spans="1:52" x14ac:dyDescent="0.25">
      <c r="A214" s="7">
        <v>308</v>
      </c>
      <c r="B214" s="5">
        <v>90</v>
      </c>
      <c r="C214" s="6">
        <v>30</v>
      </c>
      <c r="D214" s="5">
        <v>20</v>
      </c>
      <c r="E214" s="4">
        <v>27</v>
      </c>
      <c r="F214" s="4">
        <f t="shared" si="153"/>
        <v>80.599999999999994</v>
      </c>
      <c r="G214" s="4">
        <v>5</v>
      </c>
      <c r="H214" s="4">
        <f t="shared" si="154"/>
        <v>7.52</v>
      </c>
      <c r="I214" s="4">
        <v>24</v>
      </c>
      <c r="J214" s="4">
        <f t="shared" si="155"/>
        <v>75.2</v>
      </c>
      <c r="K214" s="4">
        <v>3</v>
      </c>
      <c r="L214" s="4">
        <f t="shared" si="156"/>
        <v>4.4400000000000004</v>
      </c>
      <c r="M214" s="4">
        <f t="shared" si="157"/>
        <v>74.933333333333323</v>
      </c>
      <c r="N214" s="4">
        <f t="shared" si="158"/>
        <v>10.26666666666668</v>
      </c>
      <c r="O214" s="4">
        <f t="shared" si="159"/>
        <v>14.800000000000002</v>
      </c>
      <c r="P214" s="22" t="s">
        <v>0</v>
      </c>
      <c r="Q214" s="2"/>
      <c r="R214" s="2"/>
      <c r="T214" s="19">
        <v>403090</v>
      </c>
      <c r="U214" s="19" t="s">
        <v>67</v>
      </c>
      <c r="V214" s="19">
        <v>6.6710000000000005E-2</v>
      </c>
      <c r="W214" s="21">
        <v>0.39988000000000001</v>
      </c>
      <c r="X214" s="19">
        <v>-1.6666399999999999</v>
      </c>
      <c r="Y214" s="19">
        <v>0.12589</v>
      </c>
      <c r="Z214" s="19">
        <v>1.1806300000000001</v>
      </c>
      <c r="AA214" s="19">
        <v>0.85863</v>
      </c>
      <c r="AB214" s="19">
        <v>-1.24871</v>
      </c>
      <c r="AC214" s="19">
        <v>15.157584569655103</v>
      </c>
      <c r="AD214" s="20">
        <v>0.63156602373562931</v>
      </c>
      <c r="AE214" s="23">
        <v>2.1545669812720283E-2</v>
      </c>
      <c r="AF214" s="23">
        <v>1.3362570206758131</v>
      </c>
      <c r="AG214" s="21">
        <v>0.39938479990401193</v>
      </c>
      <c r="AH214" s="19">
        <v>0.30498817101796327</v>
      </c>
      <c r="AI214" s="19">
        <v>0.23548681023758461</v>
      </c>
      <c r="AJ214" s="21">
        <v>0.1144405947180579</v>
      </c>
      <c r="AK214" s="21">
        <v>0.27023749062777391</v>
      </c>
      <c r="AL214" s="19"/>
      <c r="AM214" s="21">
        <v>0.1144405947180579</v>
      </c>
      <c r="AN214" s="21">
        <v>0.27023749062777391</v>
      </c>
      <c r="AO214" s="21">
        <v>0.39938479990401193</v>
      </c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</row>
    <row r="215" spans="1:52" x14ac:dyDescent="0.25">
      <c r="A215" s="7">
        <v>308</v>
      </c>
      <c r="B215" s="5">
        <v>120</v>
      </c>
      <c r="C215" s="6">
        <v>30</v>
      </c>
      <c r="D215" s="5">
        <v>20</v>
      </c>
      <c r="E215" s="4">
        <v>27</v>
      </c>
      <c r="F215" s="4">
        <f t="shared" si="153"/>
        <v>80.599999999999994</v>
      </c>
      <c r="G215" s="4">
        <v>5</v>
      </c>
      <c r="H215" s="4">
        <f t="shared" si="154"/>
        <v>7.52</v>
      </c>
      <c r="I215" s="4">
        <v>24</v>
      </c>
      <c r="J215" s="4">
        <f t="shared" si="155"/>
        <v>75.2</v>
      </c>
      <c r="K215" s="4">
        <v>3</v>
      </c>
      <c r="L215" s="4">
        <f t="shared" si="156"/>
        <v>4.4400000000000004</v>
      </c>
      <c r="M215" s="4">
        <f t="shared" si="157"/>
        <v>74.933333333333323</v>
      </c>
      <c r="N215" s="4">
        <f t="shared" si="158"/>
        <v>10.26666666666668</v>
      </c>
      <c r="O215" s="4">
        <f t="shared" si="159"/>
        <v>14.800000000000002</v>
      </c>
      <c r="P215" s="22" t="s">
        <v>0</v>
      </c>
      <c r="Q215" s="2"/>
      <c r="R215" s="2"/>
      <c r="T215" s="19">
        <v>403120</v>
      </c>
      <c r="U215" s="19" t="s">
        <v>67</v>
      </c>
      <c r="V215" s="19">
        <v>5.2839999999999998E-2</v>
      </c>
      <c r="W215" s="21">
        <v>0.37574000000000002</v>
      </c>
      <c r="X215" s="19">
        <v>-1.5248600000000001</v>
      </c>
      <c r="Y215" s="19">
        <v>0.15246000000000001</v>
      </c>
      <c r="Z215" s="19">
        <v>1.46959</v>
      </c>
      <c r="AA215" s="19">
        <v>1.13018</v>
      </c>
      <c r="AB215" s="19">
        <v>-1.1883600000000001</v>
      </c>
      <c r="AC215" s="19">
        <v>29.484244231315053</v>
      </c>
      <c r="AD215" s="20">
        <v>1.2285101763047939</v>
      </c>
      <c r="AE215" s="23">
        <v>2.9863451477030619E-2</v>
      </c>
      <c r="AF215" s="23">
        <v>1.4205613682974469</v>
      </c>
      <c r="AG215" s="21">
        <v>0.37509081821155188</v>
      </c>
      <c r="AH215" s="19">
        <v>0.24540999957432516</v>
      </c>
      <c r="AI215" s="19">
        <v>0.17437288594175782</v>
      </c>
      <c r="AJ215" s="21">
        <v>7.7616535324746022E-2</v>
      </c>
      <c r="AK215" s="21">
        <v>0.2098914427580415</v>
      </c>
      <c r="AL215" s="19"/>
      <c r="AM215" s="21">
        <v>7.7616535324746022E-2</v>
      </c>
      <c r="AN215" s="21">
        <v>0.2098914427580415</v>
      </c>
      <c r="AO215" s="21">
        <v>0.37509081821155188</v>
      </c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</row>
    <row r="216" spans="1:52" x14ac:dyDescent="0.25">
      <c r="A216" s="7">
        <v>308</v>
      </c>
      <c r="B216" s="5">
        <v>150</v>
      </c>
      <c r="C216" s="6">
        <v>30</v>
      </c>
      <c r="D216" s="5">
        <v>20</v>
      </c>
      <c r="E216" s="4">
        <v>26</v>
      </c>
      <c r="F216" s="4">
        <f t="shared" si="153"/>
        <v>78.800000000000011</v>
      </c>
      <c r="G216" s="4">
        <v>8</v>
      </c>
      <c r="H216" s="4">
        <f t="shared" si="154"/>
        <v>10.160000000000002</v>
      </c>
      <c r="I216" s="4">
        <v>23</v>
      </c>
      <c r="J216" s="4">
        <f t="shared" si="155"/>
        <v>73.400000000000006</v>
      </c>
      <c r="K216" s="4">
        <v>5.5</v>
      </c>
      <c r="L216" s="4">
        <f t="shared" si="156"/>
        <v>6.580000000000001</v>
      </c>
      <c r="M216" s="4">
        <f t="shared" si="157"/>
        <v>66.133333333333326</v>
      </c>
      <c r="N216" s="4">
        <f t="shared" si="158"/>
        <v>11.933333333333337</v>
      </c>
      <c r="O216" s="4">
        <f t="shared" si="159"/>
        <v>21.933333333333334</v>
      </c>
      <c r="P216" s="22" t="s">
        <v>1</v>
      </c>
      <c r="Q216" s="2"/>
      <c r="R216" s="2"/>
      <c r="T216" s="19">
        <v>403150</v>
      </c>
      <c r="U216" s="19" t="s">
        <v>67</v>
      </c>
      <c r="V216" s="19">
        <v>5.0139999999999997E-2</v>
      </c>
      <c r="W216" s="21">
        <v>0.37295</v>
      </c>
      <c r="X216" s="19">
        <v>-1.48227</v>
      </c>
      <c r="Y216" s="19">
        <v>0.18561</v>
      </c>
      <c r="Z216" s="19">
        <v>1.6747700000000001</v>
      </c>
      <c r="AA216" s="19">
        <v>1.2452799999999999</v>
      </c>
      <c r="AB216" s="19">
        <v>-1.0582199999999999</v>
      </c>
      <c r="AC216" s="19">
        <v>47.290074696404119</v>
      </c>
      <c r="AD216" s="20">
        <v>1.9704197790168383</v>
      </c>
      <c r="AE216" s="23">
        <v>3.2940485817207918E-2</v>
      </c>
      <c r="AF216" s="23">
        <v>1.5332395027726942</v>
      </c>
      <c r="AG216" s="21">
        <v>0.37235292895531685</v>
      </c>
      <c r="AH216" s="19">
        <v>0.2124538225600042</v>
      </c>
      <c r="AI216" s="19">
        <v>0.13936644717325086</v>
      </c>
      <c r="AJ216" s="21">
        <v>6.1956364566800259E-2</v>
      </c>
      <c r="AK216" s="21">
        <v>0.17591013486662754</v>
      </c>
      <c r="AL216" s="19"/>
      <c r="AM216" s="21">
        <v>6.1956364566800259E-2</v>
      </c>
      <c r="AN216" s="21">
        <v>0.17591013486662754</v>
      </c>
      <c r="AO216" s="21">
        <v>0.37235292895531685</v>
      </c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</row>
    <row r="217" spans="1:52" x14ac:dyDescent="0.25">
      <c r="A217" s="7">
        <v>308</v>
      </c>
      <c r="B217" s="5">
        <v>180</v>
      </c>
      <c r="C217" s="6">
        <v>30</v>
      </c>
      <c r="D217" s="5">
        <v>20</v>
      </c>
      <c r="E217" s="4">
        <v>25.5</v>
      </c>
      <c r="F217" s="4">
        <f t="shared" si="153"/>
        <v>77.900000000000006</v>
      </c>
      <c r="G217" s="4">
        <v>10</v>
      </c>
      <c r="H217" s="4">
        <f t="shared" si="154"/>
        <v>11.98</v>
      </c>
      <c r="I217" s="4">
        <v>24</v>
      </c>
      <c r="J217" s="4">
        <f t="shared" si="155"/>
        <v>75.2</v>
      </c>
      <c r="K217" s="4">
        <v>6.5</v>
      </c>
      <c r="L217" s="4">
        <f t="shared" si="156"/>
        <v>7.94</v>
      </c>
      <c r="M217" s="4">
        <f t="shared" si="157"/>
        <v>60.06666666666667</v>
      </c>
      <c r="N217" s="4">
        <f t="shared" si="158"/>
        <v>13.466666666666669</v>
      </c>
      <c r="O217" s="4">
        <f t="shared" si="159"/>
        <v>26.466666666666665</v>
      </c>
      <c r="P217" s="22" t="s">
        <v>1</v>
      </c>
      <c r="Q217" s="18"/>
      <c r="R217" s="18"/>
      <c r="T217" s="19">
        <v>403180</v>
      </c>
      <c r="U217" s="19" t="s">
        <v>67</v>
      </c>
      <c r="V217" s="19">
        <v>5.7860000000000002E-2</v>
      </c>
      <c r="W217" s="21">
        <v>0.37996999999999997</v>
      </c>
      <c r="X217" s="19">
        <v>-1.56114</v>
      </c>
      <c r="Y217" s="19">
        <v>0.13986999999999999</v>
      </c>
      <c r="Z217" s="19">
        <v>1.38774</v>
      </c>
      <c r="AA217" s="19">
        <v>1.0398799999999999</v>
      </c>
      <c r="AB217" s="19">
        <v>-1.27119</v>
      </c>
      <c r="AC217" s="19">
        <v>24.419681767202512</v>
      </c>
      <c r="AD217" s="20">
        <v>1.0174867403001047</v>
      </c>
      <c r="AE217" s="23">
        <v>2.7470084794478246E-2</v>
      </c>
      <c r="AF217" s="23">
        <v>1.379971127649428</v>
      </c>
      <c r="AG217" s="21">
        <v>0.37935109854341587</v>
      </c>
      <c r="AH217" s="19">
        <v>0.26428451211496673</v>
      </c>
      <c r="AI217" s="19">
        <v>0.1950200478827249</v>
      </c>
      <c r="AJ217" s="21">
        <v>9.0546527210325606E-2</v>
      </c>
      <c r="AK217" s="21">
        <v>0.2296522799988458</v>
      </c>
      <c r="AL217" s="19"/>
      <c r="AM217" s="21">
        <v>9.0546527210325606E-2</v>
      </c>
      <c r="AN217" s="21">
        <v>0.2296522799988458</v>
      </c>
      <c r="AO217" s="21">
        <v>0.37935109854341587</v>
      </c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</row>
    <row r="218" spans="1:52" x14ac:dyDescent="0.25">
      <c r="Q218" s="17"/>
      <c r="R218" s="17"/>
      <c r="T218" s="19">
        <v>403210</v>
      </c>
      <c r="U218" s="19" t="s">
        <v>67</v>
      </c>
      <c r="V218" s="19">
        <v>5.7860000000000002E-2</v>
      </c>
      <c r="W218" s="21">
        <v>0.37996999999999997</v>
      </c>
      <c r="X218" s="19">
        <v>-1.56114</v>
      </c>
      <c r="Y218" s="19">
        <v>0.13986999999999999</v>
      </c>
      <c r="Z218" s="19">
        <v>1.38774</v>
      </c>
      <c r="AA218" s="19">
        <v>1.0398799999999999</v>
      </c>
      <c r="AB218" s="19">
        <v>-1.27119</v>
      </c>
      <c r="AC218" s="19">
        <v>24.419681767202512</v>
      </c>
      <c r="AD218" s="20">
        <v>1.0174867403001047</v>
      </c>
      <c r="AE218" s="23">
        <v>2.7470084794478246E-2</v>
      </c>
      <c r="AF218" s="23">
        <v>1.379971127649428</v>
      </c>
      <c r="AG218" s="21">
        <v>0.37935109854341587</v>
      </c>
      <c r="AH218" s="19">
        <v>0.26428451211496673</v>
      </c>
      <c r="AI218" s="19">
        <v>0.1950200478827249</v>
      </c>
      <c r="AJ218" s="21">
        <v>9.0546527210325606E-2</v>
      </c>
      <c r="AK218" s="21">
        <v>0.2296522799988458</v>
      </c>
      <c r="AL218" s="19"/>
      <c r="AM218" s="21">
        <v>9.0546527210325606E-2</v>
      </c>
      <c r="AN218" s="21">
        <v>0.2296522799988458</v>
      </c>
      <c r="AO218" s="21">
        <v>0.37935109854341587</v>
      </c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</row>
    <row r="219" spans="1:52" ht="51.75" x14ac:dyDescent="0.25">
      <c r="A219" s="8" t="s">
        <v>54</v>
      </c>
      <c r="B219" s="10" t="s">
        <v>53</v>
      </c>
      <c r="C219" s="14" t="s">
        <v>18</v>
      </c>
      <c r="D219" s="13" t="s">
        <v>17</v>
      </c>
      <c r="E219" s="12" t="s">
        <v>16</v>
      </c>
      <c r="F219" s="12" t="s">
        <v>15</v>
      </c>
      <c r="G219" s="12" t="s">
        <v>52</v>
      </c>
      <c r="H219" s="12" t="s">
        <v>51</v>
      </c>
      <c r="I219" s="12" t="s">
        <v>50</v>
      </c>
      <c r="J219" s="12" t="s">
        <v>49</v>
      </c>
      <c r="K219" s="12" t="s">
        <v>48</v>
      </c>
      <c r="L219" s="12" t="s">
        <v>47</v>
      </c>
      <c r="M219" s="11" t="s">
        <v>8</v>
      </c>
      <c r="N219" s="11" t="s">
        <v>7</v>
      </c>
      <c r="O219" s="11" t="s">
        <v>6</v>
      </c>
      <c r="P219" s="10" t="s">
        <v>5</v>
      </c>
      <c r="Q219" s="67" t="s">
        <v>4</v>
      </c>
      <c r="R219" s="68"/>
      <c r="T219" s="19">
        <v>404030</v>
      </c>
      <c r="U219" s="19" t="s">
        <v>67</v>
      </c>
      <c r="V219" s="19">
        <v>7.6350000000000001E-2</v>
      </c>
      <c r="W219" s="21">
        <v>0.42055999999999999</v>
      </c>
      <c r="X219" s="19">
        <v>-1.65693</v>
      </c>
      <c r="Y219" s="19">
        <v>0.11348999999999999</v>
      </c>
      <c r="Z219" s="19">
        <v>1.23872</v>
      </c>
      <c r="AA219" s="19">
        <v>0.82081999999999999</v>
      </c>
      <c r="AB219" s="19">
        <v>-1.48739</v>
      </c>
      <c r="AC219" s="19">
        <v>17.32686533273802</v>
      </c>
      <c r="AD219" s="20">
        <v>0.72195272219741746</v>
      </c>
      <c r="AE219" s="23">
        <v>2.203281561464673E-2</v>
      </c>
      <c r="AF219" s="23">
        <v>1.2986436611095455</v>
      </c>
      <c r="AG219" s="21">
        <v>0.42000429058958821</v>
      </c>
      <c r="AH219" s="19">
        <v>0.32972836685536211</v>
      </c>
      <c r="AI219" s="19">
        <v>0.26303314420578616</v>
      </c>
      <c r="AJ219" s="21">
        <v>0.1372249342861051</v>
      </c>
      <c r="AK219" s="21">
        <v>0.29638075553057414</v>
      </c>
      <c r="AL219" s="19"/>
      <c r="AM219" s="21">
        <v>0.1372249342861051</v>
      </c>
      <c r="AN219" s="21">
        <v>0.29638075553057414</v>
      </c>
      <c r="AO219" s="21">
        <v>0.42000429058958821</v>
      </c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</row>
    <row r="220" spans="1:52" x14ac:dyDescent="0.25">
      <c r="A220" s="8"/>
      <c r="B220" s="10"/>
      <c r="C220" s="14"/>
      <c r="D220" s="13"/>
      <c r="E220" s="12"/>
      <c r="F220" s="12"/>
      <c r="G220" s="12"/>
      <c r="H220" s="12"/>
      <c r="I220" s="12"/>
      <c r="J220" s="12"/>
      <c r="K220" s="12"/>
      <c r="L220" s="12"/>
      <c r="M220" s="11"/>
      <c r="N220" s="11"/>
      <c r="O220" s="11"/>
      <c r="P220" s="10"/>
      <c r="Q220" s="9" t="s">
        <v>3</v>
      </c>
      <c r="R220" s="9" t="s">
        <v>2</v>
      </c>
      <c r="T220" s="19">
        <v>404045</v>
      </c>
      <c r="U220" s="19" t="s">
        <v>67</v>
      </c>
      <c r="V220" s="19">
        <v>7.5899999999999995E-2</v>
      </c>
      <c r="W220" s="21">
        <v>0.44140000000000001</v>
      </c>
      <c r="X220" s="19">
        <v>-1.67371</v>
      </c>
      <c r="Y220" s="19">
        <v>0.13453000000000001</v>
      </c>
      <c r="Z220" s="19">
        <v>1.47102</v>
      </c>
      <c r="AA220" s="19">
        <v>0.87214000000000003</v>
      </c>
      <c r="AB220" s="19">
        <v>-1.08606</v>
      </c>
      <c r="AC220" s="19">
        <v>29.581486911964188</v>
      </c>
      <c r="AD220" s="20">
        <v>1.2325619546651745</v>
      </c>
      <c r="AE220" s="23">
        <v>2.1197761425950364E-2</v>
      </c>
      <c r="AF220" s="23">
        <v>1.3631071630627418</v>
      </c>
      <c r="AG220" s="21">
        <v>0.44089241237987997</v>
      </c>
      <c r="AH220" s="19">
        <v>0.33229657573151072</v>
      </c>
      <c r="AI220" s="19">
        <v>0.25246865573245192</v>
      </c>
      <c r="AJ220" s="21">
        <v>0.12100346707816434</v>
      </c>
      <c r="AK220" s="21">
        <v>0.29238261573198132</v>
      </c>
      <c r="AL220" s="19"/>
      <c r="AM220" s="21">
        <v>0.12100346707816434</v>
      </c>
      <c r="AN220" s="21">
        <v>0.29238261573198132</v>
      </c>
      <c r="AO220" s="21">
        <v>0.44089241237987997</v>
      </c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</row>
    <row r="221" spans="1:52" x14ac:dyDescent="0.25">
      <c r="A221" s="7">
        <v>401</v>
      </c>
      <c r="B221" s="5">
        <v>30</v>
      </c>
      <c r="C221" s="6">
        <v>30</v>
      </c>
      <c r="D221" s="5">
        <v>20</v>
      </c>
      <c r="E221" s="4">
        <v>26</v>
      </c>
      <c r="F221" s="4">
        <f t="shared" ref="F221:F226" si="160">1.8*E221+32</f>
        <v>78.800000000000011</v>
      </c>
      <c r="G221" s="4">
        <v>10.5</v>
      </c>
      <c r="H221" s="4">
        <f t="shared" ref="H221:H226" si="161">IF(F221&gt;68,G221+(F221-68)*0.2,EV173-(68-F221)*0.2)</f>
        <v>12.660000000000002</v>
      </c>
      <c r="I221" s="4">
        <v>23.5</v>
      </c>
      <c r="J221" s="4">
        <f t="shared" ref="J221:J226" si="162">1.8*I221+32</f>
        <v>74.300000000000011</v>
      </c>
      <c r="K221" s="4">
        <v>8.5</v>
      </c>
      <c r="L221" s="4">
        <f t="shared" ref="L221:L226" si="163">IF(J221&gt;68,K221+(J221-68)*0.2,K221-(68-J221)*0.2)</f>
        <v>9.7600000000000016</v>
      </c>
      <c r="M221" s="4">
        <f t="shared" ref="M221:M226" si="164">(C221-H221)/C221*100</f>
        <v>57.799999999999983</v>
      </c>
      <c r="N221" s="4">
        <f t="shared" ref="N221:N226" si="165">100-(M221+O221)</f>
        <v>9.6666666666666856</v>
      </c>
      <c r="O221" s="4">
        <f t="shared" ref="O221:O226" si="166">L221/C221*100</f>
        <v>32.533333333333339</v>
      </c>
      <c r="P221" s="22" t="s">
        <v>1</v>
      </c>
      <c r="Q221" s="2"/>
      <c r="R221" s="2"/>
      <c r="T221" s="19">
        <v>404060</v>
      </c>
      <c r="U221" s="19" t="s">
        <v>67</v>
      </c>
      <c r="V221" s="19">
        <v>7.0849999999999996E-2</v>
      </c>
      <c r="W221" s="21">
        <v>0.43139</v>
      </c>
      <c r="X221" s="19">
        <v>-1.66188</v>
      </c>
      <c r="Y221" s="19">
        <v>0.14166999999999999</v>
      </c>
      <c r="Z221" s="19">
        <v>1.4974099999999999</v>
      </c>
      <c r="AA221" s="19">
        <v>0.91634000000000004</v>
      </c>
      <c r="AB221" s="19">
        <v>-1.02423</v>
      </c>
      <c r="AC221" s="19">
        <v>31.434749220906568</v>
      </c>
      <c r="AD221" s="20">
        <v>1.3097812175377737</v>
      </c>
      <c r="AE221" s="23">
        <v>2.1783115789390236E-2</v>
      </c>
      <c r="AF221" s="23">
        <v>1.3857024984220325</v>
      </c>
      <c r="AG221" s="21">
        <v>0.43089193550583016</v>
      </c>
      <c r="AH221" s="19">
        <v>0.31697839112006582</v>
      </c>
      <c r="AI221" s="19">
        <v>0.23585999903414562</v>
      </c>
      <c r="AJ221" s="21">
        <v>0.10950237913092187</v>
      </c>
      <c r="AK221" s="21">
        <v>0.27641919507710572</v>
      </c>
      <c r="AL221" s="19"/>
      <c r="AM221" s="21">
        <v>0.10950237913092187</v>
      </c>
      <c r="AN221" s="21">
        <v>0.27641919507710572</v>
      </c>
      <c r="AO221" s="21">
        <v>0.43089193550583016</v>
      </c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</row>
    <row r="222" spans="1:52" x14ac:dyDescent="0.25">
      <c r="A222" s="7">
        <v>401</v>
      </c>
      <c r="B222" s="5">
        <v>60</v>
      </c>
      <c r="C222" s="6">
        <v>30</v>
      </c>
      <c r="D222" s="5">
        <v>20</v>
      </c>
      <c r="E222" s="4">
        <v>26</v>
      </c>
      <c r="F222" s="4">
        <f t="shared" si="160"/>
        <v>78.800000000000011</v>
      </c>
      <c r="G222" s="4">
        <v>10</v>
      </c>
      <c r="H222" s="4">
        <f t="shared" si="161"/>
        <v>12.160000000000002</v>
      </c>
      <c r="I222" s="4">
        <v>24</v>
      </c>
      <c r="J222" s="4">
        <f t="shared" si="162"/>
        <v>75.2</v>
      </c>
      <c r="K222" s="4">
        <v>9</v>
      </c>
      <c r="L222" s="4">
        <f t="shared" si="163"/>
        <v>10.440000000000001</v>
      </c>
      <c r="M222" s="4">
        <f t="shared" si="164"/>
        <v>59.466666666666654</v>
      </c>
      <c r="N222" s="4">
        <f t="shared" si="165"/>
        <v>5.7333333333333485</v>
      </c>
      <c r="O222" s="4">
        <f t="shared" si="166"/>
        <v>34.800000000000004</v>
      </c>
      <c r="P222" s="22" t="s">
        <v>1</v>
      </c>
      <c r="Q222" s="2"/>
      <c r="R222" s="2"/>
      <c r="T222" s="19">
        <v>404090</v>
      </c>
      <c r="U222" s="19" t="s">
        <v>67</v>
      </c>
      <c r="V222" s="19">
        <v>6.2010000000000003E-2</v>
      </c>
      <c r="W222" s="21">
        <v>0.39557999999999999</v>
      </c>
      <c r="X222" s="19">
        <v>-1.57579</v>
      </c>
      <c r="Y222" s="19">
        <v>0.16524</v>
      </c>
      <c r="Z222" s="19">
        <v>1.6105499999999999</v>
      </c>
      <c r="AA222" s="19">
        <v>1.0582</v>
      </c>
      <c r="AB222" s="19">
        <v>-1.06081</v>
      </c>
      <c r="AC222" s="19">
        <v>40.789651989040067</v>
      </c>
      <c r="AD222" s="20">
        <v>1.6995688328766694</v>
      </c>
      <c r="AE222" s="23">
        <v>2.6558894879580526E-2</v>
      </c>
      <c r="AF222" s="23">
        <v>1.4629854267321587</v>
      </c>
      <c r="AG222" s="21">
        <v>0.3950591119040599</v>
      </c>
      <c r="AH222" s="19">
        <v>0.26028574140888433</v>
      </c>
      <c r="AI222" s="19">
        <v>0.18205632793420845</v>
      </c>
      <c r="AJ222" s="21">
        <v>8.2867575565406706E-2</v>
      </c>
      <c r="AK222" s="21">
        <v>0.22117103467154639</v>
      </c>
      <c r="AL222" s="19"/>
      <c r="AM222" s="21">
        <v>8.2867575565406706E-2</v>
      </c>
      <c r="AN222" s="21">
        <v>0.22117103467154639</v>
      </c>
      <c r="AO222" s="21">
        <v>0.3950591119040599</v>
      </c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</row>
    <row r="223" spans="1:52" x14ac:dyDescent="0.25">
      <c r="A223" s="7">
        <v>401</v>
      </c>
      <c r="B223" s="5">
        <v>90</v>
      </c>
      <c r="C223" s="6">
        <v>30</v>
      </c>
      <c r="D223" s="5">
        <v>20</v>
      </c>
      <c r="E223" s="4">
        <v>26</v>
      </c>
      <c r="F223" s="4">
        <f t="shared" si="160"/>
        <v>78.800000000000011</v>
      </c>
      <c r="G223" s="4">
        <v>13</v>
      </c>
      <c r="H223" s="4">
        <f t="shared" si="161"/>
        <v>15.160000000000002</v>
      </c>
      <c r="I223" s="4">
        <v>23.5</v>
      </c>
      <c r="J223" s="4">
        <f t="shared" si="162"/>
        <v>74.300000000000011</v>
      </c>
      <c r="K223" s="4">
        <v>8</v>
      </c>
      <c r="L223" s="4">
        <f t="shared" si="163"/>
        <v>9.2600000000000016</v>
      </c>
      <c r="M223" s="4">
        <f t="shared" si="164"/>
        <v>49.466666666666661</v>
      </c>
      <c r="N223" s="4">
        <f t="shared" si="165"/>
        <v>19.666666666666671</v>
      </c>
      <c r="O223" s="4">
        <f t="shared" si="166"/>
        <v>30.866666666666671</v>
      </c>
      <c r="P223" s="22" t="s">
        <v>1</v>
      </c>
      <c r="Q223" s="2"/>
      <c r="R223" s="2"/>
      <c r="T223" s="19">
        <v>404120</v>
      </c>
      <c r="U223" s="19" t="s">
        <v>67</v>
      </c>
      <c r="V223" s="19">
        <v>6.5509999999999999E-2</v>
      </c>
      <c r="W223" s="21">
        <v>0.38732</v>
      </c>
      <c r="X223" s="19">
        <v>-1.59883</v>
      </c>
      <c r="Y223" s="19">
        <v>0.11351</v>
      </c>
      <c r="Z223" s="19">
        <v>1.2261299999999999</v>
      </c>
      <c r="AA223" s="19">
        <v>0.91222000000000003</v>
      </c>
      <c r="AB223" s="19">
        <v>-1.6169100000000001</v>
      </c>
      <c r="AC223" s="19">
        <v>16.831778214907569</v>
      </c>
      <c r="AD223" s="20">
        <v>0.70132409228781534</v>
      </c>
      <c r="AE223" s="23">
        <v>2.5186626387810478E-2</v>
      </c>
      <c r="AF223" s="23">
        <v>1.2987034672373257</v>
      </c>
      <c r="AG223" s="21">
        <v>0.38670242195219429</v>
      </c>
      <c r="AH223" s="19">
        <v>0.29536910405069966</v>
      </c>
      <c r="AI223" s="19">
        <v>0.23362027768562987</v>
      </c>
      <c r="AJ223" s="21">
        <v>0.12017605749519747</v>
      </c>
      <c r="AK223" s="21">
        <v>0.26449469086816479</v>
      </c>
      <c r="AL223" s="19"/>
      <c r="AM223" s="21">
        <v>0.12017605749519747</v>
      </c>
      <c r="AN223" s="21">
        <v>0.26449469086816479</v>
      </c>
      <c r="AO223" s="21">
        <v>0.38670242195219429</v>
      </c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</row>
    <row r="224" spans="1:52" x14ac:dyDescent="0.25">
      <c r="A224" s="7">
        <v>401</v>
      </c>
      <c r="B224" s="5">
        <v>120</v>
      </c>
      <c r="C224" s="6">
        <v>30</v>
      </c>
      <c r="D224" s="5">
        <v>20</v>
      </c>
      <c r="E224" s="4">
        <v>25</v>
      </c>
      <c r="F224" s="4">
        <f t="shared" si="160"/>
        <v>77</v>
      </c>
      <c r="G224" s="4">
        <v>8</v>
      </c>
      <c r="H224" s="4">
        <f t="shared" si="161"/>
        <v>9.8000000000000007</v>
      </c>
      <c r="I224" s="4">
        <v>23.5</v>
      </c>
      <c r="J224" s="4">
        <f t="shared" si="162"/>
        <v>74.300000000000011</v>
      </c>
      <c r="K224" s="4">
        <v>5</v>
      </c>
      <c r="L224" s="4">
        <f t="shared" si="163"/>
        <v>6.2600000000000025</v>
      </c>
      <c r="M224" s="4">
        <f t="shared" si="164"/>
        <v>67.333333333333329</v>
      </c>
      <c r="N224" s="4">
        <f t="shared" si="165"/>
        <v>11.799999999999997</v>
      </c>
      <c r="O224" s="4">
        <f t="shared" si="166"/>
        <v>20.866666666666674</v>
      </c>
      <c r="P224" s="22" t="s">
        <v>1</v>
      </c>
      <c r="Q224" s="2"/>
      <c r="R224" s="2"/>
      <c r="T224" s="19">
        <v>404150</v>
      </c>
      <c r="U224" s="19" t="s">
        <v>67</v>
      </c>
      <c r="V224" s="19">
        <v>5.5149999999999998E-2</v>
      </c>
      <c r="W224" s="21">
        <v>0.37458999999999998</v>
      </c>
      <c r="X224" s="19">
        <v>-1.51742</v>
      </c>
      <c r="Y224" s="19">
        <v>0.22766</v>
      </c>
      <c r="Z224" s="19">
        <v>1.8673</v>
      </c>
      <c r="AA224" s="19">
        <v>1.21106</v>
      </c>
      <c r="AB224" s="19">
        <v>-0.95008000000000004</v>
      </c>
      <c r="AC224" s="19">
        <v>73.671582702987834</v>
      </c>
      <c r="AD224" s="20">
        <v>3.0696492792911596</v>
      </c>
      <c r="AE224" s="23">
        <v>3.0379456506767447E-2</v>
      </c>
      <c r="AF224" s="23">
        <v>1.689118038952711</v>
      </c>
      <c r="AG224" s="21">
        <v>0.37423429794867152</v>
      </c>
      <c r="AH224" s="19">
        <v>0.19530238016216347</v>
      </c>
      <c r="AI224" s="19">
        <v>0.11946160865994171</v>
      </c>
      <c r="AJ224" s="21">
        <v>5.9851595372119475E-2</v>
      </c>
      <c r="AK224" s="21">
        <v>0.15738199441105261</v>
      </c>
      <c r="AL224" s="19"/>
      <c r="AM224" s="21">
        <v>5.9851595372119475E-2</v>
      </c>
      <c r="AN224" s="21">
        <v>0.15738199441105261</v>
      </c>
      <c r="AO224" s="21">
        <v>0.37423429794867152</v>
      </c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</row>
    <row r="225" spans="1:52" x14ac:dyDescent="0.25">
      <c r="A225" s="7">
        <v>401</v>
      </c>
      <c r="B225" s="5">
        <v>150</v>
      </c>
      <c r="C225" s="6">
        <v>30</v>
      </c>
      <c r="D225" s="5">
        <v>20</v>
      </c>
      <c r="E225" s="4">
        <v>26</v>
      </c>
      <c r="F225" s="4">
        <f t="shared" si="160"/>
        <v>78.800000000000011</v>
      </c>
      <c r="G225" s="4">
        <v>5</v>
      </c>
      <c r="H225" s="4">
        <f t="shared" si="161"/>
        <v>7.1600000000000019</v>
      </c>
      <c r="I225" s="4">
        <v>23.5</v>
      </c>
      <c r="J225" s="4">
        <f t="shared" si="162"/>
        <v>74.300000000000011</v>
      </c>
      <c r="K225" s="4">
        <v>4</v>
      </c>
      <c r="L225" s="4">
        <f t="shared" si="163"/>
        <v>5.2600000000000025</v>
      </c>
      <c r="M225" s="4">
        <f t="shared" si="164"/>
        <v>76.133333333333326</v>
      </c>
      <c r="N225" s="4">
        <f t="shared" si="165"/>
        <v>6.3333333333333286</v>
      </c>
      <c r="O225" s="4">
        <f t="shared" si="166"/>
        <v>17.533333333333342</v>
      </c>
      <c r="P225" s="22" t="s">
        <v>0</v>
      </c>
      <c r="Q225" s="2"/>
      <c r="R225" s="2"/>
      <c r="T225" s="19">
        <v>404180</v>
      </c>
      <c r="U225" s="19" t="s">
        <v>67</v>
      </c>
      <c r="V225" s="19">
        <v>5.475E-2</v>
      </c>
      <c r="W225" s="21">
        <v>0.37692999999999999</v>
      </c>
      <c r="X225" s="19">
        <v>-1.52616</v>
      </c>
      <c r="Y225" s="19">
        <v>0.16319</v>
      </c>
      <c r="Z225" s="19">
        <v>1.5484500000000001</v>
      </c>
      <c r="AA225" s="19">
        <v>1.13371</v>
      </c>
      <c r="AB225" s="19">
        <v>-1.13622</v>
      </c>
      <c r="AC225" s="19">
        <v>35.354931488808909</v>
      </c>
      <c r="AD225" s="20">
        <v>1.4731221453670378</v>
      </c>
      <c r="AE225" s="23">
        <v>2.9774193055345448E-2</v>
      </c>
      <c r="AF225" s="23">
        <v>1.4560959703812968</v>
      </c>
      <c r="AG225" s="21">
        <v>0.37632740650227936</v>
      </c>
      <c r="AH225" s="19">
        <v>0.23955142503420723</v>
      </c>
      <c r="AI225" s="19">
        <v>0.16668390563673025</v>
      </c>
      <c r="AJ225" s="21">
        <v>7.4677681290106962E-2</v>
      </c>
      <c r="AK225" s="21">
        <v>0.20311766533546874</v>
      </c>
      <c r="AL225" s="19"/>
      <c r="AM225" s="21">
        <v>7.4677681290106962E-2</v>
      </c>
      <c r="AN225" s="21">
        <v>0.20311766533546874</v>
      </c>
      <c r="AO225" s="21">
        <v>0.37632740650227936</v>
      </c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</row>
    <row r="226" spans="1:52" x14ac:dyDescent="0.25">
      <c r="A226" s="7">
        <v>401</v>
      </c>
      <c r="B226" s="5">
        <v>180</v>
      </c>
      <c r="C226" s="6">
        <v>30</v>
      </c>
      <c r="D226" s="5">
        <v>20</v>
      </c>
      <c r="E226" s="4">
        <v>26</v>
      </c>
      <c r="F226" s="4">
        <f t="shared" si="160"/>
        <v>78.800000000000011</v>
      </c>
      <c r="G226" s="4">
        <v>9</v>
      </c>
      <c r="H226" s="4">
        <f t="shared" si="161"/>
        <v>11.160000000000002</v>
      </c>
      <c r="I226" s="4">
        <v>23</v>
      </c>
      <c r="J226" s="4">
        <f t="shared" si="162"/>
        <v>73.400000000000006</v>
      </c>
      <c r="K226" s="4">
        <v>6.5</v>
      </c>
      <c r="L226" s="4">
        <f t="shared" si="163"/>
        <v>7.580000000000001</v>
      </c>
      <c r="M226" s="4">
        <f t="shared" si="164"/>
        <v>62.79999999999999</v>
      </c>
      <c r="N226" s="4">
        <f t="shared" si="165"/>
        <v>11.933333333333337</v>
      </c>
      <c r="O226" s="4">
        <f t="shared" si="166"/>
        <v>25.266666666666669</v>
      </c>
      <c r="P226" s="22" t="s">
        <v>1</v>
      </c>
      <c r="Q226" s="18"/>
      <c r="R226" s="18"/>
      <c r="T226" s="19">
        <v>404210</v>
      </c>
      <c r="U226" s="19" t="s">
        <v>67</v>
      </c>
      <c r="V226" s="19">
        <v>5.475E-2</v>
      </c>
      <c r="W226" s="21">
        <v>0.37692999999999999</v>
      </c>
      <c r="X226" s="19">
        <v>-1.52616</v>
      </c>
      <c r="Y226" s="19">
        <v>0.16319</v>
      </c>
      <c r="Z226" s="19">
        <v>1.5484500000000001</v>
      </c>
      <c r="AA226" s="19">
        <v>1.13371</v>
      </c>
      <c r="AB226" s="19">
        <v>-1.13622</v>
      </c>
      <c r="AC226" s="19">
        <v>35.354931488808909</v>
      </c>
      <c r="AD226" s="20">
        <v>1.4731221453670378</v>
      </c>
      <c r="AE226" s="23">
        <v>2.9774193055345448E-2</v>
      </c>
      <c r="AF226" s="23">
        <v>1.4560959703812968</v>
      </c>
      <c r="AG226" s="21">
        <v>0.37632740650227936</v>
      </c>
      <c r="AH226" s="19">
        <v>0.23955142503420723</v>
      </c>
      <c r="AI226" s="19">
        <v>0.16668390563673025</v>
      </c>
      <c r="AJ226" s="21">
        <v>7.4677681290106962E-2</v>
      </c>
      <c r="AK226" s="21">
        <v>0.20311766533546874</v>
      </c>
      <c r="AL226" s="19"/>
      <c r="AM226" s="21">
        <v>7.4677681290106962E-2</v>
      </c>
      <c r="AN226" s="21">
        <v>0.20311766533546874</v>
      </c>
      <c r="AO226" s="21">
        <v>0.37632740650227936</v>
      </c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</row>
    <row r="227" spans="1:52" x14ac:dyDescent="0.25">
      <c r="Q227" s="17"/>
      <c r="R227" s="17"/>
      <c r="T227" s="19">
        <v>405030</v>
      </c>
      <c r="U227" s="19" t="s">
        <v>67</v>
      </c>
      <c r="V227" s="19">
        <v>6.5989999999999993E-2</v>
      </c>
      <c r="W227" s="21">
        <v>0.40986</v>
      </c>
      <c r="X227" s="19">
        <v>-1.6006499999999999</v>
      </c>
      <c r="Y227" s="19">
        <v>0.15595999999999999</v>
      </c>
      <c r="Z227" s="19">
        <v>1.5992200000000001</v>
      </c>
      <c r="AA227" s="19">
        <v>1.01359</v>
      </c>
      <c r="AB227" s="19">
        <v>-1.06047</v>
      </c>
      <c r="AC227" s="19">
        <v>39.739280525507148</v>
      </c>
      <c r="AD227" s="20">
        <v>1.6558033552294644</v>
      </c>
      <c r="AE227" s="23">
        <v>2.5081297525204632E-2</v>
      </c>
      <c r="AF227" s="23">
        <v>1.432055995967719</v>
      </c>
      <c r="AG227" s="21">
        <v>0.40933238775221398</v>
      </c>
      <c r="AH227" s="19">
        <v>0.28114081219053982</v>
      </c>
      <c r="AI227" s="19">
        <v>0.20150971068147669</v>
      </c>
      <c r="AJ227" s="21">
        <v>9.2513607226922479E-2</v>
      </c>
      <c r="AK227" s="21">
        <v>0.24132526143600824</v>
      </c>
      <c r="AL227" s="19"/>
      <c r="AM227" s="21">
        <v>9.2513607226922479E-2</v>
      </c>
      <c r="AN227" s="21">
        <v>0.24132526143600824</v>
      </c>
      <c r="AO227" s="21">
        <v>0.40933238775221398</v>
      </c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</row>
    <row r="228" spans="1:52" ht="51.75" x14ac:dyDescent="0.25">
      <c r="A228" s="8" t="s">
        <v>54</v>
      </c>
      <c r="B228" s="10" t="s">
        <v>53</v>
      </c>
      <c r="C228" s="14" t="s">
        <v>18</v>
      </c>
      <c r="D228" s="13" t="s">
        <v>17</v>
      </c>
      <c r="E228" s="12" t="s">
        <v>16</v>
      </c>
      <c r="F228" s="12" t="s">
        <v>15</v>
      </c>
      <c r="G228" s="12" t="s">
        <v>52</v>
      </c>
      <c r="H228" s="12" t="s">
        <v>51</v>
      </c>
      <c r="I228" s="12" t="s">
        <v>50</v>
      </c>
      <c r="J228" s="12" t="s">
        <v>49</v>
      </c>
      <c r="K228" s="12" t="s">
        <v>48</v>
      </c>
      <c r="L228" s="12" t="s">
        <v>47</v>
      </c>
      <c r="M228" s="11" t="s">
        <v>8</v>
      </c>
      <c r="N228" s="11" t="s">
        <v>7</v>
      </c>
      <c r="O228" s="11" t="s">
        <v>6</v>
      </c>
      <c r="P228" s="10" t="s">
        <v>5</v>
      </c>
      <c r="Q228" s="67" t="s">
        <v>4</v>
      </c>
      <c r="R228" s="68"/>
      <c r="T228" s="19">
        <v>405045</v>
      </c>
      <c r="U228" s="19" t="s">
        <v>67</v>
      </c>
      <c r="V228" s="19">
        <v>7.6929999999999998E-2</v>
      </c>
      <c r="W228" s="21">
        <v>0.44356000000000001</v>
      </c>
      <c r="X228" s="19">
        <v>-1.64863</v>
      </c>
      <c r="Y228" s="19">
        <v>0.13174</v>
      </c>
      <c r="Z228" s="19">
        <v>1.5351699999999999</v>
      </c>
      <c r="AA228" s="19">
        <v>0.90093999999999996</v>
      </c>
      <c r="AB228" s="19">
        <v>-1.16706</v>
      </c>
      <c r="AC228" s="19">
        <v>34.290198564941171</v>
      </c>
      <c r="AD228" s="20">
        <v>1.4287582735392155</v>
      </c>
      <c r="AE228" s="23">
        <v>2.2457944281075282E-2</v>
      </c>
      <c r="AF228" s="23">
        <v>1.3543783410339985</v>
      </c>
      <c r="AG228" s="21">
        <v>0.44300090205176051</v>
      </c>
      <c r="AH228" s="19">
        <v>0.33216405113741931</v>
      </c>
      <c r="AI228" s="19">
        <v>0.25367743863562797</v>
      </c>
      <c r="AJ228" s="21">
        <v>0.12354305713722252</v>
      </c>
      <c r="AK228" s="21">
        <v>0.29292074488652364</v>
      </c>
      <c r="AL228" s="19"/>
      <c r="AM228" s="21">
        <v>0.12354305713722252</v>
      </c>
      <c r="AN228" s="21">
        <v>0.29292074488652364</v>
      </c>
      <c r="AO228" s="21">
        <v>0.44300090205176051</v>
      </c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</row>
    <row r="229" spans="1:52" x14ac:dyDescent="0.25">
      <c r="A229" s="8"/>
      <c r="B229" s="10"/>
      <c r="C229" s="14"/>
      <c r="D229" s="13"/>
      <c r="E229" s="12"/>
      <c r="F229" s="12"/>
      <c r="G229" s="12"/>
      <c r="H229" s="12"/>
      <c r="I229" s="12"/>
      <c r="J229" s="12"/>
      <c r="K229" s="12"/>
      <c r="L229" s="12"/>
      <c r="M229" s="11"/>
      <c r="N229" s="11"/>
      <c r="O229" s="11"/>
      <c r="P229" s="10"/>
      <c r="Q229" s="9" t="s">
        <v>3</v>
      </c>
      <c r="R229" s="9" t="s">
        <v>2</v>
      </c>
      <c r="T229" s="19">
        <v>405060</v>
      </c>
      <c r="U229" s="19" t="s">
        <v>67</v>
      </c>
      <c r="V229" s="19">
        <v>8.498E-2</v>
      </c>
      <c r="W229" s="21">
        <v>0.44668000000000002</v>
      </c>
      <c r="X229" s="19">
        <v>-1.6604000000000001</v>
      </c>
      <c r="Y229" s="19">
        <v>0.11294999999999999</v>
      </c>
      <c r="Z229" s="19">
        <v>1.29277</v>
      </c>
      <c r="AA229" s="19">
        <v>0.80079999999999996</v>
      </c>
      <c r="AB229" s="19">
        <v>-1.4964500000000001</v>
      </c>
      <c r="AC229" s="19">
        <v>19.623207671753875</v>
      </c>
      <c r="AD229" s="20">
        <v>0.81763365298974477</v>
      </c>
      <c r="AE229" s="23">
        <v>2.1857475486869334E-2</v>
      </c>
      <c r="AF229" s="23">
        <v>1.297029936297901</v>
      </c>
      <c r="AG229" s="21">
        <v>0.44610091522771972</v>
      </c>
      <c r="AH229" s="19">
        <v>0.35209580926694911</v>
      </c>
      <c r="AI229" s="19">
        <v>0.28221894389677804</v>
      </c>
      <c r="AJ229" s="21">
        <v>0.14970299723643465</v>
      </c>
      <c r="AK229" s="21">
        <v>0.3171573765818636</v>
      </c>
      <c r="AL229" s="19"/>
      <c r="AM229" s="21">
        <v>0.14970299723643465</v>
      </c>
      <c r="AN229" s="21">
        <v>0.3171573765818636</v>
      </c>
      <c r="AO229" s="21">
        <v>0.44610091522771972</v>
      </c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</row>
    <row r="230" spans="1:52" x14ac:dyDescent="0.25">
      <c r="A230" s="7">
        <v>402</v>
      </c>
      <c r="B230" s="5">
        <v>30</v>
      </c>
      <c r="C230" s="6">
        <v>30</v>
      </c>
      <c r="D230" s="5">
        <v>20</v>
      </c>
      <c r="E230" s="4">
        <v>26</v>
      </c>
      <c r="F230" s="4">
        <f t="shared" ref="F230:F235" si="167">1.8*E230+32</f>
        <v>78.800000000000011</v>
      </c>
      <c r="G230" s="4">
        <v>9</v>
      </c>
      <c r="H230" s="4">
        <f t="shared" ref="H230:H235" si="168">IF(F230&gt;68,G230+(F230-68)*0.2,ED173-(68-F230)*0.2)</f>
        <v>11.160000000000002</v>
      </c>
      <c r="I230" s="4">
        <v>24</v>
      </c>
      <c r="J230" s="4">
        <f t="shared" ref="J230:J235" si="169">1.8*I230+32</f>
        <v>75.2</v>
      </c>
      <c r="K230" s="4">
        <v>6</v>
      </c>
      <c r="L230" s="4">
        <f t="shared" ref="L230:L235" si="170">IF(J230&gt;68,K230+(J230-68)*0.2,K230-(68-J230)*0.2)</f>
        <v>7.44</v>
      </c>
      <c r="M230" s="4">
        <f t="shared" ref="M230:M235" si="171">(C230-H230)/C230*100</f>
        <v>62.79999999999999</v>
      </c>
      <c r="N230" s="4">
        <f t="shared" ref="N230:N235" si="172">100-(M230+O230)</f>
        <v>12.400000000000006</v>
      </c>
      <c r="O230" s="4">
        <f t="shared" ref="O230:O235" si="173">L230/C230*100</f>
        <v>24.800000000000004</v>
      </c>
      <c r="P230" s="22" t="s">
        <v>1</v>
      </c>
      <c r="Q230" s="2"/>
      <c r="R230" s="2"/>
      <c r="T230" s="19">
        <v>405090</v>
      </c>
      <c r="U230" s="19" t="s">
        <v>67</v>
      </c>
      <c r="V230" s="19">
        <v>7.5719999999999996E-2</v>
      </c>
      <c r="W230" s="21">
        <v>0.41009000000000001</v>
      </c>
      <c r="X230" s="19">
        <v>-1.6604399999999999</v>
      </c>
      <c r="Y230" s="19">
        <v>0.10641</v>
      </c>
      <c r="Z230" s="19">
        <v>1.0865499999999999</v>
      </c>
      <c r="AA230" s="19">
        <v>0.79085000000000005</v>
      </c>
      <c r="AB230" s="19">
        <v>-1.6591400000000001</v>
      </c>
      <c r="AC230" s="19">
        <v>12.205343318635947</v>
      </c>
      <c r="AD230" s="20">
        <v>0.50855597160983113</v>
      </c>
      <c r="AE230" s="23">
        <v>2.1855462431686321E-2</v>
      </c>
      <c r="AF230" s="23">
        <v>1.277644412481884</v>
      </c>
      <c r="AG230" s="21">
        <v>0.40954315732803009</v>
      </c>
      <c r="AH230" s="19">
        <v>0.32711643690788056</v>
      </c>
      <c r="AI230" s="19">
        <v>0.26526146593266187</v>
      </c>
      <c r="AJ230" s="21">
        <v>0.14266423187415525</v>
      </c>
      <c r="AK230" s="21">
        <v>0.29618895142027124</v>
      </c>
      <c r="AL230" s="19"/>
      <c r="AM230" s="21">
        <v>0.14266423187415525</v>
      </c>
      <c r="AN230" s="21">
        <v>0.29618895142027124</v>
      </c>
      <c r="AO230" s="21">
        <v>0.40954315732803009</v>
      </c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</row>
    <row r="231" spans="1:52" x14ac:dyDescent="0.25">
      <c r="A231" s="7">
        <v>402</v>
      </c>
      <c r="B231" s="5">
        <v>60</v>
      </c>
      <c r="C231" s="6">
        <v>30</v>
      </c>
      <c r="D231" s="5">
        <v>20</v>
      </c>
      <c r="E231" s="4">
        <v>26</v>
      </c>
      <c r="F231" s="4">
        <f t="shared" si="167"/>
        <v>78.800000000000011</v>
      </c>
      <c r="G231" s="4">
        <v>12</v>
      </c>
      <c r="H231" s="4">
        <f t="shared" si="168"/>
        <v>14.160000000000002</v>
      </c>
      <c r="I231" s="4">
        <v>24</v>
      </c>
      <c r="J231" s="4">
        <f t="shared" si="169"/>
        <v>75.2</v>
      </c>
      <c r="K231" s="4">
        <v>9</v>
      </c>
      <c r="L231" s="4">
        <f t="shared" si="170"/>
        <v>10.440000000000001</v>
      </c>
      <c r="M231" s="4">
        <f t="shared" si="171"/>
        <v>52.79999999999999</v>
      </c>
      <c r="N231" s="4">
        <f t="shared" si="172"/>
        <v>12.400000000000006</v>
      </c>
      <c r="O231" s="4">
        <f t="shared" si="173"/>
        <v>34.800000000000004</v>
      </c>
      <c r="P231" s="22" t="s">
        <v>1</v>
      </c>
      <c r="Q231" s="2"/>
      <c r="R231" s="2"/>
      <c r="T231" s="19">
        <v>405120</v>
      </c>
      <c r="U231" s="19" t="s">
        <v>67</v>
      </c>
      <c r="V231" s="19">
        <v>6.7589999999999997E-2</v>
      </c>
      <c r="W231" s="21">
        <v>0.38941999999999999</v>
      </c>
      <c r="X231" s="19">
        <v>-1.6472500000000001</v>
      </c>
      <c r="Y231" s="19">
        <v>0.10896</v>
      </c>
      <c r="Z231" s="19">
        <v>1.0313699999999999</v>
      </c>
      <c r="AA231" s="19">
        <v>0.83382000000000001</v>
      </c>
      <c r="AB231" s="19">
        <v>-1.6207</v>
      </c>
      <c r="AC231" s="19">
        <v>10.749047944627737</v>
      </c>
      <c r="AD231" s="20">
        <v>0.44787699769282235</v>
      </c>
      <c r="AE231" s="23">
        <v>2.2529419411713679E-2</v>
      </c>
      <c r="AF231" s="23">
        <v>1.2851682861188789</v>
      </c>
      <c r="AG231" s="21">
        <v>0.38887705695127095</v>
      </c>
      <c r="AH231" s="19">
        <v>0.30635142426852791</v>
      </c>
      <c r="AI231" s="19">
        <v>0.24585948989432971</v>
      </c>
      <c r="AJ231" s="21">
        <v>0.12874430294136613</v>
      </c>
      <c r="AK231" s="21">
        <v>0.27610545708142881</v>
      </c>
      <c r="AL231" s="19"/>
      <c r="AM231" s="21">
        <v>0.12874430294136613</v>
      </c>
      <c r="AN231" s="21">
        <v>0.27610545708142881</v>
      </c>
      <c r="AO231" s="21">
        <v>0.38887705695127095</v>
      </c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</row>
    <row r="232" spans="1:52" x14ac:dyDescent="0.25">
      <c r="A232" s="7">
        <v>402</v>
      </c>
      <c r="B232" s="5">
        <v>90</v>
      </c>
      <c r="C232" s="6">
        <v>30</v>
      </c>
      <c r="D232" s="5">
        <v>20</v>
      </c>
      <c r="E232" s="4">
        <v>26.5</v>
      </c>
      <c r="F232" s="4">
        <f t="shared" si="167"/>
        <v>79.7</v>
      </c>
      <c r="G232" s="4">
        <v>10</v>
      </c>
      <c r="H232" s="4">
        <f t="shared" si="168"/>
        <v>12.34</v>
      </c>
      <c r="I232" s="4">
        <v>24.5</v>
      </c>
      <c r="J232" s="4">
        <f t="shared" si="169"/>
        <v>76.099999999999994</v>
      </c>
      <c r="K232" s="4">
        <v>8</v>
      </c>
      <c r="L232" s="4">
        <f t="shared" si="170"/>
        <v>9.6199999999999992</v>
      </c>
      <c r="M232" s="4">
        <f t="shared" si="171"/>
        <v>58.866666666666667</v>
      </c>
      <c r="N232" s="4">
        <f t="shared" si="172"/>
        <v>9.0666666666666629</v>
      </c>
      <c r="O232" s="4">
        <f t="shared" si="173"/>
        <v>32.066666666666663</v>
      </c>
      <c r="P232" s="22" t="s">
        <v>1</v>
      </c>
      <c r="Q232" s="2"/>
      <c r="R232" s="2"/>
      <c r="T232" s="19">
        <v>405150</v>
      </c>
      <c r="U232" s="19" t="s">
        <v>67</v>
      </c>
      <c r="V232" s="19">
        <v>5.858E-2</v>
      </c>
      <c r="W232" s="21">
        <v>0.37923000000000001</v>
      </c>
      <c r="X232" s="19">
        <v>-1.55213</v>
      </c>
      <c r="Y232" s="19">
        <v>0.16042999999999999</v>
      </c>
      <c r="Z232" s="19">
        <v>1.5408299999999999</v>
      </c>
      <c r="AA232" s="19">
        <v>1.07464</v>
      </c>
      <c r="AB232" s="19">
        <v>-1.1460900000000001</v>
      </c>
      <c r="AC232" s="19">
        <v>34.740014869593651</v>
      </c>
      <c r="AD232" s="20">
        <v>1.4475006195664022</v>
      </c>
      <c r="AE232" s="23">
        <v>2.804593996167877E-2</v>
      </c>
      <c r="AF232" s="23">
        <v>1.4468716261469126</v>
      </c>
      <c r="AG232" s="21">
        <v>0.37866967348419972</v>
      </c>
      <c r="AH232" s="19">
        <v>0.24854808088155911</v>
      </c>
      <c r="AI232" s="19">
        <v>0.17532414392256657</v>
      </c>
      <c r="AJ232" s="21">
        <v>8.0129439674500091E-2</v>
      </c>
      <c r="AK232" s="21">
        <v>0.21193611240206284</v>
      </c>
      <c r="AL232" s="19"/>
      <c r="AM232" s="21">
        <v>8.0129439674500091E-2</v>
      </c>
      <c r="AN232" s="21">
        <v>0.21193611240206284</v>
      </c>
      <c r="AO232" s="21">
        <v>0.37866967348419972</v>
      </c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</row>
    <row r="233" spans="1:52" x14ac:dyDescent="0.25">
      <c r="A233" s="7">
        <v>402</v>
      </c>
      <c r="B233" s="5">
        <v>120</v>
      </c>
      <c r="C233" s="6">
        <v>30</v>
      </c>
      <c r="D233" s="5">
        <v>20</v>
      </c>
      <c r="E233" s="4">
        <v>26</v>
      </c>
      <c r="F233" s="4">
        <f t="shared" si="167"/>
        <v>78.800000000000011</v>
      </c>
      <c r="G233" s="4">
        <v>6</v>
      </c>
      <c r="H233" s="4">
        <f t="shared" si="168"/>
        <v>8.1600000000000019</v>
      </c>
      <c r="I233" s="4">
        <v>24</v>
      </c>
      <c r="J233" s="4">
        <f t="shared" si="169"/>
        <v>75.2</v>
      </c>
      <c r="K233" s="4">
        <v>4</v>
      </c>
      <c r="L233" s="4">
        <f t="shared" si="170"/>
        <v>5.44</v>
      </c>
      <c r="M233" s="4">
        <f t="shared" si="171"/>
        <v>72.799999999999983</v>
      </c>
      <c r="N233" s="4">
        <f t="shared" si="172"/>
        <v>9.0666666666666913</v>
      </c>
      <c r="O233" s="4">
        <f t="shared" si="173"/>
        <v>18.133333333333333</v>
      </c>
      <c r="P233" s="22" t="s">
        <v>0</v>
      </c>
      <c r="Q233" s="2"/>
      <c r="R233" s="2"/>
      <c r="T233" s="19">
        <v>405180</v>
      </c>
      <c r="U233" s="19" t="s">
        <v>67</v>
      </c>
      <c r="V233" s="19">
        <v>6.0139999999999999E-2</v>
      </c>
      <c r="W233" s="21">
        <v>0.38199</v>
      </c>
      <c r="X233" s="19">
        <v>-1.5759799999999999</v>
      </c>
      <c r="Y233" s="19">
        <v>0.13220000000000001</v>
      </c>
      <c r="Z233" s="19">
        <v>1.3381099999999999</v>
      </c>
      <c r="AA233" s="19">
        <v>0.99792999999999998</v>
      </c>
      <c r="AB233" s="19">
        <v>-1.3413999999999999</v>
      </c>
      <c r="AC233" s="19">
        <v>21.782614220387842</v>
      </c>
      <c r="AD233" s="20">
        <v>0.90760892584949338</v>
      </c>
      <c r="AE233" s="23">
        <v>2.654727813894367E-2</v>
      </c>
      <c r="AF233" s="23">
        <v>1.355813643862434</v>
      </c>
      <c r="AG233" s="21">
        <v>0.38137631375868952</v>
      </c>
      <c r="AH233" s="19">
        <v>0.27388043638085791</v>
      </c>
      <c r="AI233" s="19">
        <v>0.20639170876437929</v>
      </c>
      <c r="AJ233" s="21">
        <v>9.8375295606525248E-2</v>
      </c>
      <c r="AK233" s="21">
        <v>0.2401360725726186</v>
      </c>
      <c r="AL233" s="19"/>
      <c r="AM233" s="21">
        <v>9.8375295606525248E-2</v>
      </c>
      <c r="AN233" s="21">
        <v>0.2401360725726186</v>
      </c>
      <c r="AO233" s="21">
        <v>0.38137631375868952</v>
      </c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</row>
    <row r="234" spans="1:52" x14ac:dyDescent="0.25">
      <c r="A234" s="7">
        <v>402</v>
      </c>
      <c r="B234" s="5">
        <v>150</v>
      </c>
      <c r="C234" s="6">
        <v>30</v>
      </c>
      <c r="D234" s="5">
        <v>20</v>
      </c>
      <c r="E234" s="4">
        <v>24</v>
      </c>
      <c r="F234" s="4">
        <f t="shared" si="167"/>
        <v>75.2</v>
      </c>
      <c r="G234" s="4">
        <v>10</v>
      </c>
      <c r="H234" s="4">
        <f t="shared" si="168"/>
        <v>11.440000000000001</v>
      </c>
      <c r="I234" s="4">
        <v>23</v>
      </c>
      <c r="J234" s="4">
        <f t="shared" si="169"/>
        <v>73.400000000000006</v>
      </c>
      <c r="K234" s="4">
        <v>7</v>
      </c>
      <c r="L234" s="4">
        <f t="shared" si="170"/>
        <v>8.0800000000000018</v>
      </c>
      <c r="M234" s="4">
        <f t="shared" si="171"/>
        <v>61.86666666666666</v>
      </c>
      <c r="N234" s="4">
        <f t="shared" si="172"/>
        <v>11.200000000000003</v>
      </c>
      <c r="O234" s="4">
        <f t="shared" si="173"/>
        <v>26.933333333333337</v>
      </c>
      <c r="P234" s="22" t="s">
        <v>1</v>
      </c>
      <c r="Q234" s="2"/>
      <c r="R234" s="2"/>
      <c r="T234" s="19">
        <v>405210</v>
      </c>
      <c r="U234" s="19" t="s">
        <v>67</v>
      </c>
      <c r="V234" s="19">
        <v>6.0139999999999999E-2</v>
      </c>
      <c r="W234" s="21">
        <v>0.38199</v>
      </c>
      <c r="X234" s="19">
        <v>-1.5759799999999999</v>
      </c>
      <c r="Y234" s="19">
        <v>0.13220000000000001</v>
      </c>
      <c r="Z234" s="19">
        <v>1.3381099999999999</v>
      </c>
      <c r="AA234" s="19">
        <v>0.99792999999999998</v>
      </c>
      <c r="AB234" s="19">
        <v>-1.3413999999999999</v>
      </c>
      <c r="AC234" s="19">
        <v>21.782614220387842</v>
      </c>
      <c r="AD234" s="20">
        <v>0.90760892584949338</v>
      </c>
      <c r="AE234" s="23">
        <v>2.654727813894367E-2</v>
      </c>
      <c r="AF234" s="23">
        <v>1.355813643862434</v>
      </c>
      <c r="AG234" s="21">
        <v>0.38137631375868952</v>
      </c>
      <c r="AH234" s="19">
        <v>0.27388043638085791</v>
      </c>
      <c r="AI234" s="19">
        <v>0.20639170876437929</v>
      </c>
      <c r="AJ234" s="21">
        <v>9.8375295606525248E-2</v>
      </c>
      <c r="AK234" s="21">
        <v>0.2401360725726186</v>
      </c>
      <c r="AL234" s="19"/>
      <c r="AM234" s="21">
        <v>9.8375295606525248E-2</v>
      </c>
      <c r="AN234" s="21">
        <v>0.2401360725726186</v>
      </c>
      <c r="AO234" s="21">
        <v>0.38137631375868952</v>
      </c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</row>
    <row r="235" spans="1:52" x14ac:dyDescent="0.25">
      <c r="A235" s="7">
        <v>402</v>
      </c>
      <c r="B235" s="5">
        <v>180</v>
      </c>
      <c r="C235" s="6">
        <v>30</v>
      </c>
      <c r="D235" s="5">
        <v>20</v>
      </c>
      <c r="E235" s="4">
        <v>24.5</v>
      </c>
      <c r="F235" s="4">
        <f t="shared" si="167"/>
        <v>76.099999999999994</v>
      </c>
      <c r="G235" s="4">
        <v>13</v>
      </c>
      <c r="H235" s="4">
        <f t="shared" si="168"/>
        <v>14.62</v>
      </c>
      <c r="I235" s="4">
        <v>23</v>
      </c>
      <c r="J235" s="4">
        <f t="shared" si="169"/>
        <v>73.400000000000006</v>
      </c>
      <c r="K235" s="4">
        <v>9</v>
      </c>
      <c r="L235" s="4">
        <f t="shared" si="170"/>
        <v>10.080000000000002</v>
      </c>
      <c r="M235" s="4">
        <f t="shared" si="171"/>
        <v>51.266666666666673</v>
      </c>
      <c r="N235" s="4">
        <f t="shared" si="172"/>
        <v>15.133333333333326</v>
      </c>
      <c r="O235" s="4">
        <f t="shared" si="173"/>
        <v>33.600000000000009</v>
      </c>
      <c r="P235" s="22" t="s">
        <v>1</v>
      </c>
      <c r="Q235" s="18"/>
      <c r="R235" s="18"/>
      <c r="T235" s="19">
        <v>406030</v>
      </c>
      <c r="U235" s="19" t="s">
        <v>67</v>
      </c>
      <c r="V235" s="19">
        <v>6.2509999999999996E-2</v>
      </c>
      <c r="W235" s="21">
        <v>0.40675</v>
      </c>
      <c r="X235" s="19">
        <v>-1.6087899999999999</v>
      </c>
      <c r="Y235" s="19">
        <v>0.14954000000000001</v>
      </c>
      <c r="Z235" s="19">
        <v>1.5039499999999999</v>
      </c>
      <c r="AA235" s="19">
        <v>1.0111000000000001</v>
      </c>
      <c r="AB235" s="19">
        <v>-1.0618700000000001</v>
      </c>
      <c r="AC235" s="19">
        <v>31.911704368770163</v>
      </c>
      <c r="AD235" s="20">
        <v>1.3296543486987569</v>
      </c>
      <c r="AE235" s="23">
        <v>2.4615575850392334E-2</v>
      </c>
      <c r="AF235" s="23">
        <v>1.411042192262018</v>
      </c>
      <c r="AG235" s="21">
        <v>0.40621341922114301</v>
      </c>
      <c r="AH235" s="19">
        <v>0.2837043430046346</v>
      </c>
      <c r="AI235" s="19">
        <v>0.20539024498474651</v>
      </c>
      <c r="AJ235" s="21">
        <v>9.281833158768292E-2</v>
      </c>
      <c r="AK235" s="21">
        <v>0.24454729399469055</v>
      </c>
      <c r="AL235" s="19"/>
      <c r="AM235" s="21">
        <v>9.281833158768292E-2</v>
      </c>
      <c r="AN235" s="21">
        <v>0.24454729399469055</v>
      </c>
      <c r="AO235" s="21">
        <v>0.40621341922114301</v>
      </c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</row>
    <row r="236" spans="1:52" x14ac:dyDescent="0.25">
      <c r="Q236" s="17"/>
      <c r="R236" s="17"/>
      <c r="T236" s="19">
        <v>406045</v>
      </c>
      <c r="U236" s="19" t="s">
        <v>67</v>
      </c>
      <c r="V236" s="19">
        <v>7.5120000000000006E-2</v>
      </c>
      <c r="W236" s="21">
        <v>0.43919000000000002</v>
      </c>
      <c r="X236" s="19">
        <v>-1.7011700000000001</v>
      </c>
      <c r="Y236" s="19">
        <v>0.13758000000000001</v>
      </c>
      <c r="Z236" s="19">
        <v>1.40682</v>
      </c>
      <c r="AA236" s="19">
        <v>0.83843999999999996</v>
      </c>
      <c r="AB236" s="19">
        <v>-1.00471</v>
      </c>
      <c r="AC236" s="19">
        <v>25.516435157304404</v>
      </c>
      <c r="AD236" s="20">
        <v>1.0631847982210167</v>
      </c>
      <c r="AE236" s="23">
        <v>1.9898942633691918E-2</v>
      </c>
      <c r="AF236" s="23">
        <v>1.3727138009462287</v>
      </c>
      <c r="AG236" s="21">
        <v>0.43873450103243877</v>
      </c>
      <c r="AH236" s="19">
        <v>0.3327953466017079</v>
      </c>
      <c r="AI236" s="19">
        <v>0.2515623246621832</v>
      </c>
      <c r="AJ236" s="21">
        <v>0.11864115007753689</v>
      </c>
      <c r="AK236" s="21">
        <v>0.29217883563194558</v>
      </c>
      <c r="AL236" s="19"/>
      <c r="AM236" s="21">
        <v>0.11864115007753689</v>
      </c>
      <c r="AN236" s="21">
        <v>0.29217883563194558</v>
      </c>
      <c r="AO236" s="21">
        <v>0.43873450103243877</v>
      </c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</row>
    <row r="237" spans="1:52" ht="51.75" x14ac:dyDescent="0.25">
      <c r="A237" s="8" t="s">
        <v>54</v>
      </c>
      <c r="B237" s="10" t="s">
        <v>53</v>
      </c>
      <c r="C237" s="14" t="s">
        <v>18</v>
      </c>
      <c r="D237" s="13" t="s">
        <v>17</v>
      </c>
      <c r="E237" s="12" t="s">
        <v>16</v>
      </c>
      <c r="F237" s="12" t="s">
        <v>15</v>
      </c>
      <c r="G237" s="12" t="s">
        <v>52</v>
      </c>
      <c r="H237" s="12" t="s">
        <v>51</v>
      </c>
      <c r="I237" s="12" t="s">
        <v>50</v>
      </c>
      <c r="J237" s="12" t="s">
        <v>49</v>
      </c>
      <c r="K237" s="12" t="s">
        <v>48</v>
      </c>
      <c r="L237" s="12" t="s">
        <v>47</v>
      </c>
      <c r="M237" s="11" t="s">
        <v>8</v>
      </c>
      <c r="N237" s="11" t="s">
        <v>7</v>
      </c>
      <c r="O237" s="11" t="s">
        <v>6</v>
      </c>
      <c r="P237" s="10" t="s">
        <v>5</v>
      </c>
      <c r="Q237" s="69" t="s">
        <v>4</v>
      </c>
      <c r="R237" s="70"/>
      <c r="T237" s="19">
        <v>406060</v>
      </c>
      <c r="U237" s="19" t="s">
        <v>67</v>
      </c>
      <c r="V237" s="19">
        <v>8.4140000000000006E-2</v>
      </c>
      <c r="W237" s="21">
        <v>0.44325999999999999</v>
      </c>
      <c r="X237" s="19">
        <v>-1.73519</v>
      </c>
      <c r="Y237" s="19">
        <v>0.12479</v>
      </c>
      <c r="Z237" s="19">
        <v>1.15727</v>
      </c>
      <c r="AA237" s="19">
        <v>0.7137</v>
      </c>
      <c r="AB237" s="19">
        <v>-1.15821</v>
      </c>
      <c r="AC237" s="19">
        <v>14.363821516995023</v>
      </c>
      <c r="AD237" s="20">
        <v>0.59849256320812594</v>
      </c>
      <c r="AE237" s="23">
        <v>1.8399668561114534E-2</v>
      </c>
      <c r="AF237" s="23">
        <v>1.3328767732561075</v>
      </c>
      <c r="AG237" s="21">
        <v>0.44282486821135925</v>
      </c>
      <c r="AH237" s="19">
        <v>0.35160437831380126</v>
      </c>
      <c r="AI237" s="19">
        <v>0.27640798502626424</v>
      </c>
      <c r="AJ237" s="21">
        <v>0.13943167672147333</v>
      </c>
      <c r="AK237" s="21">
        <v>0.31400618167003275</v>
      </c>
      <c r="AL237" s="19"/>
      <c r="AM237" s="21">
        <v>0.13943167672147333</v>
      </c>
      <c r="AN237" s="21">
        <v>0.31400618167003275</v>
      </c>
      <c r="AO237" s="21">
        <v>0.44282486821135925</v>
      </c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</row>
    <row r="238" spans="1:52" x14ac:dyDescent="0.25">
      <c r="A238" s="8"/>
      <c r="B238" s="10"/>
      <c r="C238" s="14"/>
      <c r="D238" s="13"/>
      <c r="E238" s="12"/>
      <c r="F238" s="12"/>
      <c r="G238" s="12"/>
      <c r="H238" s="12"/>
      <c r="I238" s="12"/>
      <c r="J238" s="12"/>
      <c r="K238" s="12"/>
      <c r="L238" s="12"/>
      <c r="M238" s="11"/>
      <c r="N238" s="11"/>
      <c r="O238" s="11"/>
      <c r="P238" s="10"/>
      <c r="Q238" s="9" t="s">
        <v>3</v>
      </c>
      <c r="R238" s="9" t="s">
        <v>2</v>
      </c>
      <c r="T238" s="19">
        <v>406090</v>
      </c>
      <c r="U238" s="19" t="s">
        <v>67</v>
      </c>
      <c r="V238" s="19">
        <v>7.5770000000000004E-2</v>
      </c>
      <c r="W238" s="21">
        <v>0.40994000000000003</v>
      </c>
      <c r="X238" s="19">
        <v>-1.6690199999999999</v>
      </c>
      <c r="Y238" s="19">
        <v>0.10758</v>
      </c>
      <c r="Z238" s="19">
        <v>1.0601799999999999</v>
      </c>
      <c r="AA238" s="19">
        <v>0.78120000000000001</v>
      </c>
      <c r="AB238" s="19">
        <v>-1.6137600000000001</v>
      </c>
      <c r="AC238" s="19">
        <v>11.486295899806823</v>
      </c>
      <c r="AD238" s="20">
        <v>0.47859566249195096</v>
      </c>
      <c r="AE238" s="23">
        <v>2.1427919196332194E-2</v>
      </c>
      <c r="AF238" s="23">
        <v>1.2810910584964526</v>
      </c>
      <c r="AG238" s="21">
        <v>0.4094089351089763</v>
      </c>
      <c r="AH238" s="19">
        <v>0.32723012717079086</v>
      </c>
      <c r="AI238" s="19">
        <v>0.26486723740116591</v>
      </c>
      <c r="AJ238" s="21">
        <v>0.14171678805167143</v>
      </c>
      <c r="AK238" s="21">
        <v>0.29604868228597836</v>
      </c>
      <c r="AL238" s="19"/>
      <c r="AM238" s="21">
        <v>0.14171678805167143</v>
      </c>
      <c r="AN238" s="21">
        <v>0.29604868228597836</v>
      </c>
      <c r="AO238" s="21">
        <v>0.4094089351089763</v>
      </c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</row>
    <row r="239" spans="1:52" x14ac:dyDescent="0.25">
      <c r="A239" s="7">
        <v>403</v>
      </c>
      <c r="B239" s="5">
        <v>30</v>
      </c>
      <c r="C239" s="6">
        <v>30</v>
      </c>
      <c r="D239" s="5">
        <v>20</v>
      </c>
      <c r="E239" s="4">
        <v>29</v>
      </c>
      <c r="F239" s="4">
        <f t="shared" ref="F239:F244" si="174">1.8*E239+32</f>
        <v>84.2</v>
      </c>
      <c r="G239" s="4">
        <v>10</v>
      </c>
      <c r="H239" s="4">
        <f t="shared" ref="H239:H244" si="175">IF(F239&gt;68,G239+(F239-68)*0.2,DL173-(68-F239)*0.2)</f>
        <v>13.24</v>
      </c>
      <c r="I239" s="4">
        <v>25.5</v>
      </c>
      <c r="J239" s="4">
        <f t="shared" ref="J239:J244" si="176">1.8*I239+32</f>
        <v>77.900000000000006</v>
      </c>
      <c r="K239" s="4">
        <v>7</v>
      </c>
      <c r="L239" s="4">
        <f t="shared" ref="L239:L244" si="177">IF(J239&gt;68,K239+(J239-68)*0.2,K239-(68-J239)*0.2)</f>
        <v>8.98</v>
      </c>
      <c r="M239" s="4">
        <f t="shared" ref="M239:M244" si="178">(C239-H239)/C239*100</f>
        <v>55.866666666666667</v>
      </c>
      <c r="N239" s="4">
        <f t="shared" ref="N239:N244" si="179">100-(M239+O239)</f>
        <v>14.200000000000003</v>
      </c>
      <c r="O239" s="4">
        <f t="shared" ref="O239:O244" si="180">L239/C239*100</f>
        <v>29.933333333333334</v>
      </c>
      <c r="P239" s="22" t="s">
        <v>1</v>
      </c>
      <c r="Q239" s="2"/>
      <c r="R239" s="2"/>
      <c r="T239" s="19">
        <v>406120</v>
      </c>
      <c r="U239" s="19" t="s">
        <v>67</v>
      </c>
      <c r="V239" s="19">
        <v>6.9489999999999996E-2</v>
      </c>
      <c r="W239" s="21">
        <v>0.39173999999999998</v>
      </c>
      <c r="X239" s="19">
        <v>-1.6493899999999999</v>
      </c>
      <c r="Y239" s="19">
        <v>0.10496</v>
      </c>
      <c r="Z239" s="19">
        <v>0.99931999999999999</v>
      </c>
      <c r="AA239" s="19">
        <v>0.81498999999999999</v>
      </c>
      <c r="AB239" s="19">
        <v>-1.7216400000000001</v>
      </c>
      <c r="AC239" s="19">
        <v>9.9843546729608974</v>
      </c>
      <c r="AD239" s="20">
        <v>0.41601477804003739</v>
      </c>
      <c r="AE239" s="23">
        <v>2.2418678039296008E-2</v>
      </c>
      <c r="AF239" s="23">
        <v>1.2733857924496734</v>
      </c>
      <c r="AG239" s="21">
        <v>0.39119347179519082</v>
      </c>
      <c r="AH239" s="19">
        <v>0.31149710753526955</v>
      </c>
      <c r="AI239" s="19">
        <v>0.25253950532117131</v>
      </c>
      <c r="AJ239" s="21">
        <v>0.13516078473332835</v>
      </c>
      <c r="AK239" s="21">
        <v>0.28201830642822046</v>
      </c>
      <c r="AL239" s="19"/>
      <c r="AM239" s="21">
        <v>0.13516078473332835</v>
      </c>
      <c r="AN239" s="21">
        <v>0.28201830642822046</v>
      </c>
      <c r="AO239" s="21">
        <v>0.39119347179519082</v>
      </c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</row>
    <row r="240" spans="1:52" x14ac:dyDescent="0.25">
      <c r="A240" s="7">
        <v>403</v>
      </c>
      <c r="B240" s="5">
        <v>60</v>
      </c>
      <c r="C240" s="6">
        <v>30</v>
      </c>
      <c r="D240" s="5">
        <v>20</v>
      </c>
      <c r="E240" s="4">
        <v>29</v>
      </c>
      <c r="F240" s="4">
        <f t="shared" si="174"/>
        <v>84.2</v>
      </c>
      <c r="G240" s="4">
        <v>5.5</v>
      </c>
      <c r="H240" s="4">
        <f t="shared" si="175"/>
        <v>8.74</v>
      </c>
      <c r="I240" s="4">
        <v>25.5</v>
      </c>
      <c r="J240" s="4">
        <f t="shared" si="176"/>
        <v>77.900000000000006</v>
      </c>
      <c r="K240" s="4">
        <v>4</v>
      </c>
      <c r="L240" s="4">
        <f t="shared" si="177"/>
        <v>5.9800000000000013</v>
      </c>
      <c r="M240" s="4">
        <f t="shared" si="178"/>
        <v>70.86666666666666</v>
      </c>
      <c r="N240" s="4">
        <f t="shared" si="179"/>
        <v>9.2000000000000028</v>
      </c>
      <c r="O240" s="4">
        <f t="shared" si="180"/>
        <v>19.933333333333341</v>
      </c>
      <c r="P240" s="22" t="s">
        <v>0</v>
      </c>
      <c r="Q240" s="2"/>
      <c r="R240" s="2"/>
      <c r="T240" s="19">
        <v>406150</v>
      </c>
      <c r="U240" s="19" t="s">
        <v>67</v>
      </c>
      <c r="V240" s="19">
        <v>5.8979999999999998E-2</v>
      </c>
      <c r="W240" s="21">
        <v>0.38016</v>
      </c>
      <c r="X240" s="19">
        <v>-1.5583199999999999</v>
      </c>
      <c r="Y240" s="19">
        <v>0.14888000000000001</v>
      </c>
      <c r="Z240" s="19">
        <v>1.46776</v>
      </c>
      <c r="AA240" s="19">
        <v>1.04972</v>
      </c>
      <c r="AB240" s="19">
        <v>-1.2123600000000001</v>
      </c>
      <c r="AC240" s="19">
        <v>29.36026695251055</v>
      </c>
      <c r="AD240" s="20">
        <v>1.2233444563546063</v>
      </c>
      <c r="AE240" s="23">
        <v>2.7649036383857607E-2</v>
      </c>
      <c r="AF240" s="23">
        <v>1.4088994513291642</v>
      </c>
      <c r="AG240" s="21">
        <v>0.37956818259146591</v>
      </c>
      <c r="AH240" s="19">
        <v>0.25812625194224237</v>
      </c>
      <c r="AI240" s="19">
        <v>0.18695151347019665</v>
      </c>
      <c r="AJ240" s="21">
        <v>8.6289730963823391E-2</v>
      </c>
      <c r="AK240" s="21">
        <v>0.22253888270621952</v>
      </c>
      <c r="AL240" s="19"/>
      <c r="AM240" s="21">
        <v>8.6289730963823391E-2</v>
      </c>
      <c r="AN240" s="21">
        <v>0.22253888270621952</v>
      </c>
      <c r="AO240" s="21">
        <v>0.37956818259146591</v>
      </c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</row>
    <row r="241" spans="1:52" x14ac:dyDescent="0.25">
      <c r="A241" s="7">
        <v>403</v>
      </c>
      <c r="B241" s="5">
        <v>90</v>
      </c>
      <c r="C241" s="6">
        <v>30</v>
      </c>
      <c r="D241" s="5">
        <v>20</v>
      </c>
      <c r="E241" s="4">
        <v>28</v>
      </c>
      <c r="F241" s="4">
        <f t="shared" si="174"/>
        <v>82.4</v>
      </c>
      <c r="G241" s="4">
        <v>10</v>
      </c>
      <c r="H241" s="4">
        <f t="shared" si="175"/>
        <v>12.88</v>
      </c>
      <c r="I241" s="4">
        <v>25</v>
      </c>
      <c r="J241" s="4">
        <f t="shared" si="176"/>
        <v>77</v>
      </c>
      <c r="K241" s="4">
        <v>6</v>
      </c>
      <c r="L241" s="4">
        <f t="shared" si="177"/>
        <v>7.8</v>
      </c>
      <c r="M241" s="4">
        <f t="shared" si="178"/>
        <v>57.066666666666656</v>
      </c>
      <c r="N241" s="4">
        <f t="shared" si="179"/>
        <v>16.933333333333337</v>
      </c>
      <c r="O241" s="4">
        <f t="shared" si="180"/>
        <v>26</v>
      </c>
      <c r="P241" s="22" t="s">
        <v>1</v>
      </c>
      <c r="Q241" s="2"/>
      <c r="R241" s="2"/>
      <c r="T241" s="19">
        <v>406180</v>
      </c>
      <c r="U241" s="19" t="s">
        <v>67</v>
      </c>
      <c r="V241" s="19">
        <v>5.842E-2</v>
      </c>
      <c r="W241" s="21">
        <v>0.37872</v>
      </c>
      <c r="X241" s="19">
        <v>-1.54956</v>
      </c>
      <c r="Y241" s="19">
        <v>0.16791</v>
      </c>
      <c r="Z241" s="19">
        <v>1.5839700000000001</v>
      </c>
      <c r="AA241" s="19">
        <v>1.0878399999999999</v>
      </c>
      <c r="AB241" s="19">
        <v>-1.1108</v>
      </c>
      <c r="AC241" s="19">
        <v>38.368074085022108</v>
      </c>
      <c r="AD241" s="20">
        <v>1.5986697535425878</v>
      </c>
      <c r="AE241" s="23">
        <v>2.8212397874845915E-2</v>
      </c>
      <c r="AF241" s="23">
        <v>1.4720074228112114</v>
      </c>
      <c r="AG241" s="21">
        <v>0.37818403833084291</v>
      </c>
      <c r="AH241" s="19">
        <v>0.24273854273117121</v>
      </c>
      <c r="AI241" s="19">
        <v>0.1683945468150066</v>
      </c>
      <c r="AJ241" s="21">
        <v>7.6861478730632191E-2</v>
      </c>
      <c r="AK241" s="21">
        <v>0.20556654477308889</v>
      </c>
      <c r="AL241" s="19"/>
      <c r="AM241" s="21">
        <v>7.6861478730632191E-2</v>
      </c>
      <c r="AN241" s="21">
        <v>0.20556654477308889</v>
      </c>
      <c r="AO241" s="21">
        <v>0.37818403833084291</v>
      </c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</row>
    <row r="242" spans="1:52" x14ac:dyDescent="0.25">
      <c r="A242" s="7">
        <v>403</v>
      </c>
      <c r="B242" s="5">
        <v>120</v>
      </c>
      <c r="C242" s="6">
        <v>30</v>
      </c>
      <c r="D242" s="5">
        <v>20</v>
      </c>
      <c r="E242" s="4">
        <v>28</v>
      </c>
      <c r="F242" s="4">
        <f t="shared" si="174"/>
        <v>82.4</v>
      </c>
      <c r="G242" s="4">
        <v>6</v>
      </c>
      <c r="H242" s="4">
        <f t="shared" si="175"/>
        <v>8.8800000000000008</v>
      </c>
      <c r="I242" s="4">
        <v>25</v>
      </c>
      <c r="J242" s="4">
        <f t="shared" si="176"/>
        <v>77</v>
      </c>
      <c r="K242" s="4">
        <v>3</v>
      </c>
      <c r="L242" s="4">
        <f t="shared" si="177"/>
        <v>4.8</v>
      </c>
      <c r="M242" s="4">
        <f t="shared" si="178"/>
        <v>70.399999999999991</v>
      </c>
      <c r="N242" s="4">
        <f t="shared" si="179"/>
        <v>13.600000000000009</v>
      </c>
      <c r="O242" s="4">
        <f t="shared" si="180"/>
        <v>16</v>
      </c>
      <c r="P242" s="22" t="s">
        <v>0</v>
      </c>
      <c r="Q242" s="2"/>
      <c r="R242" s="2"/>
      <c r="T242" s="19">
        <v>406210</v>
      </c>
      <c r="U242" s="19" t="s">
        <v>67</v>
      </c>
      <c r="V242" s="19">
        <v>5.842E-2</v>
      </c>
      <c r="W242" s="21">
        <v>0.37872</v>
      </c>
      <c r="X242" s="19">
        <v>-1.54956</v>
      </c>
      <c r="Y242" s="19">
        <v>0.16791</v>
      </c>
      <c r="Z242" s="19">
        <v>1.5839700000000001</v>
      </c>
      <c r="AA242" s="19">
        <v>1.0878399999999999</v>
      </c>
      <c r="AB242" s="19">
        <v>-1.1108</v>
      </c>
      <c r="AC242" s="19">
        <v>38.368074085022108</v>
      </c>
      <c r="AD242" s="20">
        <v>1.5986697535425878</v>
      </c>
      <c r="AE242" s="23">
        <v>2.8212397874845915E-2</v>
      </c>
      <c r="AF242" s="23">
        <v>1.4720074228112114</v>
      </c>
      <c r="AG242" s="21">
        <v>0.37818403833084291</v>
      </c>
      <c r="AH242" s="19">
        <v>0.24273854273117121</v>
      </c>
      <c r="AI242" s="19">
        <v>0.1683945468150066</v>
      </c>
      <c r="AJ242" s="21">
        <v>7.6861478730632191E-2</v>
      </c>
      <c r="AK242" s="21">
        <v>0.20556654477308889</v>
      </c>
      <c r="AL242" s="19"/>
      <c r="AM242" s="21">
        <v>7.6861478730632191E-2</v>
      </c>
      <c r="AN242" s="21">
        <v>0.20556654477308889</v>
      </c>
      <c r="AO242" s="21">
        <v>0.37818403833084291</v>
      </c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</row>
    <row r="243" spans="1:52" x14ac:dyDescent="0.25">
      <c r="A243" s="7">
        <v>403</v>
      </c>
      <c r="B243" s="5">
        <v>150</v>
      </c>
      <c r="C243" s="6">
        <v>30</v>
      </c>
      <c r="D243" s="5">
        <v>20</v>
      </c>
      <c r="E243" s="4">
        <v>29</v>
      </c>
      <c r="F243" s="4">
        <f t="shared" si="174"/>
        <v>84.2</v>
      </c>
      <c r="G243" s="4">
        <v>4</v>
      </c>
      <c r="H243" s="4">
        <f t="shared" si="175"/>
        <v>7.24</v>
      </c>
      <c r="I243" s="4">
        <v>25</v>
      </c>
      <c r="J243" s="4">
        <f t="shared" si="176"/>
        <v>77</v>
      </c>
      <c r="K243" s="4">
        <v>2</v>
      </c>
      <c r="L243" s="4">
        <f t="shared" si="177"/>
        <v>3.8</v>
      </c>
      <c r="M243" s="4">
        <f t="shared" si="178"/>
        <v>75.86666666666666</v>
      </c>
      <c r="N243" s="4">
        <f t="shared" si="179"/>
        <v>11.466666666666669</v>
      </c>
      <c r="O243" s="4">
        <f t="shared" si="180"/>
        <v>12.666666666666664</v>
      </c>
      <c r="P243" s="22" t="s">
        <v>0</v>
      </c>
      <c r="Q243" s="2"/>
      <c r="R243" s="2"/>
      <c r="T243" s="19">
        <v>407030</v>
      </c>
      <c r="U243" s="19" t="s">
        <v>67</v>
      </c>
      <c r="V243" s="19">
        <v>6.0470000000000003E-2</v>
      </c>
      <c r="W243" s="21">
        <v>0.40534999999999999</v>
      </c>
      <c r="X243" s="19">
        <v>-1.57856</v>
      </c>
      <c r="Y243" s="19">
        <v>0.16511999999999999</v>
      </c>
      <c r="Z243" s="19">
        <v>1.62795</v>
      </c>
      <c r="AA243" s="19">
        <v>1.0852599999999999</v>
      </c>
      <c r="AB243" s="19">
        <v>-1.0021</v>
      </c>
      <c r="AC243" s="19">
        <v>42.457068062641028</v>
      </c>
      <c r="AD243" s="20">
        <v>1.7690445026100428</v>
      </c>
      <c r="AE243" s="23">
        <v>2.6390037053439206E-2</v>
      </c>
      <c r="AF243" s="23">
        <v>1.4625812447623496</v>
      </c>
      <c r="AG243" s="21">
        <v>0.40481597332886032</v>
      </c>
      <c r="AH243" s="19">
        <v>0.26604103108521426</v>
      </c>
      <c r="AI243" s="19">
        <v>0.18504801449966862</v>
      </c>
      <c r="AJ243" s="21">
        <v>8.2150882392621596E-2</v>
      </c>
      <c r="AK243" s="21">
        <v>0.22554452279244144</v>
      </c>
      <c r="AL243" s="19"/>
      <c r="AM243" s="21">
        <v>8.2150882392621596E-2</v>
      </c>
      <c r="AN243" s="21">
        <v>0.22554452279244144</v>
      </c>
      <c r="AO243" s="21">
        <v>0.40481597332886032</v>
      </c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</row>
    <row r="244" spans="1:52" x14ac:dyDescent="0.25">
      <c r="A244" s="7">
        <v>403</v>
      </c>
      <c r="B244" s="5">
        <v>180</v>
      </c>
      <c r="C244" s="6">
        <v>30</v>
      </c>
      <c r="D244" s="5">
        <v>20</v>
      </c>
      <c r="E244" s="4">
        <v>29</v>
      </c>
      <c r="F244" s="4">
        <f t="shared" si="174"/>
        <v>84.2</v>
      </c>
      <c r="G244" s="4">
        <v>6</v>
      </c>
      <c r="H244" s="4">
        <f t="shared" si="175"/>
        <v>9.24</v>
      </c>
      <c r="I244" s="4">
        <v>25</v>
      </c>
      <c r="J244" s="4">
        <f t="shared" si="176"/>
        <v>77</v>
      </c>
      <c r="K244" s="4">
        <v>4</v>
      </c>
      <c r="L244" s="4">
        <f t="shared" si="177"/>
        <v>5.8</v>
      </c>
      <c r="M244" s="4">
        <f t="shared" si="178"/>
        <v>69.199999999999989</v>
      </c>
      <c r="N244" s="4">
        <f t="shared" si="179"/>
        <v>11.466666666666683</v>
      </c>
      <c r="O244" s="4">
        <f t="shared" si="180"/>
        <v>19.333333333333332</v>
      </c>
      <c r="P244" s="22" t="s">
        <v>0</v>
      </c>
      <c r="Q244" s="18"/>
      <c r="R244" s="18"/>
      <c r="T244" s="19">
        <v>407045</v>
      </c>
      <c r="U244" s="19" t="s">
        <v>67</v>
      </c>
      <c r="V244" s="19">
        <v>6.9379999999999997E-2</v>
      </c>
      <c r="W244" s="21">
        <v>0.43568000000000001</v>
      </c>
      <c r="X244" s="19">
        <v>-1.64299</v>
      </c>
      <c r="Y244" s="19">
        <v>0.14899000000000001</v>
      </c>
      <c r="Z244" s="19">
        <v>1.6061000000000001</v>
      </c>
      <c r="AA244" s="19">
        <v>0.97331999999999996</v>
      </c>
      <c r="AB244" s="19">
        <v>-0.96921000000000002</v>
      </c>
      <c r="AC244" s="19">
        <v>40.373834645533051</v>
      </c>
      <c r="AD244" s="20">
        <v>1.6822431102305437</v>
      </c>
      <c r="AE244" s="23">
        <v>2.2751498174294834E-2</v>
      </c>
      <c r="AF244" s="23">
        <v>1.4092563487216776</v>
      </c>
      <c r="AG244" s="21">
        <v>0.43516702561674098</v>
      </c>
      <c r="AH244" s="19">
        <v>0.3110879112615838</v>
      </c>
      <c r="AI244" s="19">
        <v>0.22672335975017635</v>
      </c>
      <c r="AJ244" s="21">
        <v>0.10304008345679649</v>
      </c>
      <c r="AK244" s="21">
        <v>0.26890563550588009</v>
      </c>
      <c r="AL244" s="19"/>
      <c r="AM244" s="21">
        <v>0.10304008345679649</v>
      </c>
      <c r="AN244" s="21">
        <v>0.26890563550588009</v>
      </c>
      <c r="AO244" s="21">
        <v>0.43516702561674098</v>
      </c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</row>
    <row r="245" spans="1:52" x14ac:dyDescent="0.25">
      <c r="Q245" s="17"/>
      <c r="R245" s="17"/>
      <c r="T245" s="19">
        <v>407060</v>
      </c>
      <c r="U245" s="19" t="s">
        <v>67</v>
      </c>
      <c r="V245" s="19">
        <v>7.4810000000000001E-2</v>
      </c>
      <c r="W245" s="21">
        <v>0.43535000000000001</v>
      </c>
      <c r="X245" s="19">
        <v>-1.6730700000000001</v>
      </c>
      <c r="Y245" s="19">
        <v>0.13327</v>
      </c>
      <c r="Z245" s="19">
        <v>1.4315100000000001</v>
      </c>
      <c r="AA245" s="19">
        <v>0.86736000000000002</v>
      </c>
      <c r="AB245" s="19">
        <v>-1.1099399999999999</v>
      </c>
      <c r="AC245" s="19">
        <v>27.009092983435497</v>
      </c>
      <c r="AD245" s="20">
        <v>1.1253788743098123</v>
      </c>
      <c r="AE245" s="23">
        <v>2.1229022630056511E-2</v>
      </c>
      <c r="AF245" s="23">
        <v>1.3591581698606265</v>
      </c>
      <c r="AG245" s="21">
        <v>0.43484470506655087</v>
      </c>
      <c r="AH245" s="19">
        <v>0.3284932209397432</v>
      </c>
      <c r="AI245" s="19">
        <v>0.25024691721943343</v>
      </c>
      <c r="AJ245" s="21">
        <v>0.12030120608446888</v>
      </c>
      <c r="AK245" s="21">
        <v>0.28937006907958829</v>
      </c>
      <c r="AL245" s="19"/>
      <c r="AM245" s="21">
        <v>0.12030120608446888</v>
      </c>
      <c r="AN245" s="21">
        <v>0.28937006907958829</v>
      </c>
      <c r="AO245" s="21">
        <v>0.43484470506655087</v>
      </c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</row>
    <row r="246" spans="1:52" ht="51.75" x14ac:dyDescent="0.25">
      <c r="A246" s="8" t="s">
        <v>54</v>
      </c>
      <c r="B246" s="10" t="s">
        <v>53</v>
      </c>
      <c r="C246" s="14" t="s">
        <v>18</v>
      </c>
      <c r="D246" s="13" t="s">
        <v>17</v>
      </c>
      <c r="E246" s="12" t="s">
        <v>16</v>
      </c>
      <c r="F246" s="12" t="s">
        <v>15</v>
      </c>
      <c r="G246" s="12" t="s">
        <v>52</v>
      </c>
      <c r="H246" s="12" t="s">
        <v>51</v>
      </c>
      <c r="I246" s="12" t="s">
        <v>50</v>
      </c>
      <c r="J246" s="12" t="s">
        <v>49</v>
      </c>
      <c r="K246" s="12" t="s">
        <v>48</v>
      </c>
      <c r="L246" s="12" t="s">
        <v>47</v>
      </c>
      <c r="M246" s="11" t="s">
        <v>8</v>
      </c>
      <c r="N246" s="11" t="s">
        <v>7</v>
      </c>
      <c r="O246" s="11" t="s">
        <v>6</v>
      </c>
      <c r="P246" s="10" t="s">
        <v>5</v>
      </c>
      <c r="Q246" s="67" t="s">
        <v>4</v>
      </c>
      <c r="R246" s="68"/>
      <c r="T246" s="19">
        <v>407090</v>
      </c>
      <c r="U246" s="19" t="s">
        <v>67</v>
      </c>
      <c r="V246" s="19">
        <v>6.9580000000000003E-2</v>
      </c>
      <c r="W246" s="21">
        <v>0.40383999999999998</v>
      </c>
      <c r="X246" s="19">
        <v>-1.6388400000000001</v>
      </c>
      <c r="Y246" s="19">
        <v>0.1176</v>
      </c>
      <c r="Z246" s="19">
        <v>1.23336</v>
      </c>
      <c r="AA246" s="19">
        <v>0.86924999999999997</v>
      </c>
      <c r="AB246" s="19">
        <v>-1.44106</v>
      </c>
      <c r="AC246" s="19">
        <v>17.114333868290355</v>
      </c>
      <c r="AD246" s="20">
        <v>0.71309724451209811</v>
      </c>
      <c r="AE246" s="23">
        <v>2.2969947363817605E-2</v>
      </c>
      <c r="AF246" s="23">
        <v>1.310991874649778</v>
      </c>
      <c r="AG246" s="21">
        <v>0.40327917817475545</v>
      </c>
      <c r="AH246" s="19">
        <v>0.31052172611554779</v>
      </c>
      <c r="AI246" s="19">
        <v>0.24431276095535162</v>
      </c>
      <c r="AJ246" s="21">
        <v>0.1239014428520798</v>
      </c>
      <c r="AK246" s="21">
        <v>0.27741724353544972</v>
      </c>
      <c r="AL246" s="19"/>
      <c r="AM246" s="21">
        <v>0.1239014428520798</v>
      </c>
      <c r="AN246" s="21">
        <v>0.27741724353544972</v>
      </c>
      <c r="AO246" s="21">
        <v>0.40327917817475545</v>
      </c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</row>
    <row r="247" spans="1:52" x14ac:dyDescent="0.25">
      <c r="A247" s="8"/>
      <c r="B247" s="10"/>
      <c r="C247" s="14"/>
      <c r="D247" s="13"/>
      <c r="E247" s="12"/>
      <c r="F247" s="12"/>
      <c r="G247" s="12"/>
      <c r="H247" s="12"/>
      <c r="I247" s="12"/>
      <c r="J247" s="12"/>
      <c r="K247" s="12"/>
      <c r="L247" s="12"/>
      <c r="M247" s="11"/>
      <c r="N247" s="11"/>
      <c r="O247" s="11"/>
      <c r="P247" s="10"/>
      <c r="Q247" s="9" t="s">
        <v>3</v>
      </c>
      <c r="R247" s="9" t="s">
        <v>2</v>
      </c>
      <c r="T247" s="19">
        <v>407120</v>
      </c>
      <c r="U247" s="19" t="s">
        <v>67</v>
      </c>
      <c r="V247" s="19">
        <v>7.0550000000000002E-2</v>
      </c>
      <c r="W247" s="21">
        <v>0.39258999999999999</v>
      </c>
      <c r="X247" s="19">
        <v>-1.6576299999999999</v>
      </c>
      <c r="Y247" s="19">
        <v>0.10414</v>
      </c>
      <c r="Z247" s="19">
        <v>0.96616000000000002</v>
      </c>
      <c r="AA247" s="19">
        <v>0.79766000000000004</v>
      </c>
      <c r="AB247" s="19">
        <v>-1.7314400000000001</v>
      </c>
      <c r="AC247" s="19">
        <v>9.2503890809685281</v>
      </c>
      <c r="AD247" s="20">
        <v>0.38543287837368867</v>
      </c>
      <c r="AE247" s="23">
        <v>2.1997331516179806E-2</v>
      </c>
      <c r="AF247" s="23">
        <v>1.2709837559320774</v>
      </c>
      <c r="AG247" s="21">
        <v>0.39205563349277045</v>
      </c>
      <c r="AH247" s="19">
        <v>0.31386869205691975</v>
      </c>
      <c r="AI247" s="19">
        <v>0.25525069349790463</v>
      </c>
      <c r="AJ247" s="21">
        <v>0.13744435117286932</v>
      </c>
      <c r="AK247" s="21">
        <v>0.28455969277741222</v>
      </c>
      <c r="AL247" s="19"/>
      <c r="AM247" s="21">
        <v>0.13744435117286932</v>
      </c>
      <c r="AN247" s="21">
        <v>0.28455969277741222</v>
      </c>
      <c r="AO247" s="21">
        <v>0.39205563349277045</v>
      </c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</row>
    <row r="248" spans="1:52" x14ac:dyDescent="0.25">
      <c r="A248" s="7">
        <v>404</v>
      </c>
      <c r="B248" s="5">
        <v>30</v>
      </c>
      <c r="C248" s="6">
        <v>30</v>
      </c>
      <c r="D248" s="5">
        <v>20</v>
      </c>
      <c r="E248" s="4">
        <v>27</v>
      </c>
      <c r="F248" s="4">
        <f t="shared" ref="F248:F253" si="181">1.8*E248+32</f>
        <v>80.599999999999994</v>
      </c>
      <c r="G248" s="4">
        <v>11</v>
      </c>
      <c r="H248" s="4">
        <f t="shared" ref="H248:H253" si="182">IF(F248&gt;68,G248+(F248-68)*0.2,CT173-(68-F248)*0.2)</f>
        <v>13.52</v>
      </c>
      <c r="I248" s="4">
        <v>25</v>
      </c>
      <c r="J248" s="4">
        <f t="shared" ref="J248:J253" si="183">1.8*I248+32</f>
        <v>77</v>
      </c>
      <c r="K248" s="4">
        <v>8</v>
      </c>
      <c r="L248" s="4">
        <f t="shared" ref="L248:L253" si="184">IF(J248&gt;68,K248+(J248-68)*0.2,K248-(68-J248)*0.2)</f>
        <v>9.8000000000000007</v>
      </c>
      <c r="M248" s="4">
        <f t="shared" ref="M248:M253" si="185">(C248-H248)/C248*100</f>
        <v>54.933333333333337</v>
      </c>
      <c r="N248" s="4">
        <f t="shared" ref="N248:N253" si="186">100-(M248+O248)</f>
        <v>12.399999999999991</v>
      </c>
      <c r="O248" s="4">
        <f t="shared" ref="O248:O253" si="187">L248/C248*100</f>
        <v>32.666666666666671</v>
      </c>
      <c r="P248" s="22" t="s">
        <v>1</v>
      </c>
      <c r="Q248" s="2"/>
      <c r="R248" s="2"/>
      <c r="T248" s="19">
        <v>407150</v>
      </c>
      <c r="U248" s="19" t="s">
        <v>67</v>
      </c>
      <c r="V248" s="19">
        <v>6.164E-2</v>
      </c>
      <c r="W248" s="21">
        <v>0.38302000000000003</v>
      </c>
      <c r="X248" s="19">
        <v>-1.5818300000000001</v>
      </c>
      <c r="Y248" s="19">
        <v>0.12967999999999999</v>
      </c>
      <c r="Z248" s="19">
        <v>1.3327800000000001</v>
      </c>
      <c r="AA248" s="19">
        <v>0.97860000000000003</v>
      </c>
      <c r="AB248" s="19">
        <v>-1.37273</v>
      </c>
      <c r="AC248" s="19">
        <v>21.516914790036246</v>
      </c>
      <c r="AD248" s="20">
        <v>0.89653811625151025</v>
      </c>
      <c r="AE248" s="23">
        <v>2.6192080689886429E-2</v>
      </c>
      <c r="AF248" s="23">
        <v>1.3479692961035696</v>
      </c>
      <c r="AG248" s="21">
        <v>0.38241100572892317</v>
      </c>
      <c r="AH248" s="19">
        <v>0.27763270186339173</v>
      </c>
      <c r="AI248" s="19">
        <v>0.210858255548204</v>
      </c>
      <c r="AJ248" s="21">
        <v>0.10184313206013067</v>
      </c>
      <c r="AK248" s="21">
        <v>0.24424547870579788</v>
      </c>
      <c r="AL248" s="19"/>
      <c r="AM248" s="21">
        <v>0.10184313206013067</v>
      </c>
      <c r="AN248" s="21">
        <v>0.24424547870579788</v>
      </c>
      <c r="AO248" s="21">
        <v>0.38241100572892317</v>
      </c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</row>
    <row r="249" spans="1:52" x14ac:dyDescent="0.25">
      <c r="A249" s="7">
        <v>404</v>
      </c>
      <c r="B249" s="5">
        <v>60</v>
      </c>
      <c r="C249" s="6">
        <v>30</v>
      </c>
      <c r="D249" s="5">
        <v>20</v>
      </c>
      <c r="E249" s="4">
        <v>27</v>
      </c>
      <c r="F249" s="4">
        <f t="shared" si="181"/>
        <v>80.599999999999994</v>
      </c>
      <c r="G249" s="4">
        <v>9</v>
      </c>
      <c r="H249" s="4">
        <f t="shared" si="182"/>
        <v>11.52</v>
      </c>
      <c r="I249" s="4">
        <v>24.5</v>
      </c>
      <c r="J249" s="4">
        <f t="shared" si="183"/>
        <v>76.099999999999994</v>
      </c>
      <c r="K249" s="4">
        <v>6</v>
      </c>
      <c r="L249" s="4">
        <f t="shared" si="184"/>
        <v>7.6199999999999992</v>
      </c>
      <c r="M249" s="4">
        <f t="shared" si="185"/>
        <v>61.6</v>
      </c>
      <c r="N249" s="4">
        <f t="shared" si="186"/>
        <v>13</v>
      </c>
      <c r="O249" s="4">
        <f t="shared" si="187"/>
        <v>25.399999999999995</v>
      </c>
      <c r="P249" s="22" t="s">
        <v>1</v>
      </c>
      <c r="Q249" s="2"/>
      <c r="R249" s="2"/>
      <c r="T249" s="19">
        <v>407180</v>
      </c>
      <c r="U249" s="19" t="s">
        <v>67</v>
      </c>
      <c r="V249" s="19">
        <v>6.3619999999999996E-2</v>
      </c>
      <c r="W249" s="21">
        <v>0.38561000000000001</v>
      </c>
      <c r="X249" s="19">
        <v>-1.5948800000000001</v>
      </c>
      <c r="Y249" s="19">
        <v>0.11882</v>
      </c>
      <c r="Z249" s="19">
        <v>1.2459</v>
      </c>
      <c r="AA249" s="19">
        <v>0.93584000000000001</v>
      </c>
      <c r="AB249" s="19">
        <v>-1.51454</v>
      </c>
      <c r="AC249" s="19">
        <v>17.615703831392644</v>
      </c>
      <c r="AD249" s="20">
        <v>0.73398765964136015</v>
      </c>
      <c r="AE249" s="23">
        <v>2.5416748992613026E-2</v>
      </c>
      <c r="AF249" s="23">
        <v>1.3146798300656222</v>
      </c>
      <c r="AG249" s="21">
        <v>0.38499625429628981</v>
      </c>
      <c r="AH249" s="19">
        <v>0.28936519268248612</v>
      </c>
      <c r="AI249" s="19">
        <v>0.22575130164237833</v>
      </c>
      <c r="AJ249" s="21">
        <v>0.11322726238644751</v>
      </c>
      <c r="AK249" s="21">
        <v>0.25755824716243225</v>
      </c>
      <c r="AL249" s="19"/>
      <c r="AM249" s="21">
        <v>0.11322726238644751</v>
      </c>
      <c r="AN249" s="21">
        <v>0.25755824716243225</v>
      </c>
      <c r="AO249" s="21">
        <v>0.38499625429628981</v>
      </c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</row>
    <row r="250" spans="1:52" x14ac:dyDescent="0.25">
      <c r="A250" s="7">
        <v>404</v>
      </c>
      <c r="B250" s="5">
        <v>90</v>
      </c>
      <c r="C250" s="6">
        <v>30</v>
      </c>
      <c r="D250" s="5">
        <v>20</v>
      </c>
      <c r="E250" s="4">
        <v>27.5</v>
      </c>
      <c r="F250" s="4">
        <f t="shared" si="181"/>
        <v>81.5</v>
      </c>
      <c r="G250" s="4">
        <v>5</v>
      </c>
      <c r="H250" s="4">
        <f t="shared" si="182"/>
        <v>7.7</v>
      </c>
      <c r="I250" s="4">
        <v>24.5</v>
      </c>
      <c r="J250" s="4">
        <f t="shared" si="183"/>
        <v>76.099999999999994</v>
      </c>
      <c r="K250" s="4">
        <v>4</v>
      </c>
      <c r="L250" s="4">
        <f t="shared" si="184"/>
        <v>5.6199999999999992</v>
      </c>
      <c r="M250" s="4">
        <f t="shared" si="185"/>
        <v>74.333333333333343</v>
      </c>
      <c r="N250" s="4">
        <f t="shared" si="186"/>
        <v>6.9333333333333229</v>
      </c>
      <c r="O250" s="4">
        <f t="shared" si="187"/>
        <v>18.733333333333331</v>
      </c>
      <c r="P250" s="22" t="s">
        <v>0</v>
      </c>
      <c r="Q250" s="2"/>
      <c r="R250" s="2"/>
      <c r="T250" s="19">
        <v>407210</v>
      </c>
      <c r="U250" s="19" t="s">
        <v>67</v>
      </c>
      <c r="V250" s="19">
        <v>6.3619999999999996E-2</v>
      </c>
      <c r="W250" s="21">
        <v>0.38561000000000001</v>
      </c>
      <c r="X250" s="19">
        <v>-1.5948800000000001</v>
      </c>
      <c r="Y250" s="19">
        <v>0.11882</v>
      </c>
      <c r="Z250" s="19">
        <v>1.2459</v>
      </c>
      <c r="AA250" s="19">
        <v>0.93584000000000001</v>
      </c>
      <c r="AB250" s="19">
        <v>-1.51454</v>
      </c>
      <c r="AC250" s="19">
        <v>17.615703831392644</v>
      </c>
      <c r="AD250" s="20">
        <v>0.73398765964136015</v>
      </c>
      <c r="AE250" s="23">
        <v>2.5416748992613026E-2</v>
      </c>
      <c r="AF250" s="23">
        <v>1.3146798300656222</v>
      </c>
      <c r="AG250" s="21">
        <v>0.38499625429628981</v>
      </c>
      <c r="AH250" s="19">
        <v>0.28936519268248612</v>
      </c>
      <c r="AI250" s="19">
        <v>0.22575130164237833</v>
      </c>
      <c r="AJ250" s="21">
        <v>0.11322726238644751</v>
      </c>
      <c r="AK250" s="21">
        <v>0.25755824716243225</v>
      </c>
      <c r="AL250" s="19"/>
      <c r="AM250" s="21">
        <v>0.11322726238644751</v>
      </c>
      <c r="AN250" s="21">
        <v>0.25755824716243225</v>
      </c>
      <c r="AO250" s="21">
        <v>0.38499625429628981</v>
      </c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</row>
    <row r="251" spans="1:52" x14ac:dyDescent="0.25">
      <c r="A251" s="7">
        <v>404</v>
      </c>
      <c r="B251" s="5">
        <v>120</v>
      </c>
      <c r="C251" s="6">
        <v>30</v>
      </c>
      <c r="D251" s="5">
        <v>20</v>
      </c>
      <c r="E251" s="4">
        <v>27.5</v>
      </c>
      <c r="F251" s="4">
        <f t="shared" si="181"/>
        <v>81.5</v>
      </c>
      <c r="G251" s="4">
        <v>8</v>
      </c>
      <c r="H251" s="4">
        <f t="shared" si="182"/>
        <v>10.7</v>
      </c>
      <c r="I251" s="4">
        <v>25</v>
      </c>
      <c r="J251" s="4">
        <f t="shared" si="183"/>
        <v>77</v>
      </c>
      <c r="K251" s="4">
        <v>6</v>
      </c>
      <c r="L251" s="4">
        <f t="shared" si="184"/>
        <v>7.8</v>
      </c>
      <c r="M251" s="4">
        <f t="shared" si="185"/>
        <v>64.333333333333329</v>
      </c>
      <c r="N251" s="4">
        <f t="shared" si="186"/>
        <v>9.6666666666666714</v>
      </c>
      <c r="O251" s="4">
        <f t="shared" si="187"/>
        <v>26</v>
      </c>
      <c r="P251" s="22" t="s">
        <v>1</v>
      </c>
      <c r="Q251" s="2"/>
      <c r="R251" s="2"/>
      <c r="T251" s="19">
        <v>408030</v>
      </c>
      <c r="U251" s="19" t="s">
        <v>67</v>
      </c>
      <c r="V251" s="19">
        <v>6.4119999999999996E-2</v>
      </c>
      <c r="W251" s="21">
        <v>0.40827999999999998</v>
      </c>
      <c r="X251" s="19">
        <v>-1.60345</v>
      </c>
      <c r="Y251" s="19">
        <v>0.15243000000000001</v>
      </c>
      <c r="Z251" s="19">
        <v>1.5493300000000001</v>
      </c>
      <c r="AA251" s="19">
        <v>1.0145500000000001</v>
      </c>
      <c r="AB251" s="19">
        <v>-1.06345</v>
      </c>
      <c r="AC251" s="19">
        <v>35.426642927441087</v>
      </c>
      <c r="AD251" s="20">
        <v>1.4761101219767119</v>
      </c>
      <c r="AE251" s="23">
        <v>2.4920112581377721E-2</v>
      </c>
      <c r="AF251" s="23">
        <v>1.4204632427837114</v>
      </c>
      <c r="AG251" s="21">
        <v>0.40774428338718155</v>
      </c>
      <c r="AH251" s="19">
        <v>0.2823733583709041</v>
      </c>
      <c r="AI251" s="19">
        <v>0.20348260062998969</v>
      </c>
      <c r="AJ251" s="21">
        <v>9.2632205779671989E-2</v>
      </c>
      <c r="AK251" s="21">
        <v>0.24292797950044689</v>
      </c>
      <c r="AL251" s="19"/>
      <c r="AM251" s="21">
        <v>9.2632205779671989E-2</v>
      </c>
      <c r="AN251" s="21">
        <v>0.24292797950044689</v>
      </c>
      <c r="AO251" s="21">
        <v>0.40774428338718155</v>
      </c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</row>
    <row r="252" spans="1:52" x14ac:dyDescent="0.25">
      <c r="A252" s="7">
        <v>404</v>
      </c>
      <c r="B252" s="5">
        <v>150</v>
      </c>
      <c r="C252" s="6">
        <v>30</v>
      </c>
      <c r="D252" s="5">
        <v>20</v>
      </c>
      <c r="E252" s="4">
        <v>27</v>
      </c>
      <c r="F252" s="4">
        <f t="shared" si="181"/>
        <v>80.599999999999994</v>
      </c>
      <c r="G252" s="4">
        <v>3</v>
      </c>
      <c r="H252" s="4">
        <f t="shared" si="182"/>
        <v>5.52</v>
      </c>
      <c r="I252" s="4">
        <v>25</v>
      </c>
      <c r="J252" s="4">
        <f t="shared" si="183"/>
        <v>77</v>
      </c>
      <c r="K252" s="4">
        <v>2</v>
      </c>
      <c r="L252" s="4">
        <f t="shared" si="184"/>
        <v>3.8</v>
      </c>
      <c r="M252" s="4">
        <f t="shared" si="185"/>
        <v>81.600000000000009</v>
      </c>
      <c r="N252" s="4">
        <f t="shared" si="186"/>
        <v>5.7333333333333201</v>
      </c>
      <c r="O252" s="4">
        <f t="shared" si="187"/>
        <v>12.666666666666664</v>
      </c>
      <c r="P252" s="22" t="s">
        <v>0</v>
      </c>
      <c r="Q252" s="2"/>
      <c r="R252" s="2"/>
      <c r="T252" s="19">
        <v>408045</v>
      </c>
      <c r="U252" s="19" t="s">
        <v>67</v>
      </c>
      <c r="V252" s="19">
        <v>6.9040000000000004E-2</v>
      </c>
      <c r="W252" s="21">
        <v>0.43583</v>
      </c>
      <c r="X252" s="19">
        <v>-1.6318900000000001</v>
      </c>
      <c r="Y252" s="19">
        <v>0.15187</v>
      </c>
      <c r="Z252" s="19">
        <v>1.6440399999999999</v>
      </c>
      <c r="AA252" s="19">
        <v>0.99636000000000002</v>
      </c>
      <c r="AB252" s="19">
        <v>-0.9647</v>
      </c>
      <c r="AC252" s="19">
        <v>44.059544197768652</v>
      </c>
      <c r="AD252" s="20">
        <v>1.8358143415736938</v>
      </c>
      <c r="AE252" s="23">
        <v>2.3340491655688776E-2</v>
      </c>
      <c r="AF252" s="23">
        <v>1.4186328101675802</v>
      </c>
      <c r="AG252" s="21">
        <v>0.43530764050075266</v>
      </c>
      <c r="AH252" s="19">
        <v>0.30707727590409956</v>
      </c>
      <c r="AI252" s="19">
        <v>0.22207745722301059</v>
      </c>
      <c r="AJ252" s="21">
        <v>0.10061183737101984</v>
      </c>
      <c r="AK252" s="21">
        <v>0.26457736656355507</v>
      </c>
      <c r="AL252" s="19"/>
      <c r="AM252" s="21">
        <v>0.10061183737101984</v>
      </c>
      <c r="AN252" s="21">
        <v>0.26457736656355507</v>
      </c>
      <c r="AO252" s="21">
        <v>0.43530764050075266</v>
      </c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</row>
    <row r="253" spans="1:52" x14ac:dyDescent="0.25">
      <c r="A253" s="7">
        <v>404</v>
      </c>
      <c r="B253" s="5">
        <v>180</v>
      </c>
      <c r="C253" s="6">
        <v>30</v>
      </c>
      <c r="D253" s="5">
        <v>20</v>
      </c>
      <c r="E253" s="4">
        <v>28</v>
      </c>
      <c r="F253" s="4">
        <f t="shared" si="181"/>
        <v>82.4</v>
      </c>
      <c r="G253" s="4">
        <v>5</v>
      </c>
      <c r="H253" s="4">
        <f t="shared" si="182"/>
        <v>7.8800000000000008</v>
      </c>
      <c r="I253" s="4">
        <v>25</v>
      </c>
      <c r="J253" s="4">
        <f t="shared" si="183"/>
        <v>77</v>
      </c>
      <c r="K253" s="4">
        <v>3</v>
      </c>
      <c r="L253" s="4">
        <f t="shared" si="184"/>
        <v>4.8</v>
      </c>
      <c r="M253" s="4">
        <f t="shared" si="185"/>
        <v>73.733333333333334</v>
      </c>
      <c r="N253" s="4">
        <f t="shared" si="186"/>
        <v>10.266666666666666</v>
      </c>
      <c r="O253" s="4">
        <f t="shared" si="187"/>
        <v>16</v>
      </c>
      <c r="P253" s="22" t="s">
        <v>0</v>
      </c>
      <c r="Q253" s="18"/>
      <c r="R253" s="18"/>
      <c r="T253" s="19">
        <v>408060</v>
      </c>
      <c r="U253" s="19" t="s">
        <v>67</v>
      </c>
      <c r="V253" s="19">
        <v>7.0569999999999994E-2</v>
      </c>
      <c r="W253" s="21">
        <v>0.43175999999999998</v>
      </c>
      <c r="X253" s="19">
        <v>-1.6461300000000001</v>
      </c>
      <c r="Y253" s="19">
        <v>0.14360000000000001</v>
      </c>
      <c r="Z253" s="19">
        <v>1.54776</v>
      </c>
      <c r="AA253" s="19">
        <v>0.94445000000000001</v>
      </c>
      <c r="AB253" s="19">
        <v>-1.03277</v>
      </c>
      <c r="AC253" s="19">
        <v>35.298804747876417</v>
      </c>
      <c r="AD253" s="20">
        <v>1.4707835311615174</v>
      </c>
      <c r="AE253" s="23">
        <v>2.2587595408299455E-2</v>
      </c>
      <c r="AF253" s="23">
        <v>1.3918742488392966</v>
      </c>
      <c r="AG253" s="21">
        <v>0.43124161022428509</v>
      </c>
      <c r="AH253" s="19">
        <v>0.31320780316857288</v>
      </c>
      <c r="AI253" s="19">
        <v>0.2316983641850717</v>
      </c>
      <c r="AJ253" s="21">
        <v>0.10740598159442577</v>
      </c>
      <c r="AK253" s="21">
        <v>0.27245308367682231</v>
      </c>
      <c r="AL253" s="19"/>
      <c r="AM253" s="21">
        <v>0.10740598159442577</v>
      </c>
      <c r="AN253" s="21">
        <v>0.27245308367682231</v>
      </c>
      <c r="AO253" s="21">
        <v>0.43124161022428509</v>
      </c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</row>
    <row r="254" spans="1:52" x14ac:dyDescent="0.25">
      <c r="Q254" s="17"/>
      <c r="R254" s="17"/>
      <c r="T254" s="19">
        <v>408090</v>
      </c>
      <c r="U254" s="19" t="s">
        <v>67</v>
      </c>
      <c r="V254" s="19">
        <v>7.6819999999999999E-2</v>
      </c>
      <c r="W254" s="21">
        <v>0.41089999999999999</v>
      </c>
      <c r="X254" s="19">
        <v>-1.6747399999999999</v>
      </c>
      <c r="Y254" s="19">
        <v>0.10684</v>
      </c>
      <c r="Z254" s="19">
        <v>1.0258</v>
      </c>
      <c r="AA254" s="19">
        <v>0.76690000000000003</v>
      </c>
      <c r="AB254" s="19">
        <v>-1.6253599999999999</v>
      </c>
      <c r="AC254" s="19">
        <v>10.612067408888182</v>
      </c>
      <c r="AD254" s="20">
        <v>0.4421694753703409</v>
      </c>
      <c r="AE254" s="23">
        <v>2.1147547056311659E-2</v>
      </c>
      <c r="AF254" s="23">
        <v>1.2789100494801011</v>
      </c>
      <c r="AG254" s="21">
        <v>0.41037672410170112</v>
      </c>
      <c r="AH254" s="19">
        <v>0.329383954528151</v>
      </c>
      <c r="AI254" s="19">
        <v>0.26733048794144476</v>
      </c>
      <c r="AJ254" s="21">
        <v>0.14382984223725712</v>
      </c>
      <c r="AK254" s="21">
        <v>0.29835722123479791</v>
      </c>
      <c r="AL254" s="19"/>
      <c r="AM254" s="21">
        <v>0.14382984223725712</v>
      </c>
      <c r="AN254" s="21">
        <v>0.29835722123479791</v>
      </c>
      <c r="AO254" s="21">
        <v>0.41037672410170112</v>
      </c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</row>
    <row r="255" spans="1:52" ht="51.75" x14ac:dyDescent="0.25">
      <c r="A255" s="8" t="s">
        <v>54</v>
      </c>
      <c r="B255" s="10" t="s">
        <v>53</v>
      </c>
      <c r="C255" s="14" t="s">
        <v>18</v>
      </c>
      <c r="D255" s="13" t="s">
        <v>17</v>
      </c>
      <c r="E255" s="12" t="s">
        <v>16</v>
      </c>
      <c r="F255" s="12" t="s">
        <v>15</v>
      </c>
      <c r="G255" s="12" t="s">
        <v>52</v>
      </c>
      <c r="H255" s="12" t="s">
        <v>51</v>
      </c>
      <c r="I255" s="12" t="s">
        <v>50</v>
      </c>
      <c r="J255" s="12" t="s">
        <v>49</v>
      </c>
      <c r="K255" s="12" t="s">
        <v>48</v>
      </c>
      <c r="L255" s="12" t="s">
        <v>47</v>
      </c>
      <c r="M255" s="11" t="s">
        <v>8</v>
      </c>
      <c r="N255" s="11" t="s">
        <v>7</v>
      </c>
      <c r="O255" s="11" t="s">
        <v>6</v>
      </c>
      <c r="P255" s="10" t="s">
        <v>5</v>
      </c>
      <c r="Q255" s="67" t="s">
        <v>4</v>
      </c>
      <c r="R255" s="68"/>
      <c r="T255" s="19">
        <v>408120</v>
      </c>
      <c r="U255" s="19" t="s">
        <v>67</v>
      </c>
      <c r="V255" s="19">
        <v>7.0489999999999997E-2</v>
      </c>
      <c r="W255" s="21">
        <v>0.39300000000000002</v>
      </c>
      <c r="X255" s="19">
        <v>-1.6332899999999999</v>
      </c>
      <c r="Y255" s="19">
        <v>0.10105</v>
      </c>
      <c r="Z255" s="19">
        <v>1.0347599999999999</v>
      </c>
      <c r="AA255" s="19">
        <v>0.82267000000000001</v>
      </c>
      <c r="AB255" s="19">
        <v>-1.8719600000000001</v>
      </c>
      <c r="AC255" s="19">
        <v>10.833280793515886</v>
      </c>
      <c r="AD255" s="20">
        <v>0.45138669972982859</v>
      </c>
      <c r="AE255" s="23">
        <v>2.3265371944001162E-2</v>
      </c>
      <c r="AF255" s="23">
        <v>1.2619728162171469</v>
      </c>
      <c r="AG255" s="21">
        <v>0.39242148766595214</v>
      </c>
      <c r="AH255" s="19">
        <v>0.31359028484700624</v>
      </c>
      <c r="AI255" s="19">
        <v>0.25629074878610392</v>
      </c>
      <c r="AJ255" s="21">
        <v>0.14004729288744039</v>
      </c>
      <c r="AK255" s="21">
        <v>0.28494051681655508</v>
      </c>
      <c r="AL255" s="19"/>
      <c r="AM255" s="21">
        <v>0.14004729288744039</v>
      </c>
      <c r="AN255" s="21">
        <v>0.28494051681655508</v>
      </c>
      <c r="AO255" s="21">
        <v>0.39242148766595214</v>
      </c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</row>
    <row r="256" spans="1:52" x14ac:dyDescent="0.25">
      <c r="A256" s="8"/>
      <c r="B256" s="10"/>
      <c r="C256" s="14"/>
      <c r="D256" s="13"/>
      <c r="E256" s="12"/>
      <c r="F256" s="12"/>
      <c r="G256" s="12"/>
      <c r="H256" s="12"/>
      <c r="I256" s="12"/>
      <c r="J256" s="12"/>
      <c r="K256" s="12"/>
      <c r="L256" s="12"/>
      <c r="M256" s="11"/>
      <c r="N256" s="11"/>
      <c r="O256" s="11"/>
      <c r="P256" s="10"/>
      <c r="Q256" s="9" t="s">
        <v>3</v>
      </c>
      <c r="R256" s="9" t="s">
        <v>2</v>
      </c>
      <c r="T256" s="19">
        <v>408150</v>
      </c>
      <c r="U256" s="19" t="s">
        <v>67</v>
      </c>
      <c r="V256" s="19">
        <v>5.577E-2</v>
      </c>
      <c r="W256" s="21">
        <v>0.37784000000000001</v>
      </c>
      <c r="X256" s="19">
        <v>-1.53626</v>
      </c>
      <c r="Y256" s="19">
        <v>0.15684999999999999</v>
      </c>
      <c r="Z256" s="19">
        <v>1.50928</v>
      </c>
      <c r="AA256" s="19">
        <v>1.1066100000000001</v>
      </c>
      <c r="AB256" s="19">
        <v>-1.1662300000000001</v>
      </c>
      <c r="AC256" s="19">
        <v>32.305762799315112</v>
      </c>
      <c r="AD256" s="20">
        <v>1.3460734499714631</v>
      </c>
      <c r="AE256" s="23">
        <v>2.9089750743751776E-2</v>
      </c>
      <c r="AF256" s="23">
        <v>1.4349937184799513</v>
      </c>
      <c r="AG256" s="21">
        <v>0.3772328475735528</v>
      </c>
      <c r="AH256" s="19">
        <v>0.24652489919565285</v>
      </c>
      <c r="AI256" s="19">
        <v>0.17434688573862239</v>
      </c>
      <c r="AJ256" s="21">
        <v>7.865857825743465E-2</v>
      </c>
      <c r="AK256" s="21">
        <v>0.21043589246713762</v>
      </c>
      <c r="AL256" s="19"/>
      <c r="AM256" s="21">
        <v>7.865857825743465E-2</v>
      </c>
      <c r="AN256" s="21">
        <v>0.21043589246713762</v>
      </c>
      <c r="AO256" s="21">
        <v>0.3772328475735528</v>
      </c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</row>
    <row r="257" spans="1:52" x14ac:dyDescent="0.25">
      <c r="A257" s="7">
        <v>405</v>
      </c>
      <c r="B257" s="5">
        <v>30</v>
      </c>
      <c r="C257" s="6">
        <v>30</v>
      </c>
      <c r="D257" s="5">
        <v>20</v>
      </c>
      <c r="E257" s="4">
        <v>29.5</v>
      </c>
      <c r="F257" s="4">
        <f t="shared" ref="F257:F262" si="188">1.8*E257+32</f>
        <v>85.1</v>
      </c>
      <c r="G257" s="4">
        <v>5</v>
      </c>
      <c r="H257" s="4">
        <f t="shared" ref="H257:H262" si="189">IF(F257&gt;68,G257+(F257-68)*0.2,CB173-(68-F257)*0.2)</f>
        <v>8.4199999999999982</v>
      </c>
      <c r="I257" s="4">
        <v>26.5</v>
      </c>
      <c r="J257" s="4">
        <f t="shared" ref="J257:J262" si="190">1.8*I257+32</f>
        <v>79.7</v>
      </c>
      <c r="K257" s="4">
        <v>4</v>
      </c>
      <c r="L257" s="4">
        <f t="shared" ref="L257:L262" si="191">IF(J257&gt;68,K257+(J257-68)*0.2,K257-(68-J257)*0.2)</f>
        <v>6.3400000000000007</v>
      </c>
      <c r="M257" s="4">
        <f t="shared" ref="M257:M262" si="192">(C257-H257)/C257*100</f>
        <v>71.933333333333337</v>
      </c>
      <c r="N257" s="4">
        <f t="shared" ref="N257:N262" si="193">100-(M257+O257)</f>
        <v>6.9333333333333371</v>
      </c>
      <c r="O257" s="4">
        <f t="shared" ref="O257:O262" si="194">L257/C257*100</f>
        <v>21.133333333333333</v>
      </c>
      <c r="P257" s="22" t="s">
        <v>1</v>
      </c>
      <c r="Q257" s="2"/>
      <c r="R257" s="2"/>
      <c r="T257" s="19">
        <v>408180</v>
      </c>
      <c r="U257" s="19" t="s">
        <v>67</v>
      </c>
      <c r="V257" s="19">
        <v>5.7090000000000002E-2</v>
      </c>
      <c r="W257" s="21">
        <v>0.37658000000000003</v>
      </c>
      <c r="X257" s="19">
        <v>-1.5361</v>
      </c>
      <c r="Y257" s="19">
        <v>0.19947999999999999</v>
      </c>
      <c r="Z257" s="19">
        <v>1.74319</v>
      </c>
      <c r="AA257" s="19">
        <v>1.1477200000000001</v>
      </c>
      <c r="AB257" s="19">
        <v>-1.00648</v>
      </c>
      <c r="AC257" s="19">
        <v>55.359224796406735</v>
      </c>
      <c r="AD257" s="20">
        <v>2.3066343665169473</v>
      </c>
      <c r="AE257" s="23">
        <v>2.9100469778377124E-2</v>
      </c>
      <c r="AF257" s="23">
        <v>1.5829966653373588</v>
      </c>
      <c r="AG257" s="21">
        <v>0.37614558557429256</v>
      </c>
      <c r="AH257" s="19">
        <v>0.21813346786046156</v>
      </c>
      <c r="AI257" s="19">
        <v>0.14124691253908139</v>
      </c>
      <c r="AJ257" s="21">
        <v>6.6322952041066946E-2</v>
      </c>
      <c r="AK257" s="21">
        <v>0.17969019019977148</v>
      </c>
      <c r="AL257" s="19"/>
      <c r="AM257" s="21">
        <v>6.6322952041066946E-2</v>
      </c>
      <c r="AN257" s="21">
        <v>0.17969019019977148</v>
      </c>
      <c r="AO257" s="21">
        <v>0.37614558557429256</v>
      </c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</row>
    <row r="258" spans="1:52" x14ac:dyDescent="0.25">
      <c r="A258" s="7">
        <v>405</v>
      </c>
      <c r="B258" s="5">
        <v>60</v>
      </c>
      <c r="C258" s="6">
        <v>30</v>
      </c>
      <c r="D258" s="5">
        <v>20</v>
      </c>
      <c r="E258" s="4">
        <v>29.5</v>
      </c>
      <c r="F258" s="4">
        <f t="shared" si="188"/>
        <v>85.1</v>
      </c>
      <c r="G258" s="4">
        <v>11.5</v>
      </c>
      <c r="H258" s="4">
        <f t="shared" si="189"/>
        <v>14.919999999999998</v>
      </c>
      <c r="I258" s="4">
        <v>26.5</v>
      </c>
      <c r="J258" s="4">
        <f t="shared" si="190"/>
        <v>79.7</v>
      </c>
      <c r="K258" s="4">
        <v>9</v>
      </c>
      <c r="L258" s="4">
        <f t="shared" si="191"/>
        <v>11.34</v>
      </c>
      <c r="M258" s="4">
        <f t="shared" si="192"/>
        <v>50.266666666666673</v>
      </c>
      <c r="N258" s="4">
        <f t="shared" si="193"/>
        <v>11.933333333333337</v>
      </c>
      <c r="O258" s="4">
        <f t="shared" si="194"/>
        <v>37.799999999999997</v>
      </c>
      <c r="P258" s="22" t="s">
        <v>20</v>
      </c>
      <c r="Q258" s="2"/>
      <c r="R258" s="2"/>
      <c r="T258" s="19">
        <v>408210</v>
      </c>
      <c r="U258" s="19" t="s">
        <v>67</v>
      </c>
      <c r="V258" s="19">
        <v>5.7090000000000002E-2</v>
      </c>
      <c r="W258" s="21">
        <v>0.37658000000000003</v>
      </c>
      <c r="X258" s="19">
        <v>-1.5361</v>
      </c>
      <c r="Y258" s="19">
        <v>0.19947999999999999</v>
      </c>
      <c r="Z258" s="19">
        <v>1.74319</v>
      </c>
      <c r="AA258" s="19">
        <v>1.1477200000000001</v>
      </c>
      <c r="AB258" s="19">
        <v>-1.00648</v>
      </c>
      <c r="AC258" s="19">
        <v>55.359224796406735</v>
      </c>
      <c r="AD258" s="20">
        <v>2.3066343665169473</v>
      </c>
      <c r="AE258" s="23">
        <v>2.9100469778377124E-2</v>
      </c>
      <c r="AF258" s="23">
        <v>1.5829966653373588</v>
      </c>
      <c r="AG258" s="21">
        <v>0.37614558557429256</v>
      </c>
      <c r="AH258" s="19">
        <v>0.21813346786046156</v>
      </c>
      <c r="AI258" s="19">
        <v>0.14124691253908139</v>
      </c>
      <c r="AJ258" s="21">
        <v>6.6322952041066946E-2</v>
      </c>
      <c r="AK258" s="21">
        <v>0.17969019019977148</v>
      </c>
      <c r="AL258" s="19"/>
      <c r="AM258" s="21">
        <v>6.6322952041066946E-2</v>
      </c>
      <c r="AN258" s="21">
        <v>0.17969019019977148</v>
      </c>
      <c r="AO258" s="21">
        <v>0.37614558557429256</v>
      </c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</row>
    <row r="259" spans="1:52" x14ac:dyDescent="0.25">
      <c r="A259" s="7">
        <v>405</v>
      </c>
      <c r="B259" s="5">
        <v>90</v>
      </c>
      <c r="C259" s="6">
        <v>30</v>
      </c>
      <c r="D259" s="5">
        <v>20</v>
      </c>
      <c r="E259" s="4">
        <v>29.5</v>
      </c>
      <c r="F259" s="4">
        <f t="shared" si="188"/>
        <v>85.1</v>
      </c>
      <c r="G259" s="4">
        <v>11</v>
      </c>
      <c r="H259" s="4">
        <f t="shared" si="189"/>
        <v>14.419999999999998</v>
      </c>
      <c r="I259" s="4">
        <v>26</v>
      </c>
      <c r="J259" s="4">
        <f t="shared" si="190"/>
        <v>78.800000000000011</v>
      </c>
      <c r="K259" s="4">
        <v>8</v>
      </c>
      <c r="L259" s="4">
        <f t="shared" si="191"/>
        <v>10.160000000000002</v>
      </c>
      <c r="M259" s="4">
        <f t="shared" si="192"/>
        <v>51.933333333333344</v>
      </c>
      <c r="N259" s="4">
        <f t="shared" si="193"/>
        <v>14.199999999999989</v>
      </c>
      <c r="O259" s="4">
        <f t="shared" si="194"/>
        <v>33.866666666666674</v>
      </c>
      <c r="P259" s="22" t="s">
        <v>1</v>
      </c>
      <c r="Q259" s="2"/>
      <c r="R259" s="2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20"/>
      <c r="AE259" s="20"/>
      <c r="AF259" s="20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</row>
    <row r="260" spans="1:52" x14ac:dyDescent="0.25">
      <c r="A260" s="7">
        <v>405</v>
      </c>
      <c r="B260" s="5">
        <v>120</v>
      </c>
      <c r="C260" s="6">
        <v>30</v>
      </c>
      <c r="D260" s="5">
        <v>20</v>
      </c>
      <c r="E260" s="4">
        <v>29.5</v>
      </c>
      <c r="F260" s="4">
        <f t="shared" si="188"/>
        <v>85.1</v>
      </c>
      <c r="G260" s="4">
        <v>10</v>
      </c>
      <c r="H260" s="4">
        <f t="shared" si="189"/>
        <v>13.419999999999998</v>
      </c>
      <c r="I260" s="4">
        <v>26</v>
      </c>
      <c r="J260" s="4">
        <f t="shared" si="190"/>
        <v>78.800000000000011</v>
      </c>
      <c r="K260" s="4">
        <v>6.5</v>
      </c>
      <c r="L260" s="4">
        <f t="shared" si="191"/>
        <v>8.6600000000000019</v>
      </c>
      <c r="M260" s="4">
        <f t="shared" si="192"/>
        <v>55.266666666666673</v>
      </c>
      <c r="N260" s="4">
        <f t="shared" si="193"/>
        <v>15.866666666666646</v>
      </c>
      <c r="O260" s="4">
        <f t="shared" si="194"/>
        <v>28.866666666666674</v>
      </c>
      <c r="P260" s="22" t="s">
        <v>1</v>
      </c>
      <c r="Q260" s="2"/>
      <c r="R260" s="2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>
        <v>1.494157205588051</v>
      </c>
      <c r="AE260" s="20"/>
      <c r="AF260" s="20" t="s">
        <v>55</v>
      </c>
      <c r="AG260" s="19">
        <v>0.39898705095410852</v>
      </c>
      <c r="AH260" s="19">
        <v>0.27438757205146913</v>
      </c>
      <c r="AI260" s="19">
        <v>0.19982053993164711</v>
      </c>
      <c r="AJ260" s="19">
        <v>9.4822398408091021E-2</v>
      </c>
      <c r="AK260" s="19">
        <v>0.23710405599155812</v>
      </c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</row>
    <row r="261" spans="1:52" x14ac:dyDescent="0.25">
      <c r="A261" s="7">
        <v>405</v>
      </c>
      <c r="B261" s="5">
        <v>150</v>
      </c>
      <c r="C261" s="6">
        <v>30</v>
      </c>
      <c r="D261" s="5">
        <v>20</v>
      </c>
      <c r="E261" s="4">
        <v>30</v>
      </c>
      <c r="F261" s="4">
        <f t="shared" si="188"/>
        <v>86</v>
      </c>
      <c r="G261" s="4">
        <v>4</v>
      </c>
      <c r="H261" s="4">
        <f t="shared" si="189"/>
        <v>7.6</v>
      </c>
      <c r="I261" s="4">
        <v>26.5</v>
      </c>
      <c r="J261" s="4">
        <f t="shared" si="190"/>
        <v>79.7</v>
      </c>
      <c r="K261" s="4">
        <v>3</v>
      </c>
      <c r="L261" s="4">
        <f t="shared" si="191"/>
        <v>5.3400000000000007</v>
      </c>
      <c r="M261" s="4">
        <f t="shared" si="192"/>
        <v>74.666666666666657</v>
      </c>
      <c r="N261" s="4">
        <f t="shared" si="193"/>
        <v>7.5333333333333456</v>
      </c>
      <c r="O261" s="4">
        <f t="shared" si="194"/>
        <v>17.8</v>
      </c>
      <c r="P261" s="22" t="s">
        <v>0</v>
      </c>
      <c r="Q261" s="2"/>
      <c r="R261" s="2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>
        <v>1.4208898677835422</v>
      </c>
      <c r="AE261" s="20"/>
      <c r="AF261" s="20" t="s">
        <v>66</v>
      </c>
      <c r="AG261" s="19">
        <v>0.39162455264398066</v>
      </c>
      <c r="AH261" s="19">
        <v>0.27388043638085791</v>
      </c>
      <c r="AI261" s="19">
        <v>0.19899076084315187</v>
      </c>
      <c r="AJ261" s="19">
        <v>9.0212265226156982E-2</v>
      </c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</row>
    <row r="262" spans="1:52" x14ac:dyDescent="0.25">
      <c r="A262" s="7">
        <v>405</v>
      </c>
      <c r="B262" s="5">
        <v>180</v>
      </c>
      <c r="C262" s="6">
        <v>30</v>
      </c>
      <c r="D262" s="5">
        <v>20</v>
      </c>
      <c r="E262" s="4">
        <v>30</v>
      </c>
      <c r="F262" s="4">
        <f t="shared" si="188"/>
        <v>86</v>
      </c>
      <c r="G262" s="4">
        <v>6</v>
      </c>
      <c r="H262" s="4">
        <f t="shared" si="189"/>
        <v>9.6</v>
      </c>
      <c r="I262" s="4">
        <v>26.5</v>
      </c>
      <c r="J262" s="4">
        <f t="shared" si="190"/>
        <v>79.7</v>
      </c>
      <c r="K262" s="4">
        <v>4</v>
      </c>
      <c r="L262" s="4">
        <f t="shared" si="191"/>
        <v>6.3400000000000007</v>
      </c>
      <c r="M262" s="4">
        <f t="shared" si="192"/>
        <v>68</v>
      </c>
      <c r="N262" s="4">
        <f t="shared" si="193"/>
        <v>10.866666666666674</v>
      </c>
      <c r="O262" s="4">
        <f t="shared" si="194"/>
        <v>21.133333333333333</v>
      </c>
      <c r="P262" s="22" t="s">
        <v>1</v>
      </c>
      <c r="Q262" s="2"/>
      <c r="R262" s="2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>
        <v>0.38021457268998343</v>
      </c>
      <c r="AE262" s="20"/>
      <c r="AF262" s="20" t="s">
        <v>58</v>
      </c>
      <c r="AG262" s="19">
        <v>0.36610861877578965</v>
      </c>
      <c r="AH262" s="19">
        <v>0.18096457464963045</v>
      </c>
      <c r="AI262" s="19">
        <v>0.10714352822726986</v>
      </c>
      <c r="AJ262" s="19">
        <v>5.6996611239118089E-2</v>
      </c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</row>
    <row r="263" spans="1:52" x14ac:dyDescent="0.25">
      <c r="T263" s="19"/>
      <c r="U263" s="19" t="s">
        <v>41</v>
      </c>
      <c r="V263" s="19" t="s">
        <v>40</v>
      </c>
      <c r="W263" s="19" t="s">
        <v>39</v>
      </c>
      <c r="X263" s="19" t="s">
        <v>38</v>
      </c>
      <c r="Y263" s="19" t="s">
        <v>37</v>
      </c>
      <c r="Z263" s="19" t="s">
        <v>36</v>
      </c>
      <c r="AA263" s="19" t="s">
        <v>35</v>
      </c>
      <c r="AB263" s="19"/>
      <c r="AC263" s="19"/>
      <c r="AD263" s="19">
        <v>3.9101080468209104</v>
      </c>
      <c r="AE263" s="19"/>
      <c r="AF263" s="20" t="s">
        <v>45</v>
      </c>
      <c r="AG263" s="19">
        <v>0.44825932689199977</v>
      </c>
      <c r="AH263" s="19">
        <v>0.35209580926694911</v>
      </c>
      <c r="AI263" s="19">
        <v>0.28221894389677804</v>
      </c>
      <c r="AJ263" s="19">
        <v>0.14970299723643465</v>
      </c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</row>
    <row r="264" spans="1:52" ht="51.75" x14ac:dyDescent="0.25">
      <c r="A264" s="8" t="s">
        <v>54</v>
      </c>
      <c r="B264" s="10" t="s">
        <v>53</v>
      </c>
      <c r="C264" s="14" t="s">
        <v>18</v>
      </c>
      <c r="D264" s="13" t="s">
        <v>17</v>
      </c>
      <c r="E264" s="12" t="s">
        <v>16</v>
      </c>
      <c r="F264" s="12" t="s">
        <v>15</v>
      </c>
      <c r="G264" s="12" t="s">
        <v>52</v>
      </c>
      <c r="H264" s="12" t="s">
        <v>51</v>
      </c>
      <c r="I264" s="12" t="s">
        <v>50</v>
      </c>
      <c r="J264" s="12" t="s">
        <v>49</v>
      </c>
      <c r="K264" s="12" t="s">
        <v>48</v>
      </c>
      <c r="L264" s="12" t="s">
        <v>47</v>
      </c>
      <c r="M264" s="11" t="s">
        <v>8</v>
      </c>
      <c r="N264" s="11" t="s">
        <v>7</v>
      </c>
      <c r="O264" s="11" t="s">
        <v>6</v>
      </c>
      <c r="P264" s="10" t="s">
        <v>5</v>
      </c>
      <c r="Q264" s="67" t="s">
        <v>4</v>
      </c>
      <c r="R264" s="68"/>
      <c r="T264" s="19"/>
      <c r="U264" s="19" t="s">
        <v>65</v>
      </c>
      <c r="V264" s="19" t="s">
        <v>65</v>
      </c>
      <c r="W264" s="19" t="s">
        <v>65</v>
      </c>
      <c r="X264" s="19" t="s">
        <v>65</v>
      </c>
      <c r="Y264" s="19" t="s">
        <v>65</v>
      </c>
      <c r="Z264" s="19" t="s">
        <v>65</v>
      </c>
      <c r="AA264" s="19" t="s">
        <v>65</v>
      </c>
      <c r="AB264" s="19"/>
      <c r="AC264" s="19"/>
      <c r="AD264" s="19"/>
      <c r="AE264" s="19"/>
      <c r="AF264" s="20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</row>
    <row r="265" spans="1:52" x14ac:dyDescent="0.25">
      <c r="A265" s="8"/>
      <c r="B265" s="10"/>
      <c r="C265" s="14"/>
      <c r="D265" s="13"/>
      <c r="E265" s="12"/>
      <c r="F265" s="12"/>
      <c r="G265" s="12"/>
      <c r="H265" s="12"/>
      <c r="I265" s="12"/>
      <c r="J265" s="12"/>
      <c r="K265" s="12"/>
      <c r="L265" s="12"/>
      <c r="M265" s="11"/>
      <c r="N265" s="11"/>
      <c r="O265" s="11"/>
      <c r="P265" s="10"/>
      <c r="Q265" s="9" t="s">
        <v>3</v>
      </c>
      <c r="R265" s="9" t="s">
        <v>2</v>
      </c>
      <c r="T265" s="19">
        <v>30</v>
      </c>
      <c r="U265" s="20">
        <v>2.2344916615377692</v>
      </c>
      <c r="V265" s="20">
        <v>1.2159807973196051</v>
      </c>
      <c r="W265" s="20">
        <v>1.4664178249953874</v>
      </c>
      <c r="X265" s="20">
        <v>1.4536968970073179</v>
      </c>
      <c r="Y265" s="20">
        <v>1.700025232318179</v>
      </c>
      <c r="Z265" s="20">
        <v>1.1906026856760308</v>
      </c>
      <c r="AA265" s="20">
        <v>1.5435358498090483</v>
      </c>
      <c r="AB265" s="19"/>
      <c r="AC265" s="19"/>
      <c r="AD265" s="20" t="s">
        <v>26</v>
      </c>
      <c r="AE265" s="19" t="s">
        <v>28</v>
      </c>
      <c r="AF265" s="19" t="s">
        <v>27</v>
      </c>
      <c r="AG265" s="19" t="s">
        <v>64</v>
      </c>
      <c r="AH265" s="19" t="s">
        <v>63</v>
      </c>
      <c r="AI265" s="19" t="s">
        <v>62</v>
      </c>
      <c r="AJ265" s="19" t="s">
        <v>61</v>
      </c>
      <c r="AK265" s="19" t="s">
        <v>46</v>
      </c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</row>
    <row r="266" spans="1:52" x14ac:dyDescent="0.25">
      <c r="A266" s="7">
        <v>406</v>
      </c>
      <c r="B266" s="5">
        <v>30</v>
      </c>
      <c r="C266" s="6">
        <v>30</v>
      </c>
      <c r="D266" s="5">
        <v>20</v>
      </c>
      <c r="E266" s="4">
        <v>28</v>
      </c>
      <c r="F266" s="4">
        <f t="shared" ref="F266:F271" si="195">1.8*E266+32</f>
        <v>82.4</v>
      </c>
      <c r="G266" s="4">
        <v>7</v>
      </c>
      <c r="H266" s="4">
        <f t="shared" ref="H266:H271" si="196">IF(F266&gt;68,G266+(F266-68)*0.2,BJ173-(68-F266)*0.2)</f>
        <v>9.8800000000000008</v>
      </c>
      <c r="I266" s="4">
        <v>26</v>
      </c>
      <c r="J266" s="4">
        <f t="shared" ref="J266:J271" si="197">1.8*I266+32</f>
        <v>78.800000000000011</v>
      </c>
      <c r="K266" s="4">
        <v>4</v>
      </c>
      <c r="L266" s="4">
        <f t="shared" ref="L266:L271" si="198">IF(J266&gt;68,K266+(J266-68)*0.2,K266-(68-J266)*0.2)</f>
        <v>6.1600000000000019</v>
      </c>
      <c r="M266" s="4">
        <f t="shared" ref="M266:M271" si="199">(C266-H266)/C266*100</f>
        <v>67.066666666666663</v>
      </c>
      <c r="N266" s="4">
        <f t="shared" ref="N266:N271" si="200">100-(M266+O266)</f>
        <v>12.400000000000006</v>
      </c>
      <c r="O266" s="4">
        <f t="shared" ref="O266:O271" si="201">L266/C266*100</f>
        <v>20.533333333333339</v>
      </c>
      <c r="P266" s="22" t="s">
        <v>1</v>
      </c>
      <c r="Q266" s="2"/>
      <c r="R266" s="2"/>
      <c r="T266" s="19">
        <v>45</v>
      </c>
      <c r="U266" s="20">
        <v>2.6529185068009369</v>
      </c>
      <c r="V266" s="20">
        <v>1.7886568233765292</v>
      </c>
      <c r="W266" s="20">
        <v>1.8960204844878612</v>
      </c>
      <c r="X266" s="20">
        <v>1.8563777411204749</v>
      </c>
      <c r="Y266" s="20">
        <v>2.5249759467515718</v>
      </c>
      <c r="Z266" s="20">
        <v>1.4923418147494885</v>
      </c>
      <c r="AA266" s="20">
        <v>2.0352152195478106</v>
      </c>
      <c r="AB266" s="19"/>
      <c r="AC266" s="19"/>
      <c r="AD266" s="20" t="s">
        <v>60</v>
      </c>
      <c r="AE266" s="20" t="s">
        <v>22</v>
      </c>
      <c r="AF266" s="20"/>
      <c r="AG266" s="19" t="s">
        <v>59</v>
      </c>
      <c r="AH266" s="19" t="s">
        <v>59</v>
      </c>
      <c r="AI266" s="19" t="s">
        <v>59</v>
      </c>
      <c r="AJ266" s="19" t="s">
        <v>59</v>
      </c>
      <c r="AK266" s="19" t="s">
        <v>59</v>
      </c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</row>
    <row r="267" spans="1:52" x14ac:dyDescent="0.25">
      <c r="A267" s="7">
        <v>406</v>
      </c>
      <c r="B267" s="5">
        <v>60</v>
      </c>
      <c r="C267" s="6">
        <v>30</v>
      </c>
      <c r="D267" s="5">
        <v>20</v>
      </c>
      <c r="E267" s="4">
        <v>27.5</v>
      </c>
      <c r="F267" s="4">
        <f t="shared" si="195"/>
        <v>81.5</v>
      </c>
      <c r="G267" s="4">
        <v>14</v>
      </c>
      <c r="H267" s="4">
        <f t="shared" si="196"/>
        <v>16.7</v>
      </c>
      <c r="I267" s="4">
        <v>25.5</v>
      </c>
      <c r="J267" s="4">
        <f t="shared" si="197"/>
        <v>77.900000000000006</v>
      </c>
      <c r="K267" s="4">
        <v>9</v>
      </c>
      <c r="L267" s="4">
        <f t="shared" si="198"/>
        <v>10.98</v>
      </c>
      <c r="M267" s="4">
        <f t="shared" si="199"/>
        <v>44.333333333333336</v>
      </c>
      <c r="N267" s="4">
        <f t="shared" si="200"/>
        <v>19.066666666666663</v>
      </c>
      <c r="O267" s="4">
        <f t="shared" si="201"/>
        <v>36.6</v>
      </c>
      <c r="P267" s="22" t="s">
        <v>1</v>
      </c>
      <c r="Q267" s="2"/>
      <c r="R267" s="2"/>
      <c r="T267" s="19">
        <v>60</v>
      </c>
      <c r="U267" s="20">
        <v>2.2296521367009063</v>
      </c>
      <c r="V267" s="20">
        <v>1.6776755330358706</v>
      </c>
      <c r="W267" s="20">
        <v>1.7096740145518798</v>
      </c>
      <c r="X267" s="20">
        <v>1.6283518466986675</v>
      </c>
      <c r="Y267" s="20">
        <v>2.7653967952603002</v>
      </c>
      <c r="Z267" s="20">
        <v>1.4845356361661237</v>
      </c>
      <c r="AA267" s="20">
        <v>1.9158809937356247</v>
      </c>
      <c r="AB267" s="19"/>
      <c r="AC267" s="19">
        <v>30</v>
      </c>
      <c r="AD267" s="21">
        <v>0.72195272219741746</v>
      </c>
      <c r="AE267" s="21">
        <v>2.1357479589642188E-2</v>
      </c>
      <c r="AF267" s="21">
        <v>1.2926174068755356</v>
      </c>
      <c r="AG267" s="21">
        <v>0.39848896795257832</v>
      </c>
      <c r="AH267" s="21">
        <v>0.23340165684398681</v>
      </c>
      <c r="AI267" s="21">
        <v>0.14967644518653275</v>
      </c>
      <c r="AJ267" s="21">
        <v>6.8057829502661871E-2</v>
      </c>
      <c r="AK267" s="21">
        <v>0.14967644518653275</v>
      </c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</row>
    <row r="268" spans="1:52" x14ac:dyDescent="0.25">
      <c r="A268" s="7">
        <v>406</v>
      </c>
      <c r="B268" s="5">
        <v>90</v>
      </c>
      <c r="C268" s="6">
        <v>30</v>
      </c>
      <c r="D268" s="5">
        <v>20</v>
      </c>
      <c r="E268" s="4">
        <v>27.5</v>
      </c>
      <c r="F268" s="4">
        <f t="shared" si="195"/>
        <v>81.5</v>
      </c>
      <c r="G268" s="4">
        <v>12</v>
      </c>
      <c r="H268" s="4">
        <f t="shared" si="196"/>
        <v>14.7</v>
      </c>
      <c r="I268" s="4">
        <v>26</v>
      </c>
      <c r="J268" s="4">
        <f t="shared" si="197"/>
        <v>78.800000000000011</v>
      </c>
      <c r="K268" s="4">
        <v>8</v>
      </c>
      <c r="L268" s="4">
        <f t="shared" si="198"/>
        <v>10.160000000000002</v>
      </c>
      <c r="M268" s="4">
        <f t="shared" si="199"/>
        <v>51</v>
      </c>
      <c r="N268" s="4">
        <f t="shared" si="200"/>
        <v>15.133333333333326</v>
      </c>
      <c r="O268" s="4">
        <f t="shared" si="201"/>
        <v>33.866666666666674</v>
      </c>
      <c r="P268" s="22" t="s">
        <v>1</v>
      </c>
      <c r="Q268" s="2"/>
      <c r="R268" s="2"/>
      <c r="T268" s="19">
        <v>90</v>
      </c>
      <c r="U268" s="20">
        <v>1.848741044454391</v>
      </c>
      <c r="V268" s="20">
        <v>0.90496416637540278</v>
      </c>
      <c r="W268" s="20">
        <v>1.0685689752798977</v>
      </c>
      <c r="X268" s="20">
        <v>1.2813565701239624</v>
      </c>
      <c r="Y268" s="20">
        <v>1.344133122931034</v>
      </c>
      <c r="Z268" s="20">
        <v>0.57006099767273022</v>
      </c>
      <c r="AA268" s="20">
        <v>1.169637479472903</v>
      </c>
      <c r="AB268" s="19"/>
      <c r="AC268" s="19">
        <v>45</v>
      </c>
      <c r="AD268" s="21">
        <v>1.062817650608691</v>
      </c>
      <c r="AE268" s="21">
        <v>1.9898942633691918E-2</v>
      </c>
      <c r="AF268" s="21">
        <v>1.3174071009484596</v>
      </c>
      <c r="AG268" s="21">
        <v>0.42441977157630445</v>
      </c>
      <c r="AH268" s="21">
        <v>0.25769337546507998</v>
      </c>
      <c r="AI268" s="21">
        <v>0.16617322057538739</v>
      </c>
      <c r="AJ268" s="21">
        <v>7.4496880512991526E-2</v>
      </c>
      <c r="AK268" s="21">
        <v>0.16617322057538739</v>
      </c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</row>
    <row r="269" spans="1:52" x14ac:dyDescent="0.25">
      <c r="A269" s="7">
        <v>406</v>
      </c>
      <c r="B269" s="5">
        <v>120</v>
      </c>
      <c r="C269" s="6">
        <v>30</v>
      </c>
      <c r="D269" s="5">
        <v>20</v>
      </c>
      <c r="E269" s="4">
        <v>28</v>
      </c>
      <c r="F269" s="4">
        <f t="shared" si="195"/>
        <v>82.4</v>
      </c>
      <c r="G269" s="4">
        <v>11</v>
      </c>
      <c r="H269" s="4">
        <f t="shared" si="196"/>
        <v>13.88</v>
      </c>
      <c r="I269" s="4">
        <v>26</v>
      </c>
      <c r="J269" s="4">
        <f t="shared" si="197"/>
        <v>78.800000000000011</v>
      </c>
      <c r="K269" s="4">
        <v>7</v>
      </c>
      <c r="L269" s="4">
        <f t="shared" si="198"/>
        <v>9.1600000000000019</v>
      </c>
      <c r="M269" s="4">
        <f t="shared" si="199"/>
        <v>53.73333333333332</v>
      </c>
      <c r="N269" s="4">
        <f t="shared" si="200"/>
        <v>15.733333333333348</v>
      </c>
      <c r="O269" s="4">
        <f t="shared" si="201"/>
        <v>30.533333333333339</v>
      </c>
      <c r="P269" s="22" t="s">
        <v>1</v>
      </c>
      <c r="Q269" s="2"/>
      <c r="R269" s="2"/>
      <c r="T269" s="19">
        <v>120</v>
      </c>
      <c r="U269" s="20">
        <v>1.3691222366551346</v>
      </c>
      <c r="V269" s="20">
        <v>0.9014280169059754</v>
      </c>
      <c r="W269" s="20">
        <v>0.69723748298796107</v>
      </c>
      <c r="X269" s="20">
        <v>0.97819679064747567</v>
      </c>
      <c r="Y269" s="20">
        <v>1.1760526909413263</v>
      </c>
      <c r="Z269" s="20">
        <v>0.83819358699880808</v>
      </c>
      <c r="AA269" s="20">
        <v>0.99337180085611354</v>
      </c>
      <c r="AB269" s="19" t="s">
        <v>58</v>
      </c>
      <c r="AC269" s="19">
        <v>60</v>
      </c>
      <c r="AD269" s="21">
        <v>0.59849256320812594</v>
      </c>
      <c r="AE269" s="21">
        <v>1.8399668561114534E-2</v>
      </c>
      <c r="AF269" s="21">
        <v>1.297029936297901</v>
      </c>
      <c r="AG269" s="21">
        <v>0.42163938206417145</v>
      </c>
      <c r="AH269" s="21">
        <v>0.23796643636440207</v>
      </c>
      <c r="AI269" s="21">
        <v>0.14815633375603163</v>
      </c>
      <c r="AJ269" s="21">
        <v>6.8028804602782156E-2</v>
      </c>
      <c r="AK269" s="21">
        <v>0.14815633375603163</v>
      </c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</row>
    <row r="270" spans="1:52" x14ac:dyDescent="0.25">
      <c r="A270" s="7">
        <v>406</v>
      </c>
      <c r="B270" s="5">
        <v>150</v>
      </c>
      <c r="C270" s="6">
        <v>30</v>
      </c>
      <c r="D270" s="5">
        <v>20</v>
      </c>
      <c r="E270" s="4">
        <v>29</v>
      </c>
      <c r="F270" s="4">
        <f t="shared" si="195"/>
        <v>84.2</v>
      </c>
      <c r="G270" s="4">
        <v>5</v>
      </c>
      <c r="H270" s="4">
        <f t="shared" si="196"/>
        <v>8.24</v>
      </c>
      <c r="I270" s="4">
        <v>26</v>
      </c>
      <c r="J270" s="4">
        <f t="shared" si="197"/>
        <v>78.800000000000011</v>
      </c>
      <c r="K270" s="4">
        <v>3.5</v>
      </c>
      <c r="L270" s="4">
        <f t="shared" si="198"/>
        <v>5.6600000000000019</v>
      </c>
      <c r="M270" s="4">
        <f t="shared" si="199"/>
        <v>72.533333333333331</v>
      </c>
      <c r="N270" s="4">
        <f t="shared" si="200"/>
        <v>8.5999999999999943</v>
      </c>
      <c r="O270" s="4">
        <f t="shared" si="201"/>
        <v>18.866666666666674</v>
      </c>
      <c r="P270" s="22" t="s">
        <v>0</v>
      </c>
      <c r="Q270" s="2"/>
      <c r="R270" s="2"/>
      <c r="T270" s="19">
        <v>150</v>
      </c>
      <c r="U270" s="20">
        <v>1.3454839619896561</v>
      </c>
      <c r="V270" s="20">
        <v>1.4779821596166922</v>
      </c>
      <c r="W270" s="20">
        <v>1.8062735698308177</v>
      </c>
      <c r="X270" s="20">
        <v>1.4434107261539797</v>
      </c>
      <c r="Y270" s="20">
        <v>2.2385964678089549</v>
      </c>
      <c r="Z270" s="20">
        <v>1.7089601992916204</v>
      </c>
      <c r="AA270" s="20">
        <v>1.6701178474486202</v>
      </c>
      <c r="AB270" s="19"/>
      <c r="AC270" s="19">
        <v>90</v>
      </c>
      <c r="AD270" s="21">
        <v>0.41209634085178021</v>
      </c>
      <c r="AE270" s="21">
        <v>1.9023919519496963E-2</v>
      </c>
      <c r="AF270" s="21">
        <v>1.274999457553166</v>
      </c>
      <c r="AG270" s="21">
        <v>0.38264263404924004</v>
      </c>
      <c r="AH270" s="21">
        <v>0.20155860297867492</v>
      </c>
      <c r="AI270" s="21">
        <v>0.1232031289164375</v>
      </c>
      <c r="AJ270" s="21">
        <v>5.8927180626103193E-2</v>
      </c>
      <c r="AK270" s="21">
        <v>0.1232031289164375</v>
      </c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</row>
    <row r="271" spans="1:52" x14ac:dyDescent="0.25">
      <c r="A271" s="7">
        <v>406</v>
      </c>
      <c r="B271" s="5">
        <v>180</v>
      </c>
      <c r="C271" s="6">
        <v>30</v>
      </c>
      <c r="D271" s="5">
        <v>20</v>
      </c>
      <c r="E271" s="4">
        <v>29</v>
      </c>
      <c r="F271" s="4">
        <f t="shared" si="195"/>
        <v>84.2</v>
      </c>
      <c r="G271" s="4">
        <v>4</v>
      </c>
      <c r="H271" s="4">
        <f t="shared" si="196"/>
        <v>7.24</v>
      </c>
      <c r="I271" s="4">
        <v>26</v>
      </c>
      <c r="J271" s="4">
        <f t="shared" si="197"/>
        <v>78.800000000000011</v>
      </c>
      <c r="K271" s="4">
        <v>3</v>
      </c>
      <c r="L271" s="4">
        <f t="shared" si="198"/>
        <v>5.1600000000000019</v>
      </c>
      <c r="M271" s="4">
        <f t="shared" si="199"/>
        <v>75.86666666666666</v>
      </c>
      <c r="N271" s="4">
        <f t="shared" si="200"/>
        <v>6.9333333333333371</v>
      </c>
      <c r="O271" s="4">
        <f t="shared" si="201"/>
        <v>17.200000000000006</v>
      </c>
      <c r="P271" s="22" t="s">
        <v>0</v>
      </c>
      <c r="Q271" s="18"/>
      <c r="R271" s="18"/>
      <c r="T271" s="19">
        <v>180</v>
      </c>
      <c r="U271" s="20">
        <v>2.1913683540812938</v>
      </c>
      <c r="V271" s="20">
        <v>1.1114042458520594</v>
      </c>
      <c r="W271" s="20">
        <v>1.6263399414946917</v>
      </c>
      <c r="X271" s="20">
        <v>1.2041170009750244</v>
      </c>
      <c r="Y271" s="20">
        <v>0.97078431173024859</v>
      </c>
      <c r="Z271" s="20">
        <v>0.96254783307479896</v>
      </c>
      <c r="AA271" s="20">
        <v>1.3444269478680198</v>
      </c>
      <c r="AB271" s="19"/>
      <c r="AC271" s="19">
        <v>120</v>
      </c>
      <c r="AD271" s="21">
        <v>0.38543287837368867</v>
      </c>
      <c r="AE271" s="21">
        <v>2.1997331516179806E-2</v>
      </c>
      <c r="AF271" s="21">
        <v>1.2619728162171469</v>
      </c>
      <c r="AG271" s="21">
        <v>0.37200062705849435</v>
      </c>
      <c r="AH271" s="21">
        <v>0.22671664135267017</v>
      </c>
      <c r="AI271" s="21">
        <v>0.15095753739708778</v>
      </c>
      <c r="AJ271" s="21">
        <v>6.8372310716729598E-2</v>
      </c>
      <c r="AK271" s="21">
        <v>0.15095753739708778</v>
      </c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</row>
    <row r="272" spans="1:52" x14ac:dyDescent="0.25">
      <c r="Q272" s="17"/>
      <c r="R272" s="17"/>
      <c r="T272" s="19">
        <v>210</v>
      </c>
      <c r="U272" s="20">
        <v>2.1913683540812938</v>
      </c>
      <c r="V272" s="20">
        <v>1.1114042458520594</v>
      </c>
      <c r="W272" s="20">
        <v>1.6263399414946917</v>
      </c>
      <c r="X272" s="20">
        <v>1.2041170009750244</v>
      </c>
      <c r="Y272" s="20">
        <v>0.97078431173024859</v>
      </c>
      <c r="Z272" s="20">
        <v>0.96254783307479896</v>
      </c>
      <c r="AA272" s="20">
        <v>1.3444269478680198</v>
      </c>
      <c r="AB272" s="19"/>
      <c r="AC272" s="19">
        <v>150</v>
      </c>
      <c r="AD272" s="21">
        <v>0.62390541975932667</v>
      </c>
      <c r="AE272" s="21">
        <v>2.468766411393598E-2</v>
      </c>
      <c r="AF272" s="21">
        <v>1.2900602686114395</v>
      </c>
      <c r="AG272" s="21">
        <v>0.36610861877578965</v>
      </c>
      <c r="AH272" s="21">
        <v>0.18096457464963045</v>
      </c>
      <c r="AI272" s="21">
        <v>0.10714352822726986</v>
      </c>
      <c r="AJ272" s="21">
        <v>5.6996611239118089E-2</v>
      </c>
      <c r="AK272" s="21">
        <v>0.10714352822726986</v>
      </c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</row>
    <row r="273" spans="1:52" ht="51.75" x14ac:dyDescent="0.25">
      <c r="A273" s="8" t="s">
        <v>54</v>
      </c>
      <c r="B273" s="10" t="s">
        <v>53</v>
      </c>
      <c r="C273" s="14" t="s">
        <v>18</v>
      </c>
      <c r="D273" s="13" t="s">
        <v>17</v>
      </c>
      <c r="E273" s="12" t="s">
        <v>16</v>
      </c>
      <c r="F273" s="12" t="s">
        <v>15</v>
      </c>
      <c r="G273" s="12" t="s">
        <v>52</v>
      </c>
      <c r="H273" s="12" t="s">
        <v>51</v>
      </c>
      <c r="I273" s="12" t="s">
        <v>50</v>
      </c>
      <c r="J273" s="12" t="s">
        <v>49</v>
      </c>
      <c r="K273" s="12" t="s">
        <v>48</v>
      </c>
      <c r="L273" s="12" t="s">
        <v>47</v>
      </c>
      <c r="M273" s="11" t="s">
        <v>8</v>
      </c>
      <c r="N273" s="11" t="s">
        <v>7</v>
      </c>
      <c r="O273" s="11" t="s">
        <v>6</v>
      </c>
      <c r="P273" s="10" t="s">
        <v>5</v>
      </c>
      <c r="Q273" s="67" t="s">
        <v>4</v>
      </c>
      <c r="R273" s="68"/>
      <c r="T273" s="19"/>
      <c r="U273" s="19"/>
      <c r="V273" s="19"/>
      <c r="W273" s="19"/>
      <c r="X273" s="19"/>
      <c r="Y273" s="19"/>
      <c r="Z273" s="19"/>
      <c r="AA273" s="19"/>
      <c r="AB273" s="19"/>
      <c r="AC273" s="19">
        <v>180</v>
      </c>
      <c r="AD273" s="21">
        <v>0.38021457268998343</v>
      </c>
      <c r="AE273" s="21">
        <v>2.2452256755337047E-2</v>
      </c>
      <c r="AF273" s="21">
        <v>1.256145653657343</v>
      </c>
      <c r="AG273" s="21">
        <v>0.37374069244588737</v>
      </c>
      <c r="AH273" s="21">
        <v>0.20845551101333687</v>
      </c>
      <c r="AI273" s="21">
        <v>0.13243105876715119</v>
      </c>
      <c r="AJ273" s="21">
        <v>6.1782020061289647E-2</v>
      </c>
      <c r="AK273" s="21">
        <v>0.13243105876715119</v>
      </c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</row>
    <row r="274" spans="1:52" x14ac:dyDescent="0.25">
      <c r="A274" s="8"/>
      <c r="B274" s="10"/>
      <c r="C274" s="14"/>
      <c r="D274" s="13"/>
      <c r="E274" s="12"/>
      <c r="F274" s="12"/>
      <c r="G274" s="12"/>
      <c r="H274" s="12"/>
      <c r="I274" s="12"/>
      <c r="J274" s="12"/>
      <c r="K274" s="12"/>
      <c r="L274" s="12"/>
      <c r="M274" s="11"/>
      <c r="N274" s="11"/>
      <c r="O274" s="11"/>
      <c r="P274" s="10"/>
      <c r="Q274" s="9" t="s">
        <v>3</v>
      </c>
      <c r="R274" s="9" t="s">
        <v>2</v>
      </c>
      <c r="T274" s="19"/>
      <c r="U274" s="19"/>
      <c r="V274" s="19"/>
      <c r="W274" s="19"/>
      <c r="X274" s="19"/>
      <c r="Y274" s="19"/>
      <c r="Z274" s="19"/>
      <c r="AA274" s="19"/>
      <c r="AB274" s="19"/>
      <c r="AC274" s="19">
        <v>210</v>
      </c>
      <c r="AD274" s="21">
        <v>0.38021457268998343</v>
      </c>
      <c r="AE274" s="21">
        <v>2.2452256755337047E-2</v>
      </c>
      <c r="AF274" s="21">
        <v>1.256145653657343</v>
      </c>
      <c r="AG274" s="21">
        <v>0.37374069244588737</v>
      </c>
      <c r="AH274" s="21">
        <v>0.20845551101333687</v>
      </c>
      <c r="AI274" s="21">
        <v>0.13243105876715119</v>
      </c>
      <c r="AJ274" s="21">
        <v>6.1782020061289647E-2</v>
      </c>
      <c r="AK274" s="21">
        <v>0.13243105876715119</v>
      </c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</row>
    <row r="275" spans="1:52" x14ac:dyDescent="0.25">
      <c r="A275" s="7">
        <v>407</v>
      </c>
      <c r="B275" s="5">
        <v>30</v>
      </c>
      <c r="C275" s="6">
        <v>30</v>
      </c>
      <c r="D275" s="5">
        <v>20</v>
      </c>
      <c r="E275" s="4">
        <v>27</v>
      </c>
      <c r="F275" s="4">
        <f t="shared" ref="F275:F280" si="202">1.8*E275+32</f>
        <v>80.599999999999994</v>
      </c>
      <c r="G275" s="4">
        <v>6</v>
      </c>
      <c r="H275" s="4">
        <f t="shared" ref="H275:H280" si="203">IF(F275&gt;68,G275+(F275-68)*0.2,AR173-(68-F275)*0.2)</f>
        <v>8.52</v>
      </c>
      <c r="I275" s="4">
        <v>24</v>
      </c>
      <c r="J275" s="4">
        <f t="shared" ref="J275:J280" si="204">1.8*I275+32</f>
        <v>75.2</v>
      </c>
      <c r="K275" s="4">
        <v>4</v>
      </c>
      <c r="L275" s="4">
        <f t="shared" ref="L275:L280" si="205">IF(J275&gt;68,K275+(J275-68)*0.2,K275-(68-J275)*0.2)</f>
        <v>5.44</v>
      </c>
      <c r="M275" s="4">
        <f t="shared" ref="M275:M280" si="206">(C275-H275)/C275*100</f>
        <v>71.599999999999994</v>
      </c>
      <c r="N275" s="4">
        <f t="shared" ref="N275:N280" si="207">100-(M275+O275)</f>
        <v>10.26666666666668</v>
      </c>
      <c r="O275" s="4">
        <f t="shared" ref="O275:O280" si="208">L275/C275*100</f>
        <v>18.133333333333333</v>
      </c>
      <c r="P275" s="22" t="s">
        <v>0</v>
      </c>
      <c r="Q275" s="2"/>
      <c r="R275" s="2"/>
      <c r="T275" s="19"/>
      <c r="U275" s="19" t="s">
        <v>41</v>
      </c>
      <c r="V275" s="19" t="s">
        <v>40</v>
      </c>
      <c r="W275" s="19" t="s">
        <v>39</v>
      </c>
      <c r="X275" s="19" t="s">
        <v>38</v>
      </c>
      <c r="Y275" s="19" t="s">
        <v>37</v>
      </c>
      <c r="Z275" s="19" t="s">
        <v>36</v>
      </c>
      <c r="AA275" s="19" t="s">
        <v>35</v>
      </c>
      <c r="AB275" s="19"/>
      <c r="AC275" s="19"/>
      <c r="AD275" s="20"/>
      <c r="AE275" s="20"/>
      <c r="AF275" s="20"/>
      <c r="AG275" s="20"/>
      <c r="AH275" s="20"/>
      <c r="AI275" s="20"/>
      <c r="AJ275" s="20"/>
      <c r="AK275" s="21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</row>
    <row r="276" spans="1:52" x14ac:dyDescent="0.25">
      <c r="A276" s="7">
        <v>407</v>
      </c>
      <c r="B276" s="5">
        <v>60</v>
      </c>
      <c r="C276" s="6">
        <v>30</v>
      </c>
      <c r="D276" s="5">
        <v>20</v>
      </c>
      <c r="E276" s="4">
        <v>27</v>
      </c>
      <c r="F276" s="4">
        <f t="shared" si="202"/>
        <v>80.599999999999994</v>
      </c>
      <c r="G276" s="4">
        <v>10</v>
      </c>
      <c r="H276" s="4">
        <f t="shared" si="203"/>
        <v>12.52</v>
      </c>
      <c r="I276" s="4">
        <v>24.5</v>
      </c>
      <c r="J276" s="4">
        <f t="shared" si="204"/>
        <v>76.099999999999994</v>
      </c>
      <c r="K276" s="4">
        <v>7</v>
      </c>
      <c r="L276" s="4">
        <f t="shared" si="205"/>
        <v>8.6199999999999992</v>
      </c>
      <c r="M276" s="4">
        <f t="shared" si="206"/>
        <v>58.266666666666666</v>
      </c>
      <c r="N276" s="4">
        <f t="shared" si="207"/>
        <v>13</v>
      </c>
      <c r="O276" s="4">
        <f t="shared" si="208"/>
        <v>28.733333333333334</v>
      </c>
      <c r="P276" s="22" t="s">
        <v>1</v>
      </c>
      <c r="Q276" s="2"/>
      <c r="R276" s="2"/>
      <c r="T276" s="19"/>
      <c r="U276" s="19" t="s">
        <v>57</v>
      </c>
      <c r="V276" s="19" t="s">
        <v>57</v>
      </c>
      <c r="W276" s="19" t="s">
        <v>57</v>
      </c>
      <c r="X276" s="19" t="s">
        <v>57</v>
      </c>
      <c r="Y276" s="19" t="s">
        <v>57</v>
      </c>
      <c r="Z276" s="19" t="s">
        <v>57</v>
      </c>
      <c r="AA276" s="19" t="s">
        <v>57</v>
      </c>
      <c r="AB276" s="19"/>
      <c r="AC276" s="19"/>
      <c r="AD276" s="20"/>
      <c r="AE276" s="20"/>
      <c r="AF276" s="20"/>
      <c r="AG276" s="19"/>
      <c r="AH276" s="19"/>
      <c r="AI276" s="19"/>
      <c r="AJ276" s="19"/>
      <c r="AK276" s="21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</row>
    <row r="277" spans="1:52" x14ac:dyDescent="0.25">
      <c r="A277" s="7">
        <v>407</v>
      </c>
      <c r="B277" s="5">
        <v>90</v>
      </c>
      <c r="C277" s="6">
        <v>30</v>
      </c>
      <c r="D277" s="5">
        <v>20</v>
      </c>
      <c r="E277" s="4">
        <v>26</v>
      </c>
      <c r="F277" s="4">
        <f t="shared" si="202"/>
        <v>78.800000000000011</v>
      </c>
      <c r="G277" s="4">
        <v>10</v>
      </c>
      <c r="H277" s="4">
        <f t="shared" si="203"/>
        <v>12.160000000000002</v>
      </c>
      <c r="I277" s="4">
        <v>24</v>
      </c>
      <c r="J277" s="4">
        <f t="shared" si="204"/>
        <v>75.2</v>
      </c>
      <c r="K277" s="4">
        <v>7</v>
      </c>
      <c r="L277" s="4">
        <f t="shared" si="205"/>
        <v>8.4400000000000013</v>
      </c>
      <c r="M277" s="4">
        <f t="shared" si="206"/>
        <v>59.466666666666654</v>
      </c>
      <c r="N277" s="4">
        <f t="shared" si="207"/>
        <v>12.400000000000006</v>
      </c>
      <c r="O277" s="4">
        <f t="shared" si="208"/>
        <v>28.133333333333336</v>
      </c>
      <c r="P277" s="22" t="s">
        <v>1</v>
      </c>
      <c r="Q277" s="2"/>
      <c r="R277" s="2"/>
      <c r="T277" s="19">
        <v>30</v>
      </c>
      <c r="U277" s="21">
        <v>7.8697128680902367E-2</v>
      </c>
      <c r="V277" s="21">
        <v>9.6601417164770775E-2</v>
      </c>
      <c r="W277" s="21">
        <v>9.6687469160330455E-2</v>
      </c>
      <c r="X277" s="21">
        <v>9.5181485314753206E-2</v>
      </c>
      <c r="Y277" s="21">
        <v>8.3432248207453708E-2</v>
      </c>
      <c r="Z277" s="21">
        <v>0.10952338679657131</v>
      </c>
      <c r="AA277" s="21">
        <v>9.3353855887463644E-2</v>
      </c>
      <c r="AB277" s="19"/>
      <c r="AC277" s="19">
        <v>30</v>
      </c>
      <c r="AD277" s="21">
        <v>1.6490828767386074</v>
      </c>
      <c r="AE277" s="21">
        <v>2.5470407329309944E-2</v>
      </c>
      <c r="AF277" s="21">
        <v>1.4417846756358972</v>
      </c>
      <c r="AG277" s="21">
        <v>0.40706434944047759</v>
      </c>
      <c r="AH277" s="21">
        <v>0.2758390159882268</v>
      </c>
      <c r="AI277" s="21">
        <v>0.19688553869898015</v>
      </c>
      <c r="AJ277" s="21">
        <v>9.0664047449672991E-2</v>
      </c>
      <c r="AK277" s="21">
        <v>0.23636227734360349</v>
      </c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</row>
    <row r="278" spans="1:52" x14ac:dyDescent="0.25">
      <c r="A278" s="7">
        <v>407</v>
      </c>
      <c r="B278" s="5">
        <v>120</v>
      </c>
      <c r="C278" s="6">
        <v>30</v>
      </c>
      <c r="D278" s="5">
        <v>20</v>
      </c>
      <c r="E278" s="4">
        <v>26.5</v>
      </c>
      <c r="F278" s="4">
        <f t="shared" si="202"/>
        <v>79.7</v>
      </c>
      <c r="G278" s="4">
        <v>12</v>
      </c>
      <c r="H278" s="4">
        <f t="shared" si="203"/>
        <v>14.34</v>
      </c>
      <c r="I278" s="4">
        <v>24</v>
      </c>
      <c r="J278" s="4">
        <f t="shared" si="204"/>
        <v>75.2</v>
      </c>
      <c r="K278" s="4">
        <v>8</v>
      </c>
      <c r="L278" s="4">
        <f t="shared" si="205"/>
        <v>9.4400000000000013</v>
      </c>
      <c r="M278" s="4">
        <f t="shared" si="206"/>
        <v>52.2</v>
      </c>
      <c r="N278" s="4">
        <f t="shared" si="207"/>
        <v>16.333333333333329</v>
      </c>
      <c r="O278" s="4">
        <f t="shared" si="208"/>
        <v>31.466666666666672</v>
      </c>
      <c r="P278" s="22" t="s">
        <v>1</v>
      </c>
      <c r="Q278" s="2"/>
      <c r="R278" s="2"/>
      <c r="T278" s="19">
        <v>45</v>
      </c>
      <c r="U278" s="21">
        <v>9.0579950390489272E-2</v>
      </c>
      <c r="V278" s="21">
        <v>9.5766798569186157E-2</v>
      </c>
      <c r="W278" s="21">
        <v>0.10101431942161736</v>
      </c>
      <c r="X278" s="21">
        <v>0.10318393698264922</v>
      </c>
      <c r="Y278" s="21">
        <v>8.6102248097594439E-2</v>
      </c>
      <c r="Z278" s="21">
        <v>0.1156401929169327</v>
      </c>
      <c r="AA278" s="21">
        <v>9.8714574396411514E-2</v>
      </c>
      <c r="AB278" s="19"/>
      <c r="AC278" s="19">
        <v>45</v>
      </c>
      <c r="AD278" s="21">
        <v>2.0956552722547821</v>
      </c>
      <c r="AE278" s="21">
        <v>2.3974198769277012E-2</v>
      </c>
      <c r="AF278" s="21">
        <v>1.4436054381934631</v>
      </c>
      <c r="AG278" s="21">
        <v>0.43454778560045826</v>
      </c>
      <c r="AH278" s="21">
        <v>0.29899967049744181</v>
      </c>
      <c r="AI278" s="21">
        <v>0.21367135753836106</v>
      </c>
      <c r="AJ278" s="21">
        <v>9.7670988654317517E-2</v>
      </c>
      <c r="AK278" s="21">
        <v>0.25633551401790144</v>
      </c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</row>
    <row r="279" spans="1:52" x14ac:dyDescent="0.25">
      <c r="A279" s="7">
        <v>407</v>
      </c>
      <c r="B279" s="5">
        <v>150</v>
      </c>
      <c r="C279" s="6">
        <v>30</v>
      </c>
      <c r="D279" s="5">
        <v>20</v>
      </c>
      <c r="E279" s="4">
        <v>27</v>
      </c>
      <c r="F279" s="4">
        <f t="shared" si="202"/>
        <v>80.599999999999994</v>
      </c>
      <c r="G279" s="4">
        <v>7</v>
      </c>
      <c r="H279" s="4">
        <f t="shared" si="203"/>
        <v>9.52</v>
      </c>
      <c r="I279" s="4">
        <v>24.5</v>
      </c>
      <c r="J279" s="4">
        <f t="shared" si="204"/>
        <v>76.099999999999994</v>
      </c>
      <c r="K279" s="4">
        <v>5</v>
      </c>
      <c r="L279" s="4">
        <f t="shared" si="205"/>
        <v>6.6199999999999992</v>
      </c>
      <c r="M279" s="4">
        <f t="shared" si="206"/>
        <v>68.266666666666666</v>
      </c>
      <c r="N279" s="4">
        <f t="shared" si="207"/>
        <v>9.6666666666666714</v>
      </c>
      <c r="O279" s="4">
        <f t="shared" si="208"/>
        <v>22.066666666666666</v>
      </c>
      <c r="P279" s="22" t="s">
        <v>1</v>
      </c>
      <c r="Q279" s="2"/>
      <c r="R279" s="2"/>
      <c r="T279" s="19">
        <v>60</v>
      </c>
      <c r="U279" s="21">
        <v>0.10093813335676929</v>
      </c>
      <c r="V279" s="21">
        <v>9.5173324942662785E-2</v>
      </c>
      <c r="W279" s="21">
        <v>0.10449294076366165</v>
      </c>
      <c r="X279" s="21">
        <v>0.11019844763710572</v>
      </c>
      <c r="Y279" s="21">
        <v>8.7891101001255745E-2</v>
      </c>
      <c r="Z279" s="21">
        <v>0.11924235915275833</v>
      </c>
      <c r="AA279" s="21">
        <v>0.10298938447570226</v>
      </c>
      <c r="AB279" s="19"/>
      <c r="AC279" s="19">
        <v>60</v>
      </c>
      <c r="AD279" s="21">
        <v>1.8870101461657325</v>
      </c>
      <c r="AE279" s="21">
        <v>2.3644172945931324E-2</v>
      </c>
      <c r="AF279" s="21">
        <v>1.4330334187577431</v>
      </c>
      <c r="AG279" s="21">
        <v>0.43118071631308336</v>
      </c>
      <c r="AH279" s="21">
        <v>0.30122904417858254</v>
      </c>
      <c r="AI279" s="21">
        <v>0.21899488153657254</v>
      </c>
      <c r="AJ279" s="21">
        <v>0.10344957280722902</v>
      </c>
      <c r="AK279" s="21">
        <v>0.26011196285757754</v>
      </c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</row>
    <row r="280" spans="1:52" x14ac:dyDescent="0.25">
      <c r="A280" s="7">
        <v>407</v>
      </c>
      <c r="B280" s="5">
        <v>180</v>
      </c>
      <c r="C280" s="6">
        <v>30</v>
      </c>
      <c r="D280" s="5">
        <v>20</v>
      </c>
      <c r="E280" s="4">
        <v>27</v>
      </c>
      <c r="F280" s="4">
        <f t="shared" si="202"/>
        <v>80.599999999999994</v>
      </c>
      <c r="G280" s="4">
        <v>8</v>
      </c>
      <c r="H280" s="4">
        <f t="shared" si="203"/>
        <v>10.52</v>
      </c>
      <c r="I280" s="4">
        <v>25</v>
      </c>
      <c r="J280" s="4">
        <f t="shared" si="204"/>
        <v>77</v>
      </c>
      <c r="K280" s="4">
        <v>5.5</v>
      </c>
      <c r="L280" s="4">
        <f t="shared" si="205"/>
        <v>7.3</v>
      </c>
      <c r="M280" s="4">
        <f t="shared" si="206"/>
        <v>64.933333333333337</v>
      </c>
      <c r="N280" s="4">
        <f t="shared" si="207"/>
        <v>10.733333333333334</v>
      </c>
      <c r="O280" s="4">
        <f t="shared" si="208"/>
        <v>24.333333333333332</v>
      </c>
      <c r="P280" s="22" t="s">
        <v>56</v>
      </c>
      <c r="Q280" s="2"/>
      <c r="R280" s="2"/>
      <c r="T280" s="19">
        <v>90</v>
      </c>
      <c r="U280" s="21">
        <v>9.3760209456026922E-2</v>
      </c>
      <c r="V280" s="21">
        <v>0.10462057975864476</v>
      </c>
      <c r="W280" s="21">
        <v>0.10905197705202566</v>
      </c>
      <c r="X280" s="21">
        <v>0.10420586665026794</v>
      </c>
      <c r="Y280" s="21">
        <v>9.6256780286436985E-2</v>
      </c>
      <c r="Z280" s="21">
        <v>0.12855241329610656</v>
      </c>
      <c r="AA280" s="21">
        <v>0.10607463774991814</v>
      </c>
      <c r="AB280" s="19" t="s">
        <v>55</v>
      </c>
      <c r="AC280" s="19">
        <v>90</v>
      </c>
      <c r="AD280" s="21">
        <v>1.0290879105949604</v>
      </c>
      <c r="AE280" s="21">
        <v>2.3785502070302257E-2</v>
      </c>
      <c r="AF280" s="21">
        <v>1.3718808392923008</v>
      </c>
      <c r="AG280" s="21">
        <v>0.39969465091352169</v>
      </c>
      <c r="AH280" s="21">
        <v>0.29222521971715992</v>
      </c>
      <c r="AI280" s="21">
        <v>0.22227528990248036</v>
      </c>
      <c r="AJ280" s="21">
        <v>0.11004182885121128</v>
      </c>
      <c r="AK280" s="21">
        <v>0.25725025480982011</v>
      </c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</row>
    <row r="281" spans="1:52" x14ac:dyDescent="0.25">
      <c r="T281" s="19">
        <v>120</v>
      </c>
      <c r="U281" s="21">
        <v>8.1948154574312565E-2</v>
      </c>
      <c r="V281" s="21">
        <v>9.6879189203944074E-2</v>
      </c>
      <c r="W281" s="21">
        <v>0.11453390851901016</v>
      </c>
      <c r="X281" s="21">
        <v>0.10176686517172012</v>
      </c>
      <c r="Y281" s="21">
        <v>9.2322896374658986E-2</v>
      </c>
      <c r="Z281" s="21">
        <v>0.10318041913305608</v>
      </c>
      <c r="AA281" s="21">
        <v>9.8438572162783677E-2</v>
      </c>
      <c r="AB281" s="19"/>
      <c r="AC281" s="19">
        <v>120</v>
      </c>
      <c r="AD281" s="21">
        <v>0.96633063868824887</v>
      </c>
      <c r="AE281" s="21">
        <v>2.6357515343417251E-2</v>
      </c>
      <c r="AF281" s="21">
        <v>1.3674366349700762</v>
      </c>
      <c r="AG281" s="21">
        <v>0.38183116288601321</v>
      </c>
      <c r="AH281" s="21">
        <v>0.27254836346569178</v>
      </c>
      <c r="AI281" s="21">
        <v>0.20551594203997206</v>
      </c>
      <c r="AJ281" s="21">
        <v>0.10005091709233513</v>
      </c>
      <c r="AK281" s="21">
        <v>0.23903215275283191</v>
      </c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</row>
    <row r="282" spans="1:52" ht="51.75" x14ac:dyDescent="0.25">
      <c r="A282" s="8" t="s">
        <v>54</v>
      </c>
      <c r="B282" s="10" t="s">
        <v>53</v>
      </c>
      <c r="C282" s="14" t="s">
        <v>18</v>
      </c>
      <c r="D282" s="13" t="s">
        <v>17</v>
      </c>
      <c r="E282" s="12" t="s">
        <v>16</v>
      </c>
      <c r="F282" s="12" t="s">
        <v>15</v>
      </c>
      <c r="G282" s="12" t="s">
        <v>52</v>
      </c>
      <c r="H282" s="12" t="s">
        <v>51</v>
      </c>
      <c r="I282" s="12" t="s">
        <v>50</v>
      </c>
      <c r="J282" s="12" t="s">
        <v>49</v>
      </c>
      <c r="K282" s="12" t="s">
        <v>48</v>
      </c>
      <c r="L282" s="12" t="s">
        <v>47</v>
      </c>
      <c r="M282" s="11" t="s">
        <v>8</v>
      </c>
      <c r="N282" s="11" t="s">
        <v>7</v>
      </c>
      <c r="O282" s="11" t="s">
        <v>6</v>
      </c>
      <c r="P282" s="10" t="s">
        <v>5</v>
      </c>
      <c r="Q282" s="67" t="s">
        <v>4</v>
      </c>
      <c r="R282" s="68"/>
      <c r="T282" s="19">
        <v>150</v>
      </c>
      <c r="U282" s="21">
        <v>8.6444081051890442E-2</v>
      </c>
      <c r="V282" s="21">
        <v>7.3731160596356454E-2</v>
      </c>
      <c r="W282" s="21">
        <v>7.7806229522362103E-2</v>
      </c>
      <c r="X282" s="21">
        <v>8.1482949672929975E-2</v>
      </c>
      <c r="Y282" s="21">
        <v>7.9954088669646151E-2</v>
      </c>
      <c r="Z282" s="21">
        <v>7.1042902120650175E-2</v>
      </c>
      <c r="AA282" s="21">
        <v>7.8410235272305881E-2</v>
      </c>
      <c r="AB282" s="19"/>
      <c r="AC282" s="19">
        <v>150</v>
      </c>
      <c r="AD282" s="21">
        <v>1.5123751710816724</v>
      </c>
      <c r="AE282" s="21">
        <v>2.8533405410858557E-2</v>
      </c>
      <c r="AF282" s="21">
        <v>1.4550157357122582</v>
      </c>
      <c r="AG282" s="21">
        <v>0.37759351024483451</v>
      </c>
      <c r="AH282" s="21">
        <v>0.24549798326211378</v>
      </c>
      <c r="AI282" s="21">
        <v>0.17395857982518298</v>
      </c>
      <c r="AJ282" s="21">
        <v>8.1067721483379429E-2</v>
      </c>
      <c r="AK282" s="21">
        <v>0.20972828154364836</v>
      </c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</row>
    <row r="283" spans="1:52" x14ac:dyDescent="0.25">
      <c r="A283" s="8"/>
      <c r="B283" s="10"/>
      <c r="C283" s="14"/>
      <c r="D283" s="13"/>
      <c r="E283" s="12"/>
      <c r="F283" s="12"/>
      <c r="G283" s="12"/>
      <c r="H283" s="12"/>
      <c r="I283" s="12"/>
      <c r="J283" s="12"/>
      <c r="K283" s="12"/>
      <c r="L283" s="12"/>
      <c r="M283" s="11"/>
      <c r="N283" s="11"/>
      <c r="O283" s="11"/>
      <c r="P283" s="10"/>
      <c r="Q283" s="9" t="s">
        <v>3</v>
      </c>
      <c r="R283" s="9" t="s">
        <v>2</v>
      </c>
      <c r="T283" s="19">
        <v>180</v>
      </c>
      <c r="U283" s="21">
        <v>6.8366354990466588E-2</v>
      </c>
      <c r="V283" s="21">
        <v>9.5638617376895135E-2</v>
      </c>
      <c r="W283" s="21">
        <v>7.971861414161549E-2</v>
      </c>
      <c r="X283" s="21">
        <v>9.1135636707800727E-2</v>
      </c>
      <c r="Y283" s="21">
        <v>9.9266460245968996E-2</v>
      </c>
      <c r="Z283" s="21">
        <v>9.4460911408425427E-2</v>
      </c>
      <c r="AA283" s="21">
        <v>8.8097765811862058E-2</v>
      </c>
      <c r="AB283" s="19"/>
      <c r="AC283" s="19">
        <v>180</v>
      </c>
      <c r="AD283" s="21">
        <v>1.4068578145902011</v>
      </c>
      <c r="AE283" s="21">
        <v>2.7457080103767711E-2</v>
      </c>
      <c r="AF283" s="21">
        <v>1.4363031663131882</v>
      </c>
      <c r="AG283" s="21">
        <v>0.3799921161172386</v>
      </c>
      <c r="AH283" s="21">
        <v>0.25438063965126811</v>
      </c>
      <c r="AI283" s="21">
        <v>0.18363136495581378</v>
      </c>
      <c r="AJ283" s="21">
        <v>8.7817055463291188E-2</v>
      </c>
      <c r="AK283" s="21">
        <v>0.21900600230354095</v>
      </c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</row>
    <row r="284" spans="1:52" x14ac:dyDescent="0.25">
      <c r="A284" s="7">
        <v>408</v>
      </c>
      <c r="B284" s="5">
        <v>30</v>
      </c>
      <c r="C284" s="6">
        <v>30</v>
      </c>
      <c r="D284" s="5">
        <v>20</v>
      </c>
      <c r="E284" s="4">
        <v>26</v>
      </c>
      <c r="F284" s="4">
        <f t="shared" ref="F284:F289" si="209">1.8*E284+32</f>
        <v>78.800000000000011</v>
      </c>
      <c r="G284" s="4">
        <v>7</v>
      </c>
      <c r="H284" s="4">
        <f t="shared" ref="H284:H289" si="210">IF(F284&gt;68,G284+(F284-68)*0.2,Z173-(68-F284)*0.2)</f>
        <v>9.1600000000000019</v>
      </c>
      <c r="I284" s="4">
        <v>23.5</v>
      </c>
      <c r="J284" s="4">
        <f t="shared" ref="J284:J289" si="211">1.8*I284+32</f>
        <v>74.300000000000011</v>
      </c>
      <c r="K284" s="4">
        <v>5</v>
      </c>
      <c r="L284" s="4">
        <f t="shared" ref="L284:L289" si="212">IF(J284&gt;68,K284+(J284-68)*0.2,K284-(68-J284)*0.2)</f>
        <v>6.2600000000000025</v>
      </c>
      <c r="M284" s="4">
        <f t="shared" ref="M284:M289" si="213">(C284-H284)/C284*100</f>
        <v>69.466666666666654</v>
      </c>
      <c r="N284" s="4">
        <f t="shared" ref="N284:N289" si="214">100-(M284+O284)</f>
        <v>9.6666666666666714</v>
      </c>
      <c r="O284" s="4">
        <f t="shared" ref="O284:O289" si="215">L284/C284*100</f>
        <v>20.866666666666674</v>
      </c>
      <c r="P284" s="22" t="s">
        <v>1</v>
      </c>
      <c r="Q284" s="2"/>
      <c r="R284" s="2"/>
      <c r="T284" s="19">
        <v>210</v>
      </c>
      <c r="U284" s="21">
        <v>6.8366354990466588E-2</v>
      </c>
      <c r="V284" s="21">
        <v>9.5638617376895135E-2</v>
      </c>
      <c r="W284" s="21">
        <v>7.971861414161549E-2</v>
      </c>
      <c r="X284" s="21">
        <v>9.1135636707800727E-2</v>
      </c>
      <c r="Y284" s="21">
        <v>9.9266460245968996E-2</v>
      </c>
      <c r="Z284" s="21">
        <v>9.4460911408425427E-2</v>
      </c>
      <c r="AA284" s="21">
        <v>8.8097765811862058E-2</v>
      </c>
      <c r="AB284" s="19"/>
      <c r="AC284" s="19">
        <v>210</v>
      </c>
      <c r="AD284" s="21">
        <v>1.4068578145902011</v>
      </c>
      <c r="AE284" s="21">
        <v>2.7457080103767711E-2</v>
      </c>
      <c r="AF284" s="21">
        <v>1.4363031663131882</v>
      </c>
      <c r="AG284" s="21">
        <v>0.3799921161172386</v>
      </c>
      <c r="AH284" s="21">
        <v>0.25438063965126811</v>
      </c>
      <c r="AI284" s="21">
        <v>0.18363136495581378</v>
      </c>
      <c r="AJ284" s="21">
        <v>8.7817055463291188E-2</v>
      </c>
      <c r="AK284" s="21">
        <v>0.21900600230354095</v>
      </c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</row>
    <row r="285" spans="1:52" x14ac:dyDescent="0.25">
      <c r="A285" s="7">
        <v>408</v>
      </c>
      <c r="B285" s="5">
        <v>60</v>
      </c>
      <c r="C285" s="6">
        <v>30</v>
      </c>
      <c r="D285" s="5">
        <v>20</v>
      </c>
      <c r="E285" s="4">
        <v>25</v>
      </c>
      <c r="F285" s="4">
        <f t="shared" si="209"/>
        <v>77</v>
      </c>
      <c r="G285" s="4">
        <v>9</v>
      </c>
      <c r="H285" s="4">
        <f t="shared" si="210"/>
        <v>10.8</v>
      </c>
      <c r="I285" s="4">
        <v>24</v>
      </c>
      <c r="J285" s="4">
        <f t="shared" si="211"/>
        <v>75.2</v>
      </c>
      <c r="K285" s="4">
        <v>6</v>
      </c>
      <c r="L285" s="4">
        <f t="shared" si="212"/>
        <v>7.44</v>
      </c>
      <c r="M285" s="4">
        <f t="shared" si="213"/>
        <v>64</v>
      </c>
      <c r="N285" s="4">
        <f t="shared" si="214"/>
        <v>11.199999999999989</v>
      </c>
      <c r="O285" s="4">
        <f t="shared" si="215"/>
        <v>24.800000000000004</v>
      </c>
      <c r="P285" s="22" t="s">
        <v>1</v>
      </c>
      <c r="Q285" s="2"/>
      <c r="R285" s="2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20"/>
      <c r="AE285" s="20"/>
      <c r="AF285" s="20"/>
      <c r="AG285" s="19"/>
      <c r="AH285" s="19"/>
      <c r="AI285" s="19"/>
      <c r="AJ285" s="19"/>
      <c r="AK285" s="21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</row>
    <row r="286" spans="1:52" x14ac:dyDescent="0.25">
      <c r="A286" s="7">
        <v>408</v>
      </c>
      <c r="B286" s="5">
        <v>90</v>
      </c>
      <c r="C286" s="6">
        <v>30</v>
      </c>
      <c r="D286" s="5">
        <v>20</v>
      </c>
      <c r="E286" s="4">
        <v>26</v>
      </c>
      <c r="F286" s="4">
        <f t="shared" si="209"/>
        <v>78.800000000000011</v>
      </c>
      <c r="G286" s="4">
        <v>13</v>
      </c>
      <c r="H286" s="4">
        <f t="shared" si="210"/>
        <v>15.160000000000002</v>
      </c>
      <c r="I286" s="4">
        <v>24</v>
      </c>
      <c r="J286" s="4">
        <f t="shared" si="211"/>
        <v>75.2</v>
      </c>
      <c r="K286" s="4">
        <v>9</v>
      </c>
      <c r="L286" s="4">
        <f t="shared" si="212"/>
        <v>10.440000000000001</v>
      </c>
      <c r="M286" s="4">
        <f t="shared" si="213"/>
        <v>49.466666666666661</v>
      </c>
      <c r="N286" s="4">
        <f t="shared" si="214"/>
        <v>15.733333333333334</v>
      </c>
      <c r="O286" s="4">
        <f t="shared" si="215"/>
        <v>34.800000000000004</v>
      </c>
      <c r="P286" s="22" t="s">
        <v>1</v>
      </c>
      <c r="Q286" s="2"/>
      <c r="R286" s="2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20"/>
      <c r="AE286" s="20"/>
      <c r="AF286" s="20"/>
      <c r="AG286" s="19"/>
      <c r="AH286" s="19"/>
      <c r="AI286" s="19"/>
      <c r="AJ286" s="19"/>
      <c r="AK286" s="21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</row>
    <row r="287" spans="1:52" x14ac:dyDescent="0.25">
      <c r="A287" s="7">
        <v>408</v>
      </c>
      <c r="B287" s="5">
        <v>120</v>
      </c>
      <c r="C287" s="6">
        <v>30</v>
      </c>
      <c r="D287" s="5">
        <v>20</v>
      </c>
      <c r="E287" s="4">
        <v>27</v>
      </c>
      <c r="F287" s="4">
        <f t="shared" si="209"/>
        <v>80.599999999999994</v>
      </c>
      <c r="G287" s="4">
        <v>11</v>
      </c>
      <c r="H287" s="4">
        <f t="shared" si="210"/>
        <v>13.52</v>
      </c>
      <c r="I287" s="4">
        <v>24</v>
      </c>
      <c r="J287" s="4">
        <f t="shared" si="211"/>
        <v>75.2</v>
      </c>
      <c r="K287" s="4">
        <v>8</v>
      </c>
      <c r="L287" s="4">
        <f t="shared" si="212"/>
        <v>9.4400000000000013</v>
      </c>
      <c r="M287" s="4">
        <f t="shared" si="213"/>
        <v>54.933333333333337</v>
      </c>
      <c r="N287" s="4">
        <f t="shared" si="214"/>
        <v>13.599999999999994</v>
      </c>
      <c r="O287" s="4">
        <f t="shared" si="215"/>
        <v>31.466666666666672</v>
      </c>
      <c r="P287" s="22" t="s">
        <v>1</v>
      </c>
      <c r="Q287" s="2"/>
      <c r="R287" s="2"/>
      <c r="T287" s="19"/>
      <c r="U287" s="19" t="s">
        <v>41</v>
      </c>
      <c r="V287" s="19" t="s">
        <v>40</v>
      </c>
      <c r="W287" s="19" t="s">
        <v>39</v>
      </c>
      <c r="X287" s="19" t="s">
        <v>38</v>
      </c>
      <c r="Y287" s="19" t="s">
        <v>37</v>
      </c>
      <c r="Z287" s="19" t="s">
        <v>36</v>
      </c>
      <c r="AA287" s="19" t="s">
        <v>35</v>
      </c>
      <c r="AB287" s="19"/>
      <c r="AC287" s="19">
        <v>30</v>
      </c>
      <c r="AD287" s="21">
        <v>2.7795773129496548</v>
      </c>
      <c r="AE287" s="21">
        <v>2.857524745678602E-2</v>
      </c>
      <c r="AF287" s="21">
        <v>1.5842364453109619</v>
      </c>
      <c r="AG287" s="21">
        <v>0.42025405777141295</v>
      </c>
      <c r="AH287" s="21">
        <v>0.32972836685536211</v>
      </c>
      <c r="AI287" s="21">
        <v>0.26303314420578616</v>
      </c>
      <c r="AJ287" s="21">
        <v>0.13845324465645811</v>
      </c>
      <c r="AK287" s="21">
        <v>0.29638075553057414</v>
      </c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</row>
    <row r="288" spans="1:52" x14ac:dyDescent="0.25">
      <c r="A288" s="7">
        <v>408</v>
      </c>
      <c r="B288" s="5">
        <v>150</v>
      </c>
      <c r="C288" s="6">
        <v>30</v>
      </c>
      <c r="D288" s="5">
        <v>20</v>
      </c>
      <c r="E288" s="4">
        <v>26</v>
      </c>
      <c r="F288" s="4">
        <f t="shared" si="209"/>
        <v>78.800000000000011</v>
      </c>
      <c r="G288" s="4">
        <v>6</v>
      </c>
      <c r="H288" s="4">
        <f t="shared" si="210"/>
        <v>8.1600000000000019</v>
      </c>
      <c r="I288" s="4">
        <v>23</v>
      </c>
      <c r="J288" s="4">
        <f t="shared" si="211"/>
        <v>73.400000000000006</v>
      </c>
      <c r="K288" s="4">
        <v>4</v>
      </c>
      <c r="L288" s="4">
        <f t="shared" si="212"/>
        <v>5.080000000000001</v>
      </c>
      <c r="M288" s="4">
        <f t="shared" si="213"/>
        <v>72.799999999999983</v>
      </c>
      <c r="N288" s="4">
        <f t="shared" si="214"/>
        <v>10.26666666666668</v>
      </c>
      <c r="O288" s="4">
        <f t="shared" si="215"/>
        <v>16.933333333333337</v>
      </c>
      <c r="P288" s="22" t="s">
        <v>0</v>
      </c>
      <c r="Q288" s="2"/>
      <c r="R288" s="2"/>
      <c r="T288" s="19"/>
      <c r="U288" s="19" t="s">
        <v>46</v>
      </c>
      <c r="V288" s="19" t="s">
        <v>46</v>
      </c>
      <c r="W288" s="19" t="s">
        <v>46</v>
      </c>
      <c r="X288" s="19" t="s">
        <v>46</v>
      </c>
      <c r="Y288" s="19" t="s">
        <v>46</v>
      </c>
      <c r="Z288" s="19" t="s">
        <v>46</v>
      </c>
      <c r="AA288" s="19" t="s">
        <v>46</v>
      </c>
      <c r="AB288" s="19"/>
      <c r="AC288" s="19">
        <v>45</v>
      </c>
      <c r="AD288" s="21">
        <v>3.6223362187892363</v>
      </c>
      <c r="AE288" s="21">
        <v>2.7496663571640354E-2</v>
      </c>
      <c r="AF288" s="21">
        <v>1.5870112302999828</v>
      </c>
      <c r="AG288" s="21">
        <v>0.44825932689199977</v>
      </c>
      <c r="AH288" s="21">
        <v>0.34397215046641966</v>
      </c>
      <c r="AI288" s="21">
        <v>0.27039338131840462</v>
      </c>
      <c r="AJ288" s="21">
        <v>0.13881670755307129</v>
      </c>
      <c r="AK288" s="21">
        <v>0.30718276589241211</v>
      </c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</row>
    <row r="289" spans="1:52" x14ac:dyDescent="0.25">
      <c r="A289" s="7">
        <v>408</v>
      </c>
      <c r="B289" s="5">
        <v>180</v>
      </c>
      <c r="C289" s="6">
        <v>30</v>
      </c>
      <c r="D289" s="5">
        <v>20</v>
      </c>
      <c r="E289" s="4">
        <v>26</v>
      </c>
      <c r="F289" s="4">
        <f t="shared" si="209"/>
        <v>78.800000000000011</v>
      </c>
      <c r="G289" s="4">
        <v>4</v>
      </c>
      <c r="H289" s="4">
        <f t="shared" si="210"/>
        <v>6.1600000000000019</v>
      </c>
      <c r="I289" s="4">
        <v>24</v>
      </c>
      <c r="J289" s="4">
        <f t="shared" si="211"/>
        <v>75.2</v>
      </c>
      <c r="K289" s="4">
        <v>3</v>
      </c>
      <c r="L289" s="4">
        <f t="shared" si="212"/>
        <v>4.4400000000000004</v>
      </c>
      <c r="M289" s="4">
        <f t="shared" si="213"/>
        <v>79.466666666666654</v>
      </c>
      <c r="N289" s="4">
        <f t="shared" si="214"/>
        <v>5.7333333333333485</v>
      </c>
      <c r="O289" s="4">
        <f t="shared" si="215"/>
        <v>14.800000000000002</v>
      </c>
      <c r="P289" s="22" t="s">
        <v>0</v>
      </c>
      <c r="Q289" s="2"/>
      <c r="R289" s="2"/>
      <c r="T289" s="19">
        <v>30</v>
      </c>
      <c r="U289" s="21">
        <v>0.21553405608833509</v>
      </c>
      <c r="V289" s="21">
        <v>0.24921291984291427</v>
      </c>
      <c r="W289" s="21">
        <v>0.24441198743139544</v>
      </c>
      <c r="X289" s="21">
        <v>0.24444617659731013</v>
      </c>
      <c r="Y289" s="21">
        <v>0.22815241725572252</v>
      </c>
      <c r="Z289" s="21">
        <v>0.26434833916996897</v>
      </c>
      <c r="AA289" s="21">
        <v>0.24101764939760775</v>
      </c>
      <c r="AB289" s="19"/>
      <c r="AC289" s="19">
        <v>60</v>
      </c>
      <c r="AD289" s="21">
        <v>3.9101080468209104</v>
      </c>
      <c r="AE289" s="21">
        <v>2.8845628102960472E-2</v>
      </c>
      <c r="AF289" s="21">
        <v>1.634970797290263</v>
      </c>
      <c r="AG289" s="21">
        <v>0.44610091522771972</v>
      </c>
      <c r="AH289" s="21">
        <v>0.35209580926694911</v>
      </c>
      <c r="AI289" s="21">
        <v>0.28221894389677804</v>
      </c>
      <c r="AJ289" s="21">
        <v>0.14970299723643465</v>
      </c>
      <c r="AK289" s="21">
        <v>0.3171573765818636</v>
      </c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</row>
    <row r="290" spans="1:52" x14ac:dyDescent="0.25">
      <c r="T290" s="19">
        <v>45</v>
      </c>
      <c r="U290" s="21">
        <v>0.24311326523061061</v>
      </c>
      <c r="V290" s="21">
        <v>0.25833161043555242</v>
      </c>
      <c r="W290" s="21">
        <v>0.26199064624288881</v>
      </c>
      <c r="X290" s="21">
        <v>0.2646344596560492</v>
      </c>
      <c r="Y290" s="21">
        <v>0.23839385624796816</v>
      </c>
      <c r="Z290" s="21">
        <v>0.28418414295556388</v>
      </c>
      <c r="AA290" s="21">
        <v>0.2584413301281055</v>
      </c>
      <c r="AB290" s="19" t="s">
        <v>45</v>
      </c>
      <c r="AC290" s="19">
        <v>90</v>
      </c>
      <c r="AD290" s="21">
        <v>3.1901327697907451</v>
      </c>
      <c r="AE290" s="21">
        <v>3.3277446967748675E-2</v>
      </c>
      <c r="AF290" s="21">
        <v>1.6646387497615232</v>
      </c>
      <c r="AG290" s="21">
        <v>0.41037672410170112</v>
      </c>
      <c r="AH290" s="21">
        <v>0.32947250388809002</v>
      </c>
      <c r="AI290" s="21">
        <v>0.26733048794144476</v>
      </c>
      <c r="AJ290" s="21">
        <v>0.14382984223725712</v>
      </c>
      <c r="AK290" s="21">
        <v>0.29840149591476739</v>
      </c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</row>
    <row r="291" spans="1:52" x14ac:dyDescent="0.25">
      <c r="T291" s="19">
        <v>60</v>
      </c>
      <c r="U291" s="21">
        <v>0.25552353935893757</v>
      </c>
      <c r="V291" s="21">
        <v>0.25514449557358887</v>
      </c>
      <c r="W291" s="21">
        <v>0.26373073790773233</v>
      </c>
      <c r="X291" s="21">
        <v>0.26915764160667799</v>
      </c>
      <c r="Y291" s="21">
        <v>0.23187022354310841</v>
      </c>
      <c r="Z291" s="21">
        <v>0.2800487594352965</v>
      </c>
      <c r="AA291" s="21">
        <v>0.25924589957089034</v>
      </c>
      <c r="AB291" s="19"/>
      <c r="AC291" s="19">
        <v>120</v>
      </c>
      <c r="AD291" s="21">
        <v>1.972871314789274</v>
      </c>
      <c r="AE291" s="21">
        <v>3.2342977601686529E-2</v>
      </c>
      <c r="AF291" s="21">
        <v>1.5329923936782541</v>
      </c>
      <c r="AG291" s="21">
        <v>0.39242148766595214</v>
      </c>
      <c r="AH291" s="21">
        <v>0.31386869205691975</v>
      </c>
      <c r="AI291" s="21">
        <v>0.25629074878610392</v>
      </c>
      <c r="AJ291" s="21">
        <v>0.14004729288744039</v>
      </c>
      <c r="AK291" s="21">
        <v>0.28507972042151186</v>
      </c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</row>
    <row r="292" spans="1:52" x14ac:dyDescent="0.25">
      <c r="T292" s="19">
        <v>90</v>
      </c>
      <c r="U292" s="21">
        <v>0.22786119380203815</v>
      </c>
      <c r="V292" s="21">
        <v>0.25599735256689193</v>
      </c>
      <c r="W292" s="21">
        <v>0.25530437604703315</v>
      </c>
      <c r="X292" s="21">
        <v>0.24598492046464168</v>
      </c>
      <c r="Y292" s="21">
        <v>0.23684356962735281</v>
      </c>
      <c r="Z292" s="21">
        <v>0.28321322102402258</v>
      </c>
      <c r="AA292" s="21">
        <v>0.25086743892199675</v>
      </c>
      <c r="AB292" s="19"/>
      <c r="AC292" s="19">
        <v>150</v>
      </c>
      <c r="AD292" s="21">
        <v>3.6640277845339333</v>
      </c>
      <c r="AE292" s="21">
        <v>3.2940485817207918E-2</v>
      </c>
      <c r="AF292" s="21">
        <v>1.7645745044143495</v>
      </c>
      <c r="AG292" s="21">
        <v>0.38755203880037126</v>
      </c>
      <c r="AH292" s="21">
        <v>0.29921322674069561</v>
      </c>
      <c r="AI292" s="21">
        <v>0.23837747966130132</v>
      </c>
      <c r="AJ292" s="21">
        <v>0.12396530331415259</v>
      </c>
      <c r="AK292" s="21">
        <v>0.26879535320099845</v>
      </c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</row>
    <row r="293" spans="1:52" x14ac:dyDescent="0.25">
      <c r="T293" s="19">
        <v>120</v>
      </c>
      <c r="U293" s="21">
        <v>0.21526121155531017</v>
      </c>
      <c r="V293" s="21">
        <v>0.23814357406414358</v>
      </c>
      <c r="W293" s="21">
        <v>0.2587524185658755</v>
      </c>
      <c r="X293" s="21">
        <v>0.24054417822062854</v>
      </c>
      <c r="Y293" s="21">
        <v>0.22634910611976644</v>
      </c>
      <c r="Z293" s="21">
        <v>0.24299844991973515</v>
      </c>
      <c r="AA293" s="21">
        <v>0.23700815640757655</v>
      </c>
      <c r="AB293" s="19"/>
      <c r="AC293" s="19">
        <v>180</v>
      </c>
      <c r="AD293" s="21">
        <v>2.4918893747334168</v>
      </c>
      <c r="AE293" s="21">
        <v>3.1922728184621843E-2</v>
      </c>
      <c r="AF293" s="21">
        <v>1.6099782167453824</v>
      </c>
      <c r="AG293" s="21">
        <v>0.39465462496844572</v>
      </c>
      <c r="AH293" s="21">
        <v>0.31887702416025865</v>
      </c>
      <c r="AI293" s="21">
        <v>0.26238601296727693</v>
      </c>
      <c r="AJ293" s="21">
        <v>0.14540712783580909</v>
      </c>
      <c r="AK293" s="21">
        <v>0.29063151856376779</v>
      </c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</row>
    <row r="294" spans="1:52" x14ac:dyDescent="0.25">
      <c r="N294" s="15">
        <f>AVERAGE(N298:N299)</f>
        <v>10.754166666666668</v>
      </c>
      <c r="O294" s="15">
        <f>AVERAGE(O298:O299)</f>
        <v>22.573611111111113</v>
      </c>
      <c r="T294" s="19">
        <v>150</v>
      </c>
      <c r="U294" s="21">
        <v>0.21832567984103829</v>
      </c>
      <c r="V294" s="21">
        <v>0.20168714119802988</v>
      </c>
      <c r="W294" s="21">
        <v>0.20276203970011075</v>
      </c>
      <c r="X294" s="21">
        <v>0.21202984435168132</v>
      </c>
      <c r="Y294" s="21">
        <v>0.19506169710141869</v>
      </c>
      <c r="Z294" s="21">
        <v>0.19392312363434519</v>
      </c>
      <c r="AA294" s="21">
        <v>0.20396492097110405</v>
      </c>
      <c r="AB294" s="19"/>
      <c r="AC294" s="19">
        <v>210</v>
      </c>
      <c r="AD294" s="21">
        <v>2.4918893747334168</v>
      </c>
      <c r="AE294" s="21">
        <v>3.1922728184621843E-2</v>
      </c>
      <c r="AF294" s="21">
        <v>1.6099782167453824</v>
      </c>
      <c r="AG294" s="21">
        <v>0.39465462496844572</v>
      </c>
      <c r="AH294" s="21">
        <v>0.31887702416025865</v>
      </c>
      <c r="AI294" s="21">
        <v>0.26238601296727693</v>
      </c>
      <c r="AJ294" s="21">
        <v>0.14540712783580909</v>
      </c>
      <c r="AK294" s="21">
        <v>0.29063151856376779</v>
      </c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</row>
    <row r="295" spans="1:52" x14ac:dyDescent="0.25">
      <c r="T295" s="19">
        <v>180</v>
      </c>
      <c r="U295" s="21">
        <v>0.1847921900366446</v>
      </c>
      <c r="V295" s="21">
        <v>0.23325608479906501</v>
      </c>
      <c r="W295" s="21">
        <v>0.207778468131083</v>
      </c>
      <c r="X295" s="21">
        <v>0.22555992471586095</v>
      </c>
      <c r="Y295" s="21">
        <v>0.23764709191596187</v>
      </c>
      <c r="Z295" s="21">
        <v>0.2348941762857322</v>
      </c>
      <c r="AA295" s="21">
        <v>0.22065465598072462</v>
      </c>
      <c r="AB295" s="19"/>
      <c r="AC295" s="19"/>
      <c r="AD295" s="20"/>
      <c r="AE295" s="20"/>
      <c r="AF295" s="20"/>
      <c r="AG295" s="19"/>
      <c r="AH295" s="19"/>
      <c r="AI295" s="19"/>
      <c r="AJ295" s="19"/>
      <c r="AK295" s="21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</row>
    <row r="296" spans="1:52" x14ac:dyDescent="0.25">
      <c r="B296" t="s">
        <v>41</v>
      </c>
      <c r="D296" t="s">
        <v>40</v>
      </c>
      <c r="F296" t="s">
        <v>39</v>
      </c>
      <c r="H296" t="s">
        <v>38</v>
      </c>
      <c r="J296" t="s">
        <v>37</v>
      </c>
      <c r="L296" t="s">
        <v>36</v>
      </c>
      <c r="N296" t="s">
        <v>44</v>
      </c>
      <c r="T296" s="19">
        <v>210</v>
      </c>
      <c r="U296" s="21">
        <v>0.1847921900366446</v>
      </c>
      <c r="V296" s="21">
        <v>0.23325608479906501</v>
      </c>
      <c r="W296" s="21">
        <v>0.207778468131083</v>
      </c>
      <c r="X296" s="21">
        <v>0.22555992471586095</v>
      </c>
      <c r="Y296" s="21">
        <v>0.23764709191596187</v>
      </c>
      <c r="Z296" s="21">
        <v>0.2348941762857322</v>
      </c>
      <c r="AA296" s="21">
        <v>0.22065465598072462</v>
      </c>
      <c r="AB296" s="19"/>
      <c r="AC296" s="19"/>
      <c r="AD296" s="20"/>
      <c r="AE296" s="20"/>
      <c r="AF296" s="20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</row>
    <row r="297" spans="1:52" x14ac:dyDescent="0.25">
      <c r="B297" t="s">
        <v>43</v>
      </c>
      <c r="C297" t="s">
        <v>42</v>
      </c>
      <c r="D297" t="s">
        <v>43</v>
      </c>
      <c r="E297" t="s">
        <v>42</v>
      </c>
      <c r="F297" t="s">
        <v>43</v>
      </c>
      <c r="G297" t="s">
        <v>42</v>
      </c>
      <c r="H297" t="s">
        <v>43</v>
      </c>
      <c r="I297" t="s">
        <v>42</v>
      </c>
      <c r="J297" t="s">
        <v>43</v>
      </c>
      <c r="K297" t="s">
        <v>42</v>
      </c>
      <c r="L297" t="s">
        <v>43</v>
      </c>
      <c r="M297" t="s">
        <v>42</v>
      </c>
      <c r="N297" t="s">
        <v>43</v>
      </c>
      <c r="O297" t="s">
        <v>42</v>
      </c>
      <c r="T297" s="19"/>
      <c r="U297" s="19"/>
      <c r="V297" s="19"/>
      <c r="W297" s="19"/>
      <c r="X297" s="19"/>
      <c r="Y297" s="19"/>
      <c r="Z297" s="19"/>
      <c r="AA297" s="19"/>
      <c r="AB297" s="19"/>
      <c r="AC297" s="19">
        <v>30</v>
      </c>
      <c r="AD297" s="21">
        <v>0.53284460638008369</v>
      </c>
      <c r="AE297" s="21">
        <v>1.7363354900063854E-3</v>
      </c>
      <c r="AF297" s="21">
        <v>7.3346864763706346E-2</v>
      </c>
      <c r="AG297" s="21">
        <v>5.3357477929951236E-3</v>
      </c>
      <c r="AH297" s="21">
        <v>2.467033108828396E-2</v>
      </c>
      <c r="AI297" s="21">
        <v>2.9518327182103746E-2</v>
      </c>
      <c r="AJ297" s="21">
        <v>1.8752482775291342E-2</v>
      </c>
      <c r="AK297" s="21">
        <v>2.7087802634344859E-2</v>
      </c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</row>
    <row r="298" spans="1:52" x14ac:dyDescent="0.25">
      <c r="A298">
        <v>30</v>
      </c>
      <c r="B298" s="15">
        <f t="shared" ref="B298:C303" si="216">AVERAGE(N5,N113)</f>
        <v>6.5</v>
      </c>
      <c r="C298" s="15">
        <f t="shared" si="216"/>
        <v>17.899999999999999</v>
      </c>
      <c r="D298" s="15">
        <f t="shared" ref="D298:E303" si="217">AVERAGE(N140,N176)</f>
        <v>14.233333333333334</v>
      </c>
      <c r="E298" s="15">
        <f t="shared" si="217"/>
        <v>21.166666666666664</v>
      </c>
      <c r="F298" s="15">
        <f t="shared" ref="F298:G303" si="218">AVERAGE(N68,N95,N248,N266)</f>
        <v>11.950000000000003</v>
      </c>
      <c r="G298" s="15">
        <f t="shared" si="218"/>
        <v>21.766666666666673</v>
      </c>
      <c r="H298" s="15">
        <f t="shared" ref="H298:I303" si="219">AVERAGE(N14,N131,N158,N194)</f>
        <v>10.849999999999998</v>
      </c>
      <c r="I298" s="15">
        <f t="shared" si="219"/>
        <v>21.31666666666667</v>
      </c>
      <c r="J298" s="15">
        <f t="shared" ref="J298:K303" si="220">AVERAGE(N23,N212)</f>
        <v>10.800000000000011</v>
      </c>
      <c r="K298" s="15">
        <f t="shared" si="220"/>
        <v>18.366666666666667</v>
      </c>
      <c r="L298" s="15">
        <f t="shared" ref="L298:M303" si="221">AVERAGE(N239,N257)</f>
        <v>10.56666666666667</v>
      </c>
      <c r="M298" s="15">
        <f t="shared" si="221"/>
        <v>25.533333333333331</v>
      </c>
      <c r="N298" s="15">
        <f t="shared" ref="N298:O303" si="222">AVERAGE(B298,D298,F298,H298,J298,L298)</f>
        <v>10.816666666666668</v>
      </c>
      <c r="O298" s="15">
        <f t="shared" si="222"/>
        <v>21.008333333333336</v>
      </c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45</v>
      </c>
      <c r="AD298" s="21">
        <v>0.76503411386407361</v>
      </c>
      <c r="AE298" s="21">
        <v>2.1548654071291786E-3</v>
      </c>
      <c r="AF298" s="21">
        <v>7.4294804616497817E-2</v>
      </c>
      <c r="AG298" s="21">
        <v>5.7129109024135361E-3</v>
      </c>
      <c r="AH298" s="21">
        <v>2.7632512341901731E-2</v>
      </c>
      <c r="AI298" s="21">
        <v>3.213444362946636E-2</v>
      </c>
      <c r="AJ298" s="21">
        <v>1.8938636018884052E-2</v>
      </c>
      <c r="AK298" s="21">
        <v>2.9877035623213685E-2</v>
      </c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</row>
    <row r="299" spans="1:52" x14ac:dyDescent="0.25">
      <c r="A299">
        <v>60</v>
      </c>
      <c r="B299" s="15">
        <f t="shared" si="216"/>
        <v>5.9666666666666686</v>
      </c>
      <c r="C299" s="15">
        <f t="shared" si="216"/>
        <v>23.733333333333334</v>
      </c>
      <c r="D299" s="15">
        <f t="shared" si="217"/>
        <v>13.93333333333333</v>
      </c>
      <c r="E299" s="15">
        <f t="shared" si="217"/>
        <v>21.166666666666671</v>
      </c>
      <c r="F299" s="15">
        <f t="shared" si="218"/>
        <v>12.933333333333337</v>
      </c>
      <c r="G299" s="15">
        <f t="shared" si="218"/>
        <v>24.799999999999997</v>
      </c>
      <c r="H299" s="15">
        <f t="shared" si="219"/>
        <v>13.05</v>
      </c>
      <c r="I299" s="15">
        <f t="shared" si="219"/>
        <v>26.466666666666669</v>
      </c>
      <c r="J299" s="15">
        <f t="shared" si="220"/>
        <v>7.7000000000000028</v>
      </c>
      <c r="K299" s="15">
        <f t="shared" si="220"/>
        <v>19.800000000000004</v>
      </c>
      <c r="L299" s="15">
        <f t="shared" si="221"/>
        <v>10.56666666666667</v>
      </c>
      <c r="M299" s="15">
        <f t="shared" si="221"/>
        <v>28.866666666666667</v>
      </c>
      <c r="N299" s="15">
        <f t="shared" si="222"/>
        <v>10.691666666666668</v>
      </c>
      <c r="O299" s="15">
        <f t="shared" si="222"/>
        <v>24.138888888888889</v>
      </c>
      <c r="T299" s="19"/>
      <c r="U299" s="19" t="s">
        <v>41</v>
      </c>
      <c r="V299" s="19" t="s">
        <v>40</v>
      </c>
      <c r="W299" s="19" t="s">
        <v>39</v>
      </c>
      <c r="X299" s="19" t="s">
        <v>38</v>
      </c>
      <c r="Y299" s="19" t="s">
        <v>37</v>
      </c>
      <c r="Z299" s="19" t="s">
        <v>36</v>
      </c>
      <c r="AA299" s="19" t="s">
        <v>35</v>
      </c>
      <c r="AB299" s="19"/>
      <c r="AC299" s="19">
        <v>60</v>
      </c>
      <c r="AD299" s="21">
        <v>1.0057600925550874</v>
      </c>
      <c r="AE299" s="21">
        <v>2.781421753456506E-3</v>
      </c>
      <c r="AF299" s="21">
        <v>0.10288063983859852</v>
      </c>
      <c r="AG299" s="21">
        <v>7.4645375315996231E-3</v>
      </c>
      <c r="AH299" s="21">
        <v>3.6748797203527285E-2</v>
      </c>
      <c r="AI299" s="21">
        <v>4.2821400122270252E-2</v>
      </c>
      <c r="AJ299" s="21">
        <v>2.5757534579000776E-2</v>
      </c>
      <c r="AK299" s="21">
        <v>3.9771864907477299E-2</v>
      </c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</row>
    <row r="300" spans="1:52" x14ac:dyDescent="0.25">
      <c r="A300">
        <v>90</v>
      </c>
      <c r="B300" s="15">
        <f t="shared" si="216"/>
        <v>8.2333333333333343</v>
      </c>
      <c r="C300" s="15">
        <f t="shared" si="216"/>
        <v>21.166666666666668</v>
      </c>
      <c r="D300" s="15">
        <f t="shared" si="217"/>
        <v>13.166666666666671</v>
      </c>
      <c r="E300" s="15">
        <f t="shared" si="217"/>
        <v>23.133333333333336</v>
      </c>
      <c r="F300" s="15">
        <f t="shared" si="218"/>
        <v>11.86666666666666</v>
      </c>
      <c r="G300" s="15">
        <f t="shared" si="218"/>
        <v>24.950000000000006</v>
      </c>
      <c r="H300" s="15">
        <f t="shared" si="219"/>
        <v>13.949999999999996</v>
      </c>
      <c r="I300" s="15">
        <f t="shared" si="219"/>
        <v>23.550000000000004</v>
      </c>
      <c r="J300" s="15">
        <f t="shared" si="220"/>
        <v>12.400000000000006</v>
      </c>
      <c r="K300" s="15">
        <f t="shared" si="220"/>
        <v>21.466666666666669</v>
      </c>
      <c r="L300" s="15">
        <f t="shared" si="221"/>
        <v>15.566666666666663</v>
      </c>
      <c r="M300" s="15">
        <f t="shared" si="221"/>
        <v>29.933333333333337</v>
      </c>
      <c r="N300" s="15">
        <f t="shared" si="222"/>
        <v>12.530555555555557</v>
      </c>
      <c r="O300" s="15">
        <f t="shared" si="222"/>
        <v>24.033333333333335</v>
      </c>
      <c r="T300" s="19"/>
      <c r="U300" s="19" t="s">
        <v>34</v>
      </c>
      <c r="V300" s="19" t="s">
        <v>34</v>
      </c>
      <c r="W300" s="19" t="s">
        <v>34</v>
      </c>
      <c r="X300" s="19" t="s">
        <v>34</v>
      </c>
      <c r="Y300" s="19" t="s">
        <v>34</v>
      </c>
      <c r="Z300" s="19" t="s">
        <v>34</v>
      </c>
      <c r="AA300" s="19" t="s">
        <v>34</v>
      </c>
      <c r="AB300" s="19"/>
      <c r="AC300" s="19">
        <v>90</v>
      </c>
      <c r="AD300" s="21">
        <v>0.75763648461530197</v>
      </c>
      <c r="AE300" s="21">
        <v>3.5452156261919308E-3</v>
      </c>
      <c r="AF300" s="21">
        <v>0.10568523051221748</v>
      </c>
      <c r="AG300" s="21">
        <v>7.0223821492743808E-3</v>
      </c>
      <c r="AH300" s="21">
        <v>3.6127196566097766E-2</v>
      </c>
      <c r="AI300" s="21">
        <v>4.1691157730547226E-2</v>
      </c>
      <c r="AJ300" s="21">
        <v>2.5992318243459791E-2</v>
      </c>
      <c r="AK300" s="21">
        <v>3.888971135123425E-2</v>
      </c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</row>
    <row r="301" spans="1:52" x14ac:dyDescent="0.25">
      <c r="A301">
        <v>120</v>
      </c>
      <c r="B301" s="15">
        <f t="shared" si="216"/>
        <v>7.93333333333333</v>
      </c>
      <c r="C301" s="15">
        <f t="shared" si="216"/>
        <v>18.133333333333336</v>
      </c>
      <c r="D301" s="15">
        <f t="shared" si="217"/>
        <v>12.033333333333331</v>
      </c>
      <c r="E301" s="15">
        <f t="shared" si="217"/>
        <v>20.63333333333334</v>
      </c>
      <c r="F301" s="15">
        <f t="shared" si="218"/>
        <v>12.55</v>
      </c>
      <c r="G301" s="15">
        <f t="shared" si="218"/>
        <v>25.1</v>
      </c>
      <c r="H301" s="15">
        <f t="shared" si="219"/>
        <v>12.43333333333333</v>
      </c>
      <c r="I301" s="15">
        <f t="shared" si="219"/>
        <v>22.15</v>
      </c>
      <c r="J301" s="15">
        <f t="shared" si="220"/>
        <v>11.033333333333339</v>
      </c>
      <c r="K301" s="15">
        <f t="shared" si="220"/>
        <v>19.800000000000004</v>
      </c>
      <c r="L301" s="15">
        <f t="shared" si="221"/>
        <v>14.733333333333327</v>
      </c>
      <c r="M301" s="15">
        <f t="shared" si="221"/>
        <v>22.433333333333337</v>
      </c>
      <c r="N301" s="15">
        <f t="shared" si="222"/>
        <v>11.786111111111111</v>
      </c>
      <c r="O301" s="15">
        <f t="shared" si="222"/>
        <v>21.375000000000004</v>
      </c>
      <c r="T301" s="19">
        <v>30</v>
      </c>
      <c r="U301" s="21">
        <v>0.40626002973170244</v>
      </c>
      <c r="V301" s="21">
        <v>0.40531209867064388</v>
      </c>
      <c r="W301" s="21">
        <v>0.40783183681945928</v>
      </c>
      <c r="X301" s="21">
        <v>0.40804264546594005</v>
      </c>
      <c r="Y301" s="21">
        <v>0.40466771844942617</v>
      </c>
      <c r="Z301" s="21">
        <v>0.41279861491897396</v>
      </c>
      <c r="AA301" s="21">
        <v>0.4074854906760243</v>
      </c>
      <c r="AB301" s="19"/>
      <c r="AC301" s="19">
        <v>120</v>
      </c>
      <c r="AD301" s="21">
        <v>0.43349810341884421</v>
      </c>
      <c r="AE301" s="21">
        <v>2.7373512363121268E-3</v>
      </c>
      <c r="AF301" s="21">
        <v>7.2156153955328164E-2</v>
      </c>
      <c r="AG301" s="21">
        <v>4.6465596856994397E-3</v>
      </c>
      <c r="AH301" s="21">
        <v>2.578841149806322E-2</v>
      </c>
      <c r="AI301" s="21">
        <v>3.0218251381777958E-2</v>
      </c>
      <c r="AJ301" s="21">
        <v>1.9600297868605013E-2</v>
      </c>
      <c r="AK301" s="21">
        <v>2.799813399325014E-2</v>
      </c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</row>
    <row r="302" spans="1:52" x14ac:dyDescent="0.25">
      <c r="A302">
        <v>150</v>
      </c>
      <c r="B302" s="15">
        <f t="shared" si="216"/>
        <v>9.06666666666667</v>
      </c>
      <c r="C302" s="15">
        <f t="shared" si="216"/>
        <v>18.733333333333334</v>
      </c>
      <c r="D302" s="15">
        <f t="shared" si="217"/>
        <v>11.199999999999996</v>
      </c>
      <c r="E302" s="15">
        <f t="shared" si="217"/>
        <v>15.566666666666674</v>
      </c>
      <c r="F302" s="15">
        <f t="shared" si="218"/>
        <v>6.6833333333333336</v>
      </c>
      <c r="G302" s="15">
        <f t="shared" si="218"/>
        <v>17.183333333333334</v>
      </c>
      <c r="H302" s="15">
        <f t="shared" si="219"/>
        <v>10.050000000000004</v>
      </c>
      <c r="I302" s="15">
        <f t="shared" si="219"/>
        <v>17.716666666666669</v>
      </c>
      <c r="J302" s="15">
        <f t="shared" si="220"/>
        <v>8.8333333333333428</v>
      </c>
      <c r="K302" s="15">
        <f t="shared" si="220"/>
        <v>16.700000000000003</v>
      </c>
      <c r="L302" s="15">
        <f t="shared" si="221"/>
        <v>9.5000000000000071</v>
      </c>
      <c r="M302" s="15">
        <f t="shared" si="221"/>
        <v>15.233333333333333</v>
      </c>
      <c r="N302" s="15">
        <f t="shared" si="222"/>
        <v>9.222222222222225</v>
      </c>
      <c r="O302" s="15">
        <f t="shared" si="222"/>
        <v>16.855555555555558</v>
      </c>
      <c r="T302" s="19">
        <v>45</v>
      </c>
      <c r="U302" s="21">
        <v>0.43571635152257099</v>
      </c>
      <c r="V302" s="21">
        <v>0.43024703636024519</v>
      </c>
      <c r="W302" s="21">
        <v>0.4347342776018252</v>
      </c>
      <c r="X302" s="21">
        <v>0.4358298574970651</v>
      </c>
      <c r="Y302" s="21">
        <v>0.43194363282225923</v>
      </c>
      <c r="Z302" s="21">
        <v>0.43980520822698099</v>
      </c>
      <c r="AA302" s="21">
        <v>0.43471272733849115</v>
      </c>
      <c r="AB302" s="19"/>
      <c r="AC302" s="19">
        <v>150</v>
      </c>
      <c r="AD302" s="21">
        <v>0.67315259087458601</v>
      </c>
      <c r="AE302" s="21">
        <v>2.235086188785785E-3</v>
      </c>
      <c r="AF302" s="21">
        <v>0.10407838800332922</v>
      </c>
      <c r="AG302" s="21">
        <v>4.3761929004164082E-3</v>
      </c>
      <c r="AH302" s="21">
        <v>2.7045624095715655E-2</v>
      </c>
      <c r="AI302" s="21">
        <v>3.0195140350781444E-2</v>
      </c>
      <c r="AJ302" s="21">
        <v>1.6031018387463868E-2</v>
      </c>
      <c r="AK302" s="21">
        <v>2.8599292786939415E-2</v>
      </c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</row>
    <row r="303" spans="1:52" x14ac:dyDescent="0.25">
      <c r="A303">
        <v>180</v>
      </c>
      <c r="B303" s="15">
        <f t="shared" si="216"/>
        <v>5.4333333333333442</v>
      </c>
      <c r="C303" s="15">
        <f t="shared" si="216"/>
        <v>15.400000000000002</v>
      </c>
      <c r="D303" s="15">
        <f t="shared" si="217"/>
        <v>8.9333333333333229</v>
      </c>
      <c r="E303" s="15">
        <f t="shared" si="217"/>
        <v>20.866666666666674</v>
      </c>
      <c r="F303" s="15">
        <f t="shared" si="218"/>
        <v>7.4000000000000021</v>
      </c>
      <c r="G303" s="15">
        <f t="shared" si="218"/>
        <v>17.600000000000001</v>
      </c>
      <c r="H303" s="15">
        <f t="shared" si="219"/>
        <v>11.183333333333337</v>
      </c>
      <c r="I303" s="15">
        <f t="shared" si="219"/>
        <v>19.800000000000004</v>
      </c>
      <c r="J303" s="15">
        <f t="shared" si="220"/>
        <v>12.100000000000009</v>
      </c>
      <c r="K303" s="15">
        <f t="shared" si="220"/>
        <v>21.466666666666669</v>
      </c>
      <c r="L303" s="15">
        <f t="shared" si="221"/>
        <v>11.166666666666679</v>
      </c>
      <c r="M303" s="15">
        <f t="shared" si="221"/>
        <v>20.233333333333334</v>
      </c>
      <c r="N303" s="15">
        <f t="shared" si="222"/>
        <v>9.3694444444444489</v>
      </c>
      <c r="O303" s="15">
        <f t="shared" si="222"/>
        <v>19.227777777777781</v>
      </c>
      <c r="T303" s="19">
        <v>60</v>
      </c>
      <c r="U303" s="21">
        <v>0.43290923479425947</v>
      </c>
      <c r="V303" s="21">
        <v>0.42542099616957518</v>
      </c>
      <c r="W303" s="21">
        <v>0.43128929781132364</v>
      </c>
      <c r="X303" s="21">
        <v>0.43314633730815566</v>
      </c>
      <c r="Y303" s="21">
        <v>0.42832317288992616</v>
      </c>
      <c r="Z303" s="21">
        <v>0.43666749659329274</v>
      </c>
      <c r="AA303" s="21">
        <v>0.43129275592775551</v>
      </c>
      <c r="AB303" s="19"/>
      <c r="AC303" s="19">
        <v>180</v>
      </c>
      <c r="AD303" s="21">
        <v>0.61292515042370943</v>
      </c>
      <c r="AE303" s="21">
        <v>2.2454503700923977E-3</v>
      </c>
      <c r="AF303" s="21">
        <v>0.10191027172389058</v>
      </c>
      <c r="AG303" s="21">
        <v>4.4994500515080638E-3</v>
      </c>
      <c r="AH303" s="21">
        <v>2.9453351442556813E-2</v>
      </c>
      <c r="AI303" s="21">
        <v>3.4924748705235986E-2</v>
      </c>
      <c r="AJ303" s="21">
        <v>2.1201998116622645E-2</v>
      </c>
      <c r="AK303" s="21">
        <v>3.2180278723328577E-2</v>
      </c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</row>
    <row r="304" spans="1:52" x14ac:dyDescent="0.25">
      <c r="T304" s="19">
        <v>90</v>
      </c>
      <c r="U304" s="21">
        <v>0.3972078830309882</v>
      </c>
      <c r="V304" s="21">
        <v>0.39751809594697962</v>
      </c>
      <c r="W304" s="21">
        <v>0.40022248457147497</v>
      </c>
      <c r="X304" s="21">
        <v>0.39797114267633626</v>
      </c>
      <c r="Y304" s="21">
        <v>0.39642772991218311</v>
      </c>
      <c r="Z304" s="21">
        <v>0.40446397861602101</v>
      </c>
      <c r="AA304" s="21">
        <v>0.39896855245899721</v>
      </c>
      <c r="AB304" s="19"/>
      <c r="AC304" s="19">
        <v>210</v>
      </c>
      <c r="AD304" s="21">
        <v>0.61292515042370943</v>
      </c>
      <c r="AE304" s="21">
        <v>2.2454503700923977E-3</v>
      </c>
      <c r="AF304" s="21">
        <v>0.10191027172389058</v>
      </c>
      <c r="AG304" s="21">
        <v>4.4994500515080638E-3</v>
      </c>
      <c r="AH304" s="21">
        <v>2.9453351442556813E-2</v>
      </c>
      <c r="AI304" s="21">
        <v>3.4924748705235986E-2</v>
      </c>
      <c r="AJ304" s="21">
        <v>2.1201998116622645E-2</v>
      </c>
      <c r="AK304" s="21">
        <v>3.2180278723328577E-2</v>
      </c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</row>
    <row r="305" spans="20:52" x14ac:dyDescent="0.25">
      <c r="T305" s="19">
        <v>120</v>
      </c>
      <c r="U305" s="21">
        <v>0.3788513686645627</v>
      </c>
      <c r="V305" s="21">
        <v>0.38065110380634715</v>
      </c>
      <c r="W305" s="21">
        <v>0.38536146936513971</v>
      </c>
      <c r="X305" s="21">
        <v>0.38226092730841199</v>
      </c>
      <c r="Y305" s="21">
        <v>0.38015649165503168</v>
      </c>
      <c r="Z305" s="21">
        <v>0.38198393758141141</v>
      </c>
      <c r="AA305" s="21">
        <v>0.38154421639681746</v>
      </c>
      <c r="AB305" s="19"/>
      <c r="AC305" s="19"/>
      <c r="AD305" s="20"/>
      <c r="AE305" s="20"/>
      <c r="AF305" s="20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</row>
    <row r="306" spans="20:52" x14ac:dyDescent="0.25">
      <c r="T306" s="19">
        <v>150</v>
      </c>
      <c r="U306" s="21">
        <v>0.37929647266115285</v>
      </c>
      <c r="V306" s="21">
        <v>0.37488479146102816</v>
      </c>
      <c r="W306" s="21">
        <v>0.37813093018284349</v>
      </c>
      <c r="X306" s="21">
        <v>0.37793663713090536</v>
      </c>
      <c r="Y306" s="21">
        <v>0.3776669506988134</v>
      </c>
      <c r="Z306" s="21">
        <v>0.37551130121975829</v>
      </c>
      <c r="AA306" s="21">
        <v>0.37723784722575027</v>
      </c>
      <c r="AB306" s="19"/>
      <c r="AC306" s="19"/>
      <c r="AD306" s="20"/>
      <c r="AE306" s="20"/>
      <c r="AF306" s="20"/>
      <c r="AG306" s="21">
        <v>5.4446538831768301E-3</v>
      </c>
      <c r="AH306" s="21">
        <v>2.9614946959837907E-2</v>
      </c>
      <c r="AI306" s="21">
        <v>3.4553527225927375E-2</v>
      </c>
      <c r="AJ306" s="21">
        <v>2.0934535513243771E-2</v>
      </c>
      <c r="AK306" s="21">
        <v>3.2073049842889598E-2</v>
      </c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</row>
    <row r="307" spans="20:52" x14ac:dyDescent="0.25">
      <c r="T307" s="19">
        <v>180</v>
      </c>
      <c r="U307" s="21">
        <v>0.3767084485545994</v>
      </c>
      <c r="V307" s="21">
        <v>0.38155028906069</v>
      </c>
      <c r="W307" s="21">
        <v>0.37841321184162846</v>
      </c>
      <c r="X307" s="21">
        <v>0.37999138736939631</v>
      </c>
      <c r="Y307" s="21">
        <v>0.38164262073023719</v>
      </c>
      <c r="Z307" s="21">
        <v>0.38036370615105269</v>
      </c>
      <c r="AA307" s="21">
        <v>0.37977827728460062</v>
      </c>
      <c r="AB307" s="19"/>
      <c r="AC307" s="19"/>
      <c r="AD307" s="20"/>
      <c r="AE307" s="20"/>
      <c r="AF307" s="20"/>
      <c r="AG307" s="19">
        <v>2.2626950924983579E-2</v>
      </c>
      <c r="AH307" s="19">
        <v>3.57346775560866E-2</v>
      </c>
      <c r="AI307" s="19">
        <v>3.8309369417184699E-2</v>
      </c>
      <c r="AJ307" s="19">
        <v>2.2793056860859529E-2</v>
      </c>
      <c r="AK307" s="19">
        <v>3.6819739132237427E-2</v>
      </c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</row>
    <row r="308" spans="20:52" x14ac:dyDescent="0.25">
      <c r="T308" s="19">
        <v>210</v>
      </c>
      <c r="U308" s="21">
        <v>0.3767084485545994</v>
      </c>
      <c r="V308" s="21">
        <v>0.38155028906069</v>
      </c>
      <c r="W308" s="21">
        <v>0.37841321184162846</v>
      </c>
      <c r="X308" s="21">
        <v>0.37999138736939631</v>
      </c>
      <c r="Y308" s="21">
        <v>0.38164262073023719</v>
      </c>
      <c r="Z308" s="21">
        <v>0.38036370615105269</v>
      </c>
      <c r="AA308" s="21">
        <v>0.37977827728460062</v>
      </c>
      <c r="AB308" s="19"/>
      <c r="AC308" s="19"/>
      <c r="AD308" s="20"/>
      <c r="AE308" s="20"/>
      <c r="AF308" s="20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</row>
    <row r="309" spans="20:52" x14ac:dyDescent="0.25"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20"/>
      <c r="AE309" s="20"/>
      <c r="AF309" s="20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</row>
    <row r="310" spans="20:52" x14ac:dyDescent="0.25"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20"/>
      <c r="AE310" s="20"/>
      <c r="AF310" s="20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</row>
    <row r="311" spans="20:52" x14ac:dyDescent="0.25"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20"/>
      <c r="AE311" s="20"/>
      <c r="AF311" s="20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</row>
    <row r="312" spans="20:52" x14ac:dyDescent="0.25"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20"/>
      <c r="AE312" s="20"/>
      <c r="AF312" s="20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</row>
    <row r="313" spans="20:52" x14ac:dyDescent="0.25"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20"/>
      <c r="AE313" s="20"/>
      <c r="AF313" s="20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</row>
    <row r="314" spans="20:52" x14ac:dyDescent="0.25"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20"/>
      <c r="AE314" s="20"/>
      <c r="AF314" s="20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</row>
    <row r="315" spans="20:52" x14ac:dyDescent="0.25"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20"/>
      <c r="AE315" s="20"/>
      <c r="AF315" s="20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</row>
    <row r="316" spans="20:52" x14ac:dyDescent="0.25"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20"/>
      <c r="AE316" s="20"/>
      <c r="AF316" s="20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</row>
    <row r="317" spans="20:52" x14ac:dyDescent="0.25"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20"/>
      <c r="AE317" s="20"/>
      <c r="AF317" s="20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</row>
    <row r="318" spans="20:52" x14ac:dyDescent="0.25"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20"/>
      <c r="AE318" s="20"/>
      <c r="AF318" s="20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</row>
    <row r="319" spans="20:52" x14ac:dyDescent="0.25"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20"/>
      <c r="AE319" s="20"/>
      <c r="AF319" s="20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</row>
    <row r="320" spans="20:52" x14ac:dyDescent="0.25"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20"/>
      <c r="AE320" s="20"/>
      <c r="AF320" s="20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</row>
    <row r="321" spans="20:47" x14ac:dyDescent="0.25"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20"/>
      <c r="AE321" s="20"/>
      <c r="AF321" s="20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</row>
    <row r="322" spans="20:47" x14ac:dyDescent="0.25"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20"/>
      <c r="AE322" s="20"/>
      <c r="AF322" s="20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</row>
    <row r="323" spans="20:47" x14ac:dyDescent="0.25"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20"/>
      <c r="AE323" s="20"/>
      <c r="AF323" s="20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</row>
    <row r="324" spans="20:47" x14ac:dyDescent="0.25"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20"/>
      <c r="AE324" s="20"/>
      <c r="AF324" s="20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</row>
    <row r="325" spans="20:47" x14ac:dyDescent="0.25"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20"/>
      <c r="AE325" s="20"/>
      <c r="AF325" s="20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</row>
    <row r="326" spans="20:47" x14ac:dyDescent="0.25"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20"/>
      <c r="AE326" s="20"/>
      <c r="AF326" s="20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</row>
    <row r="327" spans="20:47" x14ac:dyDescent="0.25"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20"/>
      <c r="AE327" s="20"/>
      <c r="AF327" s="20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</row>
    <row r="328" spans="20:47" x14ac:dyDescent="0.25"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20"/>
      <c r="AE328" s="20"/>
      <c r="AF328" s="20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</row>
    <row r="329" spans="20:47" x14ac:dyDescent="0.25"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20"/>
      <c r="AE329" s="20"/>
      <c r="AF329" s="20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</row>
    <row r="330" spans="20:47" x14ac:dyDescent="0.25"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20"/>
      <c r="AE330" s="20"/>
      <c r="AF330" s="20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</row>
    <row r="331" spans="20:47" x14ac:dyDescent="0.25"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20"/>
      <c r="AE331" s="20"/>
      <c r="AF331" s="20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</row>
    <row r="332" spans="20:47" x14ac:dyDescent="0.25"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20"/>
      <c r="AE332" s="20"/>
      <c r="AF332" s="20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</row>
    <row r="333" spans="20:47" x14ac:dyDescent="0.25"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20"/>
      <c r="AE333" s="20"/>
      <c r="AF333" s="20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</row>
    <row r="334" spans="20:47" x14ac:dyDescent="0.25"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20"/>
      <c r="AE334" s="20"/>
      <c r="AF334" s="20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</row>
    <row r="335" spans="20:47" x14ac:dyDescent="0.25"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20"/>
      <c r="AE335" s="20"/>
      <c r="AF335" s="20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</row>
    <row r="336" spans="20:47" x14ac:dyDescent="0.25"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20"/>
      <c r="AE336" s="20"/>
      <c r="AF336" s="20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</row>
    <row r="337" spans="20:47" x14ac:dyDescent="0.25"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20"/>
      <c r="AE337" s="20"/>
      <c r="AF337" s="20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</row>
    <row r="338" spans="20:47" x14ac:dyDescent="0.25"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20"/>
      <c r="AE338" s="20"/>
      <c r="AF338" s="20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</row>
    <row r="339" spans="20:47" x14ac:dyDescent="0.25"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20"/>
      <c r="AE339" s="20"/>
      <c r="AF339" s="20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</row>
    <row r="340" spans="20:47" x14ac:dyDescent="0.25"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20"/>
      <c r="AE340" s="20"/>
      <c r="AF340" s="20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</row>
    <row r="341" spans="20:47" x14ac:dyDescent="0.25"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20"/>
      <c r="AE341" s="20"/>
      <c r="AF341" s="20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</row>
    <row r="342" spans="20:47" x14ac:dyDescent="0.25"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20"/>
      <c r="AE342" s="20"/>
      <c r="AF342" s="20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</row>
    <row r="343" spans="20:47" x14ac:dyDescent="0.25"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20"/>
      <c r="AE343" s="20"/>
      <c r="AF343" s="20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</row>
  </sheetData>
  <mergeCells count="32">
    <mergeCell ref="Q48:R48"/>
    <mergeCell ref="Q57:R57"/>
    <mergeCell ref="Q66:R66"/>
    <mergeCell ref="Q75:R75"/>
    <mergeCell ref="Q3:R3"/>
    <mergeCell ref="Q12:R12"/>
    <mergeCell ref="Q21:R21"/>
    <mergeCell ref="Q30:R30"/>
    <mergeCell ref="Q39:R39"/>
    <mergeCell ref="Q210:R210"/>
    <mergeCell ref="Q165:R165"/>
    <mergeCell ref="Q174:R174"/>
    <mergeCell ref="Q183:R183"/>
    <mergeCell ref="Q192:R192"/>
    <mergeCell ref="Q201:R201"/>
    <mergeCell ref="Q129:R129"/>
    <mergeCell ref="Q138:R138"/>
    <mergeCell ref="Q147:R147"/>
    <mergeCell ref="Q156:R156"/>
    <mergeCell ref="Q84:R84"/>
    <mergeCell ref="Q93:R93"/>
    <mergeCell ref="Q111:R111"/>
    <mergeCell ref="Q120:R120"/>
    <mergeCell ref="Q102:R102"/>
    <mergeCell ref="Q282:R282"/>
    <mergeCell ref="Q219:R219"/>
    <mergeCell ref="Q228:R228"/>
    <mergeCell ref="Q237:R237"/>
    <mergeCell ref="Q246:R246"/>
    <mergeCell ref="Q255:R255"/>
    <mergeCell ref="Q264:R264"/>
    <mergeCell ref="Q273:R273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6E18-BE71-4E9F-A137-9CF58F773880}">
  <dimension ref="A2:GQ138"/>
  <sheetViews>
    <sheetView topLeftCell="A96" workbookViewId="0">
      <selection activeCell="K146" sqref="K146"/>
    </sheetView>
  </sheetViews>
  <sheetFormatPr defaultRowHeight="12.75" x14ac:dyDescent="0.2"/>
  <cols>
    <col min="1" max="1" width="14.140625" style="30" customWidth="1"/>
    <col min="2" max="9" width="9.140625" style="30"/>
    <col min="10" max="10" width="9.140625" style="33"/>
    <col min="11" max="11" width="9.140625" style="30"/>
    <col min="12" max="12" width="14.140625" style="30" customWidth="1"/>
    <col min="13" max="20" width="9.140625" style="30"/>
    <col min="21" max="21" width="9.140625" style="33"/>
    <col min="22" max="22" width="12.28515625" style="30" customWidth="1"/>
    <col min="23" max="23" width="14.140625" style="30" customWidth="1"/>
    <col min="24" max="31" width="9.140625" style="30"/>
    <col min="32" max="32" width="9.140625" style="33"/>
    <col min="33" max="33" width="9.140625" style="30"/>
    <col min="34" max="34" width="14.140625" style="30" customWidth="1"/>
    <col min="35" max="42" width="9.140625" style="30"/>
    <col min="43" max="43" width="9.140625" style="33"/>
    <col min="44" max="44" width="12.140625" style="30" customWidth="1"/>
    <col min="45" max="45" width="14.140625" style="30" customWidth="1"/>
    <col min="46" max="53" width="9.140625" style="30"/>
    <col min="54" max="54" width="9.140625" style="33"/>
    <col min="55" max="55" width="12.42578125" style="30" customWidth="1"/>
    <col min="56" max="56" width="14.140625" style="30" customWidth="1"/>
    <col min="57" max="64" width="9.140625" style="30"/>
    <col min="65" max="65" width="9.140625" style="33"/>
    <col min="66" max="66" width="12" style="30" customWidth="1"/>
    <col min="67" max="67" width="14.140625" style="30" customWidth="1"/>
    <col min="68" max="75" width="9.140625" style="30"/>
    <col min="76" max="76" width="9.140625" style="33"/>
    <col min="77" max="77" width="12.28515625" style="30" customWidth="1"/>
    <col min="78" max="78" width="14.140625" style="30" customWidth="1"/>
    <col min="79" max="85" width="9.140625" style="30"/>
    <col min="86" max="86" width="12.5703125" style="30" customWidth="1"/>
    <col min="87" max="87" width="11.85546875" style="33" customWidth="1"/>
    <col min="88" max="88" width="11.28515625" style="30" customWidth="1"/>
    <col min="89" max="89" width="8.85546875" style="32" customWidth="1"/>
    <col min="90" max="90" width="9.28515625" style="30" customWidth="1"/>
    <col min="91" max="91" width="9.140625" style="30"/>
    <col min="92" max="92" width="7.5703125" style="30" customWidth="1"/>
    <col min="93" max="93" width="8.85546875" style="30" customWidth="1"/>
    <col min="94" max="94" width="9.7109375" style="30" customWidth="1"/>
    <col min="95" max="95" width="12.140625" style="30" customWidth="1"/>
    <col min="96" max="96" width="11.28515625" style="32" customWidth="1"/>
    <col min="97" max="97" width="10.85546875" style="30" customWidth="1"/>
    <col min="98" max="112" width="9.140625" style="30"/>
    <col min="113" max="113" width="12.42578125" style="30" customWidth="1"/>
    <col min="114" max="114" width="12.28515625" style="30" customWidth="1"/>
    <col min="115" max="121" width="9.140625" style="30"/>
    <col min="122" max="122" width="11" style="30" customWidth="1"/>
    <col min="123" max="123" width="12.5703125" style="30" customWidth="1"/>
    <col min="124" max="124" width="9.140625" style="30"/>
    <col min="125" max="125" width="10.7109375" style="30" customWidth="1"/>
    <col min="126" max="130" width="9.140625" style="30"/>
    <col min="131" max="131" width="12.7109375" style="30" customWidth="1"/>
    <col min="132" max="139" width="9.140625" style="30"/>
    <col min="140" max="140" width="12" style="30" customWidth="1"/>
    <col min="141" max="141" width="13" style="30" customWidth="1"/>
    <col min="142" max="148" width="9.140625" style="30"/>
    <col min="149" max="149" width="13.28515625" style="30" customWidth="1"/>
    <col min="150" max="150" width="12.85546875" style="30" customWidth="1"/>
    <col min="151" max="157" width="9.140625" style="30"/>
    <col min="158" max="158" width="12.42578125" style="30" customWidth="1"/>
    <col min="159" max="159" width="13.28515625" style="30" customWidth="1"/>
    <col min="160" max="167" width="9.140625" style="30"/>
    <col min="168" max="168" width="12.42578125" style="30" customWidth="1"/>
    <col min="169" max="171" width="9.140625" style="30"/>
    <col min="172" max="172" width="9.140625" style="33"/>
    <col min="173" max="173" width="9.140625" style="32"/>
    <col min="174" max="176" width="9.140625" style="30"/>
    <col min="177" max="177" width="9.7109375" style="30" customWidth="1"/>
    <col min="178" max="179" width="9.140625" style="30"/>
    <col min="180" max="180" width="12.5703125" style="30" customWidth="1"/>
    <col min="181" max="181" width="9.140625" style="30"/>
    <col min="182" max="182" width="9.140625" style="32"/>
    <col min="183" max="184" width="9.140625" style="30"/>
    <col min="185" max="185" width="9.140625" style="32"/>
    <col min="186" max="191" width="9.140625" style="30"/>
    <col min="192" max="192" width="11.85546875" style="30" customWidth="1"/>
    <col min="193" max="193" width="9.140625" style="32"/>
    <col min="194" max="196" width="9.140625" style="30"/>
    <col min="197" max="197" width="9.140625" style="32"/>
    <col min="198" max="198" width="9.140625" style="30"/>
    <col min="199" max="199" width="9.5703125" style="31" bestFit="1" customWidth="1"/>
    <col min="200" max="200" width="9.140625" style="30"/>
    <col min="201" max="201" width="12.28515625" style="30" customWidth="1"/>
    <col min="202" max="203" width="9.140625" style="30"/>
    <col min="204" max="204" width="12.5703125" style="30" customWidth="1"/>
    <col min="205" max="207" width="9.140625" style="30"/>
    <col min="208" max="208" width="10.5703125" style="30" customWidth="1"/>
    <col min="209" max="209" width="9.140625" style="30"/>
    <col min="210" max="210" width="11.85546875" style="30" customWidth="1"/>
    <col min="211" max="212" width="9.140625" style="30"/>
    <col min="213" max="213" width="11" style="30" customWidth="1"/>
    <col min="214" max="216" width="9.140625" style="30"/>
    <col min="217" max="217" width="9.85546875" style="30" customWidth="1"/>
    <col min="218" max="218" width="9.140625" style="30"/>
    <col min="219" max="219" width="12.7109375" style="30" customWidth="1"/>
    <col min="220" max="221" width="9.140625" style="30"/>
    <col min="222" max="222" width="11.85546875" style="30" customWidth="1"/>
    <col min="223" max="225" width="9.140625" style="30"/>
    <col min="226" max="226" width="10.140625" style="30" customWidth="1"/>
    <col min="227" max="230" width="9.140625" style="30"/>
    <col min="231" max="231" width="11.7109375" style="30" customWidth="1"/>
    <col min="232" max="245" width="9.140625" style="30"/>
    <col min="246" max="246" width="9.5703125" style="30" customWidth="1"/>
    <col min="247" max="254" width="9.140625" style="30"/>
    <col min="255" max="255" width="10.28515625" style="30" customWidth="1"/>
    <col min="256" max="16384" width="9.140625" style="30"/>
  </cols>
  <sheetData>
    <row r="2" spans="1:182" ht="13.5" thickBot="1" x14ac:dyDescent="0.25">
      <c r="D2" s="30" t="s">
        <v>135</v>
      </c>
      <c r="O2" s="30" t="s">
        <v>135</v>
      </c>
      <c r="Z2" s="30" t="s">
        <v>135</v>
      </c>
      <c r="AK2" s="30" t="s">
        <v>135</v>
      </c>
      <c r="AV2" s="30" t="s">
        <v>135</v>
      </c>
      <c r="BG2" s="30" t="s">
        <v>135</v>
      </c>
      <c r="BR2" s="30" t="s">
        <v>135</v>
      </c>
      <c r="CC2" s="30" t="s">
        <v>135</v>
      </c>
    </row>
    <row r="3" spans="1:182" ht="13.5" thickBot="1" x14ac:dyDescent="0.25">
      <c r="A3" s="30" t="s">
        <v>159</v>
      </c>
      <c r="B3" s="58" t="s">
        <v>126</v>
      </c>
      <c r="C3" s="57"/>
      <c r="D3" s="57"/>
      <c r="E3" s="57"/>
      <c r="F3" s="56"/>
      <c r="G3" s="32"/>
      <c r="H3" s="32"/>
      <c r="I3" s="32"/>
      <c r="L3" s="30" t="s">
        <v>158</v>
      </c>
      <c r="M3" s="58" t="s">
        <v>126</v>
      </c>
      <c r="N3" s="57"/>
      <c r="O3" s="57"/>
      <c r="P3" s="57"/>
      <c r="Q3" s="56"/>
      <c r="R3" s="32"/>
      <c r="S3" s="32"/>
      <c r="T3" s="32"/>
      <c r="W3" s="30" t="s">
        <v>157</v>
      </c>
      <c r="X3" s="58" t="s">
        <v>126</v>
      </c>
      <c r="Y3" s="57"/>
      <c r="Z3" s="57"/>
      <c r="AA3" s="57"/>
      <c r="AB3" s="56"/>
      <c r="AC3" s="32"/>
      <c r="AD3" s="32"/>
      <c r="AE3" s="32"/>
      <c r="AG3" s="32"/>
      <c r="AH3" s="30" t="s">
        <v>156</v>
      </c>
      <c r="AI3" s="58" t="s">
        <v>126</v>
      </c>
      <c r="AJ3" s="57"/>
      <c r="AK3" s="57"/>
      <c r="AL3" s="57"/>
      <c r="AM3" s="56"/>
      <c r="AN3" s="32"/>
      <c r="AO3" s="32"/>
      <c r="AP3" s="32"/>
      <c r="AS3" s="30" t="s">
        <v>155</v>
      </c>
      <c r="AT3" s="58" t="s">
        <v>126</v>
      </c>
      <c r="AU3" s="57"/>
      <c r="AV3" s="57"/>
      <c r="AW3" s="57"/>
      <c r="AX3" s="56"/>
      <c r="AY3" s="32"/>
      <c r="AZ3" s="32"/>
      <c r="BA3" s="32"/>
      <c r="BD3" s="30" t="s">
        <v>154</v>
      </c>
      <c r="BE3" s="58" t="s">
        <v>126</v>
      </c>
      <c r="BF3" s="57"/>
      <c r="BG3" s="57"/>
      <c r="BH3" s="57"/>
      <c r="BI3" s="56"/>
      <c r="BJ3" s="32"/>
      <c r="BK3" s="32"/>
      <c r="BL3" s="32"/>
      <c r="BO3" s="30" t="s">
        <v>153</v>
      </c>
      <c r="BP3" s="58" t="s">
        <v>126</v>
      </c>
      <c r="BQ3" s="57"/>
      <c r="BR3" s="57"/>
      <c r="BS3" s="57"/>
      <c r="BT3" s="56"/>
      <c r="BU3" s="32"/>
      <c r="BV3" s="32"/>
      <c r="BW3" s="32"/>
      <c r="BY3" s="32"/>
      <c r="BZ3" s="30" t="s">
        <v>152</v>
      </c>
      <c r="CA3" s="58" t="s">
        <v>126</v>
      </c>
      <c r="CB3" s="57"/>
      <c r="CC3" s="57"/>
      <c r="CD3" s="57"/>
      <c r="CE3" s="56"/>
      <c r="CF3" s="32"/>
      <c r="CG3" s="32"/>
      <c r="CH3" s="32"/>
      <c r="CJ3" s="32"/>
      <c r="CK3" s="30"/>
      <c r="CM3" s="32"/>
      <c r="CN3" s="32"/>
      <c r="CO3" s="32"/>
      <c r="CQ3" s="32"/>
      <c r="CR3" s="30"/>
      <c r="CS3" s="32"/>
      <c r="CV3" s="32"/>
      <c r="CW3" s="32"/>
      <c r="CX3" s="32"/>
      <c r="DB3" s="32"/>
      <c r="DF3" s="32"/>
      <c r="DG3" s="32"/>
      <c r="DH3" s="31"/>
      <c r="DK3" s="32"/>
      <c r="DO3" s="32"/>
      <c r="DP3" s="32"/>
      <c r="DQ3" s="32"/>
      <c r="DT3" s="32"/>
      <c r="DW3" s="32"/>
      <c r="DX3" s="32"/>
      <c r="DY3" s="32"/>
      <c r="EC3" s="32"/>
      <c r="EF3" s="32"/>
      <c r="EG3" s="32"/>
      <c r="EH3" s="32"/>
      <c r="EL3" s="32"/>
      <c r="EP3" s="32"/>
      <c r="EQ3" s="32"/>
      <c r="ER3" s="31"/>
      <c r="EU3" s="32"/>
      <c r="EY3" s="32"/>
      <c r="EZ3" s="32"/>
      <c r="FA3" s="32"/>
      <c r="FD3" s="32"/>
      <c r="FH3" s="32"/>
      <c r="FI3" s="32"/>
      <c r="FJ3" s="32"/>
      <c r="FK3" s="32"/>
      <c r="FM3" s="32"/>
      <c r="FP3" s="30"/>
      <c r="FR3" s="32"/>
      <c r="FS3" s="32"/>
      <c r="FZ3" s="30"/>
    </row>
    <row r="4" spans="1:182" ht="51.75" thickBot="1" x14ac:dyDescent="0.25">
      <c r="A4" s="55" t="s">
        <v>125</v>
      </c>
      <c r="B4" s="54" t="s">
        <v>122</v>
      </c>
      <c r="C4" s="54" t="s">
        <v>121</v>
      </c>
      <c r="D4" s="53" t="s">
        <v>120</v>
      </c>
      <c r="E4" s="52" t="s">
        <v>119</v>
      </c>
      <c r="F4" s="51" t="s">
        <v>118</v>
      </c>
      <c r="G4" s="50" t="s">
        <v>117</v>
      </c>
      <c r="H4" s="50" t="s">
        <v>116</v>
      </c>
      <c r="I4" s="49" t="s">
        <v>115</v>
      </c>
      <c r="J4" s="48" t="s">
        <v>114</v>
      </c>
      <c r="L4" s="55" t="s">
        <v>125</v>
      </c>
      <c r="M4" s="54" t="s">
        <v>122</v>
      </c>
      <c r="N4" s="54" t="s">
        <v>121</v>
      </c>
      <c r="O4" s="53" t="s">
        <v>120</v>
      </c>
      <c r="P4" s="52" t="s">
        <v>119</v>
      </c>
      <c r="Q4" s="51" t="s">
        <v>118</v>
      </c>
      <c r="R4" s="50" t="s">
        <v>117</v>
      </c>
      <c r="S4" s="50" t="s">
        <v>116</v>
      </c>
      <c r="T4" s="49" t="s">
        <v>115</v>
      </c>
      <c r="U4" s="48" t="s">
        <v>114</v>
      </c>
      <c r="W4" s="55" t="s">
        <v>125</v>
      </c>
      <c r="X4" s="54" t="s">
        <v>122</v>
      </c>
      <c r="Y4" s="54" t="s">
        <v>121</v>
      </c>
      <c r="Z4" s="53" t="s">
        <v>120</v>
      </c>
      <c r="AA4" s="52" t="s">
        <v>119</v>
      </c>
      <c r="AB4" s="51" t="s">
        <v>118</v>
      </c>
      <c r="AC4" s="50" t="s">
        <v>117</v>
      </c>
      <c r="AD4" s="50" t="s">
        <v>116</v>
      </c>
      <c r="AE4" s="49" t="s">
        <v>115</v>
      </c>
      <c r="AF4" s="48" t="s">
        <v>114</v>
      </c>
      <c r="AG4" s="49"/>
      <c r="AH4" s="55" t="s">
        <v>125</v>
      </c>
      <c r="AI4" s="54" t="s">
        <v>122</v>
      </c>
      <c r="AJ4" s="54" t="s">
        <v>121</v>
      </c>
      <c r="AK4" s="53" t="s">
        <v>120</v>
      </c>
      <c r="AL4" s="52" t="s">
        <v>119</v>
      </c>
      <c r="AM4" s="51" t="s">
        <v>118</v>
      </c>
      <c r="AN4" s="50" t="s">
        <v>117</v>
      </c>
      <c r="AO4" s="50" t="s">
        <v>116</v>
      </c>
      <c r="AP4" s="49" t="s">
        <v>115</v>
      </c>
      <c r="AQ4" s="48" t="s">
        <v>114</v>
      </c>
      <c r="AS4" s="55" t="s">
        <v>125</v>
      </c>
      <c r="AT4" s="54" t="s">
        <v>122</v>
      </c>
      <c r="AU4" s="54" t="s">
        <v>121</v>
      </c>
      <c r="AV4" s="53" t="s">
        <v>120</v>
      </c>
      <c r="AW4" s="52" t="s">
        <v>119</v>
      </c>
      <c r="AX4" s="51" t="s">
        <v>118</v>
      </c>
      <c r="AY4" s="50" t="s">
        <v>117</v>
      </c>
      <c r="AZ4" s="50" t="s">
        <v>116</v>
      </c>
      <c r="BA4" s="49" t="s">
        <v>115</v>
      </c>
      <c r="BB4" s="48" t="s">
        <v>114</v>
      </c>
      <c r="BD4" s="55" t="s">
        <v>125</v>
      </c>
      <c r="BE4" s="54" t="s">
        <v>122</v>
      </c>
      <c r="BF4" s="54" t="s">
        <v>121</v>
      </c>
      <c r="BG4" s="53" t="s">
        <v>120</v>
      </c>
      <c r="BH4" s="52" t="s">
        <v>119</v>
      </c>
      <c r="BI4" s="51" t="s">
        <v>118</v>
      </c>
      <c r="BJ4" s="50" t="s">
        <v>117</v>
      </c>
      <c r="BK4" s="50" t="s">
        <v>116</v>
      </c>
      <c r="BL4" s="49" t="s">
        <v>115</v>
      </c>
      <c r="BM4" s="48" t="s">
        <v>114</v>
      </c>
      <c r="BO4" s="55" t="s">
        <v>125</v>
      </c>
      <c r="BP4" s="54" t="s">
        <v>122</v>
      </c>
      <c r="BQ4" s="54" t="s">
        <v>121</v>
      </c>
      <c r="BR4" s="53" t="s">
        <v>120</v>
      </c>
      <c r="BS4" s="52" t="s">
        <v>119</v>
      </c>
      <c r="BT4" s="51" t="s">
        <v>118</v>
      </c>
      <c r="BU4" s="50" t="s">
        <v>117</v>
      </c>
      <c r="BV4" s="50" t="s">
        <v>116</v>
      </c>
      <c r="BW4" s="49" t="s">
        <v>115</v>
      </c>
      <c r="BX4" s="48" t="s">
        <v>114</v>
      </c>
      <c r="BY4" s="32"/>
      <c r="BZ4" s="55" t="s">
        <v>125</v>
      </c>
      <c r="CA4" s="54" t="s">
        <v>122</v>
      </c>
      <c r="CB4" s="54" t="s">
        <v>121</v>
      </c>
      <c r="CC4" s="53" t="s">
        <v>120</v>
      </c>
      <c r="CD4" s="52" t="s">
        <v>119</v>
      </c>
      <c r="CE4" s="51" t="s">
        <v>118</v>
      </c>
      <c r="CF4" s="50" t="s">
        <v>117</v>
      </c>
      <c r="CG4" s="50" t="s">
        <v>116</v>
      </c>
      <c r="CH4" s="49" t="s">
        <v>115</v>
      </c>
      <c r="CI4" s="48" t="s">
        <v>114</v>
      </c>
      <c r="CJ4" s="62"/>
      <c r="CK4" s="62"/>
      <c r="CL4" s="61"/>
      <c r="CM4" s="60"/>
      <c r="CN4" s="49"/>
      <c r="CO4" s="49"/>
      <c r="CP4" s="49"/>
      <c r="CQ4" s="49"/>
      <c r="CR4" s="63"/>
      <c r="CS4" s="62"/>
      <c r="CT4" s="62"/>
      <c r="CU4" s="61"/>
      <c r="CV4" s="60"/>
      <c r="CW4" s="49"/>
      <c r="CX4" s="49"/>
      <c r="CY4" s="49"/>
      <c r="DA4" s="63"/>
      <c r="DB4" s="62"/>
      <c r="DC4" s="62"/>
      <c r="DD4" s="61"/>
      <c r="DE4" s="60"/>
      <c r="DF4" s="49"/>
      <c r="DG4" s="49"/>
      <c r="DH4" s="64"/>
      <c r="DJ4" s="63"/>
      <c r="DK4" s="62"/>
      <c r="DL4" s="62"/>
      <c r="DM4" s="61"/>
      <c r="DN4" s="60"/>
      <c r="DO4" s="49"/>
      <c r="DP4" s="49"/>
      <c r="DQ4" s="49"/>
      <c r="DS4" s="63"/>
      <c r="DT4" s="62"/>
      <c r="DU4" s="62"/>
      <c r="DV4" s="61"/>
      <c r="DW4" s="60"/>
      <c r="DX4" s="49"/>
      <c r="DY4" s="49"/>
      <c r="DZ4" s="49"/>
      <c r="EA4" s="49"/>
      <c r="EB4" s="63"/>
      <c r="EC4" s="62"/>
      <c r="ED4" s="62"/>
      <c r="EE4" s="61"/>
      <c r="EF4" s="60"/>
      <c r="EG4" s="49"/>
      <c r="EH4" s="49"/>
      <c r="EI4" s="49"/>
      <c r="EJ4" s="49"/>
      <c r="EK4" s="63"/>
      <c r="EL4" s="62"/>
      <c r="EM4" s="62"/>
      <c r="EN4" s="61"/>
      <c r="EO4" s="60"/>
      <c r="EP4" s="49"/>
      <c r="EQ4" s="49"/>
      <c r="ER4" s="64"/>
      <c r="ES4" s="49"/>
      <c r="ET4" s="63"/>
      <c r="EU4" s="62"/>
      <c r="EV4" s="62"/>
      <c r="EW4" s="61"/>
      <c r="EX4" s="60"/>
      <c r="EY4" s="49"/>
      <c r="EZ4" s="49"/>
      <c r="FA4" s="49"/>
      <c r="FB4" s="49"/>
      <c r="FC4" s="63"/>
      <c r="FD4" s="62"/>
      <c r="FE4" s="62"/>
      <c r="FF4" s="61"/>
      <c r="FG4" s="60"/>
      <c r="FH4" s="49"/>
      <c r="FI4" s="49"/>
      <c r="FJ4" s="49"/>
      <c r="FL4" s="63"/>
      <c r="FM4" s="62"/>
      <c r="FN4" s="62"/>
      <c r="FO4" s="61"/>
      <c r="FP4" s="60"/>
      <c r="FQ4" s="49"/>
      <c r="FR4" s="49"/>
      <c r="FS4" s="49"/>
      <c r="FZ4" s="30"/>
    </row>
    <row r="5" spans="1:182" ht="13.5" thickTop="1" x14ac:dyDescent="0.2">
      <c r="A5" s="47">
        <v>30</v>
      </c>
      <c r="B5" s="45">
        <v>36.090000000000003</v>
      </c>
      <c r="C5" s="46">
        <v>57.85</v>
      </c>
      <c r="D5" s="32">
        <f t="shared" ref="D5:D10" si="0">C5-B5</f>
        <v>21.759999999999998</v>
      </c>
      <c r="E5" s="45">
        <v>56.34</v>
      </c>
      <c r="F5" s="32">
        <f t="shared" ref="F5:F10" si="1">E5-B5</f>
        <v>20.25</v>
      </c>
      <c r="G5" s="45">
        <f t="shared" ref="G5:G10" si="2">D5-F5</f>
        <v>1.509999999999998</v>
      </c>
      <c r="H5" s="44">
        <f t="shared" ref="H5:H10" si="3">(G5/F5)</f>
        <v>7.4567901234567802E-2</v>
      </c>
      <c r="I5" s="30">
        <v>1.49</v>
      </c>
      <c r="J5" s="33">
        <f t="shared" ref="J5:J10" si="4">H5*I5</f>
        <v>0.11110617283950602</v>
      </c>
      <c r="L5" s="47">
        <v>30</v>
      </c>
      <c r="M5" s="45">
        <v>36.01</v>
      </c>
      <c r="N5" s="46">
        <v>61.12</v>
      </c>
      <c r="O5" s="32">
        <f t="shared" ref="O5:O10" si="5">N5-M5</f>
        <v>25.11</v>
      </c>
      <c r="P5" s="45">
        <v>59.47</v>
      </c>
      <c r="Q5" s="32">
        <f t="shared" ref="Q5:Q10" si="6">P5-M5</f>
        <v>23.46</v>
      </c>
      <c r="R5" s="45">
        <f t="shared" ref="R5:R10" si="7">O5-Q5</f>
        <v>1.6499999999999986</v>
      </c>
      <c r="S5" s="44">
        <f t="shared" ref="S5:S10" si="8">(R5/Q5)</f>
        <v>7.0332480818414256E-2</v>
      </c>
      <c r="T5" s="30">
        <v>1.49</v>
      </c>
      <c r="U5" s="33">
        <f t="shared" ref="U5:U10" si="9">S5*T5</f>
        <v>0.10479539641943723</v>
      </c>
      <c r="W5" s="47">
        <v>30</v>
      </c>
      <c r="X5" s="45">
        <v>48.17</v>
      </c>
      <c r="Y5" s="46">
        <v>74.2</v>
      </c>
      <c r="Z5" s="32">
        <f t="shared" ref="Z5:Z10" si="10">Y5-X5</f>
        <v>26.03</v>
      </c>
      <c r="AA5" s="45">
        <v>72.69</v>
      </c>
      <c r="AB5" s="32">
        <f t="shared" ref="AB5:AB10" si="11">AA5-X5</f>
        <v>24.519999999999996</v>
      </c>
      <c r="AC5" s="45">
        <f t="shared" ref="AC5:AC10" si="12">Z5-AB5</f>
        <v>1.5100000000000051</v>
      </c>
      <c r="AD5" s="44">
        <f t="shared" ref="AD5:AD10" si="13">(AC5/AB5)</f>
        <v>6.1582381729200872E-2</v>
      </c>
      <c r="AE5" s="30">
        <v>1.49</v>
      </c>
      <c r="AF5" s="33">
        <f t="shared" ref="AF5:AF10" si="14">AD5*AE5</f>
        <v>9.1757748776509301E-2</v>
      </c>
      <c r="AG5" s="32"/>
      <c r="AH5" s="47">
        <v>30</v>
      </c>
      <c r="AI5" s="45">
        <v>32.71</v>
      </c>
      <c r="AJ5" s="46">
        <v>57.51</v>
      </c>
      <c r="AK5" s="32">
        <f t="shared" ref="AK5:AK10" si="15">AJ5-AI5</f>
        <v>24.799999999999997</v>
      </c>
      <c r="AL5" s="45">
        <v>55.99</v>
      </c>
      <c r="AM5" s="32">
        <f t="shared" ref="AM5:AM10" si="16">AL5-AI5</f>
        <v>23.28</v>
      </c>
      <c r="AN5" s="45">
        <f t="shared" ref="AN5:AN10" si="17">AK5-AM5</f>
        <v>1.519999999999996</v>
      </c>
      <c r="AO5" s="44">
        <f t="shared" ref="AO5:AO10" si="18">(AN5/AM5)</f>
        <v>6.5292096219931095E-2</v>
      </c>
      <c r="AP5" s="30">
        <v>1.49</v>
      </c>
      <c r="AQ5" s="33">
        <f t="shared" ref="AQ5:AQ10" si="19">AO5*AP5</f>
        <v>9.7285223367697335E-2</v>
      </c>
      <c r="AS5" s="47">
        <v>30</v>
      </c>
      <c r="AT5" s="45">
        <v>37.61</v>
      </c>
      <c r="AU5" s="46">
        <v>66.63</v>
      </c>
      <c r="AV5" s="32">
        <f t="shared" ref="AV5:AV10" si="20">AU5-AT5</f>
        <v>29.019999999999996</v>
      </c>
      <c r="AW5" s="45">
        <v>64.36</v>
      </c>
      <c r="AX5" s="32">
        <f t="shared" ref="AX5:AX10" si="21">AW5-AT5</f>
        <v>26.75</v>
      </c>
      <c r="AY5" s="45">
        <f t="shared" ref="AY5:AY10" si="22">AV5-AX5</f>
        <v>2.269999999999996</v>
      </c>
      <c r="AZ5" s="44">
        <f t="shared" ref="AZ5:AZ10" si="23">(AY5/AX5)</f>
        <v>8.4859813084112001E-2</v>
      </c>
      <c r="BA5" s="30">
        <v>1.49</v>
      </c>
      <c r="BB5" s="33">
        <f t="shared" ref="BB5:BB10" si="24">AZ5*BA5</f>
        <v>0.12644112149532688</v>
      </c>
      <c r="BD5" s="47">
        <v>30</v>
      </c>
      <c r="BE5" s="45">
        <v>57.18</v>
      </c>
      <c r="BF5" s="46">
        <v>97.09</v>
      </c>
      <c r="BG5" s="32">
        <f t="shared" ref="BG5:BG10" si="25">BF5-BE5</f>
        <v>39.910000000000004</v>
      </c>
      <c r="BH5" s="45">
        <v>95.07</v>
      </c>
      <c r="BI5" s="32">
        <f t="shared" ref="BI5:BI10" si="26">BH5-BE5</f>
        <v>37.889999999999993</v>
      </c>
      <c r="BJ5" s="45">
        <f t="shared" ref="BJ5:BJ10" si="27">BG5-BI5</f>
        <v>2.0200000000000102</v>
      </c>
      <c r="BK5" s="44">
        <f t="shared" ref="BK5:BK10" si="28">(BJ5/BI5)</f>
        <v>5.3312219583003709E-2</v>
      </c>
      <c r="BL5" s="30">
        <v>1.49</v>
      </c>
      <c r="BM5" s="33">
        <f t="shared" ref="BM5:BM10" si="29">BK5*BL5</f>
        <v>7.9435207178675526E-2</v>
      </c>
      <c r="BO5" s="47">
        <v>30</v>
      </c>
      <c r="BP5" s="45">
        <v>33.700000000000003</v>
      </c>
      <c r="BQ5" s="46">
        <v>60.4</v>
      </c>
      <c r="BR5" s="32">
        <f t="shared" ref="BR5:BR10" si="30">BQ5-BP5</f>
        <v>26.699999999999996</v>
      </c>
      <c r="BS5" s="45">
        <v>58.5</v>
      </c>
      <c r="BT5" s="32">
        <f t="shared" ref="BT5:BT10" si="31">BS5-BP5</f>
        <v>24.799999999999997</v>
      </c>
      <c r="BU5" s="45">
        <f t="shared" ref="BU5:BU10" si="32">BR5-BT5</f>
        <v>1.8999999999999986</v>
      </c>
      <c r="BV5" s="44">
        <f t="shared" ref="BV5:BV10" si="33">(BU5/BT5)</f>
        <v>7.6612903225806397E-2</v>
      </c>
      <c r="BW5" s="30">
        <v>1.49</v>
      </c>
      <c r="BX5" s="33">
        <f t="shared" ref="BX5:BX10" si="34">BV5*BW5</f>
        <v>0.11415322580645153</v>
      </c>
      <c r="BY5" s="32"/>
      <c r="BZ5" s="47">
        <v>30</v>
      </c>
      <c r="CA5" s="45">
        <v>26.1</v>
      </c>
      <c r="CB5" s="46">
        <v>47.33</v>
      </c>
      <c r="CC5" s="32">
        <f t="shared" ref="CC5:CC10" si="35">CB5-CA5</f>
        <v>21.229999999999997</v>
      </c>
      <c r="CD5" s="45">
        <v>45.71</v>
      </c>
      <c r="CE5" s="32">
        <f t="shared" ref="CE5:CE10" si="36">CD5-CA5</f>
        <v>19.61</v>
      </c>
      <c r="CF5" s="45">
        <f t="shared" ref="CF5:CF10" si="37">CC5-CE5</f>
        <v>1.6199999999999974</v>
      </c>
      <c r="CG5" s="44">
        <f t="shared" ref="CG5:CG10" si="38">(CF5/CE5)</f>
        <v>8.2610912799591915E-2</v>
      </c>
      <c r="CH5" s="30">
        <v>1.49</v>
      </c>
      <c r="CI5" s="33">
        <f t="shared" ref="CI5:CI10" si="39">CG5*CH5</f>
        <v>0.12309026007139195</v>
      </c>
      <c r="CJ5" s="32"/>
      <c r="CL5" s="32"/>
      <c r="CM5" s="32"/>
      <c r="CN5" s="32"/>
      <c r="CO5" s="32"/>
      <c r="CP5" s="32"/>
      <c r="CQ5" s="32"/>
      <c r="CR5" s="30"/>
      <c r="CS5" s="32"/>
      <c r="CT5" s="32"/>
      <c r="CU5" s="32"/>
      <c r="CV5" s="32"/>
      <c r="CW5" s="32"/>
      <c r="CX5" s="32"/>
      <c r="CY5" s="32"/>
      <c r="DB5" s="32"/>
      <c r="DC5" s="32"/>
      <c r="DD5" s="32"/>
      <c r="DE5" s="32"/>
      <c r="DF5" s="32"/>
      <c r="DG5" s="32"/>
      <c r="DH5" s="32"/>
      <c r="DK5" s="32"/>
      <c r="DL5" s="32"/>
      <c r="DM5" s="32"/>
      <c r="DN5" s="32"/>
      <c r="DO5" s="32"/>
      <c r="DP5" s="32"/>
      <c r="DQ5" s="32"/>
      <c r="DT5" s="32"/>
      <c r="DU5" s="32"/>
      <c r="DV5" s="32"/>
      <c r="DW5" s="32"/>
      <c r="DX5" s="32"/>
      <c r="DY5" s="32"/>
      <c r="DZ5" s="32"/>
      <c r="EA5" s="32"/>
      <c r="EC5" s="32"/>
      <c r="ED5" s="32"/>
      <c r="EE5" s="32"/>
      <c r="EF5" s="32"/>
      <c r="EG5" s="32"/>
      <c r="EH5" s="32"/>
      <c r="EI5" s="32"/>
      <c r="EJ5" s="32"/>
      <c r="EL5" s="32"/>
      <c r="EM5" s="32"/>
      <c r="EN5" s="32"/>
      <c r="EO5" s="32"/>
      <c r="EP5" s="32"/>
      <c r="EQ5" s="32"/>
      <c r="ER5" s="32"/>
      <c r="ES5" s="32"/>
      <c r="EU5" s="62"/>
      <c r="EV5" s="32"/>
      <c r="EW5" s="32"/>
      <c r="EX5" s="32"/>
      <c r="EY5" s="32"/>
      <c r="EZ5" s="32"/>
      <c r="FA5" s="32"/>
      <c r="FB5" s="32"/>
      <c r="FD5" s="32"/>
      <c r="FE5" s="32"/>
      <c r="FF5" s="32"/>
      <c r="FG5" s="32"/>
      <c r="FH5" s="32"/>
      <c r="FI5" s="32"/>
      <c r="FJ5" s="32"/>
      <c r="FM5" s="32"/>
      <c r="FN5" s="32"/>
      <c r="FO5" s="32"/>
      <c r="FP5" s="32"/>
      <c r="FR5" s="32"/>
      <c r="FS5" s="32"/>
      <c r="FZ5" s="30"/>
    </row>
    <row r="6" spans="1:182" x14ac:dyDescent="0.2">
      <c r="A6" s="43">
        <v>60</v>
      </c>
      <c r="B6" s="41">
        <v>37.57</v>
      </c>
      <c r="C6" s="42">
        <v>62.27</v>
      </c>
      <c r="D6" s="32">
        <f t="shared" si="0"/>
        <v>24.700000000000003</v>
      </c>
      <c r="E6" s="41">
        <v>60.86</v>
      </c>
      <c r="F6" s="32">
        <f t="shared" si="1"/>
        <v>23.29</v>
      </c>
      <c r="G6" s="41">
        <f t="shared" si="2"/>
        <v>1.4100000000000037</v>
      </c>
      <c r="H6" s="40">
        <f t="shared" si="3"/>
        <v>6.0541004723057269E-2</v>
      </c>
      <c r="I6" s="30">
        <v>1.42</v>
      </c>
      <c r="J6" s="33">
        <f t="shared" si="4"/>
        <v>8.5968226706741313E-2</v>
      </c>
      <c r="L6" s="43">
        <v>60</v>
      </c>
      <c r="M6" s="41">
        <v>42.14</v>
      </c>
      <c r="N6" s="42">
        <v>68.849999999999994</v>
      </c>
      <c r="O6" s="32">
        <f t="shared" si="5"/>
        <v>26.709999999999994</v>
      </c>
      <c r="P6" s="41">
        <v>67.260000000000005</v>
      </c>
      <c r="Q6" s="32">
        <f t="shared" si="6"/>
        <v>25.120000000000005</v>
      </c>
      <c r="R6" s="41">
        <f t="shared" si="7"/>
        <v>1.5899999999999892</v>
      </c>
      <c r="S6" s="40">
        <f t="shared" si="8"/>
        <v>6.32961783439486E-2</v>
      </c>
      <c r="T6" s="30">
        <v>1.42</v>
      </c>
      <c r="U6" s="33">
        <f t="shared" si="9"/>
        <v>8.9880573248407009E-2</v>
      </c>
      <c r="W6" s="43">
        <v>60</v>
      </c>
      <c r="X6" s="41">
        <v>32.86</v>
      </c>
      <c r="Y6" s="42">
        <v>55.12</v>
      </c>
      <c r="Z6" s="32">
        <f t="shared" si="10"/>
        <v>22.259999999999998</v>
      </c>
      <c r="AA6" s="41">
        <v>53.22</v>
      </c>
      <c r="AB6" s="32">
        <f t="shared" si="11"/>
        <v>20.36</v>
      </c>
      <c r="AC6" s="41">
        <f t="shared" si="12"/>
        <v>1.8999999999999986</v>
      </c>
      <c r="AD6" s="40">
        <f t="shared" si="13"/>
        <v>9.3320235756384998E-2</v>
      </c>
      <c r="AE6" s="30">
        <v>1.42</v>
      </c>
      <c r="AF6" s="33">
        <f t="shared" si="14"/>
        <v>0.13251473477406669</v>
      </c>
      <c r="AG6" s="32"/>
      <c r="AH6" s="43">
        <v>60</v>
      </c>
      <c r="AI6" s="41">
        <v>54.63</v>
      </c>
      <c r="AJ6" s="42">
        <v>74.19</v>
      </c>
      <c r="AK6" s="32">
        <f t="shared" si="15"/>
        <v>19.559999999999995</v>
      </c>
      <c r="AL6" s="41">
        <v>73.2</v>
      </c>
      <c r="AM6" s="32">
        <f t="shared" si="16"/>
        <v>18.57</v>
      </c>
      <c r="AN6" s="41">
        <f t="shared" si="17"/>
        <v>0.98999999999999488</v>
      </c>
      <c r="AO6" s="40">
        <f t="shared" si="18"/>
        <v>5.3311793214862409E-2</v>
      </c>
      <c r="AP6" s="30">
        <v>1.42</v>
      </c>
      <c r="AQ6" s="33">
        <f t="shared" si="19"/>
        <v>7.5702746365104615E-2</v>
      </c>
      <c r="AS6" s="43">
        <v>60</v>
      </c>
      <c r="AT6" s="41">
        <v>42.6</v>
      </c>
      <c r="AU6" s="42">
        <v>60.9</v>
      </c>
      <c r="AV6" s="32">
        <f t="shared" si="20"/>
        <v>18.299999999999997</v>
      </c>
      <c r="AW6" s="41">
        <v>58.86</v>
      </c>
      <c r="AX6" s="32">
        <f t="shared" si="21"/>
        <v>16.259999999999998</v>
      </c>
      <c r="AY6" s="41">
        <f t="shared" si="22"/>
        <v>2.0399999999999991</v>
      </c>
      <c r="AZ6" s="40">
        <f t="shared" si="23"/>
        <v>0.12546125461254609</v>
      </c>
      <c r="BA6" s="30">
        <v>1.42</v>
      </c>
      <c r="BB6" s="33">
        <f t="shared" si="24"/>
        <v>0.17815498154981543</v>
      </c>
      <c r="BD6" s="43">
        <v>60</v>
      </c>
      <c r="BE6" s="41">
        <v>32.18</v>
      </c>
      <c r="BF6" s="42">
        <v>56.43</v>
      </c>
      <c r="BG6" s="32">
        <f t="shared" si="25"/>
        <v>24.25</v>
      </c>
      <c r="BH6" s="41">
        <v>54.07</v>
      </c>
      <c r="BI6" s="32">
        <f t="shared" si="26"/>
        <v>21.89</v>
      </c>
      <c r="BJ6" s="41">
        <f t="shared" si="27"/>
        <v>2.3599999999999994</v>
      </c>
      <c r="BK6" s="40">
        <f t="shared" si="28"/>
        <v>0.10781178620374597</v>
      </c>
      <c r="BL6" s="30">
        <v>1.42</v>
      </c>
      <c r="BM6" s="33">
        <f t="shared" si="29"/>
        <v>0.15309273640931928</v>
      </c>
      <c r="BO6" s="43">
        <v>60</v>
      </c>
      <c r="BP6" s="41">
        <v>26.87</v>
      </c>
      <c r="BQ6" s="42">
        <v>48.59</v>
      </c>
      <c r="BR6" s="32">
        <f t="shared" si="30"/>
        <v>21.720000000000002</v>
      </c>
      <c r="BS6" s="41">
        <v>47.04</v>
      </c>
      <c r="BT6" s="32">
        <f t="shared" si="31"/>
        <v>20.169999999999998</v>
      </c>
      <c r="BU6" s="41">
        <f t="shared" si="32"/>
        <v>1.5500000000000043</v>
      </c>
      <c r="BV6" s="40">
        <f t="shared" si="33"/>
        <v>7.6846802181457827E-2</v>
      </c>
      <c r="BW6" s="30">
        <v>1.42</v>
      </c>
      <c r="BX6" s="33">
        <f t="shared" si="34"/>
        <v>0.10912245909767011</v>
      </c>
      <c r="BY6" s="32"/>
      <c r="BZ6" s="43">
        <v>60</v>
      </c>
      <c r="CA6" s="41">
        <v>67.41</v>
      </c>
      <c r="CB6" s="42">
        <v>91.8</v>
      </c>
      <c r="CC6" s="32">
        <f t="shared" si="35"/>
        <v>24.39</v>
      </c>
      <c r="CD6" s="41">
        <v>89.11</v>
      </c>
      <c r="CE6" s="32">
        <f t="shared" si="36"/>
        <v>21.700000000000003</v>
      </c>
      <c r="CF6" s="41">
        <f t="shared" si="37"/>
        <v>2.6899999999999977</v>
      </c>
      <c r="CG6" s="40">
        <f t="shared" si="38"/>
        <v>0.12396313364055288</v>
      </c>
      <c r="CH6" s="30">
        <v>1.42</v>
      </c>
      <c r="CI6" s="33">
        <f t="shared" si="39"/>
        <v>0.17602764976958507</v>
      </c>
      <c r="CJ6" s="32"/>
      <c r="CL6" s="32"/>
      <c r="CM6" s="32"/>
      <c r="CN6" s="32"/>
      <c r="CO6" s="32"/>
      <c r="CP6" s="32"/>
      <c r="CQ6" s="32"/>
      <c r="CR6" s="30"/>
      <c r="CS6" s="32"/>
      <c r="CT6" s="32"/>
      <c r="CU6" s="32"/>
      <c r="CV6" s="32"/>
      <c r="CW6" s="32"/>
      <c r="CX6" s="32"/>
      <c r="CY6" s="32"/>
      <c r="DB6" s="32"/>
      <c r="DC6" s="32"/>
      <c r="DD6" s="32"/>
      <c r="DE6" s="32"/>
      <c r="DF6" s="32"/>
      <c r="DG6" s="32"/>
      <c r="DH6" s="32"/>
      <c r="DK6" s="32"/>
      <c r="DL6" s="32"/>
      <c r="DM6" s="32"/>
      <c r="DN6" s="32"/>
      <c r="DO6" s="32"/>
      <c r="DP6" s="32"/>
      <c r="DQ6" s="32"/>
      <c r="DT6" s="32"/>
      <c r="DU6" s="32"/>
      <c r="DV6" s="32"/>
      <c r="DW6" s="32"/>
      <c r="DX6" s="32"/>
      <c r="DY6" s="32"/>
      <c r="DZ6" s="32"/>
      <c r="EA6" s="32"/>
      <c r="EC6" s="32"/>
      <c r="ED6" s="32"/>
      <c r="EE6" s="32"/>
      <c r="EF6" s="32"/>
      <c r="EG6" s="32"/>
      <c r="EH6" s="32"/>
      <c r="EI6" s="32"/>
      <c r="EJ6" s="32"/>
      <c r="EL6" s="32"/>
      <c r="EM6" s="32"/>
      <c r="EN6" s="32"/>
      <c r="EO6" s="32"/>
      <c r="EP6" s="32"/>
      <c r="EQ6" s="32"/>
      <c r="ER6" s="32"/>
      <c r="ES6" s="32"/>
      <c r="EU6" s="32"/>
      <c r="EV6" s="32"/>
      <c r="EW6" s="32"/>
      <c r="EX6" s="32"/>
      <c r="EY6" s="32"/>
      <c r="EZ6" s="32"/>
      <c r="FA6" s="32"/>
      <c r="FB6" s="32"/>
      <c r="FD6" s="32"/>
      <c r="FE6" s="32"/>
      <c r="FF6" s="32"/>
      <c r="FG6" s="32"/>
      <c r="FH6" s="32"/>
      <c r="FI6" s="32"/>
      <c r="FJ6" s="32"/>
      <c r="FM6" s="32"/>
      <c r="FN6" s="32"/>
      <c r="FO6" s="32"/>
      <c r="FP6" s="32"/>
      <c r="FR6" s="32"/>
      <c r="FS6" s="32"/>
      <c r="FZ6" s="30"/>
    </row>
    <row r="7" spans="1:182" x14ac:dyDescent="0.2">
      <c r="A7" s="43">
        <v>90</v>
      </c>
      <c r="B7" s="41">
        <v>42.97</v>
      </c>
      <c r="C7" s="42">
        <v>65.599999999999994</v>
      </c>
      <c r="D7" s="32">
        <f t="shared" si="0"/>
        <v>22.629999999999995</v>
      </c>
      <c r="E7" s="41">
        <v>64.599999999999994</v>
      </c>
      <c r="F7" s="32">
        <f t="shared" si="1"/>
        <v>21.629999999999995</v>
      </c>
      <c r="G7" s="41">
        <f t="shared" si="2"/>
        <v>1</v>
      </c>
      <c r="H7" s="40">
        <f t="shared" si="3"/>
        <v>4.6232085067036535E-2</v>
      </c>
      <c r="I7" s="30">
        <v>1.58</v>
      </c>
      <c r="J7" s="33">
        <f t="shared" si="4"/>
        <v>7.3046694405917725E-2</v>
      </c>
      <c r="L7" s="43">
        <v>90</v>
      </c>
      <c r="M7" s="41">
        <v>42.27</v>
      </c>
      <c r="N7" s="42">
        <v>66.739999999999995</v>
      </c>
      <c r="O7" s="32">
        <f t="shared" si="5"/>
        <v>24.469999999999992</v>
      </c>
      <c r="P7" s="41">
        <v>65.319999999999993</v>
      </c>
      <c r="Q7" s="32">
        <f t="shared" si="6"/>
        <v>23.04999999999999</v>
      </c>
      <c r="R7" s="41">
        <f t="shared" si="7"/>
        <v>1.4200000000000017</v>
      </c>
      <c r="S7" s="40">
        <f t="shared" si="8"/>
        <v>6.1605206073752812E-2</v>
      </c>
      <c r="T7" s="30">
        <v>1.58</v>
      </c>
      <c r="U7" s="33">
        <f t="shared" si="9"/>
        <v>9.7336225596529449E-2</v>
      </c>
      <c r="W7" s="43">
        <v>90</v>
      </c>
      <c r="X7" s="41">
        <v>42.52</v>
      </c>
      <c r="Y7" s="42">
        <v>64.36</v>
      </c>
      <c r="Z7" s="32">
        <f t="shared" si="10"/>
        <v>21.839999999999996</v>
      </c>
      <c r="AA7" s="41">
        <v>62.51</v>
      </c>
      <c r="AB7" s="32">
        <f t="shared" si="11"/>
        <v>19.989999999999995</v>
      </c>
      <c r="AC7" s="41">
        <f t="shared" si="12"/>
        <v>1.8500000000000014</v>
      </c>
      <c r="AD7" s="40">
        <f t="shared" si="13"/>
        <v>9.254627313656838E-2</v>
      </c>
      <c r="AE7" s="30">
        <v>1.58</v>
      </c>
      <c r="AF7" s="33">
        <f t="shared" si="14"/>
        <v>0.14622311155577805</v>
      </c>
      <c r="AG7" s="32"/>
      <c r="AH7" s="43">
        <v>90</v>
      </c>
      <c r="AI7" s="41">
        <v>49.28</v>
      </c>
      <c r="AJ7" s="42">
        <v>74.37</v>
      </c>
      <c r="AK7" s="32">
        <f t="shared" si="15"/>
        <v>25.090000000000003</v>
      </c>
      <c r="AL7" s="41">
        <v>72.86</v>
      </c>
      <c r="AM7" s="32">
        <f t="shared" si="16"/>
        <v>23.58</v>
      </c>
      <c r="AN7" s="41">
        <f t="shared" si="17"/>
        <v>1.5100000000000051</v>
      </c>
      <c r="AO7" s="40">
        <f t="shared" si="18"/>
        <v>6.4037319762510828E-2</v>
      </c>
      <c r="AP7" s="30">
        <v>1.58</v>
      </c>
      <c r="AQ7" s="33">
        <f t="shared" si="19"/>
        <v>0.10117896522476712</v>
      </c>
      <c r="AS7" s="43">
        <v>90</v>
      </c>
      <c r="AT7" s="41">
        <v>61.54</v>
      </c>
      <c r="AU7" s="42">
        <v>86.28</v>
      </c>
      <c r="AV7" s="32">
        <f t="shared" si="20"/>
        <v>24.740000000000002</v>
      </c>
      <c r="AW7" s="41">
        <v>83.55</v>
      </c>
      <c r="AX7" s="32">
        <f t="shared" si="21"/>
        <v>22.009999999999998</v>
      </c>
      <c r="AY7" s="41">
        <f t="shared" si="22"/>
        <v>2.730000000000004</v>
      </c>
      <c r="AZ7" s="40">
        <f t="shared" si="23"/>
        <v>0.12403452975920055</v>
      </c>
      <c r="BA7" s="30">
        <v>1.58</v>
      </c>
      <c r="BB7" s="33">
        <f t="shared" si="24"/>
        <v>0.19597455701953689</v>
      </c>
      <c r="BD7" s="43">
        <v>90</v>
      </c>
      <c r="BE7" s="41">
        <v>59.25</v>
      </c>
      <c r="BF7" s="42">
        <v>84.32</v>
      </c>
      <c r="BG7" s="32">
        <f t="shared" si="25"/>
        <v>25.069999999999993</v>
      </c>
      <c r="BH7" s="41">
        <v>81.33</v>
      </c>
      <c r="BI7" s="32">
        <f t="shared" si="26"/>
        <v>22.08</v>
      </c>
      <c r="BJ7" s="41">
        <f t="shared" si="27"/>
        <v>2.9899999999999949</v>
      </c>
      <c r="BK7" s="40">
        <f t="shared" si="28"/>
        <v>0.13541666666666644</v>
      </c>
      <c r="BL7" s="30">
        <v>1.58</v>
      </c>
      <c r="BM7" s="33">
        <f t="shared" si="29"/>
        <v>0.21395833333333297</v>
      </c>
      <c r="BO7" s="43">
        <v>90</v>
      </c>
      <c r="BP7" s="41">
        <v>70.040000000000006</v>
      </c>
      <c r="BQ7" s="42">
        <v>97.55</v>
      </c>
      <c r="BR7" s="32">
        <f t="shared" si="30"/>
        <v>27.509999999999991</v>
      </c>
      <c r="BS7" s="41">
        <v>95.47</v>
      </c>
      <c r="BT7" s="32">
        <f t="shared" si="31"/>
        <v>25.429999999999993</v>
      </c>
      <c r="BU7" s="41">
        <f t="shared" si="32"/>
        <v>2.0799999999999983</v>
      </c>
      <c r="BV7" s="40">
        <f t="shared" si="33"/>
        <v>8.1793157687770304E-2</v>
      </c>
      <c r="BW7" s="30">
        <v>1.58</v>
      </c>
      <c r="BX7" s="33">
        <f t="shared" si="34"/>
        <v>0.12923318914667709</v>
      </c>
      <c r="BY7" s="32"/>
      <c r="BZ7" s="43">
        <v>90</v>
      </c>
      <c r="CA7" s="41">
        <v>56.8</v>
      </c>
      <c r="CB7" s="42">
        <v>78.099999999999994</v>
      </c>
      <c r="CC7" s="32">
        <f t="shared" si="35"/>
        <v>21.299999999999997</v>
      </c>
      <c r="CD7" s="41">
        <v>75.8</v>
      </c>
      <c r="CE7" s="32">
        <f t="shared" si="36"/>
        <v>19</v>
      </c>
      <c r="CF7" s="41">
        <f t="shared" si="37"/>
        <v>2.2999999999999972</v>
      </c>
      <c r="CG7" s="40">
        <f t="shared" si="38"/>
        <v>0.12105263157894722</v>
      </c>
      <c r="CH7" s="30">
        <v>1.58</v>
      </c>
      <c r="CI7" s="33">
        <f t="shared" si="39"/>
        <v>0.19126315789473661</v>
      </c>
      <c r="CJ7" s="32"/>
      <c r="CL7" s="32"/>
      <c r="CM7" s="32"/>
      <c r="CN7" s="32"/>
      <c r="CO7" s="32"/>
      <c r="CP7" s="32"/>
      <c r="CQ7" s="32"/>
      <c r="CR7" s="30"/>
      <c r="CS7" s="32"/>
      <c r="CT7" s="32"/>
      <c r="CU7" s="32"/>
      <c r="CV7" s="32"/>
      <c r="CW7" s="32"/>
      <c r="CX7" s="32"/>
      <c r="CY7" s="32"/>
      <c r="DB7" s="32"/>
      <c r="DC7" s="32"/>
      <c r="DD7" s="32"/>
      <c r="DE7" s="32"/>
      <c r="DF7" s="32"/>
      <c r="DG7" s="32"/>
      <c r="DH7" s="32"/>
      <c r="DK7" s="32"/>
      <c r="DL7" s="32"/>
      <c r="DM7" s="32"/>
      <c r="DN7" s="32"/>
      <c r="DO7" s="32"/>
      <c r="DP7" s="32"/>
      <c r="DQ7" s="32"/>
      <c r="DT7" s="32"/>
      <c r="DU7" s="32"/>
      <c r="DV7" s="32"/>
      <c r="DW7" s="32"/>
      <c r="DX7" s="32"/>
      <c r="DY7" s="32"/>
      <c r="DZ7" s="32"/>
      <c r="EA7" s="32"/>
      <c r="EC7" s="32"/>
      <c r="ED7" s="32"/>
      <c r="EE7" s="32"/>
      <c r="EF7" s="32"/>
      <c r="EG7" s="32"/>
      <c r="EH7" s="32"/>
      <c r="EI7" s="32"/>
      <c r="EJ7" s="32"/>
      <c r="EL7" s="32"/>
      <c r="EM7" s="32"/>
      <c r="EN7" s="32"/>
      <c r="EO7" s="32"/>
      <c r="EP7" s="32"/>
      <c r="EQ7" s="32"/>
      <c r="ER7" s="32"/>
      <c r="ES7" s="32"/>
      <c r="EU7" s="32"/>
      <c r="EV7" s="32"/>
      <c r="EW7" s="32"/>
      <c r="EX7" s="32"/>
      <c r="EY7" s="32"/>
      <c r="EZ7" s="32"/>
      <c r="FA7" s="32"/>
      <c r="FB7" s="32"/>
      <c r="FD7" s="32"/>
      <c r="FE7" s="32"/>
      <c r="FF7" s="32"/>
      <c r="FG7" s="32"/>
      <c r="FH7" s="32"/>
      <c r="FI7" s="32"/>
      <c r="FJ7" s="32"/>
      <c r="FM7" s="32"/>
      <c r="FN7" s="32"/>
      <c r="FO7" s="32"/>
      <c r="FP7" s="32"/>
      <c r="FR7" s="32"/>
      <c r="FS7" s="32"/>
      <c r="FZ7" s="30"/>
    </row>
    <row r="8" spans="1:182" x14ac:dyDescent="0.2">
      <c r="A8" s="43">
        <v>120</v>
      </c>
      <c r="B8" s="41">
        <v>42.22</v>
      </c>
      <c r="C8" s="42">
        <v>73.180000000000007</v>
      </c>
      <c r="D8" s="32">
        <f t="shared" si="0"/>
        <v>30.960000000000008</v>
      </c>
      <c r="E8" s="41">
        <v>71.569999999999993</v>
      </c>
      <c r="F8" s="32">
        <f t="shared" si="1"/>
        <v>29.349999999999994</v>
      </c>
      <c r="G8" s="41">
        <f t="shared" si="2"/>
        <v>1.6100000000000136</v>
      </c>
      <c r="H8" s="40">
        <f t="shared" si="3"/>
        <v>5.4855195911414446E-2</v>
      </c>
      <c r="I8" s="30">
        <v>1.58</v>
      </c>
      <c r="J8" s="33">
        <f t="shared" si="4"/>
        <v>8.6671209540034835E-2</v>
      </c>
      <c r="L8" s="43">
        <v>120</v>
      </c>
      <c r="M8" s="41">
        <v>41.72</v>
      </c>
      <c r="N8" s="42">
        <v>63.69</v>
      </c>
      <c r="O8" s="32">
        <f t="shared" si="5"/>
        <v>21.97</v>
      </c>
      <c r="P8" s="41">
        <v>62.14</v>
      </c>
      <c r="Q8" s="32">
        <f t="shared" si="6"/>
        <v>20.420000000000002</v>
      </c>
      <c r="R8" s="41">
        <f t="shared" si="7"/>
        <v>1.5499999999999972</v>
      </c>
      <c r="S8" s="40">
        <f t="shared" si="8"/>
        <v>7.5905974534769688E-2</v>
      </c>
      <c r="T8" s="30">
        <v>1.58</v>
      </c>
      <c r="U8" s="33">
        <f t="shared" si="9"/>
        <v>0.11993143976493612</v>
      </c>
      <c r="W8" s="43">
        <v>120</v>
      </c>
      <c r="X8" s="41">
        <v>53.56</v>
      </c>
      <c r="Y8" s="42">
        <v>78.150000000000006</v>
      </c>
      <c r="Z8" s="32">
        <f t="shared" si="10"/>
        <v>24.590000000000003</v>
      </c>
      <c r="AA8" s="41">
        <v>76.52</v>
      </c>
      <c r="AB8" s="32">
        <f t="shared" si="11"/>
        <v>22.959999999999994</v>
      </c>
      <c r="AC8" s="41">
        <f t="shared" si="12"/>
        <v>1.6300000000000097</v>
      </c>
      <c r="AD8" s="40">
        <f t="shared" si="13"/>
        <v>7.0993031358885461E-2</v>
      </c>
      <c r="AE8" s="30">
        <v>1.58</v>
      </c>
      <c r="AF8" s="33">
        <f t="shared" si="14"/>
        <v>0.11216898954703904</v>
      </c>
      <c r="AG8" s="32"/>
      <c r="AH8" s="43">
        <v>120</v>
      </c>
      <c r="AI8" s="41">
        <v>42.53</v>
      </c>
      <c r="AJ8" s="42">
        <v>67.41</v>
      </c>
      <c r="AK8" s="32">
        <f t="shared" si="15"/>
        <v>24.879999999999995</v>
      </c>
      <c r="AL8" s="41">
        <v>66</v>
      </c>
      <c r="AM8" s="32">
        <f t="shared" si="16"/>
        <v>23.47</v>
      </c>
      <c r="AN8" s="41">
        <f t="shared" si="17"/>
        <v>1.4099999999999966</v>
      </c>
      <c r="AO8" s="40">
        <f t="shared" si="18"/>
        <v>6.0076693651469816E-2</v>
      </c>
      <c r="AP8" s="30">
        <v>1.58</v>
      </c>
      <c r="AQ8" s="33">
        <f t="shared" si="19"/>
        <v>9.4921175969322313E-2</v>
      </c>
      <c r="AS8" s="43">
        <v>120</v>
      </c>
      <c r="AT8" s="41">
        <v>61.71</v>
      </c>
      <c r="AU8" s="42">
        <v>83.43</v>
      </c>
      <c r="AV8" s="32">
        <f t="shared" si="20"/>
        <v>21.720000000000006</v>
      </c>
      <c r="AW8" s="41">
        <v>81.2</v>
      </c>
      <c r="AX8" s="32">
        <f t="shared" si="21"/>
        <v>19.490000000000002</v>
      </c>
      <c r="AY8" s="41">
        <f t="shared" si="22"/>
        <v>2.230000000000004</v>
      </c>
      <c r="AZ8" s="40">
        <f t="shared" si="23"/>
        <v>0.11441765007696274</v>
      </c>
      <c r="BA8" s="30">
        <v>1.58</v>
      </c>
      <c r="BB8" s="33">
        <f t="shared" si="24"/>
        <v>0.18077988712160115</v>
      </c>
      <c r="BD8" s="43">
        <v>120</v>
      </c>
      <c r="BE8" s="41">
        <v>42.27</v>
      </c>
      <c r="BF8" s="42">
        <v>67.95</v>
      </c>
      <c r="BG8" s="32">
        <f t="shared" si="25"/>
        <v>25.68</v>
      </c>
      <c r="BH8" s="41">
        <v>65.55</v>
      </c>
      <c r="BI8" s="32">
        <f t="shared" si="26"/>
        <v>23.279999999999994</v>
      </c>
      <c r="BJ8" s="41">
        <f t="shared" si="27"/>
        <v>2.4000000000000057</v>
      </c>
      <c r="BK8" s="40">
        <f t="shared" si="28"/>
        <v>0.10309278350515491</v>
      </c>
      <c r="BL8" s="30">
        <v>1.58</v>
      </c>
      <c r="BM8" s="33">
        <f t="shared" si="29"/>
        <v>0.16288659793814478</v>
      </c>
      <c r="BO8" s="43">
        <v>120</v>
      </c>
      <c r="BP8" s="41">
        <v>57.19</v>
      </c>
      <c r="BQ8" s="42">
        <v>79.7</v>
      </c>
      <c r="BR8" s="32">
        <f t="shared" si="30"/>
        <v>22.510000000000005</v>
      </c>
      <c r="BS8" s="41">
        <v>77.86</v>
      </c>
      <c r="BT8" s="32">
        <f t="shared" si="31"/>
        <v>20.67</v>
      </c>
      <c r="BU8" s="41">
        <f t="shared" si="32"/>
        <v>1.8400000000000034</v>
      </c>
      <c r="BV8" s="40">
        <f t="shared" si="33"/>
        <v>8.9017900338655212E-2</v>
      </c>
      <c r="BW8" s="30">
        <v>1.58</v>
      </c>
      <c r="BX8" s="33">
        <f t="shared" si="34"/>
        <v>0.14064828253507525</v>
      </c>
      <c r="BY8" s="32"/>
      <c r="BZ8" s="43">
        <v>120</v>
      </c>
      <c r="CA8" s="41">
        <v>56.7</v>
      </c>
      <c r="CB8" s="42">
        <v>83.44</v>
      </c>
      <c r="CC8" s="32">
        <f t="shared" si="35"/>
        <v>26.739999999999995</v>
      </c>
      <c r="CD8" s="41">
        <v>80.66</v>
      </c>
      <c r="CE8" s="32">
        <f t="shared" si="36"/>
        <v>23.959999999999994</v>
      </c>
      <c r="CF8" s="41">
        <f t="shared" si="37"/>
        <v>2.7800000000000011</v>
      </c>
      <c r="CG8" s="40">
        <f t="shared" si="38"/>
        <v>0.11602671118530893</v>
      </c>
      <c r="CH8" s="30">
        <v>1.58</v>
      </c>
      <c r="CI8" s="33">
        <f t="shared" si="39"/>
        <v>0.18332220367278812</v>
      </c>
      <c r="CJ8" s="32"/>
      <c r="CL8" s="32"/>
      <c r="CM8" s="32"/>
      <c r="CN8" s="32"/>
      <c r="CO8" s="32"/>
      <c r="CP8" s="32"/>
      <c r="CQ8" s="32"/>
      <c r="CR8" s="30"/>
      <c r="CS8" s="32"/>
      <c r="CT8" s="32"/>
      <c r="CU8" s="32"/>
      <c r="CV8" s="32"/>
      <c r="CW8" s="32"/>
      <c r="CX8" s="32"/>
      <c r="CY8" s="32"/>
      <c r="DB8" s="32"/>
      <c r="DC8" s="32"/>
      <c r="DD8" s="32"/>
      <c r="DE8" s="32"/>
      <c r="DF8" s="32"/>
      <c r="DG8" s="32"/>
      <c r="DH8" s="32"/>
      <c r="DK8" s="32"/>
      <c r="DL8" s="32"/>
      <c r="DM8" s="32"/>
      <c r="DN8" s="32"/>
      <c r="DO8" s="32"/>
      <c r="DP8" s="32"/>
      <c r="DQ8" s="32"/>
      <c r="DT8" s="32"/>
      <c r="DU8" s="32"/>
      <c r="DV8" s="32"/>
      <c r="DW8" s="32"/>
      <c r="DX8" s="32"/>
      <c r="DY8" s="32"/>
      <c r="DZ8" s="32"/>
      <c r="EA8" s="32"/>
      <c r="EC8" s="32"/>
      <c r="ED8" s="32"/>
      <c r="EE8" s="32"/>
      <c r="EF8" s="32"/>
      <c r="EG8" s="32"/>
      <c r="EH8" s="32"/>
      <c r="EI8" s="32"/>
      <c r="EJ8" s="32"/>
      <c r="EL8" s="32"/>
      <c r="EM8" s="32"/>
      <c r="EN8" s="32"/>
      <c r="EO8" s="32"/>
      <c r="EP8" s="32"/>
      <c r="EQ8" s="32"/>
      <c r="ER8" s="32"/>
      <c r="ES8" s="32"/>
      <c r="EU8" s="32"/>
      <c r="EV8" s="32"/>
      <c r="EW8" s="32"/>
      <c r="EX8" s="32"/>
      <c r="EY8" s="32"/>
      <c r="EZ8" s="32"/>
      <c r="FA8" s="32"/>
      <c r="FB8" s="32"/>
      <c r="FD8" s="32"/>
      <c r="FE8" s="32"/>
      <c r="FF8" s="32"/>
      <c r="FG8" s="32"/>
      <c r="FH8" s="32"/>
      <c r="FI8" s="32"/>
      <c r="FJ8" s="32"/>
      <c r="FM8" s="32"/>
      <c r="FN8" s="32"/>
      <c r="FO8" s="32"/>
      <c r="FP8" s="32"/>
      <c r="FR8" s="32"/>
      <c r="FS8" s="32"/>
      <c r="FZ8" s="30"/>
    </row>
    <row r="9" spans="1:182" x14ac:dyDescent="0.2">
      <c r="A9" s="43">
        <v>150</v>
      </c>
      <c r="B9" s="41">
        <v>28.9</v>
      </c>
      <c r="C9" s="42">
        <v>53.9</v>
      </c>
      <c r="D9" s="32">
        <f t="shared" si="0"/>
        <v>25</v>
      </c>
      <c r="E9" s="41">
        <v>51.9</v>
      </c>
      <c r="F9" s="32">
        <f t="shared" si="1"/>
        <v>23</v>
      </c>
      <c r="G9" s="41">
        <f t="shared" si="2"/>
        <v>2</v>
      </c>
      <c r="H9" s="40">
        <f t="shared" si="3"/>
        <v>8.6956521739130432E-2</v>
      </c>
      <c r="I9" s="30">
        <v>1.58</v>
      </c>
      <c r="J9" s="33">
        <f t="shared" si="4"/>
        <v>0.13739130434782609</v>
      </c>
      <c r="L9" s="43">
        <v>150</v>
      </c>
      <c r="M9" s="41">
        <v>32.71</v>
      </c>
      <c r="N9" s="42">
        <v>55.55</v>
      </c>
      <c r="O9" s="32">
        <f t="shared" si="5"/>
        <v>22.839999999999996</v>
      </c>
      <c r="P9" s="41">
        <v>53.77</v>
      </c>
      <c r="Q9" s="32">
        <f t="shared" si="6"/>
        <v>21.060000000000002</v>
      </c>
      <c r="R9" s="41">
        <f t="shared" si="7"/>
        <v>1.779999999999994</v>
      </c>
      <c r="S9" s="40">
        <f t="shared" si="8"/>
        <v>8.452041785375089E-2</v>
      </c>
      <c r="T9" s="30">
        <v>1.58</v>
      </c>
      <c r="U9" s="33">
        <f t="shared" si="9"/>
        <v>0.1335422602089264</v>
      </c>
      <c r="W9" s="43">
        <v>150</v>
      </c>
      <c r="X9" s="41">
        <v>32.64</v>
      </c>
      <c r="Y9" s="42">
        <v>54.6</v>
      </c>
      <c r="Z9" s="32">
        <f t="shared" si="10"/>
        <v>21.96</v>
      </c>
      <c r="AA9" s="41">
        <v>53.54</v>
      </c>
      <c r="AB9" s="32">
        <f t="shared" si="11"/>
        <v>20.9</v>
      </c>
      <c r="AC9" s="41">
        <f t="shared" si="12"/>
        <v>1.0600000000000023</v>
      </c>
      <c r="AD9" s="40">
        <f t="shared" si="13"/>
        <v>5.0717703349282411E-2</v>
      </c>
      <c r="AE9" s="30">
        <v>1.58</v>
      </c>
      <c r="AF9" s="33">
        <f t="shared" si="14"/>
        <v>8.013397129186621E-2</v>
      </c>
      <c r="AG9" s="32"/>
      <c r="AH9" s="43">
        <v>150</v>
      </c>
      <c r="AI9" s="41">
        <v>58.22</v>
      </c>
      <c r="AJ9" s="42">
        <v>80.84</v>
      </c>
      <c r="AK9" s="32">
        <f t="shared" si="15"/>
        <v>22.620000000000005</v>
      </c>
      <c r="AL9" s="41">
        <v>79.72</v>
      </c>
      <c r="AM9" s="32">
        <f t="shared" si="16"/>
        <v>21.5</v>
      </c>
      <c r="AN9" s="41">
        <f t="shared" si="17"/>
        <v>1.1200000000000045</v>
      </c>
      <c r="AO9" s="40">
        <f t="shared" si="18"/>
        <v>5.2093023255814164E-2</v>
      </c>
      <c r="AP9" s="30">
        <v>1.58</v>
      </c>
      <c r="AQ9" s="33">
        <f t="shared" si="19"/>
        <v>8.2306976744186383E-2</v>
      </c>
      <c r="AS9" s="43">
        <v>150</v>
      </c>
      <c r="AT9" s="41">
        <v>70.989999999999995</v>
      </c>
      <c r="AU9" s="42">
        <v>101.07</v>
      </c>
      <c r="AV9" s="32">
        <f t="shared" si="20"/>
        <v>30.08</v>
      </c>
      <c r="AW9" s="41">
        <v>98.82</v>
      </c>
      <c r="AX9" s="32">
        <f t="shared" si="21"/>
        <v>27.83</v>
      </c>
      <c r="AY9" s="41">
        <f t="shared" si="22"/>
        <v>2.25</v>
      </c>
      <c r="AZ9" s="40">
        <f t="shared" si="23"/>
        <v>8.0848005749191529E-2</v>
      </c>
      <c r="BA9" s="30">
        <v>1.58</v>
      </c>
      <c r="BB9" s="33">
        <f t="shared" si="24"/>
        <v>0.12773984908372263</v>
      </c>
      <c r="BD9" s="43">
        <v>150</v>
      </c>
      <c r="BE9" s="41">
        <v>43.82</v>
      </c>
      <c r="BF9" s="42">
        <v>75.39</v>
      </c>
      <c r="BG9" s="32">
        <f t="shared" si="25"/>
        <v>31.57</v>
      </c>
      <c r="BH9" s="41">
        <v>72.89</v>
      </c>
      <c r="BI9" s="32">
        <f t="shared" si="26"/>
        <v>29.07</v>
      </c>
      <c r="BJ9" s="41">
        <f t="shared" si="27"/>
        <v>2.5</v>
      </c>
      <c r="BK9" s="40">
        <f t="shared" si="28"/>
        <v>8.5999312005503953E-2</v>
      </c>
      <c r="BL9" s="30">
        <v>1.58</v>
      </c>
      <c r="BM9" s="33">
        <f t="shared" si="29"/>
        <v>0.13587891296869625</v>
      </c>
      <c r="BO9" s="43">
        <v>150</v>
      </c>
      <c r="BP9" s="41">
        <v>64.599999999999994</v>
      </c>
      <c r="BQ9" s="42">
        <v>91.7</v>
      </c>
      <c r="BR9" s="32">
        <f t="shared" si="30"/>
        <v>27.100000000000009</v>
      </c>
      <c r="BS9" s="41">
        <v>88.9</v>
      </c>
      <c r="BT9" s="32">
        <f t="shared" si="31"/>
        <v>24.300000000000011</v>
      </c>
      <c r="BU9" s="41">
        <f t="shared" si="32"/>
        <v>2.7999999999999972</v>
      </c>
      <c r="BV9" s="40">
        <f t="shared" si="33"/>
        <v>0.11522633744855949</v>
      </c>
      <c r="BW9" s="30">
        <v>1.58</v>
      </c>
      <c r="BX9" s="33">
        <f t="shared" si="34"/>
        <v>0.18205761316872401</v>
      </c>
      <c r="BY9" s="32"/>
      <c r="BZ9" s="43">
        <v>150</v>
      </c>
      <c r="CA9" s="41">
        <v>70.17</v>
      </c>
      <c r="CB9" s="42">
        <v>99.19</v>
      </c>
      <c r="CC9" s="32">
        <f t="shared" si="35"/>
        <v>29.019999999999996</v>
      </c>
      <c r="CD9" s="41">
        <v>96.18</v>
      </c>
      <c r="CE9" s="32">
        <f t="shared" si="36"/>
        <v>26.010000000000005</v>
      </c>
      <c r="CF9" s="41">
        <f t="shared" si="37"/>
        <v>3.0099999999999909</v>
      </c>
      <c r="CG9" s="40">
        <f t="shared" si="38"/>
        <v>0.11572472126105307</v>
      </c>
      <c r="CH9" s="30">
        <v>1.58</v>
      </c>
      <c r="CI9" s="33">
        <f t="shared" si="39"/>
        <v>0.18284505959246386</v>
      </c>
      <c r="CJ9" s="32"/>
      <c r="CL9" s="32"/>
      <c r="CM9" s="32"/>
      <c r="CN9" s="32"/>
      <c r="CO9" s="32"/>
      <c r="CP9" s="32"/>
      <c r="CQ9" s="32"/>
      <c r="CR9" s="30"/>
      <c r="CS9" s="32"/>
      <c r="CT9" s="32"/>
      <c r="CU9" s="32"/>
      <c r="CV9" s="32"/>
      <c r="CW9" s="32"/>
      <c r="CX9" s="32"/>
      <c r="CY9" s="32"/>
      <c r="DB9" s="32"/>
      <c r="DC9" s="32"/>
      <c r="DD9" s="32"/>
      <c r="DE9" s="32"/>
      <c r="DF9" s="32"/>
      <c r="DG9" s="32"/>
      <c r="DH9" s="32"/>
      <c r="DK9" s="32"/>
      <c r="DL9" s="32"/>
      <c r="DM9" s="32"/>
      <c r="DN9" s="32"/>
      <c r="DO9" s="32"/>
      <c r="DP9" s="32"/>
      <c r="DQ9" s="32"/>
      <c r="DT9" s="32"/>
      <c r="DU9" s="32"/>
      <c r="DV9" s="32"/>
      <c r="DW9" s="32"/>
      <c r="DX9" s="32"/>
      <c r="DY9" s="32"/>
      <c r="DZ9" s="32"/>
      <c r="EA9" s="32"/>
      <c r="EC9" s="32"/>
      <c r="ED9" s="32"/>
      <c r="EE9" s="32"/>
      <c r="EF9" s="32"/>
      <c r="EG9" s="32"/>
      <c r="EH9" s="32"/>
      <c r="EI9" s="32"/>
      <c r="EJ9" s="32"/>
      <c r="EL9" s="32"/>
      <c r="EM9" s="32"/>
      <c r="EN9" s="32"/>
      <c r="EO9" s="32"/>
      <c r="EP9" s="32"/>
      <c r="EQ9" s="32"/>
      <c r="ER9" s="32"/>
      <c r="ES9" s="32"/>
      <c r="EU9" s="32"/>
      <c r="EV9" s="32"/>
      <c r="EW9" s="32"/>
      <c r="EX9" s="32"/>
      <c r="EY9" s="32"/>
      <c r="EZ9" s="32"/>
      <c r="FA9" s="32"/>
      <c r="FB9" s="32"/>
      <c r="FD9" s="32"/>
      <c r="FE9" s="32"/>
      <c r="FF9" s="32"/>
      <c r="FG9" s="32"/>
      <c r="FH9" s="32"/>
      <c r="FI9" s="32"/>
      <c r="FJ9" s="32"/>
      <c r="FM9" s="32"/>
      <c r="FN9" s="32"/>
      <c r="FO9" s="32"/>
      <c r="FP9" s="32"/>
      <c r="FR9" s="32"/>
      <c r="FS9" s="32"/>
      <c r="FZ9" s="30"/>
    </row>
    <row r="10" spans="1:182" x14ac:dyDescent="0.2">
      <c r="A10" s="43">
        <v>180</v>
      </c>
      <c r="B10" s="41">
        <v>45.92</v>
      </c>
      <c r="C10" s="42">
        <v>75.73</v>
      </c>
      <c r="D10" s="32">
        <f t="shared" si="0"/>
        <v>29.810000000000002</v>
      </c>
      <c r="E10" s="41">
        <v>73.36</v>
      </c>
      <c r="F10" s="32">
        <f t="shared" si="1"/>
        <v>27.439999999999998</v>
      </c>
      <c r="G10" s="41">
        <f t="shared" si="2"/>
        <v>2.3700000000000045</v>
      </c>
      <c r="H10" s="40">
        <f t="shared" si="3"/>
        <v>8.6370262390670721E-2</v>
      </c>
      <c r="I10" s="30">
        <v>1.58</v>
      </c>
      <c r="J10" s="33">
        <f t="shared" si="4"/>
        <v>0.13646501457725974</v>
      </c>
      <c r="L10" s="43">
        <v>180</v>
      </c>
      <c r="M10" s="41">
        <v>53.4</v>
      </c>
      <c r="N10" s="42">
        <v>81.83</v>
      </c>
      <c r="O10" s="32">
        <f t="shared" si="5"/>
        <v>28.43</v>
      </c>
      <c r="P10" s="41">
        <v>79.63</v>
      </c>
      <c r="Q10" s="32">
        <f t="shared" si="6"/>
        <v>26.229999999999997</v>
      </c>
      <c r="R10" s="41">
        <f t="shared" si="7"/>
        <v>2.2000000000000028</v>
      </c>
      <c r="S10" s="40">
        <f t="shared" si="8"/>
        <v>8.3873427373236872E-2</v>
      </c>
      <c r="T10" s="30">
        <v>1.58</v>
      </c>
      <c r="U10" s="33">
        <f t="shared" si="9"/>
        <v>0.13252001524971427</v>
      </c>
      <c r="W10" s="43">
        <v>180</v>
      </c>
      <c r="X10" s="41">
        <v>57.25</v>
      </c>
      <c r="Y10" s="42">
        <v>86.35</v>
      </c>
      <c r="Z10" s="32">
        <f t="shared" si="10"/>
        <v>29.099999999999994</v>
      </c>
      <c r="AA10" s="41">
        <v>84.43</v>
      </c>
      <c r="AB10" s="32">
        <f t="shared" si="11"/>
        <v>27.180000000000007</v>
      </c>
      <c r="AC10" s="41">
        <f t="shared" si="12"/>
        <v>1.9199999999999875</v>
      </c>
      <c r="AD10" s="40">
        <f t="shared" si="13"/>
        <v>7.0640176600441029E-2</v>
      </c>
      <c r="AE10" s="30">
        <v>1.58</v>
      </c>
      <c r="AF10" s="33">
        <f t="shared" si="14"/>
        <v>0.11161147902869684</v>
      </c>
      <c r="AG10" s="32"/>
      <c r="AH10" s="43">
        <v>180</v>
      </c>
      <c r="AI10" s="41">
        <v>54.55</v>
      </c>
      <c r="AJ10" s="42">
        <v>79.09</v>
      </c>
      <c r="AK10" s="32">
        <f t="shared" si="15"/>
        <v>24.540000000000006</v>
      </c>
      <c r="AL10" s="41">
        <v>77.63</v>
      </c>
      <c r="AM10" s="32">
        <f t="shared" si="16"/>
        <v>23.08</v>
      </c>
      <c r="AN10" s="41">
        <f t="shared" si="17"/>
        <v>1.460000000000008</v>
      </c>
      <c r="AO10" s="40">
        <f t="shared" si="18"/>
        <v>6.3258232235702261E-2</v>
      </c>
      <c r="AP10" s="30">
        <v>1.58</v>
      </c>
      <c r="AQ10" s="33">
        <f t="shared" si="19"/>
        <v>9.9948006932409572E-2</v>
      </c>
      <c r="AS10" s="43">
        <v>180</v>
      </c>
      <c r="AT10" s="41">
        <v>43.26</v>
      </c>
      <c r="AU10" s="42">
        <v>71.2</v>
      </c>
      <c r="AV10" s="32">
        <f t="shared" si="20"/>
        <v>27.940000000000005</v>
      </c>
      <c r="AW10" s="41">
        <v>68.56</v>
      </c>
      <c r="AX10" s="32">
        <f t="shared" si="21"/>
        <v>25.300000000000004</v>
      </c>
      <c r="AY10" s="41">
        <f t="shared" si="22"/>
        <v>2.6400000000000006</v>
      </c>
      <c r="AZ10" s="40">
        <f t="shared" si="23"/>
        <v>0.10434782608695653</v>
      </c>
      <c r="BA10" s="30">
        <v>1.58</v>
      </c>
      <c r="BB10" s="33">
        <f t="shared" si="24"/>
        <v>0.16486956521739132</v>
      </c>
      <c r="BD10" s="43">
        <v>180</v>
      </c>
      <c r="BE10" s="41">
        <v>73.56</v>
      </c>
      <c r="BF10" s="42">
        <v>103.63</v>
      </c>
      <c r="BG10" s="32">
        <f t="shared" si="25"/>
        <v>30.069999999999993</v>
      </c>
      <c r="BH10" s="41">
        <v>101.1</v>
      </c>
      <c r="BI10" s="32">
        <f t="shared" si="26"/>
        <v>27.539999999999992</v>
      </c>
      <c r="BJ10" s="41">
        <f t="shared" si="27"/>
        <v>2.5300000000000011</v>
      </c>
      <c r="BK10" s="40">
        <f t="shared" si="28"/>
        <v>9.1866376180101739E-2</v>
      </c>
      <c r="BL10" s="30">
        <v>1.58</v>
      </c>
      <c r="BM10" s="33">
        <f t="shared" si="29"/>
        <v>0.14514887436456075</v>
      </c>
      <c r="BO10" s="43">
        <v>180</v>
      </c>
      <c r="BP10" s="41">
        <v>33.6</v>
      </c>
      <c r="BQ10" s="42">
        <v>57.7</v>
      </c>
      <c r="BR10" s="32">
        <f t="shared" si="30"/>
        <v>24.1</v>
      </c>
      <c r="BS10" s="41">
        <v>54.9</v>
      </c>
      <c r="BT10" s="32">
        <f t="shared" si="31"/>
        <v>21.299999999999997</v>
      </c>
      <c r="BU10" s="41">
        <f t="shared" si="32"/>
        <v>2.8000000000000043</v>
      </c>
      <c r="BV10" s="40">
        <f t="shared" si="33"/>
        <v>0.13145539906103307</v>
      </c>
      <c r="BW10" s="30">
        <v>1.58</v>
      </c>
      <c r="BX10" s="33">
        <f t="shared" si="34"/>
        <v>0.20769953051643225</v>
      </c>
      <c r="BY10" s="32"/>
      <c r="BZ10" s="43">
        <v>180</v>
      </c>
      <c r="CA10" s="41">
        <v>84.12</v>
      </c>
      <c r="CB10" s="42">
        <v>113.22</v>
      </c>
      <c r="CC10" s="32">
        <f t="shared" si="35"/>
        <v>29.099999999999994</v>
      </c>
      <c r="CD10" s="41">
        <v>110.95</v>
      </c>
      <c r="CE10" s="32">
        <f t="shared" si="36"/>
        <v>26.83</v>
      </c>
      <c r="CF10" s="41">
        <f t="shared" si="37"/>
        <v>2.269999999999996</v>
      </c>
      <c r="CG10" s="40">
        <f t="shared" si="38"/>
        <v>8.4606783451360273E-2</v>
      </c>
      <c r="CH10" s="30">
        <v>1.58</v>
      </c>
      <c r="CI10" s="33">
        <f t="shared" si="39"/>
        <v>0.13367871785314925</v>
      </c>
      <c r="CJ10" s="32"/>
      <c r="CL10" s="32"/>
      <c r="CM10" s="32"/>
      <c r="CN10" s="32"/>
      <c r="CO10" s="32"/>
      <c r="CP10" s="32"/>
      <c r="CQ10" s="32"/>
      <c r="CR10" s="30"/>
      <c r="CS10" s="32"/>
      <c r="CT10" s="32"/>
      <c r="CU10" s="32"/>
      <c r="CV10" s="32"/>
      <c r="CW10" s="32"/>
      <c r="CX10" s="32"/>
      <c r="CY10" s="32"/>
      <c r="DB10" s="32"/>
      <c r="DC10" s="32"/>
      <c r="DD10" s="32"/>
      <c r="DE10" s="32"/>
      <c r="DF10" s="32"/>
      <c r="DG10" s="32"/>
      <c r="DH10" s="32"/>
      <c r="DK10" s="32"/>
      <c r="DL10" s="32"/>
      <c r="DM10" s="32"/>
      <c r="DN10" s="32"/>
      <c r="DO10" s="32"/>
      <c r="DP10" s="32"/>
      <c r="DQ10" s="32"/>
      <c r="DT10" s="32"/>
      <c r="DU10" s="32"/>
      <c r="DV10" s="32"/>
      <c r="DW10" s="32"/>
      <c r="DX10" s="32"/>
      <c r="DY10" s="32"/>
      <c r="DZ10" s="32"/>
      <c r="EA10" s="32"/>
      <c r="EC10" s="32"/>
      <c r="ED10" s="32"/>
      <c r="EE10" s="32"/>
      <c r="EF10" s="32"/>
      <c r="EG10" s="32"/>
      <c r="EH10" s="32"/>
      <c r="EI10" s="32"/>
      <c r="EJ10" s="32"/>
      <c r="EL10" s="32"/>
      <c r="EM10" s="32"/>
      <c r="EN10" s="32"/>
      <c r="EO10" s="32"/>
      <c r="EP10" s="32"/>
      <c r="EQ10" s="32"/>
      <c r="ER10" s="32"/>
      <c r="ES10" s="32"/>
      <c r="EU10" s="32"/>
      <c r="EV10" s="32"/>
      <c r="EW10" s="32"/>
      <c r="EX10" s="32"/>
      <c r="EY10" s="32"/>
      <c r="EZ10" s="32"/>
      <c r="FA10" s="32"/>
      <c r="FB10" s="32"/>
      <c r="FD10" s="32"/>
      <c r="FE10" s="32"/>
      <c r="FF10" s="32"/>
      <c r="FG10" s="32"/>
      <c r="FH10" s="32"/>
      <c r="FI10" s="32"/>
      <c r="FJ10" s="32"/>
      <c r="FM10" s="32"/>
      <c r="FN10" s="32"/>
      <c r="FO10" s="32"/>
      <c r="FP10" s="32"/>
      <c r="FR10" s="32"/>
      <c r="FS10" s="32"/>
      <c r="FZ10" s="30"/>
    </row>
    <row r="11" spans="1:182" ht="13.5" thickBot="1" x14ac:dyDescent="0.25">
      <c r="A11" s="37"/>
      <c r="B11" s="41"/>
      <c r="C11" s="42"/>
      <c r="D11" s="32"/>
      <c r="E11" s="41"/>
      <c r="F11" s="32"/>
      <c r="G11" s="41"/>
      <c r="H11" s="40"/>
      <c r="I11" s="32"/>
      <c r="L11" s="37"/>
      <c r="M11" s="34"/>
      <c r="N11" s="35"/>
      <c r="O11" s="35"/>
      <c r="P11" s="35"/>
      <c r="Q11" s="34"/>
      <c r="R11" s="34"/>
      <c r="S11" s="59"/>
      <c r="T11" s="32"/>
      <c r="W11" s="37"/>
      <c r="X11" s="34"/>
      <c r="Y11" s="35"/>
      <c r="Z11" s="35"/>
      <c r="AA11" s="35"/>
      <c r="AB11" s="34"/>
      <c r="AC11" s="34"/>
      <c r="AD11" s="59"/>
      <c r="AE11" s="32"/>
      <c r="AG11" s="32"/>
      <c r="AH11" s="37"/>
      <c r="AI11" s="34"/>
      <c r="AJ11" s="35"/>
      <c r="AK11" s="35"/>
      <c r="AL11" s="35"/>
      <c r="AM11" s="34"/>
      <c r="AN11" s="34"/>
      <c r="AO11" s="59"/>
      <c r="AP11" s="32"/>
      <c r="AS11" s="37"/>
      <c r="AT11" s="34"/>
      <c r="AU11" s="35"/>
      <c r="AV11" s="35"/>
      <c r="AW11" s="35"/>
      <c r="AX11" s="34"/>
      <c r="AY11" s="34"/>
      <c r="AZ11" s="59"/>
      <c r="BA11" s="32"/>
      <c r="BD11" s="37"/>
      <c r="BE11" s="34"/>
      <c r="BF11" s="35"/>
      <c r="BG11" s="35"/>
      <c r="BH11" s="35"/>
      <c r="BI11" s="34"/>
      <c r="BJ11" s="34"/>
      <c r="BK11" s="59"/>
      <c r="BL11" s="32"/>
      <c r="BO11" s="37"/>
      <c r="BP11" s="34"/>
      <c r="BQ11" s="35"/>
      <c r="BR11" s="35"/>
      <c r="BS11" s="35"/>
      <c r="BT11" s="34"/>
      <c r="BU11" s="34"/>
      <c r="BV11" s="59"/>
      <c r="BW11" s="32"/>
      <c r="BY11" s="32"/>
      <c r="BZ11" s="37"/>
      <c r="CA11" s="34"/>
      <c r="CB11" s="35"/>
      <c r="CC11" s="35"/>
      <c r="CD11" s="35"/>
      <c r="CE11" s="34"/>
      <c r="CF11" s="34"/>
      <c r="CG11" s="59"/>
      <c r="CH11" s="32"/>
      <c r="CJ11" s="32"/>
      <c r="CK11" s="30"/>
      <c r="CN11" s="32"/>
      <c r="CO11" s="32"/>
      <c r="CP11" s="32"/>
      <c r="CQ11" s="32"/>
      <c r="CR11" s="30"/>
      <c r="CS11" s="32"/>
      <c r="CW11" s="32"/>
      <c r="CX11" s="32"/>
      <c r="CY11" s="32"/>
      <c r="DB11" s="32"/>
      <c r="DF11" s="32"/>
      <c r="DG11" s="32"/>
      <c r="DH11" s="31"/>
      <c r="DK11" s="32"/>
      <c r="DO11" s="32"/>
      <c r="DP11" s="32"/>
      <c r="DQ11" s="32"/>
      <c r="DT11" s="32"/>
      <c r="DX11" s="32"/>
      <c r="DY11" s="32"/>
      <c r="DZ11" s="32"/>
      <c r="EA11" s="32"/>
      <c r="EC11" s="32"/>
      <c r="EG11" s="32"/>
      <c r="EH11" s="32"/>
      <c r="EI11" s="32"/>
      <c r="EJ11" s="32"/>
      <c r="EL11" s="32"/>
      <c r="EP11" s="32"/>
      <c r="EQ11" s="32"/>
      <c r="ER11" s="31"/>
      <c r="ES11" s="32"/>
      <c r="EU11" s="32"/>
      <c r="EY11" s="32"/>
      <c r="EZ11" s="32"/>
      <c r="FA11" s="32"/>
      <c r="FB11" s="32"/>
      <c r="FD11" s="32"/>
      <c r="FH11" s="32"/>
      <c r="FI11" s="32"/>
      <c r="FJ11" s="32"/>
      <c r="FM11" s="32"/>
      <c r="FP11" s="30"/>
      <c r="FR11" s="32"/>
      <c r="FS11" s="32"/>
      <c r="FZ11" s="30"/>
    </row>
    <row r="12" spans="1:182" ht="13.5" customHeight="1" thickTop="1" thickBot="1" x14ac:dyDescent="0.25">
      <c r="B12" s="32"/>
      <c r="F12" s="32"/>
      <c r="H12" s="32"/>
      <c r="I12" s="32"/>
      <c r="M12" s="32"/>
      <c r="Q12" s="32"/>
      <c r="S12" s="32"/>
      <c r="T12" s="32"/>
      <c r="X12" s="32"/>
      <c r="AB12" s="32"/>
      <c r="AD12" s="32"/>
      <c r="AE12" s="32"/>
      <c r="AG12" s="32"/>
      <c r="AI12" s="32"/>
      <c r="AM12" s="32"/>
      <c r="AO12" s="32"/>
      <c r="AP12" s="32"/>
      <c r="AT12" s="32"/>
      <c r="AX12" s="32"/>
      <c r="AZ12" s="32"/>
      <c r="BA12" s="32"/>
      <c r="BE12" s="32"/>
      <c r="BI12" s="32"/>
      <c r="BK12" s="32"/>
      <c r="BL12" s="32"/>
      <c r="BP12" s="32"/>
      <c r="BT12" s="32"/>
      <c r="BV12" s="32"/>
      <c r="BW12" s="32"/>
      <c r="BY12" s="32"/>
      <c r="CA12" s="32"/>
      <c r="CE12" s="32"/>
      <c r="CG12" s="32"/>
      <c r="CH12" s="32"/>
      <c r="CJ12" s="32"/>
      <c r="CK12" s="30"/>
      <c r="CN12" s="32"/>
      <c r="CP12" s="32"/>
      <c r="CQ12" s="32"/>
      <c r="CR12" s="30"/>
      <c r="CS12" s="32"/>
      <c r="CW12" s="32"/>
      <c r="CY12" s="32"/>
      <c r="DB12" s="32"/>
      <c r="DF12" s="32"/>
      <c r="DH12" s="31"/>
      <c r="DK12" s="32"/>
      <c r="DO12" s="32"/>
      <c r="DQ12" s="32"/>
      <c r="DT12" s="32"/>
      <c r="DX12" s="32"/>
      <c r="DZ12" s="32"/>
      <c r="EA12" s="32"/>
      <c r="EC12" s="32"/>
      <c r="EG12" s="32"/>
      <c r="EI12" s="32"/>
      <c r="EJ12" s="32"/>
      <c r="EL12" s="32"/>
      <c r="EP12" s="32"/>
      <c r="ER12" s="31"/>
      <c r="ES12" s="32"/>
      <c r="EU12" s="32"/>
      <c r="EY12" s="32"/>
      <c r="FA12" s="32"/>
      <c r="FB12" s="32"/>
      <c r="FE12" s="32"/>
      <c r="FI12" s="32"/>
      <c r="FK12" s="32"/>
      <c r="FM12" s="32"/>
      <c r="FP12" s="30"/>
      <c r="FS12" s="32"/>
      <c r="FZ12" s="30"/>
    </row>
    <row r="13" spans="1:182" ht="13.5" thickBot="1" x14ac:dyDescent="0.25">
      <c r="B13" s="58" t="s">
        <v>124</v>
      </c>
      <c r="C13" s="57"/>
      <c r="D13" s="57"/>
      <c r="E13" s="57"/>
      <c r="F13" s="56"/>
      <c r="G13" s="32"/>
      <c r="H13" s="32"/>
      <c r="I13" s="32"/>
      <c r="M13" s="58" t="s">
        <v>124</v>
      </c>
      <c r="N13" s="57"/>
      <c r="O13" s="57"/>
      <c r="P13" s="57"/>
      <c r="Q13" s="56"/>
      <c r="R13" s="32"/>
      <c r="S13" s="32"/>
      <c r="T13" s="32"/>
      <c r="X13" s="58" t="s">
        <v>124</v>
      </c>
      <c r="Y13" s="57"/>
      <c r="Z13" s="57"/>
      <c r="AA13" s="57"/>
      <c r="AB13" s="56"/>
      <c r="AC13" s="32"/>
      <c r="AD13" s="32"/>
      <c r="AE13" s="32"/>
      <c r="AG13" s="32"/>
      <c r="AI13" s="58" t="s">
        <v>124</v>
      </c>
      <c r="AJ13" s="57"/>
      <c r="AK13" s="57"/>
      <c r="AL13" s="57"/>
      <c r="AM13" s="56"/>
      <c r="AN13" s="32"/>
      <c r="AO13" s="32"/>
      <c r="AP13" s="32"/>
      <c r="AT13" s="58" t="s">
        <v>124</v>
      </c>
      <c r="AU13" s="57"/>
      <c r="AV13" s="57"/>
      <c r="AW13" s="57"/>
      <c r="AX13" s="56"/>
      <c r="AY13" s="32"/>
      <c r="AZ13" s="32"/>
      <c r="BA13" s="32"/>
      <c r="BE13" s="58" t="s">
        <v>124</v>
      </c>
      <c r="BF13" s="57"/>
      <c r="BG13" s="57"/>
      <c r="BH13" s="57"/>
      <c r="BI13" s="56"/>
      <c r="BJ13" s="32"/>
      <c r="BK13" s="32"/>
      <c r="BL13" s="32"/>
      <c r="BP13" s="58" t="s">
        <v>124</v>
      </c>
      <c r="BQ13" s="57"/>
      <c r="BR13" s="57"/>
      <c r="BS13" s="57"/>
      <c r="BT13" s="56"/>
      <c r="BU13" s="32"/>
      <c r="BV13" s="32"/>
      <c r="BW13" s="32"/>
      <c r="BY13" s="32"/>
      <c r="CA13" s="58" t="s">
        <v>124</v>
      </c>
      <c r="CB13" s="57"/>
      <c r="CC13" s="57"/>
      <c r="CD13" s="57"/>
      <c r="CE13" s="56"/>
      <c r="CF13" s="32"/>
      <c r="CG13" s="32"/>
      <c r="CH13" s="32"/>
      <c r="CJ13" s="32"/>
      <c r="CK13" s="30"/>
      <c r="CN13" s="32"/>
      <c r="CO13" s="32"/>
      <c r="CP13" s="32"/>
      <c r="CQ13" s="32"/>
      <c r="CR13" s="30"/>
      <c r="CS13" s="32"/>
      <c r="CW13" s="32"/>
      <c r="CX13" s="32"/>
      <c r="CY13" s="32"/>
      <c r="DB13" s="32"/>
      <c r="DF13" s="32"/>
      <c r="DG13" s="32"/>
      <c r="DH13" s="31"/>
      <c r="DK13" s="32"/>
      <c r="DO13" s="32"/>
      <c r="DP13" s="32"/>
      <c r="DQ13" s="32"/>
      <c r="DT13" s="32"/>
      <c r="DX13" s="32"/>
      <c r="DY13" s="32"/>
      <c r="DZ13" s="32"/>
      <c r="EA13" s="32"/>
      <c r="EC13" s="32"/>
      <c r="EG13" s="32"/>
      <c r="EH13" s="32"/>
      <c r="EI13" s="32"/>
      <c r="EJ13" s="32"/>
      <c r="EL13" s="32"/>
      <c r="EP13" s="32"/>
      <c r="EQ13" s="32"/>
      <c r="ER13" s="31"/>
      <c r="ES13" s="32"/>
      <c r="EU13" s="32"/>
      <c r="EY13" s="32"/>
      <c r="EZ13" s="32"/>
      <c r="FA13" s="32"/>
      <c r="FB13" s="32"/>
      <c r="FE13" s="32"/>
      <c r="FI13" s="32"/>
      <c r="FJ13" s="32"/>
      <c r="FK13" s="32"/>
      <c r="FM13" s="32"/>
      <c r="FP13" s="30"/>
      <c r="FR13" s="32"/>
      <c r="FS13" s="32"/>
      <c r="FZ13" s="30"/>
    </row>
    <row r="14" spans="1:182" ht="51.75" thickBot="1" x14ac:dyDescent="0.25">
      <c r="A14" s="55" t="s">
        <v>54</v>
      </c>
      <c r="B14" s="54" t="s">
        <v>122</v>
      </c>
      <c r="C14" s="54" t="s">
        <v>121</v>
      </c>
      <c r="D14" s="53" t="s">
        <v>120</v>
      </c>
      <c r="E14" s="52" t="s">
        <v>119</v>
      </c>
      <c r="F14" s="51" t="s">
        <v>118</v>
      </c>
      <c r="G14" s="50" t="s">
        <v>117</v>
      </c>
      <c r="H14" s="50" t="s">
        <v>116</v>
      </c>
      <c r="I14" s="49" t="s">
        <v>115</v>
      </c>
      <c r="J14" s="48" t="s">
        <v>114</v>
      </c>
      <c r="L14" s="55" t="s">
        <v>54</v>
      </c>
      <c r="M14" s="54" t="s">
        <v>122</v>
      </c>
      <c r="N14" s="54" t="s">
        <v>121</v>
      </c>
      <c r="O14" s="53" t="s">
        <v>120</v>
      </c>
      <c r="P14" s="52" t="s">
        <v>119</v>
      </c>
      <c r="Q14" s="51" t="s">
        <v>118</v>
      </c>
      <c r="R14" s="50" t="s">
        <v>117</v>
      </c>
      <c r="S14" s="50" t="s">
        <v>116</v>
      </c>
      <c r="T14" s="49" t="s">
        <v>115</v>
      </c>
      <c r="U14" s="48" t="s">
        <v>114</v>
      </c>
      <c r="W14" s="55" t="s">
        <v>54</v>
      </c>
      <c r="X14" s="54" t="s">
        <v>122</v>
      </c>
      <c r="Y14" s="54" t="s">
        <v>121</v>
      </c>
      <c r="Z14" s="53" t="s">
        <v>120</v>
      </c>
      <c r="AA14" s="52" t="s">
        <v>119</v>
      </c>
      <c r="AB14" s="51" t="s">
        <v>118</v>
      </c>
      <c r="AC14" s="50" t="s">
        <v>117</v>
      </c>
      <c r="AD14" s="50" t="s">
        <v>116</v>
      </c>
      <c r="AE14" s="49" t="s">
        <v>115</v>
      </c>
      <c r="AF14" s="48" t="s">
        <v>114</v>
      </c>
      <c r="AG14" s="49"/>
      <c r="AH14" s="55" t="s">
        <v>54</v>
      </c>
      <c r="AI14" s="54" t="s">
        <v>122</v>
      </c>
      <c r="AJ14" s="54" t="s">
        <v>121</v>
      </c>
      <c r="AK14" s="53" t="s">
        <v>120</v>
      </c>
      <c r="AL14" s="52" t="s">
        <v>119</v>
      </c>
      <c r="AM14" s="51" t="s">
        <v>118</v>
      </c>
      <c r="AN14" s="50" t="s">
        <v>117</v>
      </c>
      <c r="AO14" s="50" t="s">
        <v>116</v>
      </c>
      <c r="AP14" s="49" t="s">
        <v>115</v>
      </c>
      <c r="AQ14" s="48" t="s">
        <v>114</v>
      </c>
      <c r="AS14" s="55" t="s">
        <v>54</v>
      </c>
      <c r="AT14" s="54" t="s">
        <v>122</v>
      </c>
      <c r="AU14" s="54" t="s">
        <v>121</v>
      </c>
      <c r="AV14" s="53" t="s">
        <v>120</v>
      </c>
      <c r="AW14" s="52" t="s">
        <v>119</v>
      </c>
      <c r="AX14" s="51" t="s">
        <v>118</v>
      </c>
      <c r="AY14" s="50" t="s">
        <v>117</v>
      </c>
      <c r="AZ14" s="50" t="s">
        <v>116</v>
      </c>
      <c r="BA14" s="49" t="s">
        <v>115</v>
      </c>
      <c r="BB14" s="48" t="s">
        <v>114</v>
      </c>
      <c r="BD14" s="55" t="s">
        <v>54</v>
      </c>
      <c r="BE14" s="54" t="s">
        <v>122</v>
      </c>
      <c r="BF14" s="54" t="s">
        <v>121</v>
      </c>
      <c r="BG14" s="53" t="s">
        <v>120</v>
      </c>
      <c r="BH14" s="52" t="s">
        <v>119</v>
      </c>
      <c r="BI14" s="51" t="s">
        <v>118</v>
      </c>
      <c r="BJ14" s="50" t="s">
        <v>117</v>
      </c>
      <c r="BK14" s="50" t="s">
        <v>116</v>
      </c>
      <c r="BL14" s="49" t="s">
        <v>115</v>
      </c>
      <c r="BM14" s="48" t="s">
        <v>114</v>
      </c>
      <c r="BO14" s="55" t="s">
        <v>54</v>
      </c>
      <c r="BP14" s="54" t="s">
        <v>122</v>
      </c>
      <c r="BQ14" s="54" t="s">
        <v>121</v>
      </c>
      <c r="BR14" s="53" t="s">
        <v>120</v>
      </c>
      <c r="BS14" s="52" t="s">
        <v>119</v>
      </c>
      <c r="BT14" s="51" t="s">
        <v>118</v>
      </c>
      <c r="BU14" s="50" t="s">
        <v>117</v>
      </c>
      <c r="BV14" s="50" t="s">
        <v>116</v>
      </c>
      <c r="BW14" s="49" t="s">
        <v>115</v>
      </c>
      <c r="BX14" s="48" t="s">
        <v>114</v>
      </c>
      <c r="BY14" s="32"/>
      <c r="BZ14" s="55" t="s">
        <v>54</v>
      </c>
      <c r="CA14" s="54" t="s">
        <v>122</v>
      </c>
      <c r="CB14" s="54" t="s">
        <v>121</v>
      </c>
      <c r="CC14" s="53" t="s">
        <v>120</v>
      </c>
      <c r="CD14" s="52" t="s">
        <v>119</v>
      </c>
      <c r="CE14" s="51" t="s">
        <v>118</v>
      </c>
      <c r="CF14" s="50" t="s">
        <v>117</v>
      </c>
      <c r="CG14" s="50" t="s">
        <v>116</v>
      </c>
      <c r="CH14" s="49" t="s">
        <v>115</v>
      </c>
      <c r="CI14" s="48" t="s">
        <v>114</v>
      </c>
      <c r="CJ14" s="62"/>
      <c r="CK14" s="62"/>
      <c r="CL14" s="61"/>
      <c r="CM14" s="60"/>
      <c r="CN14" s="49"/>
      <c r="CO14" s="49"/>
      <c r="CP14" s="49"/>
      <c r="CQ14" s="49"/>
      <c r="CR14" s="63"/>
      <c r="CS14" s="62"/>
      <c r="CT14" s="62"/>
      <c r="CU14" s="61"/>
      <c r="CV14" s="60"/>
      <c r="CW14" s="49"/>
      <c r="CX14" s="49"/>
      <c r="CY14" s="49"/>
      <c r="DA14" s="63"/>
      <c r="DB14" s="62"/>
      <c r="DC14" s="62"/>
      <c r="DD14" s="61"/>
      <c r="DE14" s="60"/>
      <c r="DF14" s="49"/>
      <c r="DG14" s="49"/>
      <c r="DH14" s="64"/>
      <c r="DJ14" s="63"/>
      <c r="DK14" s="62"/>
      <c r="DL14" s="62"/>
      <c r="DM14" s="61"/>
      <c r="DN14" s="60"/>
      <c r="DO14" s="49"/>
      <c r="DP14" s="49"/>
      <c r="DQ14" s="49"/>
      <c r="DS14" s="63"/>
      <c r="DT14" s="62"/>
      <c r="DU14" s="62"/>
      <c r="DV14" s="61"/>
      <c r="DW14" s="60"/>
      <c r="DX14" s="49"/>
      <c r="DY14" s="49"/>
      <c r="DZ14" s="49"/>
      <c r="EA14" s="49"/>
      <c r="EB14" s="63"/>
      <c r="EC14" s="62"/>
      <c r="ED14" s="62"/>
      <c r="EE14" s="61"/>
      <c r="EF14" s="60"/>
      <c r="EG14" s="49"/>
      <c r="EH14" s="49"/>
      <c r="EI14" s="49"/>
      <c r="EJ14" s="49"/>
      <c r="EK14" s="63"/>
      <c r="EL14" s="62"/>
      <c r="EM14" s="62"/>
      <c r="EN14" s="61"/>
      <c r="EO14" s="60"/>
      <c r="EP14" s="49"/>
      <c r="EQ14" s="49"/>
      <c r="ER14" s="64"/>
      <c r="ES14" s="49"/>
      <c r="ET14" s="63"/>
      <c r="EU14" s="62"/>
      <c r="EV14" s="62"/>
      <c r="EW14" s="61"/>
      <c r="EX14" s="60"/>
      <c r="EY14" s="49"/>
      <c r="EZ14" s="49"/>
      <c r="FA14" s="49"/>
      <c r="FB14" s="49"/>
      <c r="FC14" s="63"/>
      <c r="FD14" s="62"/>
      <c r="FE14" s="62"/>
      <c r="FF14" s="61"/>
      <c r="FG14" s="60"/>
      <c r="FH14" s="49"/>
      <c r="FI14" s="49"/>
      <c r="FJ14" s="49"/>
      <c r="FL14" s="63"/>
      <c r="FM14" s="62"/>
      <c r="FN14" s="62"/>
      <c r="FO14" s="61"/>
      <c r="FP14" s="60"/>
      <c r="FQ14" s="49"/>
      <c r="FR14" s="49"/>
      <c r="FS14" s="49"/>
      <c r="FZ14" s="30"/>
    </row>
    <row r="15" spans="1:182" ht="13.5" thickTop="1" x14ac:dyDescent="0.2">
      <c r="A15" s="47">
        <v>30</v>
      </c>
      <c r="B15" s="45">
        <v>33.130000000000003</v>
      </c>
      <c r="C15" s="46">
        <v>59.7</v>
      </c>
      <c r="D15" s="32">
        <f t="shared" ref="D15:D20" si="40">C15-B15</f>
        <v>26.57</v>
      </c>
      <c r="E15" s="45">
        <v>57.66</v>
      </c>
      <c r="F15" s="32">
        <f t="shared" ref="F15:F20" si="41">E15-B15</f>
        <v>24.529999999999994</v>
      </c>
      <c r="G15" s="45">
        <f t="shared" ref="G15:G20" si="42">D15-F15</f>
        <v>2.0400000000000063</v>
      </c>
      <c r="H15" s="44">
        <f t="shared" ref="H15:H20" si="43">(G15/F15)</f>
        <v>8.3163473298002721E-2</v>
      </c>
      <c r="I15" s="30">
        <v>1.49</v>
      </c>
      <c r="J15" s="33">
        <f t="shared" ref="J15:J20" si="44">H15*I15</f>
        <v>0.12391357521402406</v>
      </c>
      <c r="L15" s="47">
        <v>30</v>
      </c>
      <c r="M15" s="45">
        <v>31.89</v>
      </c>
      <c r="N15" s="46">
        <v>57.65</v>
      </c>
      <c r="O15" s="32">
        <f t="shared" ref="O15:O20" si="45">N15-M15</f>
        <v>25.759999999999998</v>
      </c>
      <c r="P15" s="45">
        <v>55.81</v>
      </c>
      <c r="Q15" s="32">
        <f t="shared" ref="Q15:Q20" si="46">P15-M15</f>
        <v>23.92</v>
      </c>
      <c r="R15" s="45">
        <f t="shared" ref="R15:R20" si="47">O15-Q15</f>
        <v>1.8399999999999963</v>
      </c>
      <c r="S15" s="44">
        <f t="shared" ref="S15:S20" si="48">(R15/Q15)</f>
        <v>7.6923076923076761E-2</v>
      </c>
      <c r="T15" s="30">
        <v>1.49</v>
      </c>
      <c r="U15" s="33">
        <f t="shared" ref="U15:U20" si="49">S15*T15</f>
        <v>0.11461538461538437</v>
      </c>
      <c r="W15" s="47">
        <v>30</v>
      </c>
      <c r="X15" s="45">
        <v>42.41</v>
      </c>
      <c r="Y15" s="46">
        <v>65.83</v>
      </c>
      <c r="Z15" s="32">
        <f t="shared" ref="Z15:Z20" si="50">Y15-X15</f>
        <v>23.42</v>
      </c>
      <c r="AA15" s="45">
        <v>63.99</v>
      </c>
      <c r="AB15" s="32">
        <f t="shared" ref="AB15:AB20" si="51">AA15-X15</f>
        <v>21.580000000000005</v>
      </c>
      <c r="AC15" s="45">
        <f t="shared" ref="AC15:AC20" si="52">Z15-AB15</f>
        <v>1.8399999999999963</v>
      </c>
      <c r="AD15" s="44">
        <f t="shared" ref="AD15:AD20" si="53">(AC15/AB15)</f>
        <v>8.5264133456904354E-2</v>
      </c>
      <c r="AE15" s="30">
        <v>1.49</v>
      </c>
      <c r="AF15" s="33">
        <f t="shared" ref="AF15:AF20" si="54">AD15*AE15</f>
        <v>0.1270435588507875</v>
      </c>
      <c r="AG15" s="32"/>
      <c r="AH15" s="47">
        <v>30</v>
      </c>
      <c r="AI15" s="45">
        <v>32.71</v>
      </c>
      <c r="AJ15" s="46">
        <v>57.51</v>
      </c>
      <c r="AK15" s="32">
        <f t="shared" ref="AK15:AK20" si="55">AJ15-AI15</f>
        <v>24.799999999999997</v>
      </c>
      <c r="AL15" s="45">
        <v>55.99</v>
      </c>
      <c r="AM15" s="32">
        <f t="shared" ref="AM15:AM20" si="56">AL15-AI15</f>
        <v>23.28</v>
      </c>
      <c r="AN15" s="45">
        <f t="shared" ref="AN15:AN20" si="57">AK15-AM15</f>
        <v>1.519999999999996</v>
      </c>
      <c r="AO15" s="44">
        <f t="shared" ref="AO15:AO20" si="58">(AN15/AM15)</f>
        <v>6.5292096219931095E-2</v>
      </c>
      <c r="AP15" s="30">
        <v>1.49</v>
      </c>
      <c r="AQ15" s="33">
        <f t="shared" ref="AQ15:AQ20" si="59">AO15*AP15</f>
        <v>9.7285223367697335E-2</v>
      </c>
      <c r="AS15" s="47">
        <v>30</v>
      </c>
      <c r="AT15" s="45">
        <v>38.619999999999997</v>
      </c>
      <c r="AU15" s="46">
        <v>65.760000000000005</v>
      </c>
      <c r="AV15" s="32">
        <f t="shared" ref="AV15:AV20" si="60">AU15-AT15</f>
        <v>27.140000000000008</v>
      </c>
      <c r="AW15" s="45">
        <v>63.54</v>
      </c>
      <c r="AX15" s="32">
        <f t="shared" ref="AX15:AX20" si="61">AW15-AT15</f>
        <v>24.92</v>
      </c>
      <c r="AY15" s="45">
        <f t="shared" ref="AY15:AY20" si="62">AV15-AX15</f>
        <v>2.220000000000006</v>
      </c>
      <c r="AZ15" s="44">
        <f t="shared" ref="AZ15:AZ20" si="63">(AY15/AX15)</f>
        <v>8.9085072231139886E-2</v>
      </c>
      <c r="BA15" s="30">
        <v>1.49</v>
      </c>
      <c r="BB15" s="33">
        <f t="shared" ref="BB15:BB20" si="64">AZ15*BA15</f>
        <v>0.13273675762439843</v>
      </c>
      <c r="BD15" s="47">
        <v>30</v>
      </c>
      <c r="BE15" s="45">
        <v>41.87</v>
      </c>
      <c r="BF15" s="46">
        <v>69.53</v>
      </c>
      <c r="BG15" s="32">
        <f t="shared" ref="BG15:BG20" si="65">BF15-BE15</f>
        <v>27.660000000000004</v>
      </c>
      <c r="BH15" s="45">
        <v>67.41</v>
      </c>
      <c r="BI15" s="32">
        <f t="shared" ref="BI15:BI20" si="66">BH15-BE15</f>
        <v>25.54</v>
      </c>
      <c r="BJ15" s="45">
        <f t="shared" ref="BJ15:BJ20" si="67">BG15-BI15</f>
        <v>2.1200000000000045</v>
      </c>
      <c r="BK15" s="44">
        <f t="shared" ref="BK15:BK20" si="68">(BJ15/BI15)</f>
        <v>8.3007047768206915E-2</v>
      </c>
      <c r="BL15" s="30">
        <v>1.49</v>
      </c>
      <c r="BM15" s="33">
        <f t="shared" ref="BM15:BM20" si="69">BK15*BL15</f>
        <v>0.1236805011746283</v>
      </c>
      <c r="BO15" s="47">
        <v>30</v>
      </c>
      <c r="BP15" s="45">
        <v>36.39</v>
      </c>
      <c r="BQ15" s="46">
        <v>60.47</v>
      </c>
      <c r="BR15" s="32">
        <f t="shared" ref="BR15:BR20" si="70">BQ15-BP15</f>
        <v>24.08</v>
      </c>
      <c r="BS15" s="45">
        <v>58.47</v>
      </c>
      <c r="BT15" s="32">
        <f t="shared" ref="BT15:BT20" si="71">BS15-BP15</f>
        <v>22.08</v>
      </c>
      <c r="BU15" s="45">
        <f t="shared" ref="BU15:BU20" si="72">BR15-BT15</f>
        <v>2</v>
      </c>
      <c r="BV15" s="44">
        <f t="shared" ref="BV15:BV20" si="73">(BU15/BT15)</f>
        <v>9.057971014492755E-2</v>
      </c>
      <c r="BW15" s="30">
        <v>1.49</v>
      </c>
      <c r="BX15" s="33">
        <f t="shared" ref="BX15:BX20" si="74">BV15*BW15</f>
        <v>0.13496376811594205</v>
      </c>
      <c r="BY15" s="32"/>
      <c r="BZ15" s="47">
        <v>30</v>
      </c>
      <c r="CA15" s="45">
        <v>32.49</v>
      </c>
      <c r="CB15" s="46">
        <v>56.32</v>
      </c>
      <c r="CC15" s="32">
        <f t="shared" ref="CC15:CC20" si="75">CB15-CA15</f>
        <v>23.83</v>
      </c>
      <c r="CD15" s="45">
        <v>53.82</v>
      </c>
      <c r="CE15" s="32">
        <f t="shared" ref="CE15:CE20" si="76">CD15-CA15</f>
        <v>21.33</v>
      </c>
      <c r="CF15" s="45">
        <f t="shared" ref="CF15:CF20" si="77">CC15-CE15</f>
        <v>2.5</v>
      </c>
      <c r="CG15" s="44">
        <f t="shared" ref="CG15:CG20" si="78">(CF15/CE15)</f>
        <v>0.11720581340834506</v>
      </c>
      <c r="CH15" s="30">
        <v>1.49</v>
      </c>
      <c r="CI15" s="33">
        <f t="shared" ref="CI15:CI20" si="79">CG15*CH15</f>
        <v>0.17463666197843414</v>
      </c>
      <c r="CJ15" s="32"/>
      <c r="CL15" s="32"/>
      <c r="CM15" s="32"/>
      <c r="CN15" s="32"/>
      <c r="CO15" s="32"/>
      <c r="CP15" s="32"/>
      <c r="CQ15" s="32"/>
      <c r="CR15" s="30"/>
      <c r="CS15" s="32"/>
      <c r="CT15" s="32"/>
      <c r="CU15" s="32"/>
      <c r="CV15" s="32"/>
      <c r="CW15" s="32"/>
      <c r="CX15" s="32"/>
      <c r="CY15" s="32"/>
      <c r="DB15" s="32"/>
      <c r="DC15" s="32"/>
      <c r="DD15" s="32"/>
      <c r="DE15" s="32"/>
      <c r="DF15" s="32"/>
      <c r="DG15" s="32"/>
      <c r="DH15" s="32"/>
      <c r="DK15" s="32"/>
      <c r="DL15" s="32"/>
      <c r="DM15" s="32"/>
      <c r="DN15" s="32"/>
      <c r="DO15" s="32"/>
      <c r="DP15" s="32"/>
      <c r="DQ15" s="32"/>
      <c r="DT15" s="32"/>
      <c r="DU15" s="32"/>
      <c r="DV15" s="32"/>
      <c r="DW15" s="32"/>
      <c r="DX15" s="32"/>
      <c r="DY15" s="32"/>
      <c r="DZ15" s="32"/>
      <c r="EA15" s="32"/>
      <c r="EC15" s="32"/>
      <c r="ED15" s="32"/>
      <c r="EE15" s="32"/>
      <c r="EF15" s="32"/>
      <c r="EG15" s="32"/>
      <c r="EH15" s="32"/>
      <c r="EI15" s="32"/>
      <c r="EJ15" s="32"/>
      <c r="EL15" s="32"/>
      <c r="EM15" s="32"/>
      <c r="EN15" s="32"/>
      <c r="EO15" s="32"/>
      <c r="EP15" s="32"/>
      <c r="EQ15" s="32"/>
      <c r="ER15" s="32"/>
      <c r="ES15" s="32"/>
      <c r="EU15" s="32"/>
      <c r="EV15" s="32"/>
      <c r="EW15" s="32"/>
      <c r="EX15" s="32"/>
      <c r="EY15" s="32"/>
      <c r="EZ15" s="32"/>
      <c r="FA15" s="32"/>
      <c r="FB15" s="32"/>
      <c r="FD15" s="32"/>
      <c r="FE15" s="32"/>
      <c r="FF15" s="32"/>
      <c r="FG15" s="32"/>
      <c r="FH15" s="32"/>
      <c r="FI15" s="32"/>
      <c r="FJ15" s="32"/>
      <c r="FM15" s="32"/>
      <c r="FN15" s="32"/>
      <c r="FO15" s="32"/>
      <c r="FP15" s="32"/>
      <c r="FR15" s="32"/>
      <c r="FS15" s="32"/>
      <c r="FZ15" s="30"/>
    </row>
    <row r="16" spans="1:182" x14ac:dyDescent="0.2">
      <c r="A16" s="43">
        <v>60</v>
      </c>
      <c r="B16" s="41">
        <v>44.63</v>
      </c>
      <c r="C16" s="42">
        <v>70.7</v>
      </c>
      <c r="D16" s="32">
        <f t="shared" si="40"/>
        <v>26.07</v>
      </c>
      <c r="E16" s="41">
        <v>69.06</v>
      </c>
      <c r="F16" s="32">
        <f t="shared" si="41"/>
        <v>24.43</v>
      </c>
      <c r="G16" s="41">
        <f t="shared" si="42"/>
        <v>1.6400000000000006</v>
      </c>
      <c r="H16" s="40">
        <f t="shared" si="43"/>
        <v>6.7130577159230473E-2</v>
      </c>
      <c r="I16" s="30">
        <v>1.42</v>
      </c>
      <c r="J16" s="33">
        <f t="shared" si="44"/>
        <v>9.5325419566107267E-2</v>
      </c>
      <c r="L16" s="43">
        <v>60</v>
      </c>
      <c r="M16" s="41">
        <v>36.770000000000003</v>
      </c>
      <c r="N16" s="42">
        <v>59.45</v>
      </c>
      <c r="O16" s="32">
        <f t="shared" si="45"/>
        <v>22.68</v>
      </c>
      <c r="P16" s="41">
        <v>58.05</v>
      </c>
      <c r="Q16" s="32">
        <f t="shared" si="46"/>
        <v>21.279999999999994</v>
      </c>
      <c r="R16" s="41">
        <f t="shared" si="47"/>
        <v>1.4000000000000057</v>
      </c>
      <c r="S16" s="40">
        <f t="shared" si="48"/>
        <v>6.5789473684210814E-2</v>
      </c>
      <c r="T16" s="30">
        <v>1.42</v>
      </c>
      <c r="U16" s="33">
        <f t="shared" si="49"/>
        <v>9.3421052631579349E-2</v>
      </c>
      <c r="W16" s="43">
        <v>60</v>
      </c>
      <c r="X16" s="41">
        <v>37.159999999999997</v>
      </c>
      <c r="Y16" s="42">
        <v>59.26</v>
      </c>
      <c r="Z16" s="32">
        <f t="shared" si="50"/>
        <v>22.1</v>
      </c>
      <c r="AA16" s="41">
        <v>56.88</v>
      </c>
      <c r="AB16" s="32">
        <f t="shared" si="51"/>
        <v>19.720000000000006</v>
      </c>
      <c r="AC16" s="41">
        <f t="shared" si="52"/>
        <v>2.3799999999999955</v>
      </c>
      <c r="AD16" s="40">
        <f t="shared" si="53"/>
        <v>0.12068965517241352</v>
      </c>
      <c r="AE16" s="30">
        <v>1.42</v>
      </c>
      <c r="AF16" s="33">
        <f t="shared" si="54"/>
        <v>0.1713793103448272</v>
      </c>
      <c r="AG16" s="32"/>
      <c r="AH16" s="43">
        <v>60</v>
      </c>
      <c r="AI16" s="41">
        <v>32.229999999999997</v>
      </c>
      <c r="AJ16" s="42">
        <v>54.99</v>
      </c>
      <c r="AK16" s="32">
        <f t="shared" si="55"/>
        <v>22.760000000000005</v>
      </c>
      <c r="AL16" s="41">
        <v>53.34</v>
      </c>
      <c r="AM16" s="32">
        <f t="shared" si="56"/>
        <v>21.110000000000007</v>
      </c>
      <c r="AN16" s="41">
        <f t="shared" si="57"/>
        <v>1.6499999999999986</v>
      </c>
      <c r="AO16" s="40">
        <f t="shared" si="58"/>
        <v>7.816200852676447E-2</v>
      </c>
      <c r="AP16" s="30">
        <v>1.42</v>
      </c>
      <c r="AQ16" s="33">
        <f t="shared" si="59"/>
        <v>0.11099005210800554</v>
      </c>
      <c r="AS16" s="43">
        <v>60</v>
      </c>
      <c r="AT16" s="41">
        <v>35.4</v>
      </c>
      <c r="AU16" s="42">
        <v>55.06</v>
      </c>
      <c r="AV16" s="32">
        <f t="shared" si="60"/>
        <v>19.660000000000004</v>
      </c>
      <c r="AW16" s="41">
        <v>52.82</v>
      </c>
      <c r="AX16" s="32">
        <f t="shared" si="61"/>
        <v>17.420000000000002</v>
      </c>
      <c r="AY16" s="41">
        <f t="shared" si="62"/>
        <v>2.240000000000002</v>
      </c>
      <c r="AZ16" s="40">
        <f t="shared" si="63"/>
        <v>0.1285878300803675</v>
      </c>
      <c r="BA16" s="30">
        <v>1.42</v>
      </c>
      <c r="BB16" s="33">
        <f t="shared" si="64"/>
        <v>0.18259471871412183</v>
      </c>
      <c r="BD16" s="43">
        <v>60</v>
      </c>
      <c r="BE16" s="41">
        <v>36.130000000000003</v>
      </c>
      <c r="BF16" s="42">
        <v>57.86</v>
      </c>
      <c r="BG16" s="32">
        <f t="shared" si="65"/>
        <v>21.729999999999997</v>
      </c>
      <c r="BH16" s="41">
        <v>55.72</v>
      </c>
      <c r="BI16" s="32">
        <f t="shared" si="66"/>
        <v>19.589999999999996</v>
      </c>
      <c r="BJ16" s="41">
        <f t="shared" si="67"/>
        <v>2.1400000000000006</v>
      </c>
      <c r="BK16" s="40">
        <f t="shared" si="68"/>
        <v>0.1092394078611537</v>
      </c>
      <c r="BL16" s="30">
        <v>1.42</v>
      </c>
      <c r="BM16" s="33">
        <f t="shared" si="69"/>
        <v>0.15511995916283824</v>
      </c>
      <c r="BO16" s="43">
        <v>60</v>
      </c>
      <c r="BP16" s="41">
        <v>29.9</v>
      </c>
      <c r="BQ16" s="42">
        <v>51.8</v>
      </c>
      <c r="BR16" s="32">
        <f t="shared" si="70"/>
        <v>21.9</v>
      </c>
      <c r="BS16" s="41">
        <v>50</v>
      </c>
      <c r="BT16" s="32">
        <f t="shared" si="71"/>
        <v>20.100000000000001</v>
      </c>
      <c r="BU16" s="41">
        <f t="shared" si="72"/>
        <v>1.7999999999999972</v>
      </c>
      <c r="BV16" s="40">
        <f t="shared" si="73"/>
        <v>8.9552238805970005E-2</v>
      </c>
      <c r="BW16" s="30">
        <v>1.42</v>
      </c>
      <c r="BX16" s="33">
        <f t="shared" si="74"/>
        <v>0.12716417910447742</v>
      </c>
      <c r="BY16" s="32"/>
      <c r="BZ16" s="43">
        <v>60</v>
      </c>
      <c r="CA16" s="41">
        <v>50.59</v>
      </c>
      <c r="CB16" s="42">
        <v>78.28</v>
      </c>
      <c r="CC16" s="32">
        <f t="shared" si="75"/>
        <v>27.689999999999998</v>
      </c>
      <c r="CD16" s="41">
        <v>75.48</v>
      </c>
      <c r="CE16" s="32">
        <f t="shared" si="76"/>
        <v>24.89</v>
      </c>
      <c r="CF16" s="41">
        <f t="shared" si="77"/>
        <v>2.7999999999999972</v>
      </c>
      <c r="CG16" s="40">
        <f t="shared" si="78"/>
        <v>0.11249497790277208</v>
      </c>
      <c r="CH16" s="30">
        <v>1.42</v>
      </c>
      <c r="CI16" s="33">
        <f t="shared" si="79"/>
        <v>0.15974286862193635</v>
      </c>
      <c r="CJ16" s="32"/>
      <c r="CL16" s="32"/>
      <c r="CM16" s="32"/>
      <c r="CN16" s="32"/>
      <c r="CO16" s="32"/>
      <c r="CP16" s="32"/>
      <c r="CQ16" s="32"/>
      <c r="CR16" s="30"/>
      <c r="CS16" s="32"/>
      <c r="CT16" s="32"/>
      <c r="CU16" s="32"/>
      <c r="CV16" s="32"/>
      <c r="CW16" s="32"/>
      <c r="CX16" s="32"/>
      <c r="CY16" s="32"/>
      <c r="DB16" s="32"/>
      <c r="DC16" s="32"/>
      <c r="DD16" s="32"/>
      <c r="DE16" s="32"/>
      <c r="DF16" s="32"/>
      <c r="DG16" s="32"/>
      <c r="DH16" s="32"/>
      <c r="DK16" s="32"/>
      <c r="DL16" s="32"/>
      <c r="DM16" s="32"/>
      <c r="DN16" s="32"/>
      <c r="DO16" s="32"/>
      <c r="DP16" s="32"/>
      <c r="DQ16" s="32"/>
      <c r="DT16" s="32"/>
      <c r="DU16" s="32"/>
      <c r="DV16" s="32"/>
      <c r="DW16" s="32"/>
      <c r="DX16" s="32"/>
      <c r="DY16" s="32"/>
      <c r="DZ16" s="32"/>
      <c r="EA16" s="32"/>
      <c r="EC16" s="32"/>
      <c r="ED16" s="32"/>
      <c r="EE16" s="32"/>
      <c r="EF16" s="32"/>
      <c r="EG16" s="32"/>
      <c r="EH16" s="32"/>
      <c r="EI16" s="32"/>
      <c r="EJ16" s="32"/>
      <c r="EL16" s="32"/>
      <c r="EM16" s="32"/>
      <c r="EN16" s="32"/>
      <c r="EO16" s="32"/>
      <c r="EP16" s="32"/>
      <c r="EQ16" s="32"/>
      <c r="ER16" s="32"/>
      <c r="ES16" s="32"/>
      <c r="EU16" s="32"/>
      <c r="EV16" s="32"/>
      <c r="EW16" s="32"/>
      <c r="EX16" s="32"/>
      <c r="EY16" s="32"/>
      <c r="EZ16" s="32"/>
      <c r="FA16" s="32"/>
      <c r="FB16" s="32"/>
      <c r="FD16" s="32"/>
      <c r="FE16" s="32"/>
      <c r="FF16" s="32"/>
      <c r="FG16" s="32"/>
      <c r="FH16" s="32"/>
      <c r="FI16" s="32"/>
      <c r="FJ16" s="32"/>
      <c r="FM16" s="32"/>
      <c r="FN16" s="32"/>
      <c r="FO16" s="32"/>
      <c r="FP16" s="32"/>
      <c r="FR16" s="32"/>
      <c r="FS16" s="32"/>
      <c r="FZ16" s="30"/>
    </row>
    <row r="17" spans="1:199" x14ac:dyDescent="0.2">
      <c r="A17" s="43">
        <v>90</v>
      </c>
      <c r="B17" s="41">
        <v>35.119999999999997</v>
      </c>
      <c r="C17" s="42">
        <v>59.03</v>
      </c>
      <c r="D17" s="32">
        <f t="shared" si="40"/>
        <v>23.910000000000004</v>
      </c>
      <c r="E17" s="41">
        <v>57.83</v>
      </c>
      <c r="F17" s="32">
        <f t="shared" si="41"/>
        <v>22.71</v>
      </c>
      <c r="G17" s="41">
        <f t="shared" si="42"/>
        <v>1.2000000000000028</v>
      </c>
      <c r="H17" s="40">
        <f t="shared" si="43"/>
        <v>5.2840158520475682E-2</v>
      </c>
      <c r="I17" s="30">
        <v>1.58</v>
      </c>
      <c r="J17" s="33">
        <f t="shared" si="44"/>
        <v>8.3487450462351578E-2</v>
      </c>
      <c r="L17" s="43">
        <v>90</v>
      </c>
      <c r="M17" s="41">
        <v>25.5</v>
      </c>
      <c r="N17" s="42">
        <v>48.83</v>
      </c>
      <c r="O17" s="32">
        <f t="shared" si="45"/>
        <v>23.33</v>
      </c>
      <c r="P17" s="41">
        <v>47.13</v>
      </c>
      <c r="Q17" s="32">
        <f t="shared" si="46"/>
        <v>21.630000000000003</v>
      </c>
      <c r="R17" s="41">
        <f t="shared" si="47"/>
        <v>1.6999999999999957</v>
      </c>
      <c r="S17" s="40">
        <f t="shared" si="48"/>
        <v>7.8594544613961884E-2</v>
      </c>
      <c r="T17" s="30">
        <v>1.58</v>
      </c>
      <c r="U17" s="33">
        <f t="shared" si="49"/>
        <v>0.12417938049005978</v>
      </c>
      <c r="W17" s="43">
        <v>90</v>
      </c>
      <c r="X17" s="41">
        <v>46.14</v>
      </c>
      <c r="Y17" s="42">
        <v>70.760000000000005</v>
      </c>
      <c r="Z17" s="32">
        <f t="shared" si="50"/>
        <v>24.620000000000005</v>
      </c>
      <c r="AA17" s="41">
        <v>67.599999999999994</v>
      </c>
      <c r="AB17" s="32">
        <f t="shared" si="51"/>
        <v>21.459999999999994</v>
      </c>
      <c r="AC17" s="41">
        <f t="shared" si="52"/>
        <v>3.1600000000000108</v>
      </c>
      <c r="AD17" s="40">
        <f t="shared" si="53"/>
        <v>0.14725069897483745</v>
      </c>
      <c r="AE17" s="30">
        <v>1.58</v>
      </c>
      <c r="AF17" s="33">
        <f t="shared" si="54"/>
        <v>0.23265610438024317</v>
      </c>
      <c r="AG17" s="32"/>
      <c r="AH17" s="43">
        <v>90</v>
      </c>
      <c r="AI17" s="41">
        <v>37.770000000000003</v>
      </c>
      <c r="AJ17" s="42">
        <v>64.459999999999994</v>
      </c>
      <c r="AK17" s="32">
        <f t="shared" si="55"/>
        <v>26.689999999999991</v>
      </c>
      <c r="AL17" s="41">
        <v>62.02</v>
      </c>
      <c r="AM17" s="32">
        <f t="shared" si="56"/>
        <v>24.25</v>
      </c>
      <c r="AN17" s="41">
        <f t="shared" si="57"/>
        <v>2.4399999999999906</v>
      </c>
      <c r="AO17" s="40">
        <f t="shared" si="58"/>
        <v>0.10061855670103054</v>
      </c>
      <c r="AP17" s="30">
        <v>1.58</v>
      </c>
      <c r="AQ17" s="33">
        <f t="shared" si="59"/>
        <v>0.15897731958762826</v>
      </c>
      <c r="AS17" s="43">
        <v>90</v>
      </c>
      <c r="AT17" s="41">
        <v>59.97</v>
      </c>
      <c r="AU17" s="42">
        <v>86.05</v>
      </c>
      <c r="AV17" s="32">
        <f t="shared" si="60"/>
        <v>26.08</v>
      </c>
      <c r="AW17" s="41">
        <v>83.35</v>
      </c>
      <c r="AX17" s="32">
        <f t="shared" si="61"/>
        <v>23.379999999999995</v>
      </c>
      <c r="AY17" s="41">
        <f t="shared" si="62"/>
        <v>2.7000000000000028</v>
      </c>
      <c r="AZ17" s="40">
        <f t="shared" si="63"/>
        <v>0.11548331907613359</v>
      </c>
      <c r="BA17" s="30">
        <v>1.58</v>
      </c>
      <c r="BB17" s="33">
        <f t="shared" si="64"/>
        <v>0.18246364414029106</v>
      </c>
      <c r="BD17" s="43">
        <v>90</v>
      </c>
      <c r="BE17" s="41">
        <v>29.43</v>
      </c>
      <c r="BF17" s="42">
        <v>52.53</v>
      </c>
      <c r="BG17" s="32">
        <f t="shared" si="65"/>
        <v>23.1</v>
      </c>
      <c r="BH17" s="41">
        <v>49.8</v>
      </c>
      <c r="BI17" s="32">
        <f t="shared" si="66"/>
        <v>20.369999999999997</v>
      </c>
      <c r="BJ17" s="41">
        <f t="shared" si="67"/>
        <v>2.730000000000004</v>
      </c>
      <c r="BK17" s="40">
        <f t="shared" si="68"/>
        <v>0.13402061855670125</v>
      </c>
      <c r="BL17" s="30">
        <v>1.58</v>
      </c>
      <c r="BM17" s="33">
        <f t="shared" si="69"/>
        <v>0.21175257731958799</v>
      </c>
      <c r="BO17" s="43">
        <v>90</v>
      </c>
      <c r="BP17" s="41">
        <v>69.11</v>
      </c>
      <c r="BQ17" s="42">
        <v>95.89</v>
      </c>
      <c r="BR17" s="32">
        <f t="shared" si="70"/>
        <v>26.78</v>
      </c>
      <c r="BS17" s="41">
        <v>93.58</v>
      </c>
      <c r="BT17" s="32">
        <f t="shared" si="71"/>
        <v>24.47</v>
      </c>
      <c r="BU17" s="41">
        <f t="shared" si="72"/>
        <v>2.3100000000000023</v>
      </c>
      <c r="BV17" s="40">
        <f t="shared" si="73"/>
        <v>9.4401307723743458E-2</v>
      </c>
      <c r="BW17" s="30">
        <v>1.58</v>
      </c>
      <c r="BX17" s="33">
        <f t="shared" si="74"/>
        <v>0.14915406620351468</v>
      </c>
      <c r="BY17" s="32"/>
      <c r="BZ17" s="43">
        <v>90</v>
      </c>
      <c r="CA17" s="41">
        <v>29.9</v>
      </c>
      <c r="CB17" s="42">
        <v>57</v>
      </c>
      <c r="CC17" s="32">
        <f t="shared" si="75"/>
        <v>27.1</v>
      </c>
      <c r="CD17" s="41">
        <v>54.9</v>
      </c>
      <c r="CE17" s="32">
        <f t="shared" si="76"/>
        <v>25</v>
      </c>
      <c r="CF17" s="41">
        <f t="shared" si="77"/>
        <v>2.1000000000000014</v>
      </c>
      <c r="CG17" s="40">
        <f t="shared" si="78"/>
        <v>8.4000000000000061E-2</v>
      </c>
      <c r="CH17" s="30">
        <v>1.58</v>
      </c>
      <c r="CI17" s="33">
        <f t="shared" si="79"/>
        <v>0.13272000000000012</v>
      </c>
      <c r="CJ17" s="32"/>
      <c r="CL17" s="32"/>
      <c r="CM17" s="32"/>
      <c r="CN17" s="32"/>
      <c r="CO17" s="32"/>
      <c r="CP17" s="32"/>
      <c r="CQ17" s="32"/>
      <c r="CR17" s="30"/>
      <c r="CS17" s="32"/>
      <c r="CT17" s="32"/>
      <c r="CU17" s="32"/>
      <c r="CV17" s="32"/>
      <c r="CW17" s="32"/>
      <c r="CX17" s="32"/>
      <c r="CY17" s="32"/>
      <c r="DB17" s="32"/>
      <c r="DC17" s="32"/>
      <c r="DD17" s="32"/>
      <c r="DE17" s="32"/>
      <c r="DF17" s="32"/>
      <c r="DG17" s="32"/>
      <c r="DH17" s="32"/>
      <c r="DK17" s="32"/>
      <c r="DL17" s="32"/>
      <c r="DM17" s="32"/>
      <c r="DN17" s="32"/>
      <c r="DO17" s="32"/>
      <c r="DP17" s="32"/>
      <c r="DQ17" s="32"/>
      <c r="DT17" s="32"/>
      <c r="DU17" s="32"/>
      <c r="DV17" s="32"/>
      <c r="DW17" s="32"/>
      <c r="DX17" s="32"/>
      <c r="DY17" s="32"/>
      <c r="DZ17" s="32"/>
      <c r="EA17" s="32"/>
      <c r="EC17" s="32"/>
      <c r="ED17" s="32"/>
      <c r="EE17" s="32"/>
      <c r="EF17" s="32"/>
      <c r="EG17" s="32"/>
      <c r="EH17" s="32"/>
      <c r="EI17" s="32"/>
      <c r="EJ17" s="32"/>
      <c r="EL17" s="32"/>
      <c r="EM17" s="32"/>
      <c r="EN17" s="32"/>
      <c r="EO17" s="32"/>
      <c r="EP17" s="32"/>
      <c r="EQ17" s="32"/>
      <c r="ER17" s="32"/>
      <c r="ES17" s="32"/>
      <c r="EU17" s="32"/>
      <c r="EV17" s="32"/>
      <c r="EW17" s="32"/>
      <c r="EX17" s="32"/>
      <c r="EY17" s="32"/>
      <c r="EZ17" s="32"/>
      <c r="FA17" s="32"/>
      <c r="FB17" s="32"/>
      <c r="FD17" s="32"/>
      <c r="FE17" s="32"/>
      <c r="FF17" s="32"/>
      <c r="FG17" s="32"/>
      <c r="FH17" s="32"/>
      <c r="FI17" s="32"/>
      <c r="FJ17" s="32"/>
      <c r="FM17" s="32"/>
      <c r="FN17" s="32"/>
      <c r="FO17" s="32"/>
      <c r="FP17" s="32"/>
      <c r="FR17" s="32"/>
      <c r="FS17" s="32"/>
      <c r="FZ17" s="30"/>
    </row>
    <row r="18" spans="1:199" x14ac:dyDescent="0.2">
      <c r="A18" s="43">
        <v>120</v>
      </c>
      <c r="B18" s="41">
        <v>26.82</v>
      </c>
      <c r="C18" s="42">
        <v>49.13</v>
      </c>
      <c r="D18" s="32">
        <f t="shared" si="40"/>
        <v>22.310000000000002</v>
      </c>
      <c r="E18" s="41">
        <v>47.8</v>
      </c>
      <c r="F18" s="32">
        <f t="shared" si="41"/>
        <v>20.979999999999997</v>
      </c>
      <c r="G18" s="41">
        <f t="shared" si="42"/>
        <v>1.3300000000000054</v>
      </c>
      <c r="H18" s="40">
        <f t="shared" si="43"/>
        <v>6.3393708293613238E-2</v>
      </c>
      <c r="I18" s="30">
        <v>1.58</v>
      </c>
      <c r="J18" s="33">
        <f t="shared" si="44"/>
        <v>0.10016205910390892</v>
      </c>
      <c r="L18" s="43">
        <v>120</v>
      </c>
      <c r="M18" s="41">
        <v>46.26</v>
      </c>
      <c r="N18" s="42">
        <v>69.5</v>
      </c>
      <c r="O18" s="32">
        <f t="shared" si="45"/>
        <v>23.240000000000002</v>
      </c>
      <c r="P18" s="41">
        <v>67.739999999999995</v>
      </c>
      <c r="Q18" s="32">
        <f t="shared" si="46"/>
        <v>21.479999999999997</v>
      </c>
      <c r="R18" s="41">
        <f t="shared" si="47"/>
        <v>1.7600000000000051</v>
      </c>
      <c r="S18" s="40">
        <f t="shared" si="48"/>
        <v>8.1936685288640843E-2</v>
      </c>
      <c r="T18" s="30">
        <v>1.58</v>
      </c>
      <c r="U18" s="33">
        <f t="shared" si="49"/>
        <v>0.12945996275605254</v>
      </c>
      <c r="W18" s="43">
        <v>120</v>
      </c>
      <c r="X18" s="41">
        <v>52.2</v>
      </c>
      <c r="Y18" s="42">
        <v>75.319999999999993</v>
      </c>
      <c r="Z18" s="32">
        <f t="shared" si="50"/>
        <v>23.11999999999999</v>
      </c>
      <c r="AA18" s="41">
        <v>73.09</v>
      </c>
      <c r="AB18" s="32">
        <f t="shared" si="51"/>
        <v>20.89</v>
      </c>
      <c r="AC18" s="41">
        <f t="shared" si="52"/>
        <v>2.2299999999999898</v>
      </c>
      <c r="AD18" s="40">
        <f t="shared" si="53"/>
        <v>0.10674964097654331</v>
      </c>
      <c r="AE18" s="30">
        <v>1.58</v>
      </c>
      <c r="AF18" s="33">
        <f t="shared" si="54"/>
        <v>0.16866443274293844</v>
      </c>
      <c r="AG18" s="32"/>
      <c r="AH18" s="43">
        <v>120</v>
      </c>
      <c r="AI18" s="41">
        <v>38.1</v>
      </c>
      <c r="AJ18" s="42">
        <v>65.09</v>
      </c>
      <c r="AK18" s="32">
        <f t="shared" si="55"/>
        <v>26.990000000000002</v>
      </c>
      <c r="AL18" s="41">
        <v>62.83</v>
      </c>
      <c r="AM18" s="32">
        <f t="shared" si="56"/>
        <v>24.729999999999997</v>
      </c>
      <c r="AN18" s="41">
        <f t="shared" si="57"/>
        <v>2.2600000000000051</v>
      </c>
      <c r="AO18" s="40">
        <f t="shared" si="58"/>
        <v>9.1386979377274788E-2</v>
      </c>
      <c r="AP18" s="30">
        <v>1.58</v>
      </c>
      <c r="AQ18" s="33">
        <f t="shared" si="59"/>
        <v>0.14439142741609418</v>
      </c>
      <c r="AS18" s="43">
        <v>120</v>
      </c>
      <c r="AT18" s="41">
        <v>41.08</v>
      </c>
      <c r="AU18" s="42">
        <v>67.17</v>
      </c>
      <c r="AV18" s="32">
        <f t="shared" si="60"/>
        <v>26.090000000000003</v>
      </c>
      <c r="AW18" s="41">
        <v>64.45</v>
      </c>
      <c r="AX18" s="32">
        <f t="shared" si="61"/>
        <v>23.370000000000005</v>
      </c>
      <c r="AY18" s="41">
        <f t="shared" si="62"/>
        <v>2.7199999999999989</v>
      </c>
      <c r="AZ18" s="40">
        <f t="shared" si="63"/>
        <v>0.11638853230637562</v>
      </c>
      <c r="BA18" s="30">
        <v>1.58</v>
      </c>
      <c r="BB18" s="33">
        <f t="shared" si="64"/>
        <v>0.1838938810440735</v>
      </c>
      <c r="BD18" s="43">
        <v>120</v>
      </c>
      <c r="BE18" s="41">
        <v>47.79</v>
      </c>
      <c r="BF18" s="42">
        <v>71.569999999999993</v>
      </c>
      <c r="BG18" s="32">
        <f t="shared" si="65"/>
        <v>23.779999999999994</v>
      </c>
      <c r="BH18" s="41">
        <v>69.319999999999993</v>
      </c>
      <c r="BI18" s="32">
        <f t="shared" si="66"/>
        <v>21.529999999999994</v>
      </c>
      <c r="BJ18" s="41">
        <f t="shared" si="67"/>
        <v>2.25</v>
      </c>
      <c r="BK18" s="40">
        <f t="shared" si="68"/>
        <v>0.10450534138411521</v>
      </c>
      <c r="BL18" s="30">
        <v>1.58</v>
      </c>
      <c r="BM18" s="33">
        <f t="shared" si="69"/>
        <v>0.16511843938690204</v>
      </c>
      <c r="BO18" s="43">
        <v>120</v>
      </c>
      <c r="BP18" s="41">
        <v>51.91</v>
      </c>
      <c r="BQ18" s="42">
        <v>78.89</v>
      </c>
      <c r="BR18" s="32">
        <f t="shared" si="70"/>
        <v>26.980000000000004</v>
      </c>
      <c r="BS18" s="41">
        <v>76.599999999999994</v>
      </c>
      <c r="BT18" s="32">
        <f t="shared" si="71"/>
        <v>24.689999999999998</v>
      </c>
      <c r="BU18" s="41">
        <f t="shared" si="72"/>
        <v>2.2900000000000063</v>
      </c>
      <c r="BV18" s="40">
        <f t="shared" si="73"/>
        <v>9.2750101255569317E-2</v>
      </c>
      <c r="BW18" s="30">
        <v>1.58</v>
      </c>
      <c r="BX18" s="33">
        <f t="shared" si="74"/>
        <v>0.14654515998379952</v>
      </c>
      <c r="BY18" s="32"/>
      <c r="BZ18" s="43">
        <v>120</v>
      </c>
      <c r="CA18" s="41">
        <v>42.34</v>
      </c>
      <c r="CB18" s="42">
        <v>67.64</v>
      </c>
      <c r="CC18" s="32">
        <f t="shared" si="75"/>
        <v>25.299999999999997</v>
      </c>
      <c r="CD18" s="41">
        <v>64.5</v>
      </c>
      <c r="CE18" s="32">
        <f t="shared" si="76"/>
        <v>22.159999999999997</v>
      </c>
      <c r="CF18" s="41">
        <f t="shared" si="77"/>
        <v>3.1400000000000006</v>
      </c>
      <c r="CG18" s="40">
        <f t="shared" si="78"/>
        <v>0.14169675090252712</v>
      </c>
      <c r="CH18" s="30">
        <v>1.58</v>
      </c>
      <c r="CI18" s="33">
        <f t="shared" si="79"/>
        <v>0.22388086642599286</v>
      </c>
      <c r="CJ18" s="32"/>
      <c r="CL18" s="32"/>
      <c r="CM18" s="32"/>
      <c r="CN18" s="32"/>
      <c r="CO18" s="32"/>
      <c r="CP18" s="32"/>
      <c r="CQ18" s="32"/>
      <c r="CR18" s="30"/>
      <c r="CS18" s="32"/>
      <c r="CT18" s="32"/>
      <c r="CU18" s="32"/>
      <c r="CV18" s="32"/>
      <c r="CW18" s="32"/>
      <c r="CX18" s="32"/>
      <c r="CY18" s="32"/>
      <c r="DB18" s="32"/>
      <c r="DC18" s="32"/>
      <c r="DD18" s="32"/>
      <c r="DE18" s="32"/>
      <c r="DF18" s="32"/>
      <c r="DG18" s="32"/>
      <c r="DH18" s="32"/>
      <c r="DK18" s="32"/>
      <c r="DL18" s="32"/>
      <c r="DM18" s="32"/>
      <c r="DN18" s="32"/>
      <c r="DO18" s="32"/>
      <c r="DP18" s="32"/>
      <c r="DQ18" s="32"/>
      <c r="DT18" s="32"/>
      <c r="DU18" s="32"/>
      <c r="DV18" s="32"/>
      <c r="DW18" s="32"/>
      <c r="DX18" s="32"/>
      <c r="DY18" s="32"/>
      <c r="DZ18" s="32"/>
      <c r="EA18" s="32"/>
      <c r="EC18" s="32"/>
      <c r="ED18" s="32"/>
      <c r="EE18" s="32"/>
      <c r="EF18" s="32"/>
      <c r="EG18" s="32"/>
      <c r="EH18" s="32"/>
      <c r="EI18" s="32"/>
      <c r="EJ18" s="32"/>
      <c r="EL18" s="32"/>
      <c r="EM18" s="32"/>
      <c r="EN18" s="32"/>
      <c r="EO18" s="32"/>
      <c r="EP18" s="32"/>
      <c r="EQ18" s="32"/>
      <c r="ER18" s="32"/>
      <c r="ES18" s="32"/>
      <c r="EU18" s="32"/>
      <c r="EV18" s="32"/>
      <c r="EW18" s="32"/>
      <c r="EX18" s="32"/>
      <c r="EY18" s="32"/>
      <c r="EZ18" s="32"/>
      <c r="FA18" s="32"/>
      <c r="FB18" s="32"/>
      <c r="FD18" s="32"/>
      <c r="FE18" s="32"/>
      <c r="FF18" s="32"/>
      <c r="FG18" s="32"/>
      <c r="FH18" s="32"/>
      <c r="FI18" s="32"/>
      <c r="FJ18" s="32"/>
      <c r="FM18" s="32"/>
      <c r="FN18" s="32"/>
      <c r="FO18" s="32"/>
      <c r="FP18" s="32"/>
      <c r="FR18" s="32"/>
      <c r="FS18" s="32"/>
      <c r="FZ18" s="30"/>
    </row>
    <row r="19" spans="1:199" x14ac:dyDescent="0.2">
      <c r="A19" s="43">
        <v>150</v>
      </c>
      <c r="B19" s="41">
        <v>33.659999999999997</v>
      </c>
      <c r="C19" s="42">
        <v>56.25</v>
      </c>
      <c r="D19" s="32">
        <f t="shared" si="40"/>
        <v>22.590000000000003</v>
      </c>
      <c r="E19" s="41">
        <v>54.17</v>
      </c>
      <c r="F19" s="32">
        <f t="shared" si="41"/>
        <v>20.510000000000005</v>
      </c>
      <c r="G19" s="41">
        <f t="shared" si="42"/>
        <v>2.0799999999999983</v>
      </c>
      <c r="H19" s="40">
        <f t="shared" si="43"/>
        <v>0.10141394441735728</v>
      </c>
      <c r="I19" s="30">
        <v>1.58</v>
      </c>
      <c r="J19" s="33">
        <f t="shared" si="44"/>
        <v>0.1602340321794245</v>
      </c>
      <c r="L19" s="43">
        <v>150</v>
      </c>
      <c r="M19" s="41">
        <v>32.58</v>
      </c>
      <c r="N19" s="42">
        <v>56.09</v>
      </c>
      <c r="O19" s="32">
        <f t="shared" si="45"/>
        <v>23.510000000000005</v>
      </c>
      <c r="P19" s="41">
        <v>54.2</v>
      </c>
      <c r="Q19" s="32">
        <f t="shared" si="46"/>
        <v>21.620000000000005</v>
      </c>
      <c r="R19" s="41">
        <f t="shared" si="47"/>
        <v>1.8900000000000006</v>
      </c>
      <c r="S19" s="40">
        <f t="shared" si="48"/>
        <v>8.74190564292322E-2</v>
      </c>
      <c r="T19" s="30">
        <v>1.58</v>
      </c>
      <c r="U19" s="33">
        <f t="shared" si="49"/>
        <v>0.13812210915818687</v>
      </c>
      <c r="W19" s="43">
        <v>150</v>
      </c>
      <c r="X19" s="41">
        <v>49.44</v>
      </c>
      <c r="Y19" s="42">
        <v>71.11</v>
      </c>
      <c r="Z19" s="32">
        <f t="shared" si="50"/>
        <v>21.67</v>
      </c>
      <c r="AA19" s="41">
        <v>69.72</v>
      </c>
      <c r="AB19" s="32">
        <f t="shared" si="51"/>
        <v>20.28</v>
      </c>
      <c r="AC19" s="41">
        <f t="shared" si="52"/>
        <v>1.3900000000000006</v>
      </c>
      <c r="AD19" s="40">
        <f t="shared" si="53"/>
        <v>6.8540433925049341E-2</v>
      </c>
      <c r="AE19" s="30">
        <v>1.58</v>
      </c>
      <c r="AF19" s="33">
        <f t="shared" si="54"/>
        <v>0.10829388560157796</v>
      </c>
      <c r="AG19" s="32"/>
      <c r="AH19" s="43">
        <v>150</v>
      </c>
      <c r="AI19" s="41">
        <v>50.89</v>
      </c>
      <c r="AJ19" s="42">
        <v>76.75</v>
      </c>
      <c r="AK19" s="32">
        <f t="shared" si="55"/>
        <v>25.86</v>
      </c>
      <c r="AL19" s="41">
        <v>74.86</v>
      </c>
      <c r="AM19" s="32">
        <f t="shared" si="56"/>
        <v>23.97</v>
      </c>
      <c r="AN19" s="41">
        <f t="shared" si="57"/>
        <v>1.8900000000000006</v>
      </c>
      <c r="AO19" s="40">
        <f t="shared" si="58"/>
        <v>7.8848560700876119E-2</v>
      </c>
      <c r="AP19" s="30">
        <v>1.58</v>
      </c>
      <c r="AQ19" s="33">
        <f t="shared" si="59"/>
        <v>0.12458072590738427</v>
      </c>
      <c r="AS19" s="43">
        <v>150</v>
      </c>
      <c r="AT19" s="41">
        <v>41.38</v>
      </c>
      <c r="AU19" s="42">
        <v>70.73</v>
      </c>
      <c r="AV19" s="32">
        <f t="shared" si="60"/>
        <v>29.35</v>
      </c>
      <c r="AW19" s="41">
        <v>68.16</v>
      </c>
      <c r="AX19" s="32">
        <f t="shared" si="61"/>
        <v>26.779999999999994</v>
      </c>
      <c r="AY19" s="41">
        <f t="shared" si="62"/>
        <v>2.5700000000000074</v>
      </c>
      <c r="AZ19" s="40">
        <f t="shared" si="63"/>
        <v>9.5967139656460337E-2</v>
      </c>
      <c r="BA19" s="30">
        <v>1.58</v>
      </c>
      <c r="BB19" s="33">
        <f t="shared" si="64"/>
        <v>0.15162808065720734</v>
      </c>
      <c r="BD19" s="43">
        <v>150</v>
      </c>
      <c r="BE19" s="41">
        <v>42.55</v>
      </c>
      <c r="BF19" s="42">
        <v>66.33</v>
      </c>
      <c r="BG19" s="32">
        <f t="shared" si="65"/>
        <v>23.78</v>
      </c>
      <c r="BH19" s="41">
        <v>64.34</v>
      </c>
      <c r="BI19" s="32">
        <f t="shared" si="66"/>
        <v>21.790000000000006</v>
      </c>
      <c r="BJ19" s="41">
        <f t="shared" si="67"/>
        <v>1.9899999999999949</v>
      </c>
      <c r="BK19" s="40">
        <f t="shared" si="68"/>
        <v>9.1326296466268664E-2</v>
      </c>
      <c r="BL19" s="30">
        <v>1.58</v>
      </c>
      <c r="BM19" s="33">
        <f t="shared" si="69"/>
        <v>0.1442955484167045</v>
      </c>
      <c r="BO19" s="43">
        <v>150</v>
      </c>
      <c r="BP19" s="41">
        <v>29.7</v>
      </c>
      <c r="BQ19" s="42">
        <v>52</v>
      </c>
      <c r="BR19" s="32">
        <f t="shared" si="70"/>
        <v>22.3</v>
      </c>
      <c r="BS19" s="41">
        <v>49.7</v>
      </c>
      <c r="BT19" s="32">
        <f t="shared" si="71"/>
        <v>20.000000000000004</v>
      </c>
      <c r="BU19" s="41">
        <f t="shared" si="72"/>
        <v>2.2999999999999972</v>
      </c>
      <c r="BV19" s="40">
        <f t="shared" si="73"/>
        <v>0.11499999999999984</v>
      </c>
      <c r="BW19" s="30">
        <v>1.58</v>
      </c>
      <c r="BX19" s="33">
        <f t="shared" si="74"/>
        <v>0.18169999999999975</v>
      </c>
      <c r="BY19" s="32"/>
      <c r="BZ19" s="43">
        <v>150</v>
      </c>
      <c r="CA19" s="41">
        <v>36.590000000000003</v>
      </c>
      <c r="CB19" s="42">
        <v>63.54</v>
      </c>
      <c r="CC19" s="32">
        <f t="shared" si="75"/>
        <v>26.949999999999996</v>
      </c>
      <c r="CD19" s="41">
        <v>60.75</v>
      </c>
      <c r="CE19" s="32">
        <f t="shared" si="76"/>
        <v>24.159999999999997</v>
      </c>
      <c r="CF19" s="41">
        <f t="shared" si="77"/>
        <v>2.7899999999999991</v>
      </c>
      <c r="CG19" s="40">
        <f t="shared" si="78"/>
        <v>0.1154801324503311</v>
      </c>
      <c r="CH19" s="30">
        <v>1.58</v>
      </c>
      <c r="CI19" s="33">
        <f t="shared" si="79"/>
        <v>0.18245860927152316</v>
      </c>
      <c r="CJ19" s="32"/>
      <c r="CL19" s="32"/>
      <c r="CM19" s="32"/>
      <c r="CN19" s="32"/>
      <c r="CO19" s="32"/>
      <c r="CP19" s="32"/>
      <c r="CQ19" s="32"/>
      <c r="CR19" s="30"/>
      <c r="CS19" s="32"/>
      <c r="CT19" s="32"/>
      <c r="CU19" s="32"/>
      <c r="CV19" s="32"/>
      <c r="CW19" s="32"/>
      <c r="CX19" s="32"/>
      <c r="CY19" s="32"/>
      <c r="DB19" s="32"/>
      <c r="DC19" s="32"/>
      <c r="DD19" s="32"/>
      <c r="DE19" s="32"/>
      <c r="DF19" s="32"/>
      <c r="DG19" s="32"/>
      <c r="DH19" s="32"/>
      <c r="DK19" s="32"/>
      <c r="DL19" s="32"/>
      <c r="DM19" s="32"/>
      <c r="DN19" s="32"/>
      <c r="DO19" s="32"/>
      <c r="DP19" s="32"/>
      <c r="DQ19" s="32"/>
      <c r="DT19" s="32"/>
      <c r="DU19" s="32"/>
      <c r="DV19" s="32"/>
      <c r="DW19" s="32"/>
      <c r="DX19" s="32"/>
      <c r="DY19" s="32"/>
      <c r="DZ19" s="32"/>
      <c r="EA19" s="32"/>
      <c r="EC19" s="32"/>
      <c r="ED19" s="32"/>
      <c r="EE19" s="32"/>
      <c r="EF19" s="32"/>
      <c r="EG19" s="32"/>
      <c r="EH19" s="32"/>
      <c r="EI19" s="32"/>
      <c r="EJ19" s="32"/>
      <c r="EL19" s="32"/>
      <c r="EM19" s="32"/>
      <c r="EN19" s="32"/>
      <c r="EO19" s="32"/>
      <c r="EP19" s="32"/>
      <c r="EQ19" s="32"/>
      <c r="ER19" s="32"/>
      <c r="ES19" s="32"/>
      <c r="EU19" s="32"/>
      <c r="EV19" s="32"/>
      <c r="EW19" s="32"/>
      <c r="EX19" s="32"/>
      <c r="EY19" s="32"/>
      <c r="EZ19" s="32"/>
      <c r="FA19" s="32"/>
      <c r="FB19" s="32"/>
      <c r="FD19" s="32"/>
      <c r="FE19" s="32"/>
      <c r="FF19" s="32"/>
      <c r="FG19" s="32"/>
      <c r="FH19" s="32"/>
      <c r="FI19" s="32"/>
      <c r="FJ19" s="32"/>
      <c r="FM19" s="32"/>
      <c r="FN19" s="32"/>
      <c r="FO19" s="32"/>
      <c r="FP19" s="32"/>
      <c r="FR19" s="32"/>
      <c r="FS19" s="32"/>
      <c r="FZ19" s="30"/>
    </row>
    <row r="20" spans="1:199" x14ac:dyDescent="0.2">
      <c r="A20" s="43">
        <v>180</v>
      </c>
      <c r="B20" s="41">
        <v>72.14</v>
      </c>
      <c r="C20" s="42">
        <v>99.17</v>
      </c>
      <c r="D20" s="32">
        <f t="shared" si="40"/>
        <v>27.03</v>
      </c>
      <c r="E20" s="41">
        <v>96.86</v>
      </c>
      <c r="F20" s="32">
        <f t="shared" si="41"/>
        <v>24.72</v>
      </c>
      <c r="G20" s="41">
        <f t="shared" si="42"/>
        <v>2.3100000000000023</v>
      </c>
      <c r="H20" s="40">
        <f t="shared" si="43"/>
        <v>9.344660194174767E-2</v>
      </c>
      <c r="I20" s="30">
        <v>1.58</v>
      </c>
      <c r="J20" s="33">
        <f t="shared" si="44"/>
        <v>0.14764563106796133</v>
      </c>
      <c r="L20" s="43">
        <v>180</v>
      </c>
      <c r="M20" s="41">
        <v>47.85</v>
      </c>
      <c r="N20" s="42">
        <v>74.12</v>
      </c>
      <c r="O20" s="32">
        <f t="shared" si="45"/>
        <v>26.270000000000003</v>
      </c>
      <c r="P20" s="41">
        <v>71.930000000000007</v>
      </c>
      <c r="Q20" s="32">
        <f t="shared" si="46"/>
        <v>24.080000000000005</v>
      </c>
      <c r="R20" s="41">
        <f t="shared" si="47"/>
        <v>2.1899999999999977</v>
      </c>
      <c r="S20" s="40">
        <f t="shared" si="48"/>
        <v>9.0946843853820486E-2</v>
      </c>
      <c r="T20" s="30">
        <v>1.58</v>
      </c>
      <c r="U20" s="33">
        <f t="shared" si="49"/>
        <v>0.14369601328903636</v>
      </c>
      <c r="W20" s="43">
        <v>180</v>
      </c>
      <c r="X20" s="41">
        <v>38.75</v>
      </c>
      <c r="Y20" s="42">
        <v>68.900000000000006</v>
      </c>
      <c r="Z20" s="32">
        <f t="shared" si="50"/>
        <v>30.150000000000006</v>
      </c>
      <c r="AA20" s="41">
        <v>66.02</v>
      </c>
      <c r="AB20" s="32">
        <f t="shared" si="51"/>
        <v>27.269999999999996</v>
      </c>
      <c r="AC20" s="41">
        <f t="shared" si="52"/>
        <v>2.8800000000000097</v>
      </c>
      <c r="AD20" s="40">
        <f t="shared" si="53"/>
        <v>0.10561056105610599</v>
      </c>
      <c r="AE20" s="30">
        <v>1.58</v>
      </c>
      <c r="AF20" s="33">
        <f t="shared" si="54"/>
        <v>0.16686468646864747</v>
      </c>
      <c r="AG20" s="32"/>
      <c r="AH20" s="43">
        <v>180</v>
      </c>
      <c r="AI20" s="41">
        <v>32.36</v>
      </c>
      <c r="AJ20" s="42">
        <v>57.7</v>
      </c>
      <c r="AK20" s="32">
        <f t="shared" si="55"/>
        <v>25.340000000000003</v>
      </c>
      <c r="AL20" s="41">
        <v>55.2</v>
      </c>
      <c r="AM20" s="32">
        <f t="shared" si="56"/>
        <v>22.840000000000003</v>
      </c>
      <c r="AN20" s="41">
        <f t="shared" si="57"/>
        <v>2.5</v>
      </c>
      <c r="AO20" s="40">
        <f t="shared" si="58"/>
        <v>0.1094570928196147</v>
      </c>
      <c r="AP20" s="30">
        <v>1.58</v>
      </c>
      <c r="AQ20" s="33">
        <f t="shared" si="59"/>
        <v>0.17294220665499124</v>
      </c>
      <c r="AS20" s="43">
        <v>180</v>
      </c>
      <c r="AT20" s="41">
        <v>48.19</v>
      </c>
      <c r="AU20" s="42">
        <v>74.53</v>
      </c>
      <c r="AV20" s="32">
        <f t="shared" si="60"/>
        <v>26.340000000000003</v>
      </c>
      <c r="AW20" s="41">
        <v>72.040000000000006</v>
      </c>
      <c r="AX20" s="32">
        <f t="shared" si="61"/>
        <v>23.850000000000009</v>
      </c>
      <c r="AY20" s="41">
        <f t="shared" si="62"/>
        <v>2.4899999999999949</v>
      </c>
      <c r="AZ20" s="40">
        <f t="shared" si="63"/>
        <v>0.1044025157232702</v>
      </c>
      <c r="BA20" s="30">
        <v>1.58</v>
      </c>
      <c r="BB20" s="33">
        <f t="shared" si="64"/>
        <v>0.16495597484276692</v>
      </c>
      <c r="BD20" s="43">
        <v>180</v>
      </c>
      <c r="BE20" s="41">
        <v>42.52</v>
      </c>
      <c r="BF20" s="42">
        <v>74.66</v>
      </c>
      <c r="BG20" s="32">
        <f t="shared" si="65"/>
        <v>32.139999999999993</v>
      </c>
      <c r="BH20" s="41">
        <v>71.760000000000005</v>
      </c>
      <c r="BI20" s="32">
        <f t="shared" si="66"/>
        <v>29.240000000000002</v>
      </c>
      <c r="BJ20" s="41">
        <f t="shared" si="67"/>
        <v>2.8999999999999915</v>
      </c>
      <c r="BK20" s="40">
        <f t="shared" si="68"/>
        <v>9.9179206566347169E-2</v>
      </c>
      <c r="BL20" s="30">
        <v>1.58</v>
      </c>
      <c r="BM20" s="33">
        <f t="shared" si="69"/>
        <v>0.15670314637482854</v>
      </c>
      <c r="BO20" s="43">
        <v>180</v>
      </c>
      <c r="BP20" s="41">
        <v>33.4</v>
      </c>
      <c r="BQ20" s="42">
        <v>56.1</v>
      </c>
      <c r="BR20" s="32">
        <f t="shared" si="70"/>
        <v>22.700000000000003</v>
      </c>
      <c r="BS20" s="41">
        <v>53.6</v>
      </c>
      <c r="BT20" s="32">
        <f t="shared" si="71"/>
        <v>20.200000000000003</v>
      </c>
      <c r="BU20" s="41">
        <f t="shared" si="72"/>
        <v>2.5</v>
      </c>
      <c r="BV20" s="40">
        <f t="shared" si="73"/>
        <v>0.12376237623762375</v>
      </c>
      <c r="BW20" s="30">
        <v>1.58</v>
      </c>
      <c r="BX20" s="33">
        <f t="shared" si="74"/>
        <v>0.19554455445544552</v>
      </c>
      <c r="BY20" s="32"/>
      <c r="BZ20" s="43">
        <v>180</v>
      </c>
      <c r="CA20" s="41">
        <v>29.7</v>
      </c>
      <c r="CB20" s="42">
        <v>50.3</v>
      </c>
      <c r="CC20" s="32">
        <f t="shared" si="75"/>
        <v>20.599999999999998</v>
      </c>
      <c r="CD20" s="41">
        <v>48.7</v>
      </c>
      <c r="CE20" s="32">
        <f t="shared" si="76"/>
        <v>19.000000000000004</v>
      </c>
      <c r="CF20" s="41">
        <f t="shared" si="77"/>
        <v>1.5999999999999943</v>
      </c>
      <c r="CG20" s="40">
        <f t="shared" si="78"/>
        <v>8.4210526315789153E-2</v>
      </c>
      <c r="CH20" s="30">
        <v>1.58</v>
      </c>
      <c r="CI20" s="33">
        <f t="shared" si="79"/>
        <v>0.13305263157894687</v>
      </c>
      <c r="CJ20" s="32"/>
      <c r="CL20" s="32"/>
      <c r="CM20" s="32"/>
      <c r="CN20" s="32"/>
      <c r="CO20" s="32"/>
      <c r="CP20" s="32"/>
      <c r="CQ20" s="32"/>
      <c r="CR20" s="30"/>
      <c r="CS20" s="32"/>
      <c r="CT20" s="32"/>
      <c r="CU20" s="32"/>
      <c r="CV20" s="32"/>
      <c r="CW20" s="32"/>
      <c r="CX20" s="32"/>
      <c r="CY20" s="32"/>
      <c r="DB20" s="32"/>
      <c r="DC20" s="32"/>
      <c r="DD20" s="32"/>
      <c r="DE20" s="32"/>
      <c r="DF20" s="32"/>
      <c r="DG20" s="32"/>
      <c r="DH20" s="32"/>
      <c r="DK20" s="32"/>
      <c r="DL20" s="32"/>
      <c r="DM20" s="32"/>
      <c r="DN20" s="32"/>
      <c r="DO20" s="32"/>
      <c r="DP20" s="32"/>
      <c r="DQ20" s="32"/>
      <c r="DT20" s="32"/>
      <c r="DU20" s="32"/>
      <c r="DV20" s="32"/>
      <c r="DW20" s="32"/>
      <c r="DX20" s="32"/>
      <c r="DY20" s="32"/>
      <c r="DZ20" s="32"/>
      <c r="EA20" s="32"/>
      <c r="EC20" s="32"/>
      <c r="ED20" s="32"/>
      <c r="EE20" s="32"/>
      <c r="EF20" s="32"/>
      <c r="EG20" s="32"/>
      <c r="EH20" s="32"/>
      <c r="EI20" s="32"/>
      <c r="EJ20" s="32"/>
      <c r="EL20" s="32"/>
      <c r="EM20" s="32"/>
      <c r="EN20" s="32"/>
      <c r="EO20" s="32"/>
      <c r="EP20" s="32"/>
      <c r="EQ20" s="32"/>
      <c r="ER20" s="32"/>
      <c r="ES20" s="32"/>
      <c r="EU20" s="32"/>
      <c r="EV20" s="32"/>
      <c r="EW20" s="32"/>
      <c r="EX20" s="32"/>
      <c r="EY20" s="32"/>
      <c r="EZ20" s="32"/>
      <c r="FA20" s="32"/>
      <c r="FB20" s="32"/>
      <c r="FD20" s="32"/>
      <c r="FE20" s="32"/>
      <c r="FF20" s="32"/>
      <c r="FG20" s="32"/>
      <c r="FH20" s="32"/>
      <c r="FI20" s="32"/>
      <c r="FJ20" s="32"/>
      <c r="FM20" s="32"/>
      <c r="FN20" s="32"/>
      <c r="FO20" s="32"/>
      <c r="FP20" s="32"/>
      <c r="FR20" s="32"/>
      <c r="FS20" s="32"/>
      <c r="FZ20" s="30"/>
    </row>
    <row r="21" spans="1:199" ht="13.5" thickBot="1" x14ac:dyDescent="0.25">
      <c r="A21" s="37"/>
      <c r="B21" s="34"/>
      <c r="C21" s="35"/>
      <c r="D21" s="35"/>
      <c r="E21" s="35"/>
      <c r="F21" s="34"/>
      <c r="G21" s="34"/>
      <c r="H21" s="59"/>
      <c r="I21" s="32"/>
      <c r="L21" s="37"/>
      <c r="M21" s="34"/>
      <c r="N21" s="35"/>
      <c r="O21" s="35"/>
      <c r="P21" s="35"/>
      <c r="Q21" s="34"/>
      <c r="R21" s="34"/>
      <c r="S21" s="59"/>
      <c r="T21" s="32"/>
      <c r="W21" s="37"/>
      <c r="X21" s="34"/>
      <c r="Y21" s="35"/>
      <c r="Z21" s="35"/>
      <c r="AA21" s="35"/>
      <c r="AB21" s="34"/>
      <c r="AC21" s="34"/>
      <c r="AD21" s="59"/>
      <c r="AE21" s="32"/>
      <c r="AG21" s="32"/>
      <c r="AH21" s="37"/>
      <c r="AI21" s="34"/>
      <c r="AJ21" s="35"/>
      <c r="AK21" s="35"/>
      <c r="AL21" s="35"/>
      <c r="AM21" s="34"/>
      <c r="AN21" s="34"/>
      <c r="AO21" s="59"/>
      <c r="AP21" s="32"/>
      <c r="AS21" s="37"/>
      <c r="AT21" s="34"/>
      <c r="AU21" s="35"/>
      <c r="AV21" s="35"/>
      <c r="AW21" s="35"/>
      <c r="AX21" s="34"/>
      <c r="AY21" s="34"/>
      <c r="AZ21" s="59"/>
      <c r="BA21" s="32"/>
      <c r="BD21" s="37"/>
      <c r="BE21" s="34"/>
      <c r="BF21" s="35"/>
      <c r="BG21" s="35"/>
      <c r="BH21" s="35"/>
      <c r="BI21" s="34"/>
      <c r="BJ21" s="34"/>
      <c r="BK21" s="59"/>
      <c r="BL21" s="32"/>
      <c r="BO21" s="37"/>
      <c r="BP21" s="34"/>
      <c r="BQ21" s="35"/>
      <c r="BR21" s="35"/>
      <c r="BS21" s="35"/>
      <c r="BT21" s="34"/>
      <c r="BU21" s="34"/>
      <c r="BV21" s="59"/>
      <c r="BW21" s="32"/>
      <c r="BY21" s="32"/>
      <c r="BZ21" s="37"/>
      <c r="CA21" s="34"/>
      <c r="CB21" s="35"/>
      <c r="CC21" s="35"/>
      <c r="CD21" s="35"/>
      <c r="CE21" s="34"/>
      <c r="CF21" s="34"/>
      <c r="CG21" s="59"/>
      <c r="CH21" s="32"/>
      <c r="CJ21" s="32"/>
      <c r="CK21" s="30"/>
      <c r="CN21" s="32"/>
      <c r="CO21" s="32"/>
      <c r="CP21" s="32"/>
      <c r="CQ21" s="32"/>
      <c r="CR21" s="30"/>
      <c r="CS21" s="32"/>
      <c r="CW21" s="32"/>
      <c r="CX21" s="32"/>
      <c r="CY21" s="32"/>
      <c r="DB21" s="32"/>
      <c r="DF21" s="32"/>
      <c r="DG21" s="32"/>
      <c r="DH21" s="31"/>
      <c r="DK21" s="32"/>
      <c r="DO21" s="32"/>
      <c r="DP21" s="32"/>
      <c r="DQ21" s="32"/>
      <c r="DT21" s="32"/>
      <c r="DX21" s="32"/>
      <c r="DY21" s="32"/>
      <c r="DZ21" s="32"/>
      <c r="EA21" s="32"/>
      <c r="EC21" s="32"/>
      <c r="EG21" s="32"/>
      <c r="EH21" s="32"/>
      <c r="EI21" s="32"/>
      <c r="EJ21" s="32"/>
      <c r="EL21" s="32"/>
      <c r="EP21" s="32"/>
      <c r="EQ21" s="32"/>
      <c r="ER21" s="31"/>
      <c r="ES21" s="32"/>
      <c r="EU21" s="32"/>
      <c r="EY21" s="32"/>
      <c r="EZ21" s="32"/>
      <c r="FA21" s="32"/>
      <c r="FB21" s="32"/>
      <c r="FD21" s="32"/>
      <c r="FH21" s="32"/>
      <c r="FI21" s="32"/>
      <c r="FJ21" s="32"/>
      <c r="FM21" s="32"/>
      <c r="FP21" s="30"/>
      <c r="FR21" s="32"/>
      <c r="FS21" s="32"/>
      <c r="FZ21" s="30"/>
    </row>
    <row r="22" spans="1:199" ht="14.25" thickTop="1" thickBot="1" x14ac:dyDescent="0.25">
      <c r="B22" s="32"/>
      <c r="F22" s="32"/>
      <c r="H22" s="32"/>
      <c r="I22" s="32"/>
      <c r="M22" s="32"/>
      <c r="Q22" s="32"/>
      <c r="S22" s="32"/>
      <c r="T22" s="32"/>
      <c r="X22" s="32"/>
      <c r="AB22" s="32"/>
      <c r="AD22" s="32"/>
      <c r="AE22" s="32"/>
      <c r="AG22" s="32"/>
      <c r="AI22" s="32"/>
      <c r="AM22" s="32"/>
      <c r="AO22" s="32"/>
      <c r="AP22" s="32"/>
      <c r="AT22" s="32"/>
      <c r="AX22" s="32"/>
      <c r="AZ22" s="32"/>
      <c r="BA22" s="32"/>
      <c r="BE22" s="32"/>
      <c r="BI22" s="32"/>
      <c r="BK22" s="32"/>
      <c r="BL22" s="32"/>
      <c r="BP22" s="32"/>
      <c r="BT22" s="32"/>
      <c r="BV22" s="32"/>
      <c r="BW22" s="32"/>
      <c r="BY22" s="32"/>
      <c r="CA22" s="32"/>
      <c r="CE22" s="32"/>
      <c r="CG22" s="32"/>
      <c r="CH22" s="32"/>
      <c r="CJ22" s="32"/>
      <c r="CK22" s="30"/>
      <c r="CN22" s="32"/>
      <c r="CP22" s="32"/>
      <c r="CQ22" s="32"/>
      <c r="CR22" s="30"/>
      <c r="CS22" s="32"/>
      <c r="CW22" s="32"/>
      <c r="CY22" s="32"/>
      <c r="DB22" s="32"/>
      <c r="DF22" s="32"/>
      <c r="DH22" s="31"/>
      <c r="DK22" s="32"/>
      <c r="DO22" s="32"/>
      <c r="DQ22" s="32"/>
      <c r="DT22" s="32"/>
      <c r="DX22" s="32"/>
      <c r="DZ22" s="32"/>
      <c r="EA22" s="32"/>
      <c r="EC22" s="32"/>
      <c r="EG22" s="32"/>
      <c r="EI22" s="32"/>
      <c r="EJ22" s="32"/>
      <c r="EL22" s="32"/>
      <c r="EP22" s="32"/>
      <c r="ER22" s="31"/>
      <c r="ES22" s="32"/>
      <c r="EU22" s="32"/>
      <c r="EY22" s="32"/>
      <c r="FA22" s="32"/>
      <c r="FB22" s="32"/>
      <c r="FE22" s="32"/>
      <c r="FI22" s="32"/>
      <c r="FK22" s="32"/>
      <c r="FM22" s="32"/>
      <c r="FP22" s="30"/>
      <c r="FS22" s="32"/>
      <c r="FZ22" s="30"/>
    </row>
    <row r="23" spans="1:199" ht="13.5" thickBot="1" x14ac:dyDescent="0.25">
      <c r="B23" s="58" t="s">
        <v>123</v>
      </c>
      <c r="C23" s="57"/>
      <c r="D23" s="57"/>
      <c r="E23" s="57"/>
      <c r="F23" s="56"/>
      <c r="G23" s="32"/>
      <c r="H23" s="32"/>
      <c r="I23" s="32"/>
      <c r="M23" s="58" t="s">
        <v>123</v>
      </c>
      <c r="N23" s="57"/>
      <c r="O23" s="57"/>
      <c r="P23" s="57"/>
      <c r="Q23" s="56"/>
      <c r="R23" s="32"/>
      <c r="S23" s="32"/>
      <c r="T23" s="32"/>
      <c r="X23" s="58" t="s">
        <v>123</v>
      </c>
      <c r="Y23" s="57"/>
      <c r="Z23" s="57"/>
      <c r="AA23" s="57"/>
      <c r="AB23" s="56"/>
      <c r="AC23" s="32"/>
      <c r="AD23" s="32"/>
      <c r="AE23" s="32"/>
      <c r="AG23" s="32"/>
      <c r="AI23" s="58" t="s">
        <v>123</v>
      </c>
      <c r="AJ23" s="57"/>
      <c r="AK23" s="57"/>
      <c r="AL23" s="57"/>
      <c r="AM23" s="56"/>
      <c r="AN23" s="32"/>
      <c r="AO23" s="32"/>
      <c r="AP23" s="32"/>
      <c r="AT23" s="58" t="s">
        <v>123</v>
      </c>
      <c r="AU23" s="57"/>
      <c r="AV23" s="57"/>
      <c r="AW23" s="57"/>
      <c r="AX23" s="56"/>
      <c r="AY23" s="32"/>
      <c r="AZ23" s="32"/>
      <c r="BA23" s="32"/>
      <c r="BE23" s="58" t="s">
        <v>123</v>
      </c>
      <c r="BF23" s="57"/>
      <c r="BG23" s="57"/>
      <c r="BH23" s="57"/>
      <c r="BI23" s="56"/>
      <c r="BJ23" s="32"/>
      <c r="BK23" s="32"/>
      <c r="BL23" s="32"/>
      <c r="BP23" s="58" t="s">
        <v>123</v>
      </c>
      <c r="BQ23" s="57"/>
      <c r="BR23" s="57"/>
      <c r="BS23" s="57"/>
      <c r="BT23" s="56"/>
      <c r="BU23" s="32"/>
      <c r="BV23" s="32"/>
      <c r="BW23" s="32"/>
      <c r="BY23" s="32"/>
      <c r="CA23" s="58" t="s">
        <v>123</v>
      </c>
      <c r="CB23" s="57"/>
      <c r="CC23" s="57"/>
      <c r="CD23" s="57"/>
      <c r="CE23" s="56"/>
      <c r="CF23" s="32"/>
      <c r="CG23" s="32"/>
      <c r="CH23" s="32"/>
      <c r="CJ23" s="32"/>
      <c r="CK23" s="30"/>
      <c r="CN23" s="32"/>
      <c r="CO23" s="32"/>
      <c r="CP23" s="32"/>
      <c r="CQ23" s="32"/>
      <c r="CR23" s="30"/>
      <c r="CS23" s="32"/>
      <c r="CW23" s="32"/>
      <c r="CX23" s="32"/>
      <c r="CY23" s="32"/>
      <c r="DB23" s="32"/>
      <c r="DF23" s="32"/>
      <c r="DG23" s="32"/>
      <c r="DH23" s="31"/>
      <c r="DK23" s="32"/>
      <c r="DO23" s="32"/>
      <c r="DP23" s="32"/>
      <c r="DQ23" s="32"/>
      <c r="DT23" s="32"/>
      <c r="DX23" s="32"/>
      <c r="DY23" s="32"/>
      <c r="DZ23" s="32"/>
      <c r="EA23" s="32"/>
      <c r="EC23" s="32"/>
      <c r="EG23" s="32"/>
      <c r="EH23" s="32"/>
      <c r="EI23" s="32"/>
      <c r="EJ23" s="32"/>
      <c r="EL23" s="32"/>
      <c r="EP23" s="32"/>
      <c r="EQ23" s="32"/>
      <c r="ER23" s="31"/>
      <c r="ES23" s="32"/>
      <c r="EU23" s="32"/>
      <c r="EY23" s="32"/>
      <c r="EZ23" s="32"/>
      <c r="FA23" s="32"/>
      <c r="FB23" s="32"/>
      <c r="FE23" s="32"/>
      <c r="FI23" s="32"/>
      <c r="FJ23" s="32"/>
      <c r="FK23" s="32"/>
      <c r="FM23" s="32"/>
      <c r="FP23" s="30"/>
      <c r="FR23" s="32"/>
      <c r="FS23" s="32"/>
      <c r="FZ23" s="30"/>
    </row>
    <row r="24" spans="1:199" ht="51.75" thickBot="1" x14ac:dyDescent="0.25">
      <c r="A24" s="55" t="s">
        <v>54</v>
      </c>
      <c r="B24" s="54" t="s">
        <v>122</v>
      </c>
      <c r="C24" s="54" t="s">
        <v>121</v>
      </c>
      <c r="D24" s="53" t="s">
        <v>120</v>
      </c>
      <c r="E24" s="52" t="s">
        <v>119</v>
      </c>
      <c r="F24" s="51" t="s">
        <v>118</v>
      </c>
      <c r="G24" s="50" t="s">
        <v>117</v>
      </c>
      <c r="H24" s="50" t="s">
        <v>116</v>
      </c>
      <c r="I24" s="49" t="s">
        <v>115</v>
      </c>
      <c r="J24" s="48" t="s">
        <v>114</v>
      </c>
      <c r="L24" s="55" t="s">
        <v>54</v>
      </c>
      <c r="M24" s="54" t="s">
        <v>122</v>
      </c>
      <c r="N24" s="54" t="s">
        <v>121</v>
      </c>
      <c r="O24" s="53" t="s">
        <v>120</v>
      </c>
      <c r="P24" s="52" t="s">
        <v>119</v>
      </c>
      <c r="Q24" s="51" t="s">
        <v>118</v>
      </c>
      <c r="R24" s="50" t="s">
        <v>117</v>
      </c>
      <c r="S24" s="50" t="s">
        <v>116</v>
      </c>
      <c r="T24" s="49" t="s">
        <v>115</v>
      </c>
      <c r="U24" s="48" t="s">
        <v>114</v>
      </c>
      <c r="W24" s="55" t="s">
        <v>54</v>
      </c>
      <c r="X24" s="54" t="s">
        <v>122</v>
      </c>
      <c r="Y24" s="54" t="s">
        <v>121</v>
      </c>
      <c r="Z24" s="53" t="s">
        <v>120</v>
      </c>
      <c r="AA24" s="52" t="s">
        <v>119</v>
      </c>
      <c r="AB24" s="51" t="s">
        <v>118</v>
      </c>
      <c r="AC24" s="50" t="s">
        <v>117</v>
      </c>
      <c r="AD24" s="50" t="s">
        <v>116</v>
      </c>
      <c r="AE24" s="49" t="s">
        <v>115</v>
      </c>
      <c r="AF24" s="48" t="s">
        <v>114</v>
      </c>
      <c r="AG24" s="49"/>
      <c r="AH24" s="55" t="s">
        <v>54</v>
      </c>
      <c r="AI24" s="54" t="s">
        <v>122</v>
      </c>
      <c r="AJ24" s="54" t="s">
        <v>121</v>
      </c>
      <c r="AK24" s="53" t="s">
        <v>120</v>
      </c>
      <c r="AL24" s="52" t="s">
        <v>119</v>
      </c>
      <c r="AM24" s="51" t="s">
        <v>118</v>
      </c>
      <c r="AN24" s="50" t="s">
        <v>117</v>
      </c>
      <c r="AO24" s="50" t="s">
        <v>116</v>
      </c>
      <c r="AP24" s="49" t="s">
        <v>115</v>
      </c>
      <c r="AQ24" s="48" t="s">
        <v>114</v>
      </c>
      <c r="AS24" s="55" t="s">
        <v>54</v>
      </c>
      <c r="AT24" s="54" t="s">
        <v>122</v>
      </c>
      <c r="AU24" s="54" t="s">
        <v>121</v>
      </c>
      <c r="AV24" s="53" t="s">
        <v>120</v>
      </c>
      <c r="AW24" s="52" t="s">
        <v>119</v>
      </c>
      <c r="AX24" s="51" t="s">
        <v>118</v>
      </c>
      <c r="AY24" s="50" t="s">
        <v>117</v>
      </c>
      <c r="AZ24" s="50" t="s">
        <v>116</v>
      </c>
      <c r="BA24" s="49" t="s">
        <v>115</v>
      </c>
      <c r="BB24" s="48" t="s">
        <v>114</v>
      </c>
      <c r="BD24" s="55" t="s">
        <v>54</v>
      </c>
      <c r="BE24" s="54" t="s">
        <v>122</v>
      </c>
      <c r="BF24" s="54" t="s">
        <v>121</v>
      </c>
      <c r="BG24" s="53" t="s">
        <v>120</v>
      </c>
      <c r="BH24" s="52" t="s">
        <v>119</v>
      </c>
      <c r="BI24" s="51" t="s">
        <v>118</v>
      </c>
      <c r="BJ24" s="50" t="s">
        <v>117</v>
      </c>
      <c r="BK24" s="50" t="s">
        <v>116</v>
      </c>
      <c r="BL24" s="49" t="s">
        <v>115</v>
      </c>
      <c r="BM24" s="48" t="s">
        <v>114</v>
      </c>
      <c r="BO24" s="55" t="s">
        <v>54</v>
      </c>
      <c r="BP24" s="54" t="s">
        <v>122</v>
      </c>
      <c r="BQ24" s="54" t="s">
        <v>121</v>
      </c>
      <c r="BR24" s="53" t="s">
        <v>120</v>
      </c>
      <c r="BS24" s="52" t="s">
        <v>119</v>
      </c>
      <c r="BT24" s="51" t="s">
        <v>118</v>
      </c>
      <c r="BU24" s="50" t="s">
        <v>117</v>
      </c>
      <c r="BV24" s="50" t="s">
        <v>116</v>
      </c>
      <c r="BW24" s="49" t="s">
        <v>115</v>
      </c>
      <c r="BX24" s="48" t="s">
        <v>114</v>
      </c>
      <c r="BY24" s="32"/>
      <c r="BZ24" s="55" t="s">
        <v>54</v>
      </c>
      <c r="CA24" s="54" t="s">
        <v>122</v>
      </c>
      <c r="CB24" s="54" t="s">
        <v>121</v>
      </c>
      <c r="CC24" s="53" t="s">
        <v>120</v>
      </c>
      <c r="CD24" s="52" t="s">
        <v>119</v>
      </c>
      <c r="CE24" s="51" t="s">
        <v>118</v>
      </c>
      <c r="CF24" s="50" t="s">
        <v>117</v>
      </c>
      <c r="CG24" s="50" t="s">
        <v>116</v>
      </c>
      <c r="CH24" s="49" t="s">
        <v>115</v>
      </c>
      <c r="CI24" s="48" t="s">
        <v>114</v>
      </c>
      <c r="CJ24" s="62"/>
      <c r="CK24" s="62"/>
      <c r="CL24" s="61"/>
      <c r="CM24" s="60"/>
      <c r="CN24" s="49"/>
      <c r="CO24" s="49"/>
      <c r="CP24" s="49"/>
      <c r="CQ24" s="49"/>
      <c r="CR24" s="63"/>
      <c r="CS24" s="62"/>
      <c r="CT24" s="62"/>
      <c r="CU24" s="61"/>
      <c r="CV24" s="60"/>
      <c r="CW24" s="49"/>
      <c r="CX24" s="49"/>
      <c r="CY24" s="49"/>
      <c r="DA24" s="63"/>
      <c r="DB24" s="62"/>
      <c r="DC24" s="62"/>
      <c r="DD24" s="61"/>
      <c r="DE24" s="60"/>
      <c r="DF24" s="49"/>
      <c r="DG24" s="49"/>
      <c r="DH24" s="64"/>
      <c r="DJ24" s="63"/>
      <c r="DK24" s="62"/>
      <c r="DL24" s="62"/>
      <c r="DM24" s="61"/>
      <c r="DN24" s="60"/>
      <c r="DO24" s="49"/>
      <c r="DP24" s="49"/>
      <c r="DQ24" s="49"/>
      <c r="DS24" s="63"/>
      <c r="DT24" s="62"/>
      <c r="DU24" s="62"/>
      <c r="DV24" s="61"/>
      <c r="DW24" s="60"/>
      <c r="DX24" s="49"/>
      <c r="DY24" s="49"/>
      <c r="DZ24" s="49"/>
      <c r="EA24" s="49"/>
      <c r="EB24" s="63"/>
      <c r="EC24" s="62"/>
      <c r="ED24" s="62"/>
      <c r="EE24" s="61"/>
      <c r="EF24" s="60"/>
      <c r="EG24" s="49"/>
      <c r="EH24" s="49"/>
      <c r="EI24" s="49"/>
      <c r="EJ24" s="49"/>
      <c r="EK24" s="63"/>
      <c r="EL24" s="62"/>
      <c r="EM24" s="62"/>
      <c r="EN24" s="61"/>
      <c r="EO24" s="60"/>
      <c r="EP24" s="49"/>
      <c r="EQ24" s="49"/>
      <c r="ER24" s="64"/>
      <c r="ES24" s="49"/>
      <c r="ET24" s="63"/>
      <c r="EU24" s="62"/>
      <c r="EV24" s="62"/>
      <c r="EW24" s="61"/>
      <c r="EX24" s="60"/>
      <c r="EY24" s="49"/>
      <c r="EZ24" s="49"/>
      <c r="FA24" s="49"/>
      <c r="FB24" s="49"/>
      <c r="FC24" s="63"/>
      <c r="FD24" s="62"/>
      <c r="FE24" s="62"/>
      <c r="FF24" s="61"/>
      <c r="FG24" s="60"/>
      <c r="FH24" s="49"/>
      <c r="FI24" s="49"/>
      <c r="FJ24" s="49"/>
      <c r="FL24" s="63"/>
      <c r="FM24" s="62"/>
      <c r="FN24" s="62"/>
      <c r="FO24" s="61"/>
      <c r="FP24" s="60"/>
      <c r="FQ24" s="49"/>
      <c r="FR24" s="49"/>
      <c r="FS24" s="49"/>
      <c r="FZ24" s="30"/>
    </row>
    <row r="25" spans="1:199" ht="13.5" thickTop="1" x14ac:dyDescent="0.2">
      <c r="A25" s="47">
        <v>30</v>
      </c>
      <c r="B25" s="45">
        <v>46.14</v>
      </c>
      <c r="C25" s="46">
        <v>71.13</v>
      </c>
      <c r="D25" s="32">
        <f t="shared" ref="D25:D30" si="80">C25-B25</f>
        <v>24.989999999999995</v>
      </c>
      <c r="E25" s="45">
        <v>68.37</v>
      </c>
      <c r="F25" s="32">
        <f t="shared" ref="F25:F30" si="81">E25-B25</f>
        <v>22.230000000000004</v>
      </c>
      <c r="G25" s="45">
        <f t="shared" ref="G25:G30" si="82">D25-F25</f>
        <v>2.7599999999999909</v>
      </c>
      <c r="H25" s="44">
        <f t="shared" ref="H25:H30" si="83">(G25/F25)</f>
        <v>0.12415654520917635</v>
      </c>
      <c r="I25" s="30">
        <v>1.49</v>
      </c>
      <c r="J25" s="33">
        <f t="shared" ref="J25:J30" si="84">H25*I25</f>
        <v>0.18499325236167277</v>
      </c>
      <c r="L25" s="47">
        <v>30</v>
      </c>
      <c r="M25" s="45">
        <v>31.3</v>
      </c>
      <c r="N25" s="46">
        <v>56.75</v>
      </c>
      <c r="O25" s="32">
        <f t="shared" ref="O25:O30" si="85">N25-M25</f>
        <v>25.45</v>
      </c>
      <c r="P25" s="45">
        <v>53.79</v>
      </c>
      <c r="Q25" s="32">
        <f t="shared" ref="Q25:Q30" si="86">P25-M25</f>
        <v>22.49</v>
      </c>
      <c r="R25" s="45">
        <f t="shared" ref="R25:R30" si="87">O25-Q25</f>
        <v>2.9600000000000009</v>
      </c>
      <c r="S25" s="44">
        <f t="shared" ref="S25:S30" si="88">(R25/Q25)</f>
        <v>0.13161405068919524</v>
      </c>
      <c r="T25" s="30">
        <v>1.49</v>
      </c>
      <c r="U25" s="33">
        <f t="shared" ref="U25:U30" si="89">S25*T25</f>
        <v>0.19610493552690089</v>
      </c>
      <c r="W25" s="47">
        <v>30</v>
      </c>
      <c r="X25" s="45">
        <v>52.05</v>
      </c>
      <c r="Y25" s="46">
        <v>77.58</v>
      </c>
      <c r="Z25" s="32">
        <f t="shared" ref="Z25:Z30" si="90">Y25-X25</f>
        <v>25.53</v>
      </c>
      <c r="AA25" s="45">
        <v>74.569999999999993</v>
      </c>
      <c r="AB25" s="32">
        <f t="shared" ref="AB25:AB30" si="91">AA25-X25</f>
        <v>22.519999999999996</v>
      </c>
      <c r="AC25" s="45">
        <f t="shared" ref="AC25:AC30" si="92">Z25-AB25</f>
        <v>3.0100000000000051</v>
      </c>
      <c r="AD25" s="44">
        <f t="shared" ref="AD25:AD30" si="93">(AC25/AB25)</f>
        <v>0.13365896980461836</v>
      </c>
      <c r="AE25" s="30">
        <v>1.49</v>
      </c>
      <c r="AF25" s="33">
        <f t="shared" ref="AF25:AF30" si="94">AD25*AE25</f>
        <v>0.19915186500888135</v>
      </c>
      <c r="AG25" s="32"/>
      <c r="AH25" s="47">
        <v>30</v>
      </c>
      <c r="AI25" s="45">
        <v>41.78</v>
      </c>
      <c r="AJ25" s="46">
        <v>69.61</v>
      </c>
      <c r="AK25" s="32">
        <f t="shared" ref="AK25:AK30" si="95">AJ25-AI25</f>
        <v>27.83</v>
      </c>
      <c r="AL25" s="45">
        <v>66.17</v>
      </c>
      <c r="AM25" s="32">
        <f t="shared" ref="AM25:AM30" si="96">AL25-AI25</f>
        <v>24.39</v>
      </c>
      <c r="AN25" s="45">
        <f t="shared" ref="AN25:AN30" si="97">AK25-AM25</f>
        <v>3.4399999999999977</v>
      </c>
      <c r="AO25" s="44">
        <f t="shared" ref="AO25:AO30" si="98">(AN25/AM25)</f>
        <v>0.14104141041410403</v>
      </c>
      <c r="AP25" s="30">
        <v>1.49</v>
      </c>
      <c r="AQ25" s="33">
        <f t="shared" ref="AQ25:AQ30" si="99">AO25*AP25</f>
        <v>0.21015170151701501</v>
      </c>
      <c r="AS25" s="47">
        <v>30</v>
      </c>
      <c r="AT25" s="45">
        <v>45.62</v>
      </c>
      <c r="AU25" s="46">
        <v>73.48</v>
      </c>
      <c r="AV25" s="32">
        <f t="shared" ref="AV25:AV30" si="100">AU25-AT25</f>
        <v>27.860000000000007</v>
      </c>
      <c r="AW25" s="45">
        <v>70.040000000000006</v>
      </c>
      <c r="AX25" s="32">
        <f t="shared" ref="AX25:AX30" si="101">AW25-AT25</f>
        <v>24.420000000000009</v>
      </c>
      <c r="AY25" s="45">
        <f t="shared" ref="AY25:AY30" si="102">AV25-AX25</f>
        <v>3.4399999999999977</v>
      </c>
      <c r="AZ25" s="44">
        <f t="shared" ref="AZ25:AZ30" si="103">(AY25/AX25)</f>
        <v>0.14086814086814073</v>
      </c>
      <c r="BA25" s="30">
        <v>1.49</v>
      </c>
      <c r="BB25" s="33">
        <f t="shared" ref="BB25:BB30" si="104">AZ25*BA25</f>
        <v>0.20989352989352969</v>
      </c>
      <c r="BD25" s="47">
        <v>30</v>
      </c>
      <c r="BE25" s="45">
        <v>29.37</v>
      </c>
      <c r="BF25" s="46">
        <v>55.4</v>
      </c>
      <c r="BG25" s="32">
        <f t="shared" ref="BG25:BG30" si="105">BF25-BE25</f>
        <v>26.029999999999998</v>
      </c>
      <c r="BH25" s="45">
        <v>51.98</v>
      </c>
      <c r="BI25" s="32">
        <f t="shared" ref="BI25:BI30" si="106">BH25-BE25</f>
        <v>22.609999999999996</v>
      </c>
      <c r="BJ25" s="45">
        <f t="shared" ref="BJ25:BJ30" si="107">BG25-BI25</f>
        <v>3.4200000000000017</v>
      </c>
      <c r="BK25" s="44">
        <f t="shared" ref="BK25:BK30" si="108">(BJ25/BI25)</f>
        <v>0.15126050420168077</v>
      </c>
      <c r="BL25" s="30">
        <v>1.49</v>
      </c>
      <c r="BM25" s="33">
        <f t="shared" ref="BM25:BM30" si="109">BK25*BL25</f>
        <v>0.22537815126050434</v>
      </c>
      <c r="BO25" s="47">
        <v>30</v>
      </c>
      <c r="BP25" s="45">
        <v>42.38</v>
      </c>
      <c r="BQ25" s="46">
        <v>70.25</v>
      </c>
      <c r="BR25" s="32">
        <f t="shared" ref="BR25:BR30" si="110">BQ25-BP25</f>
        <v>27.869999999999997</v>
      </c>
      <c r="BS25" s="45">
        <v>66.97</v>
      </c>
      <c r="BT25" s="32">
        <f t="shared" ref="BT25:BT30" si="111">BS25-BP25</f>
        <v>24.589999999999996</v>
      </c>
      <c r="BU25" s="45">
        <f t="shared" ref="BU25:BU30" si="112">BR25-BT25</f>
        <v>3.2800000000000011</v>
      </c>
      <c r="BV25" s="44">
        <f t="shared" ref="BV25:BV30" si="113">(BU25/BT25)</f>
        <v>0.13338755591703952</v>
      </c>
      <c r="BW25" s="30">
        <v>1.49</v>
      </c>
      <c r="BX25" s="33">
        <f t="shared" ref="BX25:BX30" si="114">BV25*BW25</f>
        <v>0.19874745831638888</v>
      </c>
      <c r="BY25" s="32"/>
      <c r="BZ25" s="47">
        <v>30</v>
      </c>
      <c r="CA25" s="45">
        <v>36.67</v>
      </c>
      <c r="CB25" s="46">
        <v>59.74</v>
      </c>
      <c r="CC25" s="32">
        <f t="shared" ref="CC25:CC30" si="115">CB25-CA25</f>
        <v>23.07</v>
      </c>
      <c r="CD25" s="45">
        <v>56.85</v>
      </c>
      <c r="CE25" s="32">
        <f t="shared" ref="CE25:CE30" si="116">CD25-CA25</f>
        <v>20.18</v>
      </c>
      <c r="CF25" s="45">
        <f t="shared" ref="CF25:CF30" si="117">CC25-CE25</f>
        <v>2.8900000000000006</v>
      </c>
      <c r="CG25" s="44">
        <f t="shared" ref="CG25:CG30" si="118">(CF25/CE25)</f>
        <v>0.14321110009910806</v>
      </c>
      <c r="CH25" s="30">
        <v>1.49</v>
      </c>
      <c r="CI25" s="33">
        <f t="shared" ref="CI25:CI30" si="119">CG25*CH25</f>
        <v>0.21338453914767103</v>
      </c>
      <c r="CJ25" s="32"/>
      <c r="CL25" s="32"/>
      <c r="CM25" s="32"/>
      <c r="CN25" s="32"/>
      <c r="CO25" s="32"/>
      <c r="CP25" s="32"/>
      <c r="CQ25" s="32"/>
      <c r="CR25" s="30"/>
      <c r="CS25" s="32"/>
      <c r="CT25" s="32"/>
      <c r="CU25" s="32"/>
      <c r="CV25" s="32"/>
      <c r="CW25" s="32"/>
      <c r="CX25" s="32"/>
      <c r="CY25" s="32"/>
      <c r="DB25" s="32"/>
      <c r="DC25" s="32"/>
      <c r="DD25" s="32"/>
      <c r="DE25" s="32"/>
      <c r="DF25" s="32"/>
      <c r="DG25" s="32"/>
      <c r="DH25" s="32"/>
      <c r="DK25" s="32"/>
      <c r="DL25" s="32"/>
      <c r="DM25" s="32"/>
      <c r="DN25" s="32"/>
      <c r="DO25" s="32"/>
      <c r="DP25" s="32"/>
      <c r="DQ25" s="32"/>
      <c r="DT25" s="32"/>
      <c r="DU25" s="32"/>
      <c r="DV25" s="32"/>
      <c r="DW25" s="32"/>
      <c r="DX25" s="32"/>
      <c r="DY25" s="32"/>
      <c r="DZ25" s="32"/>
      <c r="EA25" s="32"/>
      <c r="EC25" s="32"/>
      <c r="ED25" s="32"/>
      <c r="EE25" s="32"/>
      <c r="EF25" s="32"/>
      <c r="EG25" s="32"/>
      <c r="EH25" s="32"/>
      <c r="EI25" s="32"/>
      <c r="EJ25" s="32"/>
      <c r="EL25" s="32"/>
      <c r="EM25" s="32"/>
      <c r="EN25" s="32"/>
      <c r="EO25" s="32"/>
      <c r="EP25" s="32"/>
      <c r="EQ25" s="32"/>
      <c r="ER25" s="32"/>
      <c r="ES25" s="32"/>
      <c r="EU25" s="32"/>
      <c r="EV25" s="32"/>
      <c r="EW25" s="32"/>
      <c r="EX25" s="32"/>
      <c r="EY25" s="32"/>
      <c r="EZ25" s="32"/>
      <c r="FA25" s="32"/>
      <c r="FB25" s="32"/>
      <c r="FD25" s="32"/>
      <c r="FE25" s="32"/>
      <c r="FF25" s="32"/>
      <c r="FG25" s="32"/>
      <c r="FH25" s="32"/>
      <c r="FI25" s="32"/>
      <c r="FJ25" s="32"/>
      <c r="FM25" s="32"/>
      <c r="FN25" s="32"/>
      <c r="FO25" s="32"/>
      <c r="FP25" s="32"/>
      <c r="FR25" s="32"/>
      <c r="FS25" s="32"/>
      <c r="FZ25" s="30"/>
    </row>
    <row r="26" spans="1:199" x14ac:dyDescent="0.2">
      <c r="A26" s="43">
        <v>60</v>
      </c>
      <c r="B26" s="41">
        <v>42.27</v>
      </c>
      <c r="C26" s="42">
        <v>69.73</v>
      </c>
      <c r="D26" s="32">
        <f t="shared" si="80"/>
        <v>27.46</v>
      </c>
      <c r="E26" s="41">
        <v>67.12</v>
      </c>
      <c r="F26" s="32">
        <f t="shared" si="81"/>
        <v>24.85</v>
      </c>
      <c r="G26" s="41">
        <f t="shared" si="82"/>
        <v>2.6099999999999994</v>
      </c>
      <c r="H26" s="40">
        <f t="shared" si="83"/>
        <v>0.10503018108651908</v>
      </c>
      <c r="I26" s="30">
        <v>1.42</v>
      </c>
      <c r="J26" s="33">
        <f t="shared" si="84"/>
        <v>0.1491428571428571</v>
      </c>
      <c r="L26" s="43">
        <v>60</v>
      </c>
      <c r="M26" s="41">
        <v>32.729999999999997</v>
      </c>
      <c r="N26" s="42">
        <v>56.87</v>
      </c>
      <c r="O26" s="32">
        <f t="shared" si="85"/>
        <v>24.14</v>
      </c>
      <c r="P26" s="41">
        <v>54.19</v>
      </c>
      <c r="Q26" s="32">
        <f t="shared" si="86"/>
        <v>21.46</v>
      </c>
      <c r="R26" s="41">
        <f t="shared" si="87"/>
        <v>2.6799999999999997</v>
      </c>
      <c r="S26" s="40">
        <f t="shared" si="88"/>
        <v>0.124883504193849</v>
      </c>
      <c r="T26" s="30">
        <v>1.42</v>
      </c>
      <c r="U26" s="33">
        <f t="shared" si="89"/>
        <v>0.17733457595526558</v>
      </c>
      <c r="W26" s="43">
        <v>60</v>
      </c>
      <c r="X26" s="41">
        <v>42.1</v>
      </c>
      <c r="Y26" s="42">
        <v>62.44</v>
      </c>
      <c r="Z26" s="32">
        <f t="shared" si="90"/>
        <v>20.339999999999996</v>
      </c>
      <c r="AA26" s="41">
        <v>59.21</v>
      </c>
      <c r="AB26" s="32">
        <f t="shared" si="91"/>
        <v>17.11</v>
      </c>
      <c r="AC26" s="41">
        <f t="shared" si="92"/>
        <v>3.2299999999999969</v>
      </c>
      <c r="AD26" s="40">
        <f t="shared" si="93"/>
        <v>0.1887784921098771</v>
      </c>
      <c r="AE26" s="30">
        <v>1.42</v>
      </c>
      <c r="AF26" s="33">
        <f t="shared" si="94"/>
        <v>0.26806545879602545</v>
      </c>
      <c r="AG26" s="32"/>
      <c r="AH26" s="43">
        <v>60</v>
      </c>
      <c r="AI26" s="41">
        <v>32</v>
      </c>
      <c r="AJ26" s="42">
        <v>56.12</v>
      </c>
      <c r="AK26" s="32">
        <f t="shared" si="95"/>
        <v>24.119999999999997</v>
      </c>
      <c r="AL26" s="41">
        <v>53.38</v>
      </c>
      <c r="AM26" s="32">
        <f t="shared" si="96"/>
        <v>21.380000000000003</v>
      </c>
      <c r="AN26" s="41">
        <f t="shared" si="97"/>
        <v>2.7399999999999949</v>
      </c>
      <c r="AO26" s="40">
        <f t="shared" si="98"/>
        <v>0.12815715622076682</v>
      </c>
      <c r="AP26" s="30">
        <v>1.42</v>
      </c>
      <c r="AQ26" s="33">
        <f t="shared" si="99"/>
        <v>0.18198316183348887</v>
      </c>
      <c r="AS26" s="43">
        <v>60</v>
      </c>
      <c r="AT26" s="41">
        <v>42.36</v>
      </c>
      <c r="AU26" s="42">
        <v>63.54</v>
      </c>
      <c r="AV26" s="32">
        <f t="shared" si="100"/>
        <v>21.18</v>
      </c>
      <c r="AW26" s="41">
        <v>60.15</v>
      </c>
      <c r="AX26" s="32">
        <f t="shared" si="101"/>
        <v>17.79</v>
      </c>
      <c r="AY26" s="41">
        <f t="shared" si="102"/>
        <v>3.3900000000000006</v>
      </c>
      <c r="AZ26" s="40">
        <f t="shared" si="103"/>
        <v>0.19055649241146716</v>
      </c>
      <c r="BA26" s="30">
        <v>1.42</v>
      </c>
      <c r="BB26" s="33">
        <f t="shared" si="104"/>
        <v>0.27059021922428333</v>
      </c>
      <c r="BD26" s="43">
        <v>60</v>
      </c>
      <c r="BE26" s="41">
        <v>41.71</v>
      </c>
      <c r="BF26" s="42">
        <v>66.19</v>
      </c>
      <c r="BG26" s="32">
        <f t="shared" si="105"/>
        <v>24.479999999999997</v>
      </c>
      <c r="BH26" s="41">
        <v>62.33</v>
      </c>
      <c r="BI26" s="32">
        <f t="shared" si="106"/>
        <v>20.619999999999997</v>
      </c>
      <c r="BJ26" s="41">
        <f t="shared" si="107"/>
        <v>3.8599999999999994</v>
      </c>
      <c r="BK26" s="40">
        <f t="shared" si="108"/>
        <v>0.18719689621726479</v>
      </c>
      <c r="BL26" s="30">
        <v>1.42</v>
      </c>
      <c r="BM26" s="33">
        <f t="shared" si="109"/>
        <v>0.26581959262851601</v>
      </c>
      <c r="BO26" s="43">
        <v>60</v>
      </c>
      <c r="BP26" s="41">
        <v>32.479999999999997</v>
      </c>
      <c r="BQ26" s="42">
        <v>57.63</v>
      </c>
      <c r="BR26" s="32">
        <f t="shared" si="110"/>
        <v>25.150000000000006</v>
      </c>
      <c r="BS26" s="41">
        <v>54.74</v>
      </c>
      <c r="BT26" s="32">
        <f t="shared" si="111"/>
        <v>22.260000000000005</v>
      </c>
      <c r="BU26" s="41">
        <f t="shared" si="112"/>
        <v>2.8900000000000006</v>
      </c>
      <c r="BV26" s="40">
        <f t="shared" si="113"/>
        <v>0.12982929020664868</v>
      </c>
      <c r="BW26" s="30">
        <v>1.42</v>
      </c>
      <c r="BX26" s="33">
        <f t="shared" si="114"/>
        <v>0.18435759209344113</v>
      </c>
      <c r="BY26" s="32"/>
      <c r="BZ26" s="43">
        <v>60</v>
      </c>
      <c r="CA26" s="41">
        <v>36.630000000000003</v>
      </c>
      <c r="CB26" s="42">
        <v>63.09</v>
      </c>
      <c r="CC26" s="32">
        <f t="shared" si="115"/>
        <v>26.46</v>
      </c>
      <c r="CD26" s="41">
        <v>59.02</v>
      </c>
      <c r="CE26" s="32">
        <f t="shared" si="116"/>
        <v>22.39</v>
      </c>
      <c r="CF26" s="41">
        <f t="shared" si="117"/>
        <v>4.07</v>
      </c>
      <c r="CG26" s="40">
        <f t="shared" si="118"/>
        <v>0.18177757927646271</v>
      </c>
      <c r="CH26" s="30">
        <v>1.42</v>
      </c>
      <c r="CI26" s="33">
        <f t="shared" si="119"/>
        <v>0.25812416257257703</v>
      </c>
      <c r="CJ26" s="32"/>
      <c r="CL26" s="32"/>
      <c r="CM26" s="32"/>
      <c r="CN26" s="32"/>
      <c r="CO26" s="32"/>
      <c r="CP26" s="32"/>
      <c r="CQ26" s="32"/>
      <c r="CR26" s="30"/>
      <c r="CS26" s="32"/>
      <c r="CT26" s="32"/>
      <c r="CU26" s="32"/>
      <c r="CV26" s="32"/>
      <c r="CW26" s="32"/>
      <c r="CX26" s="32"/>
      <c r="CY26" s="32"/>
      <c r="DB26" s="32"/>
      <c r="DC26" s="32"/>
      <c r="DD26" s="32"/>
      <c r="DE26" s="32"/>
      <c r="DF26" s="32"/>
      <c r="DG26" s="32"/>
      <c r="DH26" s="32"/>
      <c r="DK26" s="32"/>
      <c r="DL26" s="32"/>
      <c r="DM26" s="32"/>
      <c r="DN26" s="32"/>
      <c r="DO26" s="32"/>
      <c r="DP26" s="32"/>
      <c r="DQ26" s="32"/>
      <c r="DT26" s="32"/>
      <c r="DU26" s="32"/>
      <c r="DV26" s="32"/>
      <c r="DW26" s="32"/>
      <c r="DX26" s="32"/>
      <c r="DY26" s="32"/>
      <c r="DZ26" s="32"/>
      <c r="EA26" s="32"/>
      <c r="EC26" s="32"/>
      <c r="ED26" s="32"/>
      <c r="EE26" s="32"/>
      <c r="EF26" s="32"/>
      <c r="EG26" s="32"/>
      <c r="EH26" s="32"/>
      <c r="EI26" s="32"/>
      <c r="EJ26" s="32"/>
      <c r="EL26" s="32"/>
      <c r="EM26" s="32"/>
      <c r="EN26" s="32"/>
      <c r="EO26" s="32"/>
      <c r="EP26" s="32"/>
      <c r="EQ26" s="32"/>
      <c r="ER26" s="32"/>
      <c r="ES26" s="32"/>
      <c r="EU26" s="32"/>
      <c r="EV26" s="32"/>
      <c r="EW26" s="32"/>
      <c r="EX26" s="32"/>
      <c r="EY26" s="32"/>
      <c r="EZ26" s="32"/>
      <c r="FA26" s="32"/>
      <c r="FB26" s="32"/>
      <c r="FD26" s="32"/>
      <c r="FE26" s="32"/>
      <c r="FF26" s="32"/>
      <c r="FG26" s="32"/>
      <c r="FH26" s="32"/>
      <c r="FI26" s="32"/>
      <c r="FJ26" s="32"/>
      <c r="FM26" s="32"/>
      <c r="FN26" s="32"/>
      <c r="FO26" s="32"/>
      <c r="FP26" s="32"/>
      <c r="FR26" s="32"/>
      <c r="FS26" s="32"/>
      <c r="FZ26" s="30"/>
    </row>
    <row r="27" spans="1:199" x14ac:dyDescent="0.2">
      <c r="A27" s="43">
        <v>90</v>
      </c>
      <c r="B27" s="41">
        <v>31.99</v>
      </c>
      <c r="C27" s="42">
        <v>56.56</v>
      </c>
      <c r="D27" s="32">
        <f t="shared" si="80"/>
        <v>24.570000000000004</v>
      </c>
      <c r="E27" s="41">
        <v>54.54</v>
      </c>
      <c r="F27" s="32">
        <f t="shared" si="81"/>
        <v>22.55</v>
      </c>
      <c r="G27" s="41">
        <f t="shared" si="82"/>
        <v>2.0200000000000031</v>
      </c>
      <c r="H27" s="40">
        <f t="shared" si="83"/>
        <v>8.9578713968958001E-2</v>
      </c>
      <c r="I27" s="30">
        <v>1.58</v>
      </c>
      <c r="J27" s="33">
        <f t="shared" si="84"/>
        <v>0.14153436807095365</v>
      </c>
      <c r="L27" s="43">
        <v>90</v>
      </c>
      <c r="M27" s="41">
        <v>42.35</v>
      </c>
      <c r="N27" s="42">
        <v>65.44</v>
      </c>
      <c r="O27" s="32">
        <f t="shared" si="85"/>
        <v>23.089999999999996</v>
      </c>
      <c r="P27" s="41">
        <v>63.11</v>
      </c>
      <c r="Q27" s="32">
        <f t="shared" si="86"/>
        <v>20.759999999999998</v>
      </c>
      <c r="R27" s="41">
        <f t="shared" si="87"/>
        <v>2.3299999999999983</v>
      </c>
      <c r="S27" s="40">
        <f t="shared" si="88"/>
        <v>0.1122350674373795</v>
      </c>
      <c r="T27" s="30">
        <v>1.58</v>
      </c>
      <c r="U27" s="33">
        <f t="shared" si="89"/>
        <v>0.17733140655105961</v>
      </c>
      <c r="W27" s="43">
        <v>90</v>
      </c>
      <c r="X27" s="41">
        <v>45.73</v>
      </c>
      <c r="Y27" s="42">
        <v>69.58</v>
      </c>
      <c r="Z27" s="32">
        <f t="shared" si="90"/>
        <v>23.85</v>
      </c>
      <c r="AA27" s="41">
        <v>65.2</v>
      </c>
      <c r="AB27" s="32">
        <f t="shared" si="91"/>
        <v>19.470000000000006</v>
      </c>
      <c r="AC27" s="41">
        <f t="shared" si="92"/>
        <v>4.3799999999999955</v>
      </c>
      <c r="AD27" s="40">
        <f t="shared" si="93"/>
        <v>0.22496147919876702</v>
      </c>
      <c r="AE27" s="30">
        <v>1.58</v>
      </c>
      <c r="AF27" s="33">
        <f t="shared" si="94"/>
        <v>0.3554391371340519</v>
      </c>
      <c r="AG27" s="32"/>
      <c r="AH27" s="43">
        <v>90</v>
      </c>
      <c r="AI27" s="41">
        <v>34</v>
      </c>
      <c r="AJ27" s="42">
        <v>58.5</v>
      </c>
      <c r="AK27" s="32">
        <f t="shared" si="95"/>
        <v>24.5</v>
      </c>
      <c r="AL27" s="41">
        <v>55.2</v>
      </c>
      <c r="AM27" s="32">
        <f t="shared" si="96"/>
        <v>21.200000000000003</v>
      </c>
      <c r="AN27" s="41">
        <f t="shared" si="97"/>
        <v>3.2999999999999972</v>
      </c>
      <c r="AO27" s="40">
        <f t="shared" si="98"/>
        <v>0.15566037735849042</v>
      </c>
      <c r="AP27" s="30">
        <v>1.58</v>
      </c>
      <c r="AQ27" s="33">
        <f t="shared" si="99"/>
        <v>0.24594339622641487</v>
      </c>
      <c r="AS27" s="43">
        <v>90</v>
      </c>
      <c r="AT27" s="41">
        <v>36.53</v>
      </c>
      <c r="AU27" s="42">
        <v>65.209999999999994</v>
      </c>
      <c r="AV27" s="32">
        <f t="shared" si="100"/>
        <v>28.679999999999993</v>
      </c>
      <c r="AW27" s="41">
        <v>60.44</v>
      </c>
      <c r="AX27" s="32">
        <f t="shared" si="101"/>
        <v>23.909999999999997</v>
      </c>
      <c r="AY27" s="41">
        <f t="shared" si="102"/>
        <v>4.769999999999996</v>
      </c>
      <c r="AZ27" s="40">
        <f t="shared" si="103"/>
        <v>0.19949811794228342</v>
      </c>
      <c r="BA27" s="30">
        <v>1.58</v>
      </c>
      <c r="BB27" s="33">
        <f t="shared" si="104"/>
        <v>0.31520702634880782</v>
      </c>
      <c r="BD27" s="43">
        <v>90</v>
      </c>
      <c r="BE27" s="41">
        <v>36.840000000000003</v>
      </c>
      <c r="BF27" s="42">
        <v>63.82</v>
      </c>
      <c r="BG27" s="32">
        <f t="shared" si="105"/>
        <v>26.979999999999997</v>
      </c>
      <c r="BH27" s="41">
        <v>58.88</v>
      </c>
      <c r="BI27" s="32">
        <f t="shared" si="106"/>
        <v>22.04</v>
      </c>
      <c r="BJ27" s="41">
        <f t="shared" si="107"/>
        <v>4.9399999999999977</v>
      </c>
      <c r="BK27" s="40">
        <f t="shared" si="108"/>
        <v>0.22413793103448265</v>
      </c>
      <c r="BL27" s="30">
        <v>1.58</v>
      </c>
      <c r="BM27" s="33">
        <f t="shared" si="109"/>
        <v>0.3541379310344826</v>
      </c>
      <c r="BO27" s="43">
        <v>90</v>
      </c>
      <c r="BP27" s="41">
        <v>47.8</v>
      </c>
      <c r="BQ27" s="42">
        <v>75.66</v>
      </c>
      <c r="BR27" s="32">
        <f t="shared" si="110"/>
        <v>27.86</v>
      </c>
      <c r="BS27" s="41">
        <v>71.72</v>
      </c>
      <c r="BT27" s="32">
        <f t="shared" si="111"/>
        <v>23.92</v>
      </c>
      <c r="BU27" s="41">
        <f t="shared" si="112"/>
        <v>3.9399999999999977</v>
      </c>
      <c r="BV27" s="40">
        <f t="shared" si="113"/>
        <v>0.16471571906354504</v>
      </c>
      <c r="BW27" s="30">
        <v>1.58</v>
      </c>
      <c r="BX27" s="33">
        <f t="shared" si="114"/>
        <v>0.26025083612040117</v>
      </c>
      <c r="BY27" s="32"/>
      <c r="BZ27" s="43">
        <v>90</v>
      </c>
      <c r="CA27" s="41">
        <v>46.23</v>
      </c>
      <c r="CB27" s="42">
        <v>76.84</v>
      </c>
      <c r="CC27" s="32">
        <f t="shared" si="115"/>
        <v>30.610000000000007</v>
      </c>
      <c r="CD27" s="41">
        <v>71.63</v>
      </c>
      <c r="CE27" s="32">
        <f t="shared" si="116"/>
        <v>25.4</v>
      </c>
      <c r="CF27" s="41">
        <f t="shared" si="117"/>
        <v>5.210000000000008</v>
      </c>
      <c r="CG27" s="40">
        <f t="shared" si="118"/>
        <v>0.20511811023622079</v>
      </c>
      <c r="CH27" s="30">
        <v>1.58</v>
      </c>
      <c r="CI27" s="33">
        <f t="shared" si="119"/>
        <v>0.32408661417322887</v>
      </c>
      <c r="CJ27" s="32"/>
      <c r="CL27" s="32"/>
      <c r="CM27" s="32"/>
      <c r="CN27" s="32"/>
      <c r="CO27" s="32"/>
      <c r="CP27" s="32"/>
      <c r="CQ27" s="32"/>
      <c r="CR27" s="30"/>
      <c r="CS27" s="32"/>
      <c r="CT27" s="32"/>
      <c r="CU27" s="32"/>
      <c r="CV27" s="32"/>
      <c r="CW27" s="32"/>
      <c r="CX27" s="32"/>
      <c r="CY27" s="32"/>
      <c r="DB27" s="32"/>
      <c r="DC27" s="32"/>
      <c r="DD27" s="32"/>
      <c r="DE27" s="32"/>
      <c r="DF27" s="32"/>
      <c r="DG27" s="32"/>
      <c r="DH27" s="32"/>
      <c r="DK27" s="32"/>
      <c r="DL27" s="32"/>
      <c r="DM27" s="32"/>
      <c r="DN27" s="32"/>
      <c r="DO27" s="32"/>
      <c r="DP27" s="32"/>
      <c r="DQ27" s="32"/>
      <c r="DT27" s="32"/>
      <c r="DU27" s="32"/>
      <c r="DV27" s="32"/>
      <c r="DW27" s="32"/>
      <c r="DX27" s="32"/>
      <c r="DY27" s="32"/>
      <c r="DZ27" s="32"/>
      <c r="EA27" s="32"/>
      <c r="EC27" s="32"/>
      <c r="ED27" s="32"/>
      <c r="EE27" s="32"/>
      <c r="EF27" s="32"/>
      <c r="EG27" s="32"/>
      <c r="EH27" s="32"/>
      <c r="EI27" s="32"/>
      <c r="EJ27" s="32"/>
      <c r="EL27" s="32"/>
      <c r="EM27" s="32"/>
      <c r="EN27" s="32"/>
      <c r="EO27" s="32"/>
      <c r="EP27" s="32"/>
      <c r="EQ27" s="32"/>
      <c r="ER27" s="32"/>
      <c r="ES27" s="32"/>
      <c r="EU27" s="32"/>
      <c r="EV27" s="32"/>
      <c r="EW27" s="32"/>
      <c r="EX27" s="32"/>
      <c r="EY27" s="32"/>
      <c r="EZ27" s="32"/>
      <c r="FA27" s="32"/>
      <c r="FB27" s="32"/>
      <c r="FD27" s="32"/>
      <c r="FE27" s="32"/>
      <c r="FF27" s="32"/>
      <c r="FG27" s="32"/>
      <c r="FH27" s="32"/>
      <c r="FI27" s="32"/>
      <c r="FJ27" s="32"/>
      <c r="FM27" s="32"/>
      <c r="FN27" s="32"/>
      <c r="FO27" s="32"/>
      <c r="FP27" s="32"/>
      <c r="FR27" s="32"/>
      <c r="FS27" s="32"/>
      <c r="FZ27" s="30"/>
    </row>
    <row r="28" spans="1:199" x14ac:dyDescent="0.2">
      <c r="A28" s="43">
        <v>120</v>
      </c>
      <c r="B28" s="41">
        <v>32.68</v>
      </c>
      <c r="C28" s="42">
        <v>57.72</v>
      </c>
      <c r="D28" s="32">
        <f t="shared" si="80"/>
        <v>25.04</v>
      </c>
      <c r="E28" s="41">
        <v>54.97</v>
      </c>
      <c r="F28" s="32">
        <f t="shared" si="81"/>
        <v>22.29</v>
      </c>
      <c r="G28" s="41">
        <f t="shared" si="82"/>
        <v>2.75</v>
      </c>
      <c r="H28" s="40">
        <f t="shared" si="83"/>
        <v>0.12337371018393899</v>
      </c>
      <c r="I28" s="30">
        <v>1.58</v>
      </c>
      <c r="J28" s="33">
        <f t="shared" si="84"/>
        <v>0.19493046209062362</v>
      </c>
      <c r="L28" s="43">
        <v>120</v>
      </c>
      <c r="M28" s="41">
        <v>32.03</v>
      </c>
      <c r="N28" s="42">
        <v>54.75</v>
      </c>
      <c r="O28" s="32">
        <f t="shared" si="85"/>
        <v>22.72</v>
      </c>
      <c r="P28" s="41">
        <v>51.92</v>
      </c>
      <c r="Q28" s="32">
        <f t="shared" si="86"/>
        <v>19.89</v>
      </c>
      <c r="R28" s="41">
        <f t="shared" si="87"/>
        <v>2.8299999999999983</v>
      </c>
      <c r="S28" s="40">
        <f t="shared" si="88"/>
        <v>0.14228255404725984</v>
      </c>
      <c r="T28" s="30">
        <v>1.58</v>
      </c>
      <c r="U28" s="33">
        <f t="shared" si="89"/>
        <v>0.22480643539467055</v>
      </c>
      <c r="W28" s="43">
        <v>120</v>
      </c>
      <c r="X28" s="41">
        <v>36.47</v>
      </c>
      <c r="Y28" s="42">
        <v>57.76</v>
      </c>
      <c r="Z28" s="32">
        <f t="shared" si="90"/>
        <v>21.29</v>
      </c>
      <c r="AA28" s="41">
        <v>54.51</v>
      </c>
      <c r="AB28" s="32">
        <f t="shared" si="91"/>
        <v>18.04</v>
      </c>
      <c r="AC28" s="41">
        <f t="shared" si="92"/>
        <v>3.25</v>
      </c>
      <c r="AD28" s="40">
        <f t="shared" si="93"/>
        <v>0.18015521064301554</v>
      </c>
      <c r="AE28" s="30">
        <v>1.58</v>
      </c>
      <c r="AF28" s="33">
        <f t="shared" si="94"/>
        <v>0.28464523281596454</v>
      </c>
      <c r="AG28" s="32"/>
      <c r="AH28" s="43">
        <v>120</v>
      </c>
      <c r="AI28" s="41">
        <v>33.4</v>
      </c>
      <c r="AJ28" s="42">
        <v>59.6</v>
      </c>
      <c r="AK28" s="32">
        <f t="shared" si="95"/>
        <v>26.200000000000003</v>
      </c>
      <c r="AL28" s="41">
        <v>56.1</v>
      </c>
      <c r="AM28" s="32">
        <f t="shared" si="96"/>
        <v>22.700000000000003</v>
      </c>
      <c r="AN28" s="41">
        <f t="shared" si="97"/>
        <v>3.5</v>
      </c>
      <c r="AO28" s="40">
        <f t="shared" si="98"/>
        <v>0.1541850220264317</v>
      </c>
      <c r="AP28" s="30">
        <v>1.58</v>
      </c>
      <c r="AQ28" s="33">
        <f t="shared" si="99"/>
        <v>0.24361233480176209</v>
      </c>
      <c r="AS28" s="43">
        <v>120</v>
      </c>
      <c r="AT28" s="41">
        <v>43.35</v>
      </c>
      <c r="AU28" s="42">
        <v>68.45</v>
      </c>
      <c r="AV28" s="32">
        <f t="shared" si="100"/>
        <v>25.1</v>
      </c>
      <c r="AW28" s="41">
        <v>64.55</v>
      </c>
      <c r="AX28" s="32">
        <f t="shared" si="101"/>
        <v>21.199999999999996</v>
      </c>
      <c r="AY28" s="41">
        <f t="shared" si="102"/>
        <v>3.9000000000000057</v>
      </c>
      <c r="AZ28" s="40">
        <f t="shared" si="103"/>
        <v>0.18396226415094369</v>
      </c>
      <c r="BA28" s="30">
        <v>1.58</v>
      </c>
      <c r="BB28" s="33">
        <f t="shared" si="104"/>
        <v>0.29066037735849104</v>
      </c>
      <c r="BD28" s="43">
        <v>120</v>
      </c>
      <c r="BE28" s="41">
        <v>36.31</v>
      </c>
      <c r="BF28" s="42">
        <v>63.32</v>
      </c>
      <c r="BG28" s="32">
        <f t="shared" si="105"/>
        <v>27.009999999999998</v>
      </c>
      <c r="BH28" s="41">
        <v>58.99</v>
      </c>
      <c r="BI28" s="32">
        <f t="shared" si="106"/>
        <v>22.68</v>
      </c>
      <c r="BJ28" s="41">
        <f t="shared" si="107"/>
        <v>4.3299999999999983</v>
      </c>
      <c r="BK28" s="40">
        <f t="shared" si="108"/>
        <v>0.19091710758377417</v>
      </c>
      <c r="BL28" s="30">
        <v>1.58</v>
      </c>
      <c r="BM28" s="33">
        <f t="shared" si="109"/>
        <v>0.3016490299823632</v>
      </c>
      <c r="BO28" s="43">
        <v>120</v>
      </c>
      <c r="BP28" s="41">
        <v>38.08</v>
      </c>
      <c r="BQ28" s="42">
        <v>67.03</v>
      </c>
      <c r="BR28" s="32">
        <f t="shared" si="110"/>
        <v>28.950000000000003</v>
      </c>
      <c r="BS28" s="41">
        <v>63.11</v>
      </c>
      <c r="BT28" s="32">
        <f t="shared" si="111"/>
        <v>25.03</v>
      </c>
      <c r="BU28" s="41">
        <f t="shared" si="112"/>
        <v>3.9200000000000017</v>
      </c>
      <c r="BV28" s="40">
        <f t="shared" si="113"/>
        <v>0.15661206552137441</v>
      </c>
      <c r="BW28" s="30">
        <v>1.58</v>
      </c>
      <c r="BX28" s="33">
        <f t="shared" si="114"/>
        <v>0.24744706352377158</v>
      </c>
      <c r="BY28" s="32"/>
      <c r="BZ28" s="43">
        <v>120</v>
      </c>
      <c r="CA28" s="41">
        <v>46.65</v>
      </c>
      <c r="CB28" s="42">
        <v>76.17</v>
      </c>
      <c r="CC28" s="32">
        <f t="shared" si="115"/>
        <v>29.520000000000003</v>
      </c>
      <c r="CD28" s="41">
        <v>72</v>
      </c>
      <c r="CE28" s="32">
        <f t="shared" si="116"/>
        <v>25.35</v>
      </c>
      <c r="CF28" s="41">
        <f t="shared" si="117"/>
        <v>4.1700000000000017</v>
      </c>
      <c r="CG28" s="40">
        <f t="shared" si="118"/>
        <v>0.1644970414201184</v>
      </c>
      <c r="CH28" s="30">
        <v>1.58</v>
      </c>
      <c r="CI28" s="33">
        <f t="shared" si="119"/>
        <v>0.25990532544378708</v>
      </c>
      <c r="CJ28" s="32"/>
      <c r="CL28" s="32"/>
      <c r="CM28" s="32"/>
      <c r="CN28" s="32"/>
      <c r="CO28" s="32"/>
      <c r="CP28" s="32"/>
      <c r="CQ28" s="32"/>
      <c r="CR28" s="30"/>
      <c r="CS28" s="32"/>
      <c r="CT28" s="32"/>
      <c r="CU28" s="32"/>
      <c r="CV28" s="32"/>
      <c r="CW28" s="32"/>
      <c r="CX28" s="32"/>
      <c r="CY28" s="32"/>
      <c r="DB28" s="32"/>
      <c r="DC28" s="32"/>
      <c r="DD28" s="32"/>
      <c r="DE28" s="32"/>
      <c r="DF28" s="32"/>
      <c r="DG28" s="32"/>
      <c r="DH28" s="32"/>
      <c r="DK28" s="32"/>
      <c r="DL28" s="32"/>
      <c r="DM28" s="32"/>
      <c r="DN28" s="32"/>
      <c r="DO28" s="32"/>
      <c r="DP28" s="32"/>
      <c r="DQ28" s="32"/>
      <c r="DT28" s="32"/>
      <c r="DU28" s="32"/>
      <c r="DV28" s="32"/>
      <c r="DW28" s="32"/>
      <c r="DX28" s="32"/>
      <c r="DY28" s="32"/>
      <c r="DZ28" s="32"/>
      <c r="EA28" s="32"/>
      <c r="EC28" s="32"/>
      <c r="ED28" s="32"/>
      <c r="EE28" s="32"/>
      <c r="EF28" s="32"/>
      <c r="EG28" s="32"/>
      <c r="EH28" s="32"/>
      <c r="EI28" s="32"/>
      <c r="EJ28" s="32"/>
      <c r="EL28" s="32"/>
      <c r="EM28" s="32"/>
      <c r="EN28" s="32"/>
      <c r="EO28" s="32"/>
      <c r="EP28" s="32"/>
      <c r="EQ28" s="32"/>
      <c r="ER28" s="32"/>
      <c r="ES28" s="32"/>
      <c r="EU28" s="32"/>
      <c r="EV28" s="32"/>
      <c r="EW28" s="32"/>
      <c r="EX28" s="32"/>
      <c r="EY28" s="32"/>
      <c r="EZ28" s="32"/>
      <c r="FA28" s="32"/>
      <c r="FB28" s="32"/>
      <c r="FD28" s="32"/>
      <c r="FE28" s="32"/>
      <c r="FF28" s="32"/>
      <c r="FG28" s="32"/>
      <c r="FH28" s="32"/>
      <c r="FI28" s="32"/>
      <c r="FJ28" s="32"/>
      <c r="FM28" s="32"/>
      <c r="FN28" s="32"/>
      <c r="FO28" s="32"/>
      <c r="FP28" s="32"/>
      <c r="FR28" s="32"/>
      <c r="FS28" s="32"/>
      <c r="FZ28" s="30"/>
    </row>
    <row r="29" spans="1:199" x14ac:dyDescent="0.2">
      <c r="A29" s="43">
        <v>150</v>
      </c>
      <c r="B29" s="41">
        <v>36.159999999999997</v>
      </c>
      <c r="C29" s="42">
        <v>59.61</v>
      </c>
      <c r="D29" s="32">
        <f t="shared" si="80"/>
        <v>23.450000000000003</v>
      </c>
      <c r="E29" s="41">
        <v>56.43</v>
      </c>
      <c r="F29" s="32">
        <f t="shared" si="81"/>
        <v>20.270000000000003</v>
      </c>
      <c r="G29" s="41">
        <f t="shared" si="82"/>
        <v>3.1799999999999997</v>
      </c>
      <c r="H29" s="40">
        <f t="shared" si="83"/>
        <v>0.15688209176122345</v>
      </c>
      <c r="I29" s="30">
        <v>1.58</v>
      </c>
      <c r="J29" s="33">
        <f t="shared" si="84"/>
        <v>0.24787370498273306</v>
      </c>
      <c r="L29" s="43">
        <v>150</v>
      </c>
      <c r="M29" s="41">
        <v>37.92</v>
      </c>
      <c r="N29" s="42">
        <v>66.63</v>
      </c>
      <c r="O29" s="32">
        <f t="shared" si="85"/>
        <v>28.709999999999994</v>
      </c>
      <c r="P29" s="41">
        <v>62.54</v>
      </c>
      <c r="Q29" s="32">
        <f t="shared" si="86"/>
        <v>24.619999999999997</v>
      </c>
      <c r="R29" s="41">
        <f t="shared" si="87"/>
        <v>4.0899999999999963</v>
      </c>
      <c r="S29" s="40">
        <f t="shared" si="88"/>
        <v>0.16612510154346047</v>
      </c>
      <c r="T29" s="30">
        <v>1.58</v>
      </c>
      <c r="U29" s="33">
        <f t="shared" si="89"/>
        <v>0.26247766043866755</v>
      </c>
      <c r="W29" s="43">
        <v>150</v>
      </c>
      <c r="X29" s="41">
        <v>43.78</v>
      </c>
      <c r="Y29" s="42">
        <v>68.09</v>
      </c>
      <c r="Z29" s="32">
        <f t="shared" si="90"/>
        <v>24.310000000000002</v>
      </c>
      <c r="AA29" s="41">
        <v>65.59</v>
      </c>
      <c r="AB29" s="32">
        <f t="shared" si="91"/>
        <v>21.810000000000002</v>
      </c>
      <c r="AC29" s="41">
        <f t="shared" si="92"/>
        <v>2.5</v>
      </c>
      <c r="AD29" s="40">
        <f t="shared" si="93"/>
        <v>0.11462631820265932</v>
      </c>
      <c r="AE29" s="30">
        <v>1.58</v>
      </c>
      <c r="AF29" s="33">
        <f t="shared" si="94"/>
        <v>0.18110958276020175</v>
      </c>
      <c r="AG29" s="32"/>
      <c r="AH29" s="43">
        <v>150</v>
      </c>
      <c r="AI29" s="41">
        <v>42.18</v>
      </c>
      <c r="AJ29" s="42">
        <v>72.48</v>
      </c>
      <c r="AK29" s="32">
        <f t="shared" si="95"/>
        <v>30.300000000000004</v>
      </c>
      <c r="AL29" s="41">
        <v>68.05</v>
      </c>
      <c r="AM29" s="32">
        <f t="shared" si="96"/>
        <v>25.869999999999997</v>
      </c>
      <c r="AN29" s="41">
        <f t="shared" si="97"/>
        <v>4.4300000000000068</v>
      </c>
      <c r="AO29" s="40">
        <f t="shared" si="98"/>
        <v>0.1712408194820258</v>
      </c>
      <c r="AP29" s="30">
        <v>1.58</v>
      </c>
      <c r="AQ29" s="33">
        <f t="shared" si="99"/>
        <v>0.27056049478160077</v>
      </c>
      <c r="AS29" s="43">
        <v>150</v>
      </c>
      <c r="AT29" s="41">
        <v>32.020000000000003</v>
      </c>
      <c r="AU29" s="42">
        <v>58.5</v>
      </c>
      <c r="AV29" s="32">
        <f t="shared" si="100"/>
        <v>26.479999999999997</v>
      </c>
      <c r="AW29" s="41">
        <v>54.95</v>
      </c>
      <c r="AX29" s="32">
        <f t="shared" si="101"/>
        <v>22.93</v>
      </c>
      <c r="AY29" s="41">
        <f t="shared" si="102"/>
        <v>3.5499999999999972</v>
      </c>
      <c r="AZ29" s="40">
        <f t="shared" si="103"/>
        <v>0.15481901439162657</v>
      </c>
      <c r="BA29" s="30">
        <v>1.58</v>
      </c>
      <c r="BB29" s="33">
        <f t="shared" si="104"/>
        <v>0.24461404273876999</v>
      </c>
      <c r="BD29" s="43">
        <v>150</v>
      </c>
      <c r="BE29" s="41">
        <v>31.93</v>
      </c>
      <c r="BF29" s="42">
        <v>55.22</v>
      </c>
      <c r="BG29" s="32">
        <f t="shared" si="105"/>
        <v>23.29</v>
      </c>
      <c r="BH29" s="41">
        <v>51.92</v>
      </c>
      <c r="BI29" s="32">
        <f t="shared" si="106"/>
        <v>19.990000000000002</v>
      </c>
      <c r="BJ29" s="41">
        <f t="shared" si="107"/>
        <v>3.2999999999999972</v>
      </c>
      <c r="BK29" s="40">
        <f t="shared" si="108"/>
        <v>0.16508254127063515</v>
      </c>
      <c r="BL29" s="30">
        <v>1.58</v>
      </c>
      <c r="BM29" s="33">
        <f t="shared" si="109"/>
        <v>0.26083041520760353</v>
      </c>
      <c r="BO29" s="43">
        <v>150</v>
      </c>
      <c r="BP29" s="41">
        <v>32.47</v>
      </c>
      <c r="BQ29" s="42">
        <v>59.38</v>
      </c>
      <c r="BR29" s="32">
        <f t="shared" si="110"/>
        <v>26.910000000000004</v>
      </c>
      <c r="BS29" s="41">
        <v>55.28</v>
      </c>
      <c r="BT29" s="32">
        <f t="shared" si="111"/>
        <v>22.810000000000002</v>
      </c>
      <c r="BU29" s="41">
        <f t="shared" si="112"/>
        <v>4.1000000000000014</v>
      </c>
      <c r="BV29" s="40">
        <f t="shared" si="113"/>
        <v>0.1797457255589654</v>
      </c>
      <c r="BW29" s="30">
        <v>1.58</v>
      </c>
      <c r="BX29" s="33">
        <f t="shared" si="114"/>
        <v>0.28399824638316534</v>
      </c>
      <c r="BY29" s="32"/>
      <c r="BZ29" s="43">
        <v>150</v>
      </c>
      <c r="CA29" s="41">
        <v>47.04</v>
      </c>
      <c r="CB29" s="42">
        <v>78.33</v>
      </c>
      <c r="CC29" s="32">
        <f t="shared" si="115"/>
        <v>31.29</v>
      </c>
      <c r="CD29" s="41">
        <v>73.7</v>
      </c>
      <c r="CE29" s="32">
        <f t="shared" si="116"/>
        <v>26.660000000000004</v>
      </c>
      <c r="CF29" s="41">
        <f t="shared" si="117"/>
        <v>4.6299999999999955</v>
      </c>
      <c r="CG29" s="40">
        <f t="shared" si="118"/>
        <v>0.17366841710427589</v>
      </c>
      <c r="CH29" s="30">
        <v>1.58</v>
      </c>
      <c r="CI29" s="33">
        <f t="shared" si="119"/>
        <v>0.27439609902475592</v>
      </c>
      <c r="CJ29" s="32"/>
      <c r="CL29" s="32"/>
      <c r="CM29" s="32"/>
      <c r="CN29" s="32"/>
      <c r="CO29" s="32"/>
      <c r="CP29" s="32"/>
      <c r="CQ29" s="32"/>
      <c r="CR29" s="30"/>
      <c r="CS29" s="32"/>
      <c r="CT29" s="32"/>
      <c r="CU29" s="32"/>
      <c r="CV29" s="32"/>
      <c r="CW29" s="32"/>
      <c r="CX29" s="32"/>
      <c r="CY29" s="32"/>
      <c r="DB29" s="32"/>
      <c r="DC29" s="32"/>
      <c r="DD29" s="32"/>
      <c r="DE29" s="32"/>
      <c r="DF29" s="32"/>
      <c r="DG29" s="32"/>
      <c r="DH29" s="32"/>
      <c r="DK29" s="32"/>
      <c r="DL29" s="32"/>
      <c r="DM29" s="32"/>
      <c r="DN29" s="32"/>
      <c r="DO29" s="32"/>
      <c r="DP29" s="32"/>
      <c r="DQ29" s="32"/>
      <c r="DT29" s="32"/>
      <c r="DU29" s="32"/>
      <c r="DV29" s="32"/>
      <c r="DW29" s="32"/>
      <c r="DX29" s="32"/>
      <c r="DY29" s="32"/>
      <c r="DZ29" s="32"/>
      <c r="EA29" s="32"/>
      <c r="EC29" s="32"/>
      <c r="ED29" s="32"/>
      <c r="EE29" s="32"/>
      <c r="EF29" s="32"/>
      <c r="EG29" s="32"/>
      <c r="EH29" s="32"/>
      <c r="EI29" s="32"/>
      <c r="EJ29" s="32"/>
      <c r="EL29" s="32"/>
      <c r="EM29" s="32"/>
      <c r="EN29" s="32"/>
      <c r="EO29" s="32"/>
      <c r="EP29" s="32"/>
      <c r="EQ29" s="32"/>
      <c r="ER29" s="32"/>
      <c r="ES29" s="32"/>
      <c r="EU29" s="32"/>
      <c r="EV29" s="32"/>
      <c r="EW29" s="32"/>
      <c r="EX29" s="32"/>
      <c r="EY29" s="32"/>
      <c r="EZ29" s="32"/>
      <c r="FA29" s="32"/>
      <c r="FB29" s="32"/>
      <c r="FD29" s="32"/>
      <c r="FE29" s="32"/>
      <c r="FF29" s="32"/>
      <c r="FG29" s="32"/>
      <c r="FH29" s="32"/>
      <c r="FI29" s="32"/>
      <c r="FJ29" s="32"/>
      <c r="FM29" s="32"/>
      <c r="FN29" s="32"/>
      <c r="FO29" s="32"/>
      <c r="FP29" s="32"/>
      <c r="FR29" s="32"/>
      <c r="FS29" s="32"/>
      <c r="FZ29" s="30"/>
    </row>
    <row r="30" spans="1:199" x14ac:dyDescent="0.2">
      <c r="A30" s="43">
        <v>180</v>
      </c>
      <c r="B30" s="41">
        <v>37.97</v>
      </c>
      <c r="C30" s="42">
        <v>72.03</v>
      </c>
      <c r="D30" s="32">
        <f t="shared" si="80"/>
        <v>34.06</v>
      </c>
      <c r="E30" s="41">
        <v>67.540000000000006</v>
      </c>
      <c r="F30" s="32">
        <f t="shared" si="81"/>
        <v>29.570000000000007</v>
      </c>
      <c r="G30" s="41">
        <f t="shared" si="82"/>
        <v>4.4899999999999949</v>
      </c>
      <c r="H30" s="40">
        <f t="shared" si="83"/>
        <v>0.15184308420696632</v>
      </c>
      <c r="I30" s="30">
        <v>1.58</v>
      </c>
      <c r="J30" s="33">
        <f t="shared" si="84"/>
        <v>0.23991207304700679</v>
      </c>
      <c r="L30" s="43">
        <v>180</v>
      </c>
      <c r="M30" s="41">
        <v>51.73</v>
      </c>
      <c r="N30" s="42">
        <v>79.08</v>
      </c>
      <c r="O30" s="32">
        <f t="shared" si="85"/>
        <v>27.35</v>
      </c>
      <c r="P30" s="41">
        <v>75.25</v>
      </c>
      <c r="Q30" s="32">
        <f t="shared" si="86"/>
        <v>23.520000000000003</v>
      </c>
      <c r="R30" s="41">
        <f t="shared" si="87"/>
        <v>3.8299999999999983</v>
      </c>
      <c r="S30" s="40">
        <f t="shared" si="88"/>
        <v>0.16284013605442169</v>
      </c>
      <c r="T30" s="30">
        <v>1.58</v>
      </c>
      <c r="U30" s="33">
        <f t="shared" si="89"/>
        <v>0.25728741496598628</v>
      </c>
      <c r="W30" s="43">
        <v>180</v>
      </c>
      <c r="X30" s="41">
        <v>45.75</v>
      </c>
      <c r="Y30" s="42">
        <v>70.650000000000006</v>
      </c>
      <c r="Z30" s="32">
        <f t="shared" si="90"/>
        <v>24.900000000000006</v>
      </c>
      <c r="AA30" s="41">
        <v>67.67</v>
      </c>
      <c r="AB30" s="32">
        <f t="shared" si="91"/>
        <v>21.92</v>
      </c>
      <c r="AC30" s="41">
        <f t="shared" si="92"/>
        <v>2.980000000000004</v>
      </c>
      <c r="AD30" s="40">
        <f t="shared" si="93"/>
        <v>0.13594890510948923</v>
      </c>
      <c r="AE30" s="30">
        <v>1.58</v>
      </c>
      <c r="AF30" s="33">
        <f t="shared" si="94"/>
        <v>0.21479927007299299</v>
      </c>
      <c r="AG30" s="32"/>
      <c r="AH30" s="43">
        <v>180</v>
      </c>
      <c r="AI30" s="41">
        <v>42.72</v>
      </c>
      <c r="AJ30" s="42">
        <v>68.97</v>
      </c>
      <c r="AK30" s="32">
        <f t="shared" si="95"/>
        <v>26.25</v>
      </c>
      <c r="AL30" s="41">
        <v>64.989999999999995</v>
      </c>
      <c r="AM30" s="32">
        <f t="shared" si="96"/>
        <v>22.269999999999996</v>
      </c>
      <c r="AN30" s="41">
        <f t="shared" si="97"/>
        <v>3.980000000000004</v>
      </c>
      <c r="AO30" s="40">
        <f t="shared" si="98"/>
        <v>0.17871576111360596</v>
      </c>
      <c r="AP30" s="30">
        <v>1.58</v>
      </c>
      <c r="AQ30" s="33">
        <f t="shared" si="99"/>
        <v>0.28237090255949743</v>
      </c>
      <c r="AS30" s="43">
        <v>180</v>
      </c>
      <c r="AT30" s="41">
        <v>32.03</v>
      </c>
      <c r="AU30" s="42">
        <v>62.3</v>
      </c>
      <c r="AV30" s="32">
        <f t="shared" si="100"/>
        <v>30.269999999999996</v>
      </c>
      <c r="AW30" s="41">
        <v>57.48</v>
      </c>
      <c r="AX30" s="32">
        <f t="shared" si="101"/>
        <v>25.449999999999996</v>
      </c>
      <c r="AY30" s="41">
        <f t="shared" si="102"/>
        <v>4.82</v>
      </c>
      <c r="AZ30" s="40">
        <f t="shared" si="103"/>
        <v>0.18939096267190575</v>
      </c>
      <c r="BA30" s="30">
        <v>1.58</v>
      </c>
      <c r="BB30" s="33">
        <f t="shared" si="104"/>
        <v>0.29923772102161111</v>
      </c>
      <c r="BD30" s="43">
        <v>180</v>
      </c>
      <c r="BE30" s="41">
        <v>36.46</v>
      </c>
      <c r="BF30" s="42">
        <v>68.42</v>
      </c>
      <c r="BG30" s="32">
        <f t="shared" si="105"/>
        <v>31.96</v>
      </c>
      <c r="BH30" s="41">
        <v>63.39</v>
      </c>
      <c r="BI30" s="32">
        <f t="shared" si="106"/>
        <v>26.93</v>
      </c>
      <c r="BJ30" s="41">
        <f t="shared" si="107"/>
        <v>5.0300000000000011</v>
      </c>
      <c r="BK30" s="40">
        <f t="shared" si="108"/>
        <v>0.18678054214630527</v>
      </c>
      <c r="BL30" s="30">
        <v>1.58</v>
      </c>
      <c r="BM30" s="33">
        <f t="shared" si="109"/>
        <v>0.29511325659116233</v>
      </c>
      <c r="BO30" s="43">
        <v>180</v>
      </c>
      <c r="BP30" s="41">
        <v>48.47</v>
      </c>
      <c r="BQ30" s="42">
        <v>75.94</v>
      </c>
      <c r="BR30" s="32">
        <f t="shared" si="110"/>
        <v>27.47</v>
      </c>
      <c r="BS30" s="41">
        <v>71.02</v>
      </c>
      <c r="BT30" s="32">
        <f t="shared" si="111"/>
        <v>22.549999999999997</v>
      </c>
      <c r="BU30" s="41">
        <f t="shared" si="112"/>
        <v>4.9200000000000017</v>
      </c>
      <c r="BV30" s="40">
        <f t="shared" si="113"/>
        <v>0.21818181818181828</v>
      </c>
      <c r="BW30" s="30">
        <v>1.58</v>
      </c>
      <c r="BX30" s="33">
        <f t="shared" si="114"/>
        <v>0.34472727272727288</v>
      </c>
      <c r="BY30" s="32"/>
      <c r="BZ30" s="43">
        <v>180</v>
      </c>
      <c r="CA30" s="41">
        <v>32.44</v>
      </c>
      <c r="CB30" s="42">
        <v>59.37</v>
      </c>
      <c r="CC30" s="32">
        <f t="shared" si="115"/>
        <v>26.93</v>
      </c>
      <c r="CD30" s="41">
        <v>56.17</v>
      </c>
      <c r="CE30" s="32">
        <f t="shared" si="116"/>
        <v>23.730000000000004</v>
      </c>
      <c r="CF30" s="41">
        <f t="shared" si="117"/>
        <v>3.1999999999999957</v>
      </c>
      <c r="CG30" s="40">
        <f t="shared" si="118"/>
        <v>0.13485040033712581</v>
      </c>
      <c r="CH30" s="30">
        <v>1.58</v>
      </c>
      <c r="CI30" s="33">
        <f t="shared" si="119"/>
        <v>0.21306363253265878</v>
      </c>
      <c r="CJ30" s="32"/>
      <c r="CL30" s="32"/>
      <c r="CM30" s="32"/>
      <c r="CN30" s="32"/>
      <c r="CO30" s="32"/>
      <c r="CP30" s="32"/>
      <c r="CQ30" s="32"/>
      <c r="CR30" s="30"/>
      <c r="CS30" s="32"/>
      <c r="CT30" s="32"/>
      <c r="CU30" s="32"/>
      <c r="CV30" s="32"/>
      <c r="CW30" s="32"/>
      <c r="CX30" s="32"/>
      <c r="CY30" s="32"/>
      <c r="DB30" s="32"/>
      <c r="DC30" s="32"/>
      <c r="DD30" s="32"/>
      <c r="DE30" s="32"/>
      <c r="DF30" s="32"/>
      <c r="DG30" s="32"/>
      <c r="DH30" s="32"/>
      <c r="DK30" s="32"/>
      <c r="DL30" s="32"/>
      <c r="DM30" s="32"/>
      <c r="DN30" s="32"/>
      <c r="DO30" s="32"/>
      <c r="DP30" s="32"/>
      <c r="DQ30" s="32"/>
      <c r="DT30" s="32"/>
      <c r="DU30" s="32"/>
      <c r="DV30" s="32"/>
      <c r="DW30" s="32"/>
      <c r="DX30" s="32"/>
      <c r="DY30" s="32"/>
      <c r="DZ30" s="32"/>
      <c r="EA30" s="32"/>
      <c r="EC30" s="32"/>
      <c r="ED30" s="32"/>
      <c r="EE30" s="32"/>
      <c r="EF30" s="32"/>
      <c r="EG30" s="32"/>
      <c r="EH30" s="32"/>
      <c r="EI30" s="32"/>
      <c r="EJ30" s="32"/>
      <c r="EL30" s="32"/>
      <c r="EM30" s="32"/>
      <c r="EN30" s="32"/>
      <c r="EO30" s="32"/>
      <c r="EP30" s="32"/>
      <c r="EQ30" s="32"/>
      <c r="ER30" s="32"/>
      <c r="ES30" s="32"/>
      <c r="EU30" s="32"/>
      <c r="EV30" s="32"/>
      <c r="EW30" s="32"/>
      <c r="EX30" s="32"/>
      <c r="EY30" s="32"/>
      <c r="EZ30" s="32"/>
      <c r="FA30" s="32"/>
      <c r="FB30" s="32"/>
      <c r="FD30" s="32"/>
      <c r="FE30" s="32"/>
      <c r="FF30" s="32"/>
      <c r="FG30" s="32"/>
      <c r="FH30" s="32"/>
      <c r="FI30" s="32"/>
      <c r="FJ30" s="32"/>
      <c r="FM30" s="32"/>
      <c r="FN30" s="32"/>
      <c r="FO30" s="32"/>
      <c r="FP30" s="32"/>
      <c r="FR30" s="32"/>
      <c r="FS30" s="32"/>
      <c r="FZ30" s="30"/>
    </row>
    <row r="31" spans="1:199" ht="13.5" thickBot="1" x14ac:dyDescent="0.25">
      <c r="A31" s="37"/>
      <c r="B31" s="35"/>
      <c r="C31" s="35"/>
      <c r="D31" s="35"/>
      <c r="E31" s="35"/>
      <c r="F31" s="36"/>
      <c r="G31" s="35">
        <f>F31-E31-C31</f>
        <v>0</v>
      </c>
      <c r="H31" s="39"/>
      <c r="I31" s="32"/>
      <c r="K31" s="32"/>
      <c r="L31" s="38"/>
      <c r="M31" s="35"/>
      <c r="N31" s="35"/>
      <c r="O31" s="35"/>
      <c r="P31" s="35"/>
      <c r="Q31" s="36"/>
      <c r="R31" s="35">
        <f>Q31-P31-N31</f>
        <v>0</v>
      </c>
      <c r="S31" s="34"/>
      <c r="T31" s="32"/>
      <c r="V31" s="32"/>
      <c r="W31" s="37"/>
      <c r="X31" s="35"/>
      <c r="Y31" s="35"/>
      <c r="Z31" s="35"/>
      <c r="AA31" s="35"/>
      <c r="AB31" s="36"/>
      <c r="AC31" s="35">
        <f>AB31-AA31-Y31</f>
        <v>0</v>
      </c>
      <c r="AD31" s="34"/>
      <c r="AE31" s="32"/>
      <c r="AH31" s="37"/>
      <c r="AI31" s="35"/>
      <c r="AJ31" s="35"/>
      <c r="AK31" s="35"/>
      <c r="AL31" s="35"/>
      <c r="AM31" s="36"/>
      <c r="AN31" s="35">
        <f>AM31-AL31-AJ31</f>
        <v>0</v>
      </c>
      <c r="AO31" s="34"/>
      <c r="AP31" s="32"/>
      <c r="AS31" s="37"/>
      <c r="AT31" s="35"/>
      <c r="AU31" s="35"/>
      <c r="AV31" s="35"/>
      <c r="AW31" s="35"/>
      <c r="AX31" s="36"/>
      <c r="AY31" s="35">
        <f>AX31-AW31-AU31</f>
        <v>0</v>
      </c>
      <c r="AZ31" s="34"/>
      <c r="BA31" s="32"/>
      <c r="BD31" s="37"/>
      <c r="BE31" s="35"/>
      <c r="BF31" s="35"/>
      <c r="BG31" s="35"/>
      <c r="BH31" s="35"/>
      <c r="BI31" s="36"/>
      <c r="BJ31" s="35">
        <f>BI31-BH31-BF31</f>
        <v>0</v>
      </c>
      <c r="BK31" s="34"/>
      <c r="BL31" s="32"/>
      <c r="BO31" s="37"/>
      <c r="BP31" s="35"/>
      <c r="BQ31" s="35"/>
      <c r="BR31" s="35"/>
      <c r="BS31" s="35"/>
      <c r="BT31" s="36"/>
      <c r="BU31" s="35"/>
      <c r="BV31" s="34"/>
      <c r="BW31" s="32"/>
      <c r="BZ31" s="37"/>
      <c r="CA31" s="35"/>
      <c r="CB31" s="35"/>
      <c r="CC31" s="35"/>
      <c r="CD31" s="35"/>
      <c r="CE31" s="36"/>
      <c r="CF31" s="35">
        <f>CE31-CD31-CB31</f>
        <v>0</v>
      </c>
      <c r="CG31" s="34"/>
      <c r="CH31" s="33"/>
      <c r="CJ31" s="32"/>
      <c r="CL31" s="32"/>
      <c r="CM31" s="32"/>
      <c r="CN31" s="32"/>
      <c r="CO31" s="32"/>
      <c r="CP31" s="32"/>
      <c r="CQ31" s="32"/>
      <c r="CR31" s="30"/>
      <c r="DB31" s="32"/>
      <c r="DF31" s="32"/>
      <c r="DG31" s="32"/>
      <c r="DH31" s="31"/>
      <c r="DQ31" s="32"/>
      <c r="DR31" s="31"/>
      <c r="DT31" s="32"/>
      <c r="DX31" s="32"/>
      <c r="DY31" s="32"/>
      <c r="DZ31" s="31"/>
      <c r="EI31" s="32"/>
      <c r="FP31" s="30"/>
      <c r="FQ31" s="30"/>
      <c r="FS31" s="32"/>
      <c r="FZ31" s="30"/>
      <c r="GC31" s="30"/>
      <c r="GK31" s="30"/>
      <c r="GO31" s="30"/>
      <c r="GQ31" s="30"/>
    </row>
    <row r="32" spans="1:199" ht="13.5" thickTop="1" x14ac:dyDescent="0.2"/>
    <row r="34" spans="1:87" ht="13.5" thickBot="1" x14ac:dyDescent="0.25">
      <c r="D34" s="30" t="s">
        <v>135</v>
      </c>
      <c r="O34" s="30" t="s">
        <v>135</v>
      </c>
      <c r="Z34" s="30" t="s">
        <v>135</v>
      </c>
      <c r="AK34" s="30" t="s">
        <v>135</v>
      </c>
      <c r="AV34" s="30" t="s">
        <v>135</v>
      </c>
      <c r="BG34" s="30" t="s">
        <v>135</v>
      </c>
      <c r="BR34" s="30" t="s">
        <v>135</v>
      </c>
      <c r="CC34" s="30" t="s">
        <v>135</v>
      </c>
    </row>
    <row r="35" spans="1:87" ht="13.5" thickBot="1" x14ac:dyDescent="0.25">
      <c r="A35" s="30" t="s">
        <v>151</v>
      </c>
      <c r="B35" s="58" t="s">
        <v>126</v>
      </c>
      <c r="C35" s="57"/>
      <c r="D35" s="57"/>
      <c r="E35" s="57"/>
      <c r="F35" s="56"/>
      <c r="G35" s="32"/>
      <c r="H35" s="32"/>
      <c r="I35" s="32"/>
      <c r="L35" s="30" t="s">
        <v>150</v>
      </c>
      <c r="M35" s="58" t="s">
        <v>126</v>
      </c>
      <c r="N35" s="57"/>
      <c r="O35" s="57"/>
      <c r="P35" s="57"/>
      <c r="Q35" s="56"/>
      <c r="R35" s="32"/>
      <c r="S35" s="32"/>
      <c r="T35" s="32"/>
      <c r="W35" s="30" t="s">
        <v>149</v>
      </c>
      <c r="X35" s="58" t="s">
        <v>126</v>
      </c>
      <c r="Y35" s="57"/>
      <c r="Z35" s="57"/>
      <c r="AA35" s="57"/>
      <c r="AB35" s="56"/>
      <c r="AC35" s="32"/>
      <c r="AD35" s="32"/>
      <c r="AE35" s="32"/>
      <c r="AH35" s="30" t="s">
        <v>148</v>
      </c>
      <c r="AI35" s="58" t="s">
        <v>126</v>
      </c>
      <c r="AJ35" s="57"/>
      <c r="AK35" s="57"/>
      <c r="AL35" s="57"/>
      <c r="AM35" s="56"/>
      <c r="AN35" s="32"/>
      <c r="AO35" s="32"/>
      <c r="AP35" s="32"/>
      <c r="AS35" s="30" t="s">
        <v>147</v>
      </c>
      <c r="AT35" s="58" t="s">
        <v>126</v>
      </c>
      <c r="AU35" s="57"/>
      <c r="AV35" s="57"/>
      <c r="AW35" s="57"/>
      <c r="AX35" s="56"/>
      <c r="AY35" s="32"/>
      <c r="AZ35" s="32"/>
      <c r="BA35" s="32"/>
      <c r="BD35" s="30" t="s">
        <v>146</v>
      </c>
      <c r="BE35" s="58" t="s">
        <v>126</v>
      </c>
      <c r="BF35" s="57"/>
      <c r="BG35" s="57"/>
      <c r="BH35" s="57"/>
      <c r="BI35" s="56"/>
      <c r="BJ35" s="32"/>
      <c r="BK35" s="32"/>
      <c r="BL35" s="32"/>
      <c r="BO35" s="30" t="s">
        <v>145</v>
      </c>
      <c r="BP35" s="58" t="s">
        <v>126</v>
      </c>
      <c r="BQ35" s="57"/>
      <c r="BR35" s="57"/>
      <c r="BS35" s="57"/>
      <c r="BT35" s="56"/>
      <c r="BU35" s="32"/>
      <c r="BV35" s="32"/>
      <c r="BW35" s="32"/>
      <c r="BZ35" s="30" t="s">
        <v>144</v>
      </c>
      <c r="CA35" s="58" t="s">
        <v>126</v>
      </c>
      <c r="CB35" s="57"/>
      <c r="CC35" s="57"/>
      <c r="CD35" s="57"/>
      <c r="CE35" s="56"/>
      <c r="CF35" s="32"/>
      <c r="CG35" s="32"/>
    </row>
    <row r="36" spans="1:87" ht="51.75" thickBot="1" x14ac:dyDescent="0.25">
      <c r="A36" s="55" t="s">
        <v>125</v>
      </c>
      <c r="B36" s="54" t="s">
        <v>122</v>
      </c>
      <c r="C36" s="54" t="s">
        <v>121</v>
      </c>
      <c r="D36" s="53" t="s">
        <v>120</v>
      </c>
      <c r="E36" s="52" t="s">
        <v>119</v>
      </c>
      <c r="F36" s="51" t="s">
        <v>118</v>
      </c>
      <c r="G36" s="50" t="s">
        <v>117</v>
      </c>
      <c r="H36" s="50" t="s">
        <v>116</v>
      </c>
      <c r="I36" s="49" t="s">
        <v>115</v>
      </c>
      <c r="J36" s="48" t="s">
        <v>114</v>
      </c>
      <c r="L36" s="55" t="s">
        <v>125</v>
      </c>
      <c r="M36" s="54" t="s">
        <v>122</v>
      </c>
      <c r="N36" s="54" t="s">
        <v>121</v>
      </c>
      <c r="O36" s="53" t="s">
        <v>120</v>
      </c>
      <c r="P36" s="52" t="s">
        <v>119</v>
      </c>
      <c r="Q36" s="51" t="s">
        <v>118</v>
      </c>
      <c r="R36" s="50" t="s">
        <v>117</v>
      </c>
      <c r="S36" s="50" t="s">
        <v>116</v>
      </c>
      <c r="T36" s="49" t="s">
        <v>115</v>
      </c>
      <c r="U36" s="48" t="s">
        <v>114</v>
      </c>
      <c r="W36" s="55" t="s">
        <v>125</v>
      </c>
      <c r="X36" s="54" t="s">
        <v>122</v>
      </c>
      <c r="Y36" s="54" t="s">
        <v>121</v>
      </c>
      <c r="Z36" s="53" t="s">
        <v>120</v>
      </c>
      <c r="AA36" s="52" t="s">
        <v>119</v>
      </c>
      <c r="AB36" s="51" t="s">
        <v>118</v>
      </c>
      <c r="AC36" s="50" t="s">
        <v>117</v>
      </c>
      <c r="AD36" s="50" t="s">
        <v>116</v>
      </c>
      <c r="AE36" s="49" t="s">
        <v>115</v>
      </c>
      <c r="AF36" s="48" t="s">
        <v>114</v>
      </c>
      <c r="AH36" s="55" t="s">
        <v>125</v>
      </c>
      <c r="AI36" s="54" t="s">
        <v>122</v>
      </c>
      <c r="AJ36" s="54" t="s">
        <v>121</v>
      </c>
      <c r="AK36" s="53" t="s">
        <v>120</v>
      </c>
      <c r="AL36" s="52" t="s">
        <v>119</v>
      </c>
      <c r="AM36" s="51" t="s">
        <v>118</v>
      </c>
      <c r="AN36" s="50" t="s">
        <v>117</v>
      </c>
      <c r="AO36" s="50" t="s">
        <v>116</v>
      </c>
      <c r="AP36" s="49" t="s">
        <v>115</v>
      </c>
      <c r="AQ36" s="48" t="s">
        <v>114</v>
      </c>
      <c r="AS36" s="55" t="s">
        <v>125</v>
      </c>
      <c r="AT36" s="54" t="s">
        <v>122</v>
      </c>
      <c r="AU36" s="54" t="s">
        <v>121</v>
      </c>
      <c r="AV36" s="53" t="s">
        <v>120</v>
      </c>
      <c r="AW36" s="52" t="s">
        <v>119</v>
      </c>
      <c r="AX36" s="51" t="s">
        <v>118</v>
      </c>
      <c r="AY36" s="50" t="s">
        <v>117</v>
      </c>
      <c r="AZ36" s="50" t="s">
        <v>116</v>
      </c>
      <c r="BA36" s="49" t="s">
        <v>115</v>
      </c>
      <c r="BB36" s="48" t="s">
        <v>114</v>
      </c>
      <c r="BD36" s="55" t="s">
        <v>125</v>
      </c>
      <c r="BE36" s="54" t="s">
        <v>122</v>
      </c>
      <c r="BF36" s="54" t="s">
        <v>121</v>
      </c>
      <c r="BG36" s="53" t="s">
        <v>120</v>
      </c>
      <c r="BH36" s="52" t="s">
        <v>119</v>
      </c>
      <c r="BI36" s="51" t="s">
        <v>118</v>
      </c>
      <c r="BJ36" s="50" t="s">
        <v>117</v>
      </c>
      <c r="BK36" s="50" t="s">
        <v>116</v>
      </c>
      <c r="BL36" s="49" t="s">
        <v>115</v>
      </c>
      <c r="BM36" s="48" t="s">
        <v>114</v>
      </c>
      <c r="BO36" s="55" t="s">
        <v>125</v>
      </c>
      <c r="BP36" s="54" t="s">
        <v>122</v>
      </c>
      <c r="BQ36" s="54" t="s">
        <v>121</v>
      </c>
      <c r="BR36" s="53" t="s">
        <v>120</v>
      </c>
      <c r="BS36" s="52" t="s">
        <v>119</v>
      </c>
      <c r="BT36" s="51" t="s">
        <v>118</v>
      </c>
      <c r="BU36" s="50" t="s">
        <v>117</v>
      </c>
      <c r="BV36" s="50" t="s">
        <v>116</v>
      </c>
      <c r="BW36" s="49" t="s">
        <v>115</v>
      </c>
      <c r="BX36" s="48" t="s">
        <v>114</v>
      </c>
      <c r="BZ36" s="55" t="s">
        <v>125</v>
      </c>
      <c r="CA36" s="54" t="s">
        <v>122</v>
      </c>
      <c r="CB36" s="54" t="s">
        <v>121</v>
      </c>
      <c r="CC36" s="53" t="s">
        <v>120</v>
      </c>
      <c r="CD36" s="52" t="s">
        <v>119</v>
      </c>
      <c r="CE36" s="51" t="s">
        <v>118</v>
      </c>
      <c r="CF36" s="50" t="s">
        <v>117</v>
      </c>
      <c r="CG36" s="50" t="s">
        <v>116</v>
      </c>
      <c r="CH36" s="49" t="s">
        <v>115</v>
      </c>
      <c r="CI36" s="48" t="s">
        <v>114</v>
      </c>
    </row>
    <row r="37" spans="1:87" ht="13.5" thickTop="1" x14ac:dyDescent="0.2">
      <c r="A37" s="47">
        <v>30</v>
      </c>
      <c r="B37" s="45">
        <v>55.4</v>
      </c>
      <c r="C37" s="46">
        <v>77.400000000000006</v>
      </c>
      <c r="D37" s="32">
        <f t="shared" ref="D37:D42" si="120">C37-B37</f>
        <v>22.000000000000007</v>
      </c>
      <c r="E37" s="45">
        <v>75.900000000000006</v>
      </c>
      <c r="F37" s="32">
        <f t="shared" ref="F37:F42" si="121">E37-B37</f>
        <v>20.500000000000007</v>
      </c>
      <c r="G37" s="45">
        <f t="shared" ref="G37:G42" si="122">D37-F37</f>
        <v>1.5</v>
      </c>
      <c r="H37" s="44">
        <f t="shared" ref="H37:H42" si="123">(G37/F37)</f>
        <v>7.3170731707317041E-2</v>
      </c>
      <c r="I37" s="30">
        <v>1.49</v>
      </c>
      <c r="J37" s="33">
        <f t="shared" ref="J37:J42" si="124">H37*I37</f>
        <v>0.1090243902439024</v>
      </c>
      <c r="L37" s="47">
        <v>30</v>
      </c>
      <c r="M37" s="45">
        <v>24.54</v>
      </c>
      <c r="N37" s="46">
        <v>50.07</v>
      </c>
      <c r="O37" s="32">
        <f t="shared" ref="O37:O42" si="125">N37-M37</f>
        <v>25.53</v>
      </c>
      <c r="P37" s="45">
        <v>47.22</v>
      </c>
      <c r="Q37" s="32">
        <f t="shared" ref="Q37:Q42" si="126">P37-M37</f>
        <v>22.68</v>
      </c>
      <c r="R37" s="45">
        <f t="shared" ref="R37:R42" si="127">O37-Q37</f>
        <v>2.8500000000000014</v>
      </c>
      <c r="S37" s="44">
        <f t="shared" ref="S37:S42" si="128">(R37/Q37)</f>
        <v>0.12566137566137572</v>
      </c>
      <c r="T37" s="30">
        <v>1.49</v>
      </c>
      <c r="U37" s="33">
        <f t="shared" ref="U37:U42" si="129">S37*T37</f>
        <v>0.18723544973544984</v>
      </c>
      <c r="W37" s="47">
        <v>30</v>
      </c>
      <c r="X37" s="45">
        <v>28.39</v>
      </c>
      <c r="Y37" s="46">
        <v>54.4</v>
      </c>
      <c r="Z37" s="32">
        <f t="shared" ref="Z37:Z42" si="130">Y37-X37</f>
        <v>26.009999999999998</v>
      </c>
      <c r="AA37" s="45">
        <v>52.9</v>
      </c>
      <c r="AB37" s="32">
        <f t="shared" ref="AB37:AB42" si="131">AA37-X37</f>
        <v>24.509999999999998</v>
      </c>
      <c r="AC37" s="45">
        <f t="shared" ref="AC37:AC42" si="132">Z37-AB37</f>
        <v>1.5</v>
      </c>
      <c r="AD37" s="44">
        <f t="shared" ref="AD37:AD42" si="133">(AC37/AB37)</f>
        <v>6.1199510403916774E-2</v>
      </c>
      <c r="AE37" s="30">
        <v>1.49</v>
      </c>
      <c r="AF37" s="33">
        <f t="shared" ref="AF37:AF42" si="134">AD37*AE37</f>
        <v>9.118727050183599E-2</v>
      </c>
      <c r="AH37" s="47">
        <v>30</v>
      </c>
      <c r="AI37" s="45">
        <v>24.03</v>
      </c>
      <c r="AJ37" s="46">
        <v>43.63</v>
      </c>
      <c r="AK37" s="32">
        <f t="shared" ref="AK37:AK42" si="135">AJ37-AI37</f>
        <v>19.600000000000001</v>
      </c>
      <c r="AL37" s="45">
        <v>42.41</v>
      </c>
      <c r="AM37" s="32">
        <f t="shared" ref="AM37:AM42" si="136">AL37-AI37</f>
        <v>18.379999999999995</v>
      </c>
      <c r="AN37" s="45">
        <f t="shared" ref="AN37:AN42" si="137">AK37-AM37</f>
        <v>1.220000000000006</v>
      </c>
      <c r="AO37" s="44">
        <f t="shared" ref="AO37:AO42" si="138">(AN37/AM37)</f>
        <v>6.6376496191512854E-2</v>
      </c>
      <c r="AP37" s="30">
        <v>1.49</v>
      </c>
      <c r="AQ37" s="33">
        <f t="shared" ref="AQ37:AQ42" si="139">AO37*AP37</f>
        <v>9.8900979325354146E-2</v>
      </c>
      <c r="AS37" s="47">
        <v>30</v>
      </c>
      <c r="AT37" s="45">
        <v>24.7</v>
      </c>
      <c r="AU37" s="46">
        <v>48.22</v>
      </c>
      <c r="AV37" s="32">
        <f t="shared" ref="AV37:AV42" si="140">AU37-AT37</f>
        <v>23.52</v>
      </c>
      <c r="AW37" s="45">
        <v>45.47</v>
      </c>
      <c r="AX37" s="32">
        <f t="shared" ref="AX37:AX42" si="141">AW37-AT37</f>
        <v>20.77</v>
      </c>
      <c r="AY37" s="45">
        <f t="shared" ref="AY37:AY42" si="142">AV37-AX37</f>
        <v>2.75</v>
      </c>
      <c r="AZ37" s="44">
        <f t="shared" ref="AZ37:AZ42" si="143">(AY37/AX37)</f>
        <v>0.13240250361097738</v>
      </c>
      <c r="BA37" s="30">
        <v>1.49</v>
      </c>
      <c r="BB37" s="33">
        <f t="shared" ref="BB37:BB42" si="144">AZ37*BA37</f>
        <v>0.19727973038035629</v>
      </c>
      <c r="BD37" s="47">
        <v>30</v>
      </c>
      <c r="BE37" s="45">
        <v>29.06</v>
      </c>
      <c r="BF37" s="46">
        <v>51.68</v>
      </c>
      <c r="BG37" s="32">
        <f t="shared" ref="BG37:BG42" si="145">BF37-BE37</f>
        <v>22.62</v>
      </c>
      <c r="BH37" s="45">
        <v>49.91</v>
      </c>
      <c r="BI37" s="32">
        <f t="shared" ref="BI37:BI42" si="146">BH37-BE37</f>
        <v>20.849999999999998</v>
      </c>
      <c r="BJ37" s="45">
        <f t="shared" ref="BJ37:BJ42" si="147">BG37-BI37</f>
        <v>1.7700000000000031</v>
      </c>
      <c r="BK37" s="44">
        <f t="shared" ref="BK37:BK42" si="148">(BJ37/BI37)</f>
        <v>8.489208633093541E-2</v>
      </c>
      <c r="BL37" s="30">
        <v>1.49</v>
      </c>
      <c r="BM37" s="33">
        <f t="shared" ref="BM37:BM42" si="149">BK37*BL37</f>
        <v>0.12648920863309376</v>
      </c>
      <c r="BO37" s="47">
        <v>30</v>
      </c>
      <c r="BP37" s="45">
        <v>58</v>
      </c>
      <c r="BQ37" s="46">
        <v>80.73</v>
      </c>
      <c r="BR37" s="32">
        <f t="shared" ref="BR37:BR42" si="150">BQ37-BP37</f>
        <v>22.730000000000004</v>
      </c>
      <c r="BS37" s="45">
        <v>78.84</v>
      </c>
      <c r="BT37" s="32">
        <f t="shared" ref="BT37:BT42" si="151">BS37-BP37</f>
        <v>20.840000000000003</v>
      </c>
      <c r="BU37" s="45">
        <f t="shared" ref="BU37:BU42" si="152">BR37-BT37</f>
        <v>1.8900000000000006</v>
      </c>
      <c r="BV37" s="44">
        <f t="shared" ref="BV37:BV42" si="153">(BU37/BT37)</f>
        <v>9.0690978886756257E-2</v>
      </c>
      <c r="BW37" s="30">
        <v>1.49</v>
      </c>
      <c r="BX37" s="33">
        <f t="shared" ref="BX37:BX42" si="154">BV37*BW37</f>
        <v>0.13512955854126682</v>
      </c>
      <c r="BZ37" s="47">
        <v>30</v>
      </c>
      <c r="CA37" s="45">
        <v>51.78</v>
      </c>
      <c r="CB37" s="46">
        <v>73.66</v>
      </c>
      <c r="CC37" s="32">
        <f t="shared" ref="CC37:CC42" si="155">CB37-CA37</f>
        <v>21.879999999999995</v>
      </c>
      <c r="CD37" s="45">
        <v>72.010000000000005</v>
      </c>
      <c r="CE37" s="32">
        <f t="shared" ref="CE37:CE42" si="156">CD37-CA37</f>
        <v>20.230000000000004</v>
      </c>
      <c r="CF37" s="45">
        <f t="shared" ref="CF37:CF42" si="157">CC37-CE37</f>
        <v>1.6499999999999915</v>
      </c>
      <c r="CG37" s="44">
        <f t="shared" ref="CG37:CG42" si="158">(CF37/CE37)</f>
        <v>8.156203657933718E-2</v>
      </c>
      <c r="CH37" s="30">
        <v>1.49</v>
      </c>
      <c r="CI37" s="33">
        <f t="shared" ref="CI37:CI42" si="159">CG37*CH37</f>
        <v>0.12152743450321239</v>
      </c>
    </row>
    <row r="38" spans="1:87" x14ac:dyDescent="0.2">
      <c r="A38" s="43">
        <v>60</v>
      </c>
      <c r="B38" s="41">
        <v>61.6</v>
      </c>
      <c r="C38" s="42">
        <v>85.7</v>
      </c>
      <c r="D38" s="32">
        <f t="shared" si="120"/>
        <v>24.1</v>
      </c>
      <c r="E38" s="41">
        <v>83.2</v>
      </c>
      <c r="F38" s="32">
        <f t="shared" si="121"/>
        <v>21.6</v>
      </c>
      <c r="G38" s="41">
        <f t="shared" si="122"/>
        <v>2.5</v>
      </c>
      <c r="H38" s="40">
        <f t="shared" si="123"/>
        <v>0.11574074074074073</v>
      </c>
      <c r="I38" s="30">
        <v>1.42</v>
      </c>
      <c r="J38" s="33">
        <f t="shared" si="124"/>
        <v>0.16435185185185183</v>
      </c>
      <c r="L38" s="43">
        <v>60</v>
      </c>
      <c r="M38" s="41">
        <v>44.46</v>
      </c>
      <c r="N38" s="42">
        <v>69.38</v>
      </c>
      <c r="O38" s="32">
        <f t="shared" si="125"/>
        <v>24.919999999999995</v>
      </c>
      <c r="P38" s="41">
        <v>67.64</v>
      </c>
      <c r="Q38" s="32">
        <f t="shared" si="126"/>
        <v>23.18</v>
      </c>
      <c r="R38" s="41">
        <f t="shared" si="127"/>
        <v>1.7399999999999949</v>
      </c>
      <c r="S38" s="40">
        <f t="shared" si="128"/>
        <v>7.506471095772195E-2</v>
      </c>
      <c r="T38" s="30">
        <v>1.42</v>
      </c>
      <c r="U38" s="33">
        <f t="shared" si="129"/>
        <v>0.10659188955996517</v>
      </c>
      <c r="W38" s="43">
        <v>60</v>
      </c>
      <c r="X38" s="41">
        <v>30.06</v>
      </c>
      <c r="Y38" s="42">
        <v>54.98</v>
      </c>
      <c r="Z38" s="32">
        <f t="shared" si="130"/>
        <v>24.919999999999998</v>
      </c>
      <c r="AA38" s="41">
        <v>53.38</v>
      </c>
      <c r="AB38" s="32">
        <f t="shared" si="131"/>
        <v>23.320000000000004</v>
      </c>
      <c r="AC38" s="41">
        <f t="shared" si="132"/>
        <v>1.5999999999999943</v>
      </c>
      <c r="AD38" s="40">
        <f t="shared" si="133"/>
        <v>6.8610634648370236E-2</v>
      </c>
      <c r="AE38" s="30">
        <v>1.42</v>
      </c>
      <c r="AF38" s="33">
        <f t="shared" si="134"/>
        <v>9.7427101200685734E-2</v>
      </c>
      <c r="AH38" s="43">
        <v>60</v>
      </c>
      <c r="AI38" s="41">
        <v>24.31</v>
      </c>
      <c r="AJ38" s="42">
        <v>45.68</v>
      </c>
      <c r="AK38" s="32">
        <f t="shared" si="135"/>
        <v>21.37</v>
      </c>
      <c r="AL38" s="41">
        <v>44.06</v>
      </c>
      <c r="AM38" s="32">
        <f t="shared" si="136"/>
        <v>19.750000000000004</v>
      </c>
      <c r="AN38" s="41">
        <f t="shared" si="137"/>
        <v>1.6199999999999974</v>
      </c>
      <c r="AO38" s="40">
        <f t="shared" si="138"/>
        <v>8.2025316455696065E-2</v>
      </c>
      <c r="AP38" s="30">
        <v>1.42</v>
      </c>
      <c r="AQ38" s="33">
        <f t="shared" si="139"/>
        <v>0.11647594936708841</v>
      </c>
      <c r="AS38" s="43">
        <v>60</v>
      </c>
      <c r="AT38" s="41">
        <v>39.4</v>
      </c>
      <c r="AU38" s="42">
        <v>64.900000000000006</v>
      </c>
      <c r="AV38" s="32">
        <f t="shared" si="140"/>
        <v>25.500000000000007</v>
      </c>
      <c r="AW38" s="41">
        <v>61.9</v>
      </c>
      <c r="AX38" s="32">
        <f t="shared" si="141"/>
        <v>22.5</v>
      </c>
      <c r="AY38" s="41">
        <f t="shared" si="142"/>
        <v>3.0000000000000071</v>
      </c>
      <c r="AZ38" s="40">
        <f t="shared" si="143"/>
        <v>0.13333333333333364</v>
      </c>
      <c r="BA38" s="30">
        <v>1.42</v>
      </c>
      <c r="BB38" s="33">
        <f t="shared" si="144"/>
        <v>0.18933333333333374</v>
      </c>
      <c r="BD38" s="43">
        <v>60</v>
      </c>
      <c r="BE38" s="41">
        <v>39.82</v>
      </c>
      <c r="BF38" s="42">
        <v>64.7</v>
      </c>
      <c r="BG38" s="32">
        <f t="shared" si="145"/>
        <v>24.880000000000003</v>
      </c>
      <c r="BH38" s="41">
        <v>62.56</v>
      </c>
      <c r="BI38" s="32">
        <f t="shared" si="146"/>
        <v>22.740000000000002</v>
      </c>
      <c r="BJ38" s="41">
        <f t="shared" si="147"/>
        <v>2.1400000000000006</v>
      </c>
      <c r="BK38" s="40">
        <f t="shared" si="148"/>
        <v>9.4107299912049275E-2</v>
      </c>
      <c r="BL38" s="30">
        <v>1.42</v>
      </c>
      <c r="BM38" s="33">
        <f t="shared" si="149"/>
        <v>0.13363236587510996</v>
      </c>
      <c r="BO38" s="43">
        <v>60</v>
      </c>
      <c r="BP38" s="41">
        <v>56.51</v>
      </c>
      <c r="BQ38" s="42">
        <v>80.36</v>
      </c>
      <c r="BR38" s="32">
        <f t="shared" si="150"/>
        <v>23.85</v>
      </c>
      <c r="BS38" s="41">
        <v>77.91</v>
      </c>
      <c r="BT38" s="32">
        <f t="shared" si="151"/>
        <v>21.4</v>
      </c>
      <c r="BU38" s="41">
        <f t="shared" si="152"/>
        <v>2.4500000000000028</v>
      </c>
      <c r="BV38" s="40">
        <f t="shared" si="153"/>
        <v>0.11448598130841135</v>
      </c>
      <c r="BW38" s="30">
        <v>1.42</v>
      </c>
      <c r="BX38" s="33">
        <f t="shared" si="154"/>
        <v>0.16257009345794413</v>
      </c>
      <c r="BZ38" s="43">
        <v>60</v>
      </c>
      <c r="CA38" s="41">
        <v>54.55</v>
      </c>
      <c r="CB38" s="42">
        <v>77.55</v>
      </c>
      <c r="CC38" s="32">
        <f t="shared" si="155"/>
        <v>23</v>
      </c>
      <c r="CD38" s="41">
        <v>75.47</v>
      </c>
      <c r="CE38" s="32">
        <f t="shared" si="156"/>
        <v>20.92</v>
      </c>
      <c r="CF38" s="41">
        <f t="shared" si="157"/>
        <v>2.0799999999999983</v>
      </c>
      <c r="CG38" s="40">
        <f t="shared" si="158"/>
        <v>9.9426386233269506E-2</v>
      </c>
      <c r="CH38" s="30">
        <v>1.42</v>
      </c>
      <c r="CI38" s="33">
        <f t="shared" si="159"/>
        <v>0.14118546845124269</v>
      </c>
    </row>
    <row r="39" spans="1:87" x14ac:dyDescent="0.2">
      <c r="A39" s="43">
        <v>90</v>
      </c>
      <c r="B39" s="41">
        <v>29.3</v>
      </c>
      <c r="C39" s="42">
        <v>54.8</v>
      </c>
      <c r="D39" s="32">
        <f t="shared" si="120"/>
        <v>25.499999999999996</v>
      </c>
      <c r="E39" s="41">
        <v>52.2</v>
      </c>
      <c r="F39" s="32">
        <f t="shared" si="121"/>
        <v>22.900000000000002</v>
      </c>
      <c r="G39" s="41">
        <f t="shared" si="122"/>
        <v>2.5999999999999943</v>
      </c>
      <c r="H39" s="40">
        <f t="shared" si="123"/>
        <v>0.11353711790392987</v>
      </c>
      <c r="I39" s="30">
        <v>1.58</v>
      </c>
      <c r="J39" s="33">
        <f t="shared" si="124"/>
        <v>0.17938864628820919</v>
      </c>
      <c r="L39" s="43">
        <v>90</v>
      </c>
      <c r="M39" s="41">
        <v>55.1</v>
      </c>
      <c r="N39" s="42">
        <v>80.180000000000007</v>
      </c>
      <c r="O39" s="32">
        <f t="shared" si="125"/>
        <v>25.080000000000005</v>
      </c>
      <c r="P39" s="41">
        <v>78.62</v>
      </c>
      <c r="Q39" s="32">
        <f t="shared" si="126"/>
        <v>23.520000000000003</v>
      </c>
      <c r="R39" s="41">
        <f t="shared" si="127"/>
        <v>1.5600000000000023</v>
      </c>
      <c r="S39" s="40">
        <f t="shared" si="128"/>
        <v>6.6326530612244985E-2</v>
      </c>
      <c r="T39" s="30">
        <v>1.58</v>
      </c>
      <c r="U39" s="33">
        <f t="shared" si="129"/>
        <v>0.10479591836734709</v>
      </c>
      <c r="W39" s="43">
        <v>90</v>
      </c>
      <c r="X39" s="41">
        <v>33.76</v>
      </c>
      <c r="Y39" s="42">
        <v>56.23</v>
      </c>
      <c r="Z39" s="32">
        <f t="shared" si="130"/>
        <v>22.47</v>
      </c>
      <c r="AA39" s="41">
        <v>54.36</v>
      </c>
      <c r="AB39" s="32">
        <f t="shared" si="131"/>
        <v>20.6</v>
      </c>
      <c r="AC39" s="41">
        <f t="shared" si="132"/>
        <v>1.8699999999999974</v>
      </c>
      <c r="AD39" s="40">
        <f t="shared" si="133"/>
        <v>9.0776699029126079E-2</v>
      </c>
      <c r="AE39" s="30">
        <v>1.58</v>
      </c>
      <c r="AF39" s="33">
        <f t="shared" si="134"/>
        <v>0.14342718446601921</v>
      </c>
      <c r="AH39" s="43">
        <v>90</v>
      </c>
      <c r="AI39" s="41">
        <v>37.15</v>
      </c>
      <c r="AJ39" s="42">
        <v>60.12</v>
      </c>
      <c r="AK39" s="32">
        <f t="shared" si="135"/>
        <v>22.97</v>
      </c>
      <c r="AL39" s="41">
        <v>58.13</v>
      </c>
      <c r="AM39" s="32">
        <f t="shared" si="136"/>
        <v>20.980000000000004</v>
      </c>
      <c r="AN39" s="41">
        <f t="shared" si="137"/>
        <v>1.9899999999999949</v>
      </c>
      <c r="AO39" s="40">
        <f t="shared" si="138"/>
        <v>9.4852240228789061E-2</v>
      </c>
      <c r="AP39" s="30">
        <v>1.58</v>
      </c>
      <c r="AQ39" s="33">
        <f t="shared" si="139"/>
        <v>0.14986653956148671</v>
      </c>
      <c r="AS39" s="43">
        <v>90</v>
      </c>
      <c r="AT39" s="41">
        <v>40</v>
      </c>
      <c r="AU39" s="42">
        <v>63.9</v>
      </c>
      <c r="AV39" s="32">
        <f t="shared" si="140"/>
        <v>23.9</v>
      </c>
      <c r="AW39" s="41">
        <v>61.3</v>
      </c>
      <c r="AX39" s="32">
        <f t="shared" si="141"/>
        <v>21.299999999999997</v>
      </c>
      <c r="AY39" s="41">
        <f t="shared" si="142"/>
        <v>2.6000000000000014</v>
      </c>
      <c r="AZ39" s="40">
        <f t="shared" si="143"/>
        <v>0.1220657276995306</v>
      </c>
      <c r="BA39" s="30">
        <v>1.58</v>
      </c>
      <c r="BB39" s="33">
        <f t="shared" si="144"/>
        <v>0.19286384976525836</v>
      </c>
      <c r="BD39" s="43">
        <v>90</v>
      </c>
      <c r="BE39" s="41">
        <v>33.61</v>
      </c>
      <c r="BF39" s="42">
        <v>60.42</v>
      </c>
      <c r="BG39" s="32">
        <f t="shared" si="145"/>
        <v>26.810000000000002</v>
      </c>
      <c r="BH39" s="41">
        <v>57.82</v>
      </c>
      <c r="BI39" s="32">
        <f t="shared" si="146"/>
        <v>24.21</v>
      </c>
      <c r="BJ39" s="41">
        <f t="shared" si="147"/>
        <v>2.6000000000000014</v>
      </c>
      <c r="BK39" s="40">
        <f t="shared" si="148"/>
        <v>0.10739363899215205</v>
      </c>
      <c r="BL39" s="30">
        <v>1.58</v>
      </c>
      <c r="BM39" s="33">
        <f t="shared" si="149"/>
        <v>0.16968194960760025</v>
      </c>
      <c r="BO39" s="43">
        <v>90</v>
      </c>
      <c r="BP39" s="41">
        <v>56.65</v>
      </c>
      <c r="BQ39" s="42">
        <v>79.44</v>
      </c>
      <c r="BR39" s="32">
        <f t="shared" si="150"/>
        <v>22.79</v>
      </c>
      <c r="BS39" s="41">
        <v>76.53</v>
      </c>
      <c r="BT39" s="32">
        <f t="shared" si="151"/>
        <v>19.880000000000003</v>
      </c>
      <c r="BU39" s="41">
        <f t="shared" si="152"/>
        <v>2.9099999999999966</v>
      </c>
      <c r="BV39" s="40">
        <f t="shared" si="153"/>
        <v>0.14637826961770606</v>
      </c>
      <c r="BW39" s="30">
        <v>1.58</v>
      </c>
      <c r="BX39" s="33">
        <f t="shared" si="154"/>
        <v>0.23127766599597557</v>
      </c>
      <c r="BZ39" s="43">
        <v>90</v>
      </c>
      <c r="CA39" s="41">
        <v>40.5</v>
      </c>
      <c r="CB39" s="42">
        <v>65.3</v>
      </c>
      <c r="CC39" s="32">
        <f t="shared" si="155"/>
        <v>24.799999999999997</v>
      </c>
      <c r="CD39" s="41">
        <v>62.2</v>
      </c>
      <c r="CE39" s="32">
        <f t="shared" si="156"/>
        <v>21.700000000000003</v>
      </c>
      <c r="CF39" s="41">
        <f t="shared" si="157"/>
        <v>3.0999999999999943</v>
      </c>
      <c r="CG39" s="40">
        <f t="shared" si="158"/>
        <v>0.14285714285714257</v>
      </c>
      <c r="CH39" s="30">
        <v>1.58</v>
      </c>
      <c r="CI39" s="33">
        <f t="shared" si="159"/>
        <v>0.22571428571428528</v>
      </c>
    </row>
    <row r="40" spans="1:87" x14ac:dyDescent="0.2">
      <c r="A40" s="43">
        <v>120</v>
      </c>
      <c r="B40" s="41">
        <v>29</v>
      </c>
      <c r="C40" s="42">
        <v>54.6</v>
      </c>
      <c r="D40" s="32">
        <f t="shared" si="120"/>
        <v>25.6</v>
      </c>
      <c r="E40" s="41">
        <v>52.7</v>
      </c>
      <c r="F40" s="32">
        <f t="shared" si="121"/>
        <v>23.700000000000003</v>
      </c>
      <c r="G40" s="41">
        <f t="shared" si="122"/>
        <v>1.8999999999999986</v>
      </c>
      <c r="H40" s="40">
        <f t="shared" si="123"/>
        <v>8.0168776371307954E-2</v>
      </c>
      <c r="I40" s="30">
        <v>1.58</v>
      </c>
      <c r="J40" s="33">
        <f t="shared" si="124"/>
        <v>0.12666666666666657</v>
      </c>
      <c r="L40" s="43">
        <v>120</v>
      </c>
      <c r="M40" s="41">
        <v>30.16</v>
      </c>
      <c r="N40" s="42">
        <v>58.08</v>
      </c>
      <c r="O40" s="32">
        <f t="shared" si="125"/>
        <v>27.919999999999998</v>
      </c>
      <c r="P40" s="41">
        <v>55.77</v>
      </c>
      <c r="Q40" s="32">
        <f t="shared" si="126"/>
        <v>25.610000000000003</v>
      </c>
      <c r="R40" s="41">
        <f t="shared" si="127"/>
        <v>2.3099999999999952</v>
      </c>
      <c r="S40" s="40">
        <f t="shared" si="128"/>
        <v>9.0199140960562085E-2</v>
      </c>
      <c r="T40" s="30">
        <v>1.58</v>
      </c>
      <c r="U40" s="33">
        <f t="shared" si="129"/>
        <v>0.1425146427176881</v>
      </c>
      <c r="W40" s="43">
        <v>120</v>
      </c>
      <c r="X40" s="41">
        <v>37.630000000000003</v>
      </c>
      <c r="Y40" s="42">
        <v>64.42</v>
      </c>
      <c r="Z40" s="32">
        <f t="shared" si="130"/>
        <v>26.79</v>
      </c>
      <c r="AA40" s="41">
        <v>61.91</v>
      </c>
      <c r="AB40" s="32">
        <f t="shared" si="131"/>
        <v>24.279999999999994</v>
      </c>
      <c r="AC40" s="41">
        <f t="shared" si="132"/>
        <v>2.5100000000000051</v>
      </c>
      <c r="AD40" s="40">
        <f t="shared" si="133"/>
        <v>0.10337726523887997</v>
      </c>
      <c r="AE40" s="30">
        <v>1.58</v>
      </c>
      <c r="AF40" s="33">
        <f t="shared" si="134"/>
        <v>0.16333607907743036</v>
      </c>
      <c r="AH40" s="43">
        <v>120</v>
      </c>
      <c r="AI40" s="41">
        <v>17.72</v>
      </c>
      <c r="AJ40" s="42">
        <v>42.71</v>
      </c>
      <c r="AK40" s="32">
        <f t="shared" si="135"/>
        <v>24.990000000000002</v>
      </c>
      <c r="AL40" s="41">
        <v>40.659999999999997</v>
      </c>
      <c r="AM40" s="32">
        <f t="shared" si="136"/>
        <v>22.939999999999998</v>
      </c>
      <c r="AN40" s="41">
        <f t="shared" si="137"/>
        <v>2.0500000000000043</v>
      </c>
      <c r="AO40" s="40">
        <f t="shared" si="138"/>
        <v>8.9363557105492777E-2</v>
      </c>
      <c r="AP40" s="30">
        <v>1.58</v>
      </c>
      <c r="AQ40" s="33">
        <f t="shared" si="139"/>
        <v>0.14119442022667861</v>
      </c>
      <c r="AS40" s="43">
        <v>120</v>
      </c>
      <c r="AT40" s="41">
        <v>39.299999999999997</v>
      </c>
      <c r="AU40" s="42">
        <v>62.5</v>
      </c>
      <c r="AV40" s="32">
        <f t="shared" si="140"/>
        <v>23.200000000000003</v>
      </c>
      <c r="AW40" s="41">
        <v>60.8</v>
      </c>
      <c r="AX40" s="32">
        <f t="shared" si="141"/>
        <v>21.5</v>
      </c>
      <c r="AY40" s="41">
        <f t="shared" si="142"/>
        <v>1.7000000000000028</v>
      </c>
      <c r="AZ40" s="40">
        <f t="shared" si="143"/>
        <v>7.9069767441860603E-2</v>
      </c>
      <c r="BA40" s="30">
        <v>1.58</v>
      </c>
      <c r="BB40" s="33">
        <f t="shared" si="144"/>
        <v>0.12493023255813976</v>
      </c>
      <c r="BD40" s="43">
        <v>120</v>
      </c>
      <c r="BE40" s="41">
        <v>61.51</v>
      </c>
      <c r="BF40" s="42">
        <v>89.71</v>
      </c>
      <c r="BG40" s="32">
        <f t="shared" si="145"/>
        <v>28.199999999999996</v>
      </c>
      <c r="BH40" s="41">
        <v>87.25</v>
      </c>
      <c r="BI40" s="32">
        <f t="shared" si="146"/>
        <v>25.740000000000002</v>
      </c>
      <c r="BJ40" s="41">
        <f t="shared" si="147"/>
        <v>2.4599999999999937</v>
      </c>
      <c r="BK40" s="40">
        <f t="shared" si="148"/>
        <v>9.5571095571095319E-2</v>
      </c>
      <c r="BL40" s="30">
        <v>1.58</v>
      </c>
      <c r="BM40" s="33">
        <f t="shared" si="149"/>
        <v>0.1510023310023306</v>
      </c>
      <c r="BO40" s="43">
        <v>120</v>
      </c>
      <c r="BP40" s="41">
        <v>18.87</v>
      </c>
      <c r="BQ40" s="42">
        <v>44.31</v>
      </c>
      <c r="BR40" s="32">
        <f t="shared" si="150"/>
        <v>25.44</v>
      </c>
      <c r="BS40" s="41">
        <v>41.99</v>
      </c>
      <c r="BT40" s="32">
        <f t="shared" si="151"/>
        <v>23.12</v>
      </c>
      <c r="BU40" s="41">
        <f t="shared" si="152"/>
        <v>2.3200000000000003</v>
      </c>
      <c r="BV40" s="40">
        <f t="shared" si="153"/>
        <v>0.10034602076124569</v>
      </c>
      <c r="BW40" s="30">
        <v>1.58</v>
      </c>
      <c r="BX40" s="33">
        <f t="shared" si="154"/>
        <v>0.15854671280276819</v>
      </c>
      <c r="BZ40" s="43">
        <v>120</v>
      </c>
      <c r="CA40" s="41">
        <v>45.29</v>
      </c>
      <c r="CB40" s="42">
        <v>72.38</v>
      </c>
      <c r="CC40" s="32">
        <f t="shared" si="155"/>
        <v>27.089999999999996</v>
      </c>
      <c r="CD40" s="41">
        <v>69.75</v>
      </c>
      <c r="CE40" s="32">
        <f t="shared" si="156"/>
        <v>24.46</v>
      </c>
      <c r="CF40" s="41">
        <f t="shared" si="157"/>
        <v>2.6299999999999955</v>
      </c>
      <c r="CG40" s="40">
        <f t="shared" si="158"/>
        <v>0.10752248569092376</v>
      </c>
      <c r="CH40" s="30">
        <v>1.58</v>
      </c>
      <c r="CI40" s="33">
        <f t="shared" si="159"/>
        <v>0.16988552739165955</v>
      </c>
    </row>
    <row r="41" spans="1:87" x14ac:dyDescent="0.2">
      <c r="A41" s="43">
        <v>150</v>
      </c>
      <c r="B41" s="41">
        <v>29.1</v>
      </c>
      <c r="C41" s="42">
        <v>56.1</v>
      </c>
      <c r="D41" s="32">
        <f t="shared" si="120"/>
        <v>27</v>
      </c>
      <c r="E41" s="41">
        <v>54.2</v>
      </c>
      <c r="F41" s="32">
        <f t="shared" si="121"/>
        <v>25.1</v>
      </c>
      <c r="G41" s="41">
        <f t="shared" si="122"/>
        <v>1.8999999999999986</v>
      </c>
      <c r="H41" s="40">
        <f t="shared" si="123"/>
        <v>7.5697211155378419E-2</v>
      </c>
      <c r="I41" s="30">
        <v>1.58</v>
      </c>
      <c r="J41" s="33">
        <f t="shared" si="124"/>
        <v>0.11960159362549791</v>
      </c>
      <c r="L41" s="43">
        <v>150</v>
      </c>
      <c r="M41" s="41">
        <v>51.76</v>
      </c>
      <c r="N41" s="42">
        <v>78.23</v>
      </c>
      <c r="O41" s="32">
        <f t="shared" si="125"/>
        <v>26.470000000000006</v>
      </c>
      <c r="P41" s="41">
        <v>75.44</v>
      </c>
      <c r="Q41" s="32">
        <f t="shared" si="126"/>
        <v>23.68</v>
      </c>
      <c r="R41" s="41">
        <f t="shared" si="127"/>
        <v>2.7900000000000063</v>
      </c>
      <c r="S41" s="40">
        <f t="shared" si="128"/>
        <v>0.11782094594594621</v>
      </c>
      <c r="T41" s="30">
        <v>1.58</v>
      </c>
      <c r="U41" s="33">
        <f t="shared" si="129"/>
        <v>0.18615709459459501</v>
      </c>
      <c r="W41" s="43">
        <v>150</v>
      </c>
      <c r="X41" s="41">
        <v>38.99</v>
      </c>
      <c r="Y41" s="42">
        <v>64.16</v>
      </c>
      <c r="Z41" s="32">
        <f t="shared" si="130"/>
        <v>25.169999999999995</v>
      </c>
      <c r="AA41" s="41">
        <v>62.47</v>
      </c>
      <c r="AB41" s="32">
        <f t="shared" si="131"/>
        <v>23.479999999999997</v>
      </c>
      <c r="AC41" s="41">
        <f t="shared" si="132"/>
        <v>1.6899999999999977</v>
      </c>
      <c r="AD41" s="40">
        <f t="shared" si="133"/>
        <v>7.1976149914821042E-2</v>
      </c>
      <c r="AE41" s="30">
        <v>1.58</v>
      </c>
      <c r="AF41" s="33">
        <f t="shared" si="134"/>
        <v>0.11372231686541726</v>
      </c>
      <c r="AH41" s="43">
        <v>150</v>
      </c>
      <c r="AI41" s="41">
        <v>24.11</v>
      </c>
      <c r="AJ41" s="42">
        <v>50.67</v>
      </c>
      <c r="AK41" s="32">
        <f t="shared" si="135"/>
        <v>26.560000000000002</v>
      </c>
      <c r="AL41" s="41">
        <v>48.74</v>
      </c>
      <c r="AM41" s="32">
        <f t="shared" si="136"/>
        <v>24.630000000000003</v>
      </c>
      <c r="AN41" s="41">
        <f t="shared" si="137"/>
        <v>1.9299999999999997</v>
      </c>
      <c r="AO41" s="40">
        <f t="shared" si="138"/>
        <v>7.835972391392608E-2</v>
      </c>
      <c r="AP41" s="30">
        <v>1.58</v>
      </c>
      <c r="AQ41" s="33">
        <f t="shared" si="139"/>
        <v>0.12380836378400321</v>
      </c>
      <c r="AS41" s="43">
        <v>150</v>
      </c>
      <c r="AT41" s="41">
        <v>46.9</v>
      </c>
      <c r="AU41" s="42">
        <v>71</v>
      </c>
      <c r="AV41" s="32">
        <f t="shared" si="140"/>
        <v>24.1</v>
      </c>
      <c r="AW41" s="41">
        <v>69.5</v>
      </c>
      <c r="AX41" s="32">
        <f t="shared" si="141"/>
        <v>22.6</v>
      </c>
      <c r="AY41" s="41">
        <f t="shared" si="142"/>
        <v>1.5</v>
      </c>
      <c r="AZ41" s="40">
        <f t="shared" si="143"/>
        <v>6.6371681415929196E-2</v>
      </c>
      <c r="BA41" s="30">
        <v>1.58</v>
      </c>
      <c r="BB41" s="33">
        <f t="shared" si="144"/>
        <v>0.10486725663716813</v>
      </c>
      <c r="BD41" s="43">
        <v>150</v>
      </c>
      <c r="BE41" s="41">
        <v>57.1</v>
      </c>
      <c r="BF41" s="42">
        <v>84.91</v>
      </c>
      <c r="BG41" s="32">
        <f t="shared" si="145"/>
        <v>27.809999999999995</v>
      </c>
      <c r="BH41" s="41">
        <v>82.62</v>
      </c>
      <c r="BI41" s="32">
        <f t="shared" si="146"/>
        <v>25.520000000000003</v>
      </c>
      <c r="BJ41" s="41">
        <f t="shared" si="147"/>
        <v>2.289999999999992</v>
      </c>
      <c r="BK41" s="40">
        <f t="shared" si="148"/>
        <v>8.9733542319748894E-2</v>
      </c>
      <c r="BL41" s="30">
        <v>1.58</v>
      </c>
      <c r="BM41" s="33">
        <f t="shared" si="149"/>
        <v>0.14177899686520326</v>
      </c>
      <c r="BO41" s="43">
        <v>150</v>
      </c>
      <c r="BP41" s="41">
        <v>44.73</v>
      </c>
      <c r="BQ41" s="42">
        <v>70.930000000000007</v>
      </c>
      <c r="BR41" s="32">
        <f t="shared" si="150"/>
        <v>26.20000000000001</v>
      </c>
      <c r="BS41" s="41">
        <v>68.61</v>
      </c>
      <c r="BT41" s="32">
        <f t="shared" si="151"/>
        <v>23.880000000000003</v>
      </c>
      <c r="BU41" s="41">
        <f t="shared" si="152"/>
        <v>2.3200000000000074</v>
      </c>
      <c r="BV41" s="40">
        <f t="shared" si="153"/>
        <v>9.7152428810720573E-2</v>
      </c>
      <c r="BW41" s="30">
        <v>1.58</v>
      </c>
      <c r="BX41" s="33">
        <f t="shared" si="154"/>
        <v>0.15350083752093852</v>
      </c>
      <c r="BZ41" s="43">
        <v>150</v>
      </c>
      <c r="CA41" s="41">
        <v>19.190000000000001</v>
      </c>
      <c r="CB41" s="42">
        <v>44.7</v>
      </c>
      <c r="CC41" s="32">
        <f t="shared" si="155"/>
        <v>25.51</v>
      </c>
      <c r="CD41" s="41">
        <v>42.26</v>
      </c>
      <c r="CE41" s="32">
        <f t="shared" si="156"/>
        <v>23.069999999999997</v>
      </c>
      <c r="CF41" s="41">
        <f t="shared" si="157"/>
        <v>2.4400000000000048</v>
      </c>
      <c r="CG41" s="40">
        <f t="shared" si="158"/>
        <v>0.10576506285218921</v>
      </c>
      <c r="CH41" s="30">
        <v>1.58</v>
      </c>
      <c r="CI41" s="33">
        <f t="shared" si="159"/>
        <v>0.16710879930645897</v>
      </c>
    </row>
    <row r="42" spans="1:87" x14ac:dyDescent="0.2">
      <c r="A42" s="43">
        <v>180</v>
      </c>
      <c r="B42" s="41">
        <v>29.5</v>
      </c>
      <c r="C42" s="42">
        <v>58.2</v>
      </c>
      <c r="D42" s="32">
        <f t="shared" si="120"/>
        <v>28.700000000000003</v>
      </c>
      <c r="E42" s="41">
        <v>55.7</v>
      </c>
      <c r="F42" s="32">
        <f t="shared" si="121"/>
        <v>26.200000000000003</v>
      </c>
      <c r="G42" s="41">
        <f t="shared" si="122"/>
        <v>2.5</v>
      </c>
      <c r="H42" s="40">
        <f t="shared" si="123"/>
        <v>9.5419847328244267E-2</v>
      </c>
      <c r="I42" s="30">
        <v>1.58</v>
      </c>
      <c r="J42" s="33">
        <f t="shared" si="124"/>
        <v>0.15076335877862596</v>
      </c>
      <c r="L42" s="43">
        <v>180</v>
      </c>
      <c r="M42" s="41">
        <v>30.7</v>
      </c>
      <c r="N42" s="42">
        <v>58.23</v>
      </c>
      <c r="O42" s="32">
        <f t="shared" si="125"/>
        <v>27.529999999999998</v>
      </c>
      <c r="P42" s="41">
        <v>55.79</v>
      </c>
      <c r="Q42" s="32">
        <f t="shared" si="126"/>
        <v>25.09</v>
      </c>
      <c r="R42" s="41">
        <f t="shared" si="127"/>
        <v>2.4399999999999977</v>
      </c>
      <c r="S42" s="40">
        <f t="shared" si="128"/>
        <v>9.7249900358708563E-2</v>
      </c>
      <c r="T42" s="30">
        <v>1.58</v>
      </c>
      <c r="U42" s="33">
        <f t="shared" si="129"/>
        <v>0.15365484256675954</v>
      </c>
      <c r="W42" s="43">
        <v>180</v>
      </c>
      <c r="X42" s="41">
        <v>39.700000000000003</v>
      </c>
      <c r="Y42" s="42">
        <v>66.2</v>
      </c>
      <c r="Z42" s="32">
        <f t="shared" si="130"/>
        <v>26.5</v>
      </c>
      <c r="AA42" s="41">
        <v>63.7</v>
      </c>
      <c r="AB42" s="32">
        <f t="shared" si="131"/>
        <v>24</v>
      </c>
      <c r="AC42" s="41">
        <f t="shared" si="132"/>
        <v>2.5</v>
      </c>
      <c r="AD42" s="40">
        <f t="shared" si="133"/>
        <v>0.10416666666666667</v>
      </c>
      <c r="AE42" s="30">
        <v>1.58</v>
      </c>
      <c r="AF42" s="33">
        <f t="shared" si="134"/>
        <v>0.16458333333333336</v>
      </c>
      <c r="AH42" s="43">
        <v>180</v>
      </c>
      <c r="AI42" s="41">
        <v>34.21</v>
      </c>
      <c r="AJ42" s="42">
        <v>63.01</v>
      </c>
      <c r="AK42" s="32">
        <f t="shared" si="135"/>
        <v>28.799999999999997</v>
      </c>
      <c r="AL42" s="41">
        <v>60.79</v>
      </c>
      <c r="AM42" s="32">
        <f t="shared" si="136"/>
        <v>26.58</v>
      </c>
      <c r="AN42" s="41">
        <f t="shared" si="137"/>
        <v>2.2199999999999989</v>
      </c>
      <c r="AO42" s="40">
        <f t="shared" si="138"/>
        <v>8.3521444695259558E-2</v>
      </c>
      <c r="AP42" s="30">
        <v>1.58</v>
      </c>
      <c r="AQ42" s="33">
        <f t="shared" si="139"/>
        <v>0.13196388261851011</v>
      </c>
      <c r="AS42" s="43">
        <v>180</v>
      </c>
      <c r="AT42" s="41">
        <v>41.1</v>
      </c>
      <c r="AU42" s="42">
        <v>66.8</v>
      </c>
      <c r="AV42" s="32">
        <f t="shared" si="140"/>
        <v>25.699999999999996</v>
      </c>
      <c r="AW42" s="41">
        <v>64.8</v>
      </c>
      <c r="AX42" s="32">
        <f t="shared" si="141"/>
        <v>23.699999999999996</v>
      </c>
      <c r="AY42" s="41">
        <f t="shared" si="142"/>
        <v>2</v>
      </c>
      <c r="AZ42" s="40">
        <f t="shared" si="143"/>
        <v>8.4388185654008449E-2</v>
      </c>
      <c r="BA42" s="30">
        <v>1.58</v>
      </c>
      <c r="BB42" s="33">
        <f t="shared" si="144"/>
        <v>0.13333333333333336</v>
      </c>
      <c r="BD42" s="43">
        <v>180</v>
      </c>
      <c r="BE42" s="41">
        <v>45.12</v>
      </c>
      <c r="BF42" s="42">
        <v>74.16</v>
      </c>
      <c r="BG42" s="32">
        <f t="shared" si="145"/>
        <v>29.04</v>
      </c>
      <c r="BH42" s="41">
        <v>70.95</v>
      </c>
      <c r="BI42" s="32">
        <f t="shared" si="146"/>
        <v>25.830000000000005</v>
      </c>
      <c r="BJ42" s="41">
        <f t="shared" si="147"/>
        <v>3.2099999999999937</v>
      </c>
      <c r="BK42" s="40">
        <f t="shared" si="148"/>
        <v>0.12427409988385571</v>
      </c>
      <c r="BL42" s="30">
        <v>1.58</v>
      </c>
      <c r="BM42" s="33">
        <f t="shared" si="149"/>
        <v>0.19635307781649203</v>
      </c>
      <c r="BO42" s="43">
        <v>180</v>
      </c>
      <c r="BP42" s="41">
        <v>61.39</v>
      </c>
      <c r="BQ42" s="42">
        <v>89.2</v>
      </c>
      <c r="BR42" s="32">
        <f t="shared" si="150"/>
        <v>27.810000000000002</v>
      </c>
      <c r="BS42" s="41">
        <v>86.69</v>
      </c>
      <c r="BT42" s="32">
        <f t="shared" si="151"/>
        <v>25.299999999999997</v>
      </c>
      <c r="BU42" s="41">
        <f t="shared" si="152"/>
        <v>2.5100000000000051</v>
      </c>
      <c r="BV42" s="40">
        <f t="shared" si="153"/>
        <v>9.9209486166008123E-2</v>
      </c>
      <c r="BW42" s="30">
        <v>1.58</v>
      </c>
      <c r="BX42" s="33">
        <f t="shared" si="154"/>
        <v>0.15675098814229285</v>
      </c>
      <c r="BZ42" s="43">
        <v>180</v>
      </c>
      <c r="CA42" s="41">
        <v>39.299999999999997</v>
      </c>
      <c r="CB42" s="42">
        <v>66.7</v>
      </c>
      <c r="CC42" s="32">
        <f t="shared" si="155"/>
        <v>27.400000000000006</v>
      </c>
      <c r="CD42" s="41">
        <v>64.3</v>
      </c>
      <c r="CE42" s="32">
        <f t="shared" si="156"/>
        <v>25</v>
      </c>
      <c r="CF42" s="41">
        <f t="shared" si="157"/>
        <v>2.4000000000000057</v>
      </c>
      <c r="CG42" s="40">
        <f t="shared" si="158"/>
        <v>9.6000000000000224E-2</v>
      </c>
      <c r="CH42" s="30">
        <v>1.58</v>
      </c>
      <c r="CI42" s="33">
        <f t="shared" si="159"/>
        <v>0.15168000000000037</v>
      </c>
    </row>
    <row r="43" spans="1:87" ht="13.5" thickBot="1" x14ac:dyDescent="0.25">
      <c r="A43" s="37"/>
      <c r="B43" s="34"/>
      <c r="C43" s="35"/>
      <c r="D43" s="35"/>
      <c r="E43" s="35"/>
      <c r="F43" s="34"/>
      <c r="G43" s="34"/>
      <c r="H43" s="59"/>
      <c r="I43" s="32"/>
      <c r="L43" s="37"/>
      <c r="M43" s="34"/>
      <c r="N43" s="35"/>
      <c r="O43" s="35"/>
      <c r="P43" s="35"/>
      <c r="Q43" s="34"/>
      <c r="R43" s="34"/>
      <c r="S43" s="59"/>
      <c r="T43" s="32"/>
      <c r="W43" s="37"/>
      <c r="X43" s="34"/>
      <c r="Y43" s="35"/>
      <c r="Z43" s="35"/>
      <c r="AA43" s="35"/>
      <c r="AB43" s="34"/>
      <c r="AC43" s="34"/>
      <c r="AD43" s="59"/>
      <c r="AE43" s="32"/>
      <c r="AH43" s="37"/>
      <c r="AI43" s="34"/>
      <c r="AJ43" s="35"/>
      <c r="AK43" s="35"/>
      <c r="AL43" s="35"/>
      <c r="AM43" s="34"/>
      <c r="AN43" s="34"/>
      <c r="AO43" s="59"/>
      <c r="AP43" s="32"/>
      <c r="AS43" s="37"/>
      <c r="AT43" s="34"/>
      <c r="AU43" s="35"/>
      <c r="AV43" s="35"/>
      <c r="AW43" s="35"/>
      <c r="AX43" s="34"/>
      <c r="AY43" s="34"/>
      <c r="AZ43" s="59"/>
      <c r="BA43" s="32"/>
      <c r="BD43" s="37"/>
      <c r="BE43" s="34"/>
      <c r="BF43" s="35"/>
      <c r="BG43" s="35"/>
      <c r="BH43" s="35"/>
      <c r="BI43" s="34"/>
      <c r="BJ43" s="34"/>
      <c r="BK43" s="59"/>
      <c r="BL43" s="32"/>
      <c r="BO43" s="37"/>
      <c r="BP43" s="34"/>
      <c r="BQ43" s="35"/>
      <c r="BR43" s="35"/>
      <c r="BS43" s="35"/>
      <c r="BT43" s="34"/>
      <c r="BU43" s="34"/>
      <c r="BV43" s="59"/>
      <c r="BW43" s="32"/>
      <c r="BZ43" s="37"/>
      <c r="CA43" s="34"/>
      <c r="CB43" s="35"/>
      <c r="CC43" s="35"/>
      <c r="CD43" s="35"/>
      <c r="CE43" s="34"/>
      <c r="CF43" s="34"/>
      <c r="CG43" s="59"/>
    </row>
    <row r="44" spans="1:87" ht="14.25" thickTop="1" thickBot="1" x14ac:dyDescent="0.25">
      <c r="B44" s="32"/>
      <c r="F44" s="32"/>
      <c r="H44" s="32"/>
      <c r="I44" s="32"/>
      <c r="M44" s="32"/>
      <c r="Q44" s="32"/>
      <c r="S44" s="32"/>
      <c r="T44" s="32"/>
      <c r="X44" s="32"/>
      <c r="AB44" s="32"/>
      <c r="AD44" s="32"/>
      <c r="AE44" s="32"/>
      <c r="AI44" s="32"/>
      <c r="AM44" s="32"/>
      <c r="AO44" s="32"/>
      <c r="AP44" s="32"/>
      <c r="AT44" s="32"/>
      <c r="AX44" s="32"/>
      <c r="AZ44" s="32"/>
      <c r="BA44" s="32"/>
      <c r="BE44" s="32"/>
      <c r="BI44" s="32"/>
      <c r="BK44" s="32"/>
      <c r="BL44" s="32"/>
      <c r="BP44" s="32"/>
      <c r="BT44" s="32"/>
      <c r="BV44" s="32"/>
      <c r="BW44" s="32"/>
      <c r="CA44" s="32"/>
      <c r="CE44" s="32"/>
      <c r="CG44" s="32"/>
    </row>
    <row r="45" spans="1:87" ht="13.5" thickBot="1" x14ac:dyDescent="0.25">
      <c r="B45" s="58" t="s">
        <v>124</v>
      </c>
      <c r="C45" s="57"/>
      <c r="D45" s="57"/>
      <c r="E45" s="57"/>
      <c r="F45" s="56"/>
      <c r="G45" s="32"/>
      <c r="H45" s="32"/>
      <c r="I45" s="32"/>
      <c r="M45" s="58" t="s">
        <v>124</v>
      </c>
      <c r="N45" s="57"/>
      <c r="O45" s="57"/>
      <c r="P45" s="57"/>
      <c r="Q45" s="56"/>
      <c r="R45" s="32"/>
      <c r="S45" s="32"/>
      <c r="T45" s="32"/>
      <c r="X45" s="58" t="s">
        <v>124</v>
      </c>
      <c r="Y45" s="57"/>
      <c r="Z45" s="57"/>
      <c r="AA45" s="57"/>
      <c r="AB45" s="56"/>
      <c r="AC45" s="32"/>
      <c r="AD45" s="32"/>
      <c r="AE45" s="32"/>
      <c r="AI45" s="58" t="s">
        <v>124</v>
      </c>
      <c r="AJ45" s="57"/>
      <c r="AK45" s="57"/>
      <c r="AL45" s="57"/>
      <c r="AM45" s="56"/>
      <c r="AN45" s="32"/>
      <c r="AO45" s="32"/>
      <c r="AP45" s="32"/>
      <c r="AT45" s="58" t="s">
        <v>124</v>
      </c>
      <c r="AU45" s="57"/>
      <c r="AV45" s="57"/>
      <c r="AW45" s="57"/>
      <c r="AX45" s="56"/>
      <c r="AY45" s="32"/>
      <c r="AZ45" s="32"/>
      <c r="BA45" s="32"/>
      <c r="BE45" s="58" t="s">
        <v>124</v>
      </c>
      <c r="BF45" s="57"/>
      <c r="BG45" s="57"/>
      <c r="BH45" s="57"/>
      <c r="BI45" s="56"/>
      <c r="BJ45" s="32"/>
      <c r="BK45" s="32"/>
      <c r="BL45" s="32"/>
      <c r="BP45" s="58" t="s">
        <v>124</v>
      </c>
      <c r="BQ45" s="57"/>
      <c r="BR45" s="57"/>
      <c r="BS45" s="57"/>
      <c r="BT45" s="56"/>
      <c r="BU45" s="32"/>
      <c r="BV45" s="32"/>
      <c r="BW45" s="32"/>
      <c r="CA45" s="58" t="s">
        <v>124</v>
      </c>
      <c r="CB45" s="57"/>
      <c r="CC45" s="57"/>
      <c r="CD45" s="57"/>
      <c r="CE45" s="56"/>
      <c r="CF45" s="32"/>
      <c r="CG45" s="32"/>
    </row>
    <row r="46" spans="1:87" ht="51.75" thickBot="1" x14ac:dyDescent="0.25">
      <c r="A46" s="55" t="s">
        <v>54</v>
      </c>
      <c r="B46" s="54" t="s">
        <v>122</v>
      </c>
      <c r="C46" s="54" t="s">
        <v>121</v>
      </c>
      <c r="D46" s="53" t="s">
        <v>120</v>
      </c>
      <c r="E46" s="52" t="s">
        <v>119</v>
      </c>
      <c r="F46" s="51" t="s">
        <v>118</v>
      </c>
      <c r="G46" s="50" t="s">
        <v>117</v>
      </c>
      <c r="H46" s="50" t="s">
        <v>116</v>
      </c>
      <c r="I46" s="49" t="s">
        <v>115</v>
      </c>
      <c r="J46" s="48" t="s">
        <v>114</v>
      </c>
      <c r="L46" s="55" t="s">
        <v>54</v>
      </c>
      <c r="M46" s="54" t="s">
        <v>122</v>
      </c>
      <c r="N46" s="54" t="s">
        <v>121</v>
      </c>
      <c r="O46" s="53" t="s">
        <v>120</v>
      </c>
      <c r="P46" s="52" t="s">
        <v>119</v>
      </c>
      <c r="Q46" s="51" t="s">
        <v>118</v>
      </c>
      <c r="R46" s="50" t="s">
        <v>117</v>
      </c>
      <c r="S46" s="50" t="s">
        <v>116</v>
      </c>
      <c r="T46" s="49" t="s">
        <v>115</v>
      </c>
      <c r="U46" s="48" t="s">
        <v>114</v>
      </c>
      <c r="W46" s="55" t="s">
        <v>54</v>
      </c>
      <c r="X46" s="54" t="s">
        <v>122</v>
      </c>
      <c r="Y46" s="54" t="s">
        <v>121</v>
      </c>
      <c r="Z46" s="53" t="s">
        <v>120</v>
      </c>
      <c r="AA46" s="52" t="s">
        <v>119</v>
      </c>
      <c r="AB46" s="51" t="s">
        <v>118</v>
      </c>
      <c r="AC46" s="50" t="s">
        <v>117</v>
      </c>
      <c r="AD46" s="50" t="s">
        <v>116</v>
      </c>
      <c r="AE46" s="49" t="s">
        <v>115</v>
      </c>
      <c r="AF46" s="48" t="s">
        <v>114</v>
      </c>
      <c r="AH46" s="55" t="s">
        <v>54</v>
      </c>
      <c r="AI46" s="54" t="s">
        <v>122</v>
      </c>
      <c r="AJ46" s="54" t="s">
        <v>121</v>
      </c>
      <c r="AK46" s="53" t="s">
        <v>120</v>
      </c>
      <c r="AL46" s="52" t="s">
        <v>119</v>
      </c>
      <c r="AM46" s="51" t="s">
        <v>118</v>
      </c>
      <c r="AN46" s="50" t="s">
        <v>117</v>
      </c>
      <c r="AO46" s="50" t="s">
        <v>116</v>
      </c>
      <c r="AP46" s="49" t="s">
        <v>115</v>
      </c>
      <c r="AQ46" s="48" t="s">
        <v>114</v>
      </c>
      <c r="AS46" s="55" t="s">
        <v>54</v>
      </c>
      <c r="AT46" s="54" t="s">
        <v>122</v>
      </c>
      <c r="AU46" s="54" t="s">
        <v>121</v>
      </c>
      <c r="AV46" s="53" t="s">
        <v>120</v>
      </c>
      <c r="AW46" s="52" t="s">
        <v>119</v>
      </c>
      <c r="AX46" s="51" t="s">
        <v>118</v>
      </c>
      <c r="AY46" s="50" t="s">
        <v>117</v>
      </c>
      <c r="AZ46" s="50" t="s">
        <v>116</v>
      </c>
      <c r="BA46" s="49" t="s">
        <v>115</v>
      </c>
      <c r="BB46" s="48" t="s">
        <v>114</v>
      </c>
      <c r="BD46" s="55" t="s">
        <v>54</v>
      </c>
      <c r="BE46" s="54" t="s">
        <v>122</v>
      </c>
      <c r="BF46" s="54" t="s">
        <v>121</v>
      </c>
      <c r="BG46" s="53" t="s">
        <v>120</v>
      </c>
      <c r="BH46" s="52" t="s">
        <v>119</v>
      </c>
      <c r="BI46" s="51" t="s">
        <v>118</v>
      </c>
      <c r="BJ46" s="50" t="s">
        <v>117</v>
      </c>
      <c r="BK46" s="50" t="s">
        <v>116</v>
      </c>
      <c r="BL46" s="49" t="s">
        <v>115</v>
      </c>
      <c r="BM46" s="48" t="s">
        <v>114</v>
      </c>
      <c r="BO46" s="55" t="s">
        <v>54</v>
      </c>
      <c r="BP46" s="54" t="s">
        <v>122</v>
      </c>
      <c r="BQ46" s="54" t="s">
        <v>121</v>
      </c>
      <c r="BR46" s="53" t="s">
        <v>120</v>
      </c>
      <c r="BS46" s="52" t="s">
        <v>119</v>
      </c>
      <c r="BT46" s="51" t="s">
        <v>118</v>
      </c>
      <c r="BU46" s="50" t="s">
        <v>117</v>
      </c>
      <c r="BV46" s="50" t="s">
        <v>116</v>
      </c>
      <c r="BW46" s="49" t="s">
        <v>115</v>
      </c>
      <c r="BX46" s="48" t="s">
        <v>114</v>
      </c>
      <c r="BZ46" s="55" t="s">
        <v>54</v>
      </c>
      <c r="CA46" s="54" t="s">
        <v>122</v>
      </c>
      <c r="CB46" s="54" t="s">
        <v>121</v>
      </c>
      <c r="CC46" s="53" t="s">
        <v>120</v>
      </c>
      <c r="CD46" s="52" t="s">
        <v>119</v>
      </c>
      <c r="CE46" s="51" t="s">
        <v>118</v>
      </c>
      <c r="CF46" s="50" t="s">
        <v>117</v>
      </c>
      <c r="CG46" s="50" t="s">
        <v>116</v>
      </c>
      <c r="CH46" s="49" t="s">
        <v>115</v>
      </c>
      <c r="CI46" s="48" t="s">
        <v>114</v>
      </c>
    </row>
    <row r="47" spans="1:87" ht="13.5" thickTop="1" x14ac:dyDescent="0.2">
      <c r="A47" s="47">
        <v>30</v>
      </c>
      <c r="B47" s="45">
        <v>33.799999999999997</v>
      </c>
      <c r="C47" s="46">
        <v>50.3</v>
      </c>
      <c r="D47" s="32">
        <f t="shared" ref="D47:D52" si="160">C47-B47</f>
        <v>16.5</v>
      </c>
      <c r="E47" s="45">
        <v>48.9</v>
      </c>
      <c r="F47" s="32">
        <f t="shared" ref="F47:F52" si="161">E47-B47</f>
        <v>15.100000000000001</v>
      </c>
      <c r="G47" s="45">
        <f t="shared" ref="G47:G52" si="162">D47-F47</f>
        <v>1.3999999999999986</v>
      </c>
      <c r="H47" s="44">
        <f t="shared" ref="H47:H52" si="163">(G47/F47)</f>
        <v>9.2715231788079361E-2</v>
      </c>
      <c r="I47" s="30">
        <v>1.49</v>
      </c>
      <c r="J47" s="33">
        <f t="shared" ref="J47:J52" si="164">H47*I47</f>
        <v>0.13814569536423824</v>
      </c>
      <c r="L47" s="47">
        <v>30</v>
      </c>
      <c r="M47" s="45">
        <v>32.14</v>
      </c>
      <c r="N47" s="46">
        <v>54.78</v>
      </c>
      <c r="O47" s="32">
        <f t="shared" ref="O47:O52" si="165">N47-M47</f>
        <v>22.64</v>
      </c>
      <c r="P47" s="45">
        <v>52.83</v>
      </c>
      <c r="Q47" s="32">
        <f t="shared" ref="Q47:Q52" si="166">P47-M47</f>
        <v>20.689999999999998</v>
      </c>
      <c r="R47" s="45">
        <f t="shared" ref="R47:R52" si="167">O47-Q47</f>
        <v>1.9500000000000028</v>
      </c>
      <c r="S47" s="44">
        <f t="shared" ref="S47:S52" si="168">(R47/Q47)</f>
        <v>9.4248429192846928E-2</v>
      </c>
      <c r="T47" s="30">
        <v>1.49</v>
      </c>
      <c r="U47" s="33">
        <f t="shared" ref="U47:U52" si="169">S47*T47</f>
        <v>0.14043015949734192</v>
      </c>
      <c r="W47" s="47">
        <v>30</v>
      </c>
      <c r="X47" s="45">
        <v>39.64</v>
      </c>
      <c r="Y47" s="46">
        <v>60.14</v>
      </c>
      <c r="Z47" s="32">
        <f t="shared" ref="Z47:Z52" si="170">Y47-X47</f>
        <v>20.5</v>
      </c>
      <c r="AA47" s="45">
        <v>58.39</v>
      </c>
      <c r="AB47" s="32">
        <f t="shared" ref="AB47:AB52" si="171">AA47-X47</f>
        <v>18.75</v>
      </c>
      <c r="AC47" s="45">
        <f t="shared" ref="AC47:AC52" si="172">Z47-AB47</f>
        <v>1.75</v>
      </c>
      <c r="AD47" s="44">
        <f t="shared" ref="AD47:AD52" si="173">(AC47/AB47)</f>
        <v>9.3333333333333338E-2</v>
      </c>
      <c r="AE47" s="30">
        <v>1.49</v>
      </c>
      <c r="AF47" s="33">
        <f t="shared" ref="AF47:AF52" si="174">AD47*AE47</f>
        <v>0.13906666666666667</v>
      </c>
      <c r="AH47" s="47">
        <v>30</v>
      </c>
      <c r="AI47" s="45">
        <v>57.79</v>
      </c>
      <c r="AJ47" s="46">
        <v>79.95</v>
      </c>
      <c r="AK47" s="32">
        <f t="shared" ref="AK47:AK52" si="175">AJ47-AI47</f>
        <v>22.160000000000004</v>
      </c>
      <c r="AL47" s="45">
        <v>78.2</v>
      </c>
      <c r="AM47" s="32">
        <f t="shared" ref="AM47:AM52" si="176">AL47-AI47</f>
        <v>20.410000000000004</v>
      </c>
      <c r="AN47" s="45">
        <f t="shared" ref="AN47:AN52" si="177">AK47-AM47</f>
        <v>1.75</v>
      </c>
      <c r="AO47" s="44">
        <f t="shared" ref="AO47:AO52" si="178">(AN47/AM47)</f>
        <v>8.5742283194512478E-2</v>
      </c>
      <c r="AP47" s="30">
        <v>1.49</v>
      </c>
      <c r="AQ47" s="33">
        <f t="shared" ref="AQ47:AQ52" si="179">AO47*AP47</f>
        <v>0.12775600195982359</v>
      </c>
      <c r="AS47" s="47">
        <v>30</v>
      </c>
      <c r="AT47" s="45">
        <v>33.380000000000003</v>
      </c>
      <c r="AU47" s="46">
        <v>55.82</v>
      </c>
      <c r="AV47" s="32">
        <f t="shared" ref="AV47:AV52" si="180">AU47-AT47</f>
        <v>22.439999999999998</v>
      </c>
      <c r="AW47" s="45">
        <v>53.86</v>
      </c>
      <c r="AX47" s="32">
        <f t="shared" ref="AX47:AX52" si="181">AW47-AT47</f>
        <v>20.479999999999997</v>
      </c>
      <c r="AY47" s="45">
        <f t="shared" ref="AY47:AY52" si="182">AV47-AX47</f>
        <v>1.9600000000000009</v>
      </c>
      <c r="AZ47" s="44">
        <f t="shared" ref="AZ47:AZ52" si="183">(AY47/AX47)</f>
        <v>9.5703125000000056E-2</v>
      </c>
      <c r="BA47" s="30">
        <v>1.49</v>
      </c>
      <c r="BB47" s="33">
        <f t="shared" ref="BB47:BB52" si="184">AZ47*BA47</f>
        <v>0.14259765625000009</v>
      </c>
      <c r="BD47" s="47">
        <v>30</v>
      </c>
      <c r="BE47" s="45">
        <v>29.83</v>
      </c>
      <c r="BF47" s="46">
        <v>55.09</v>
      </c>
      <c r="BG47" s="32">
        <f t="shared" ref="BG47:BG52" si="185">BF47-BE47</f>
        <v>25.260000000000005</v>
      </c>
      <c r="BH47" s="45">
        <v>53.26</v>
      </c>
      <c r="BI47" s="32">
        <f t="shared" ref="BI47:BI52" si="186">BH47-BE47</f>
        <v>23.43</v>
      </c>
      <c r="BJ47" s="45">
        <f t="shared" ref="BJ47:BJ52" si="187">BG47-BI47</f>
        <v>1.8300000000000054</v>
      </c>
      <c r="BK47" s="44">
        <f t="shared" ref="BK47:BK52" si="188">(BJ47/BI47)</f>
        <v>7.8104993597951575E-2</v>
      </c>
      <c r="BL47" s="30">
        <v>1.49</v>
      </c>
      <c r="BM47" s="33">
        <f t="shared" ref="BM47:BM52" si="189">BK47*BL47</f>
        <v>0.11637644046094785</v>
      </c>
      <c r="BO47" s="47">
        <v>30</v>
      </c>
      <c r="BP47" s="45">
        <v>33.07</v>
      </c>
      <c r="BQ47" s="46">
        <v>57.08</v>
      </c>
      <c r="BR47" s="32">
        <f t="shared" ref="BR47:BR52" si="190">BQ47-BP47</f>
        <v>24.009999999999998</v>
      </c>
      <c r="BS47" s="45">
        <v>55.06</v>
      </c>
      <c r="BT47" s="32">
        <f t="shared" ref="BT47:BT52" si="191">BS47-BP47</f>
        <v>21.990000000000002</v>
      </c>
      <c r="BU47" s="45">
        <f t="shared" ref="BU47:BU52" si="192">BR47-BT47</f>
        <v>2.019999999999996</v>
      </c>
      <c r="BV47" s="44">
        <f t="shared" ref="BV47:BV52" si="193">(BU47/BT47)</f>
        <v>9.1859936334697398E-2</v>
      </c>
      <c r="BW47" s="30">
        <v>1.49</v>
      </c>
      <c r="BX47" s="33">
        <f t="shared" ref="BX47:BX52" si="194">BV47*BW47</f>
        <v>0.13687130513869913</v>
      </c>
      <c r="BZ47" s="47">
        <v>30</v>
      </c>
      <c r="CA47" s="45">
        <v>33.729999999999997</v>
      </c>
      <c r="CB47" s="46">
        <v>54.03</v>
      </c>
      <c r="CC47" s="32">
        <f t="shared" ref="CC47:CC52" si="195">CB47-CA47</f>
        <v>20.300000000000004</v>
      </c>
      <c r="CD47" s="45">
        <v>52.55</v>
      </c>
      <c r="CE47" s="32">
        <f t="shared" ref="CE47:CE52" si="196">CD47-CA47</f>
        <v>18.82</v>
      </c>
      <c r="CF47" s="45">
        <f t="shared" ref="CF47:CF52" si="197">CC47-CE47</f>
        <v>1.480000000000004</v>
      </c>
      <c r="CG47" s="44">
        <f t="shared" ref="CG47:CG52" si="198">(CF47/CE47)</f>
        <v>7.863974495217875E-2</v>
      </c>
      <c r="CH47" s="30">
        <v>1.49</v>
      </c>
      <c r="CI47" s="33">
        <f t="shared" ref="CI47:CI52" si="199">CG47*CH47</f>
        <v>0.11717321997874634</v>
      </c>
    </row>
    <row r="48" spans="1:87" x14ac:dyDescent="0.2">
      <c r="A48" s="43">
        <v>60</v>
      </c>
      <c r="B48" s="41">
        <v>33.799999999999997</v>
      </c>
      <c r="C48" s="42">
        <v>58.8</v>
      </c>
      <c r="D48" s="32">
        <f t="shared" si="160"/>
        <v>25</v>
      </c>
      <c r="E48" s="41">
        <v>55.6</v>
      </c>
      <c r="F48" s="32">
        <f t="shared" si="161"/>
        <v>21.800000000000004</v>
      </c>
      <c r="G48" s="41">
        <f t="shared" si="162"/>
        <v>3.1999999999999957</v>
      </c>
      <c r="H48" s="40">
        <f t="shared" si="163"/>
        <v>0.14678899082568786</v>
      </c>
      <c r="I48" s="30">
        <v>1.42</v>
      </c>
      <c r="J48" s="33">
        <f t="shared" si="164"/>
        <v>0.20844036697247675</v>
      </c>
      <c r="L48" s="43">
        <v>60</v>
      </c>
      <c r="M48" s="41">
        <v>29.5</v>
      </c>
      <c r="N48" s="42">
        <v>50.16</v>
      </c>
      <c r="O48" s="32">
        <f t="shared" si="165"/>
        <v>20.659999999999997</v>
      </c>
      <c r="P48" s="41">
        <v>48.77</v>
      </c>
      <c r="Q48" s="32">
        <f t="shared" si="166"/>
        <v>19.270000000000003</v>
      </c>
      <c r="R48" s="41">
        <f t="shared" si="167"/>
        <v>1.3899999999999935</v>
      </c>
      <c r="S48" s="40">
        <f t="shared" si="168"/>
        <v>7.2132848988063991E-2</v>
      </c>
      <c r="T48" s="30">
        <v>1.42</v>
      </c>
      <c r="U48" s="33">
        <f t="shared" si="169"/>
        <v>0.10242864556305087</v>
      </c>
      <c r="W48" s="43">
        <v>60</v>
      </c>
      <c r="X48" s="41">
        <v>33.799999999999997</v>
      </c>
      <c r="Y48" s="42">
        <v>56.9</v>
      </c>
      <c r="Z48" s="32">
        <f t="shared" si="170"/>
        <v>23.1</v>
      </c>
      <c r="AA48" s="41">
        <v>54.9</v>
      </c>
      <c r="AB48" s="32">
        <f t="shared" si="171"/>
        <v>21.1</v>
      </c>
      <c r="AC48" s="41">
        <f t="shared" si="172"/>
        <v>2</v>
      </c>
      <c r="AD48" s="40">
        <f t="shared" si="173"/>
        <v>9.4786729857819899E-2</v>
      </c>
      <c r="AE48" s="30">
        <v>1.42</v>
      </c>
      <c r="AF48" s="33">
        <f t="shared" si="174"/>
        <v>0.13459715639810424</v>
      </c>
      <c r="AH48" s="43">
        <v>60</v>
      </c>
      <c r="AI48" s="41">
        <v>29.64</v>
      </c>
      <c r="AJ48" s="42">
        <v>53.42</v>
      </c>
      <c r="AK48" s="32">
        <f t="shared" si="175"/>
        <v>23.78</v>
      </c>
      <c r="AL48" s="41">
        <v>51.45</v>
      </c>
      <c r="AM48" s="32">
        <f t="shared" si="176"/>
        <v>21.810000000000002</v>
      </c>
      <c r="AN48" s="41">
        <f t="shared" si="177"/>
        <v>1.9699999999999989</v>
      </c>
      <c r="AO48" s="40">
        <f t="shared" si="178"/>
        <v>9.0325538743695491E-2</v>
      </c>
      <c r="AP48" s="30">
        <v>1.42</v>
      </c>
      <c r="AQ48" s="33">
        <f t="shared" si="179"/>
        <v>0.12826226501604759</v>
      </c>
      <c r="AS48" s="43">
        <v>60</v>
      </c>
      <c r="AT48" s="41">
        <v>37.85</v>
      </c>
      <c r="AU48" s="42">
        <v>58.44</v>
      </c>
      <c r="AV48" s="32">
        <f t="shared" si="180"/>
        <v>20.589999999999996</v>
      </c>
      <c r="AW48" s="41">
        <v>55.84</v>
      </c>
      <c r="AX48" s="32">
        <f t="shared" si="181"/>
        <v>17.990000000000002</v>
      </c>
      <c r="AY48" s="41">
        <f t="shared" si="182"/>
        <v>2.5999999999999943</v>
      </c>
      <c r="AZ48" s="40">
        <f t="shared" si="183"/>
        <v>0.14452473596442436</v>
      </c>
      <c r="BA48" s="30">
        <v>1.42</v>
      </c>
      <c r="BB48" s="33">
        <f t="shared" si="184"/>
        <v>0.20522512506948259</v>
      </c>
      <c r="BD48" s="43">
        <v>60</v>
      </c>
      <c r="BE48" s="41">
        <v>24.21</v>
      </c>
      <c r="BF48" s="42">
        <v>43.25</v>
      </c>
      <c r="BG48" s="32">
        <f t="shared" si="185"/>
        <v>19.04</v>
      </c>
      <c r="BH48" s="41">
        <v>41.46</v>
      </c>
      <c r="BI48" s="32">
        <f t="shared" si="186"/>
        <v>17.25</v>
      </c>
      <c r="BJ48" s="41">
        <f t="shared" si="187"/>
        <v>1.7899999999999991</v>
      </c>
      <c r="BK48" s="40">
        <f t="shared" si="188"/>
        <v>0.10376811594202894</v>
      </c>
      <c r="BL48" s="30">
        <v>1.42</v>
      </c>
      <c r="BM48" s="33">
        <f t="shared" si="189"/>
        <v>0.14735072463768109</v>
      </c>
      <c r="BO48" s="43">
        <v>60</v>
      </c>
      <c r="BP48" s="41">
        <v>33.6</v>
      </c>
      <c r="BQ48" s="42">
        <v>54.2</v>
      </c>
      <c r="BR48" s="32">
        <f t="shared" si="190"/>
        <v>20.6</v>
      </c>
      <c r="BS48" s="41">
        <v>52.2</v>
      </c>
      <c r="BT48" s="32">
        <f t="shared" si="191"/>
        <v>18.600000000000001</v>
      </c>
      <c r="BU48" s="41">
        <f t="shared" si="192"/>
        <v>2</v>
      </c>
      <c r="BV48" s="40">
        <f t="shared" si="193"/>
        <v>0.1075268817204301</v>
      </c>
      <c r="BW48" s="30">
        <v>1.42</v>
      </c>
      <c r="BX48" s="33">
        <f t="shared" si="194"/>
        <v>0.15268817204301072</v>
      </c>
      <c r="BZ48" s="43">
        <v>60</v>
      </c>
      <c r="CA48" s="41">
        <v>54.46</v>
      </c>
      <c r="CB48" s="42">
        <v>77.19</v>
      </c>
      <c r="CC48" s="32">
        <f t="shared" si="195"/>
        <v>22.729999999999997</v>
      </c>
      <c r="CD48" s="41">
        <v>75.459999999999994</v>
      </c>
      <c r="CE48" s="32">
        <f t="shared" si="196"/>
        <v>20.999999999999993</v>
      </c>
      <c r="CF48" s="41">
        <f t="shared" si="197"/>
        <v>1.730000000000004</v>
      </c>
      <c r="CG48" s="40">
        <f t="shared" si="198"/>
        <v>8.2380952380952596E-2</v>
      </c>
      <c r="CH48" s="30">
        <v>1.42</v>
      </c>
      <c r="CI48" s="33">
        <f t="shared" si="199"/>
        <v>0.11698095238095269</v>
      </c>
    </row>
    <row r="49" spans="1:94" x14ac:dyDescent="0.2">
      <c r="A49" s="43">
        <v>90</v>
      </c>
      <c r="B49" s="41">
        <v>39.4</v>
      </c>
      <c r="C49" s="42">
        <v>64.7</v>
      </c>
      <c r="D49" s="32">
        <f t="shared" si="160"/>
        <v>25.300000000000004</v>
      </c>
      <c r="E49" s="41">
        <v>61.9</v>
      </c>
      <c r="F49" s="32">
        <f t="shared" si="161"/>
        <v>22.5</v>
      </c>
      <c r="G49" s="41">
        <f t="shared" si="162"/>
        <v>2.8000000000000043</v>
      </c>
      <c r="H49" s="40">
        <f t="shared" si="163"/>
        <v>0.12444444444444464</v>
      </c>
      <c r="I49" s="30">
        <v>1.58</v>
      </c>
      <c r="J49" s="33">
        <f t="shared" si="164"/>
        <v>0.19662222222222253</v>
      </c>
      <c r="L49" s="43">
        <v>90</v>
      </c>
      <c r="M49" s="41">
        <v>38.51</v>
      </c>
      <c r="N49" s="42">
        <v>63.83</v>
      </c>
      <c r="O49" s="32">
        <f t="shared" si="165"/>
        <v>25.32</v>
      </c>
      <c r="P49" s="41">
        <v>60.15</v>
      </c>
      <c r="Q49" s="32">
        <f t="shared" si="166"/>
        <v>21.64</v>
      </c>
      <c r="R49" s="41">
        <f t="shared" si="167"/>
        <v>3.6799999999999997</v>
      </c>
      <c r="S49" s="40">
        <f t="shared" si="168"/>
        <v>0.17005545286506468</v>
      </c>
      <c r="T49" s="30">
        <v>1.58</v>
      </c>
      <c r="U49" s="33">
        <f t="shared" si="169"/>
        <v>0.2686876155268022</v>
      </c>
      <c r="W49" s="43">
        <v>90</v>
      </c>
      <c r="X49" s="41">
        <v>33.369999999999997</v>
      </c>
      <c r="Y49" s="42">
        <v>56.88</v>
      </c>
      <c r="Z49" s="32">
        <f t="shared" si="170"/>
        <v>23.510000000000005</v>
      </c>
      <c r="AA49" s="41">
        <v>54.55</v>
      </c>
      <c r="AB49" s="32">
        <f t="shared" si="171"/>
        <v>21.18</v>
      </c>
      <c r="AC49" s="41">
        <f t="shared" si="172"/>
        <v>2.3300000000000054</v>
      </c>
      <c r="AD49" s="40">
        <f t="shared" si="173"/>
        <v>0.11000944287063293</v>
      </c>
      <c r="AE49" s="30">
        <v>1.58</v>
      </c>
      <c r="AF49" s="33">
        <f t="shared" si="174"/>
        <v>0.17381491973560004</v>
      </c>
      <c r="AH49" s="43">
        <v>90</v>
      </c>
      <c r="AI49" s="41">
        <v>33.49</v>
      </c>
      <c r="AJ49" s="42">
        <v>55.62</v>
      </c>
      <c r="AK49" s="32">
        <f t="shared" si="175"/>
        <v>22.129999999999995</v>
      </c>
      <c r="AL49" s="41">
        <v>53.2</v>
      </c>
      <c r="AM49" s="32">
        <f t="shared" si="176"/>
        <v>19.71</v>
      </c>
      <c r="AN49" s="41">
        <f t="shared" si="177"/>
        <v>2.4199999999999946</v>
      </c>
      <c r="AO49" s="40">
        <f t="shared" si="178"/>
        <v>0.12278031456113619</v>
      </c>
      <c r="AP49" s="30">
        <v>1.58</v>
      </c>
      <c r="AQ49" s="33">
        <f t="shared" si="179"/>
        <v>0.19399289700659519</v>
      </c>
      <c r="AS49" s="43">
        <v>90</v>
      </c>
      <c r="AT49" s="41">
        <v>39.54</v>
      </c>
      <c r="AU49" s="42">
        <v>64.05</v>
      </c>
      <c r="AV49" s="32">
        <f t="shared" si="180"/>
        <v>24.509999999999998</v>
      </c>
      <c r="AW49" s="41">
        <v>60.98</v>
      </c>
      <c r="AX49" s="32">
        <f t="shared" si="181"/>
        <v>21.439999999999998</v>
      </c>
      <c r="AY49" s="41">
        <f t="shared" si="182"/>
        <v>3.0700000000000003</v>
      </c>
      <c r="AZ49" s="40">
        <f t="shared" si="183"/>
        <v>0.1431902985074627</v>
      </c>
      <c r="BA49" s="30">
        <v>1.58</v>
      </c>
      <c r="BB49" s="33">
        <f t="shared" si="184"/>
        <v>0.2262406716417911</v>
      </c>
      <c r="BD49" s="43">
        <v>90</v>
      </c>
      <c r="BE49" s="41">
        <v>40.74</v>
      </c>
      <c r="BF49" s="42">
        <v>65.77</v>
      </c>
      <c r="BG49" s="32">
        <f t="shared" si="185"/>
        <v>25.029999999999994</v>
      </c>
      <c r="BH49" s="41">
        <v>63.33</v>
      </c>
      <c r="BI49" s="32">
        <f t="shared" si="186"/>
        <v>22.589999999999996</v>
      </c>
      <c r="BJ49" s="41">
        <f t="shared" si="187"/>
        <v>2.4399999999999977</v>
      </c>
      <c r="BK49" s="40">
        <f t="shared" si="188"/>
        <v>0.10801239486498443</v>
      </c>
      <c r="BL49" s="30">
        <v>1.58</v>
      </c>
      <c r="BM49" s="33">
        <f t="shared" si="189"/>
        <v>0.1706595838866754</v>
      </c>
      <c r="BO49" s="43">
        <v>90</v>
      </c>
      <c r="BP49" s="41">
        <v>29.02</v>
      </c>
      <c r="BQ49" s="42">
        <v>51.65</v>
      </c>
      <c r="BR49" s="32">
        <f t="shared" si="190"/>
        <v>22.63</v>
      </c>
      <c r="BS49" s="41">
        <v>49.02</v>
      </c>
      <c r="BT49" s="32">
        <f t="shared" si="191"/>
        <v>20.000000000000004</v>
      </c>
      <c r="BU49" s="41">
        <f t="shared" si="192"/>
        <v>2.6299999999999955</v>
      </c>
      <c r="BV49" s="40">
        <f t="shared" si="193"/>
        <v>0.13149999999999976</v>
      </c>
      <c r="BW49" s="30">
        <v>1.58</v>
      </c>
      <c r="BX49" s="33">
        <f t="shared" si="194"/>
        <v>0.20776999999999962</v>
      </c>
      <c r="BZ49" s="43">
        <v>90</v>
      </c>
      <c r="CA49" s="41">
        <v>52</v>
      </c>
      <c r="CB49" s="42">
        <v>72.39</v>
      </c>
      <c r="CC49" s="32">
        <f t="shared" si="195"/>
        <v>20.39</v>
      </c>
      <c r="CD49" s="41">
        <v>70.180000000000007</v>
      </c>
      <c r="CE49" s="32">
        <f t="shared" si="196"/>
        <v>18.180000000000007</v>
      </c>
      <c r="CF49" s="41">
        <f t="shared" si="197"/>
        <v>2.2099999999999937</v>
      </c>
      <c r="CG49" s="40">
        <f t="shared" si="198"/>
        <v>0.12156215621562118</v>
      </c>
      <c r="CH49" s="30">
        <v>1.58</v>
      </c>
      <c r="CI49" s="33">
        <f t="shared" si="199"/>
        <v>0.19206820682068146</v>
      </c>
    </row>
    <row r="50" spans="1:94" x14ac:dyDescent="0.2">
      <c r="A50" s="43">
        <v>120</v>
      </c>
      <c r="B50" s="41">
        <v>33.9</v>
      </c>
      <c r="C50" s="42">
        <v>60.5</v>
      </c>
      <c r="D50" s="32">
        <f t="shared" si="160"/>
        <v>26.6</v>
      </c>
      <c r="E50" s="41">
        <v>58.3</v>
      </c>
      <c r="F50" s="32">
        <f t="shared" si="161"/>
        <v>24.4</v>
      </c>
      <c r="G50" s="41">
        <f t="shared" si="162"/>
        <v>2.2000000000000028</v>
      </c>
      <c r="H50" s="40">
        <f t="shared" si="163"/>
        <v>9.0163934426229636E-2</v>
      </c>
      <c r="I50" s="30">
        <v>1.58</v>
      </c>
      <c r="J50" s="33">
        <f t="shared" si="164"/>
        <v>0.14245901639344283</v>
      </c>
      <c r="L50" s="43">
        <v>120</v>
      </c>
      <c r="M50" s="41">
        <v>33.97</v>
      </c>
      <c r="N50" s="42">
        <v>57.61</v>
      </c>
      <c r="O50" s="32">
        <f t="shared" si="165"/>
        <v>23.64</v>
      </c>
      <c r="P50" s="41">
        <v>55.75</v>
      </c>
      <c r="Q50" s="32">
        <f t="shared" si="166"/>
        <v>21.78</v>
      </c>
      <c r="R50" s="41">
        <f t="shared" si="167"/>
        <v>1.8599999999999994</v>
      </c>
      <c r="S50" s="40">
        <f t="shared" si="168"/>
        <v>8.5399449035812647E-2</v>
      </c>
      <c r="T50" s="30">
        <v>1.58</v>
      </c>
      <c r="U50" s="33">
        <f t="shared" si="169"/>
        <v>0.13493112947658398</v>
      </c>
      <c r="W50" s="43">
        <v>120</v>
      </c>
      <c r="X50" s="41">
        <v>29.72</v>
      </c>
      <c r="Y50" s="42">
        <v>53.12</v>
      </c>
      <c r="Z50" s="32">
        <f t="shared" si="170"/>
        <v>23.4</v>
      </c>
      <c r="AA50" s="41">
        <v>50.78</v>
      </c>
      <c r="AB50" s="32">
        <f t="shared" si="171"/>
        <v>21.060000000000002</v>
      </c>
      <c r="AC50" s="41">
        <f t="shared" si="172"/>
        <v>2.3399999999999963</v>
      </c>
      <c r="AD50" s="40">
        <f t="shared" si="173"/>
        <v>0.11111111111111092</v>
      </c>
      <c r="AE50" s="30">
        <v>1.58</v>
      </c>
      <c r="AF50" s="33">
        <f t="shared" si="174"/>
        <v>0.17555555555555527</v>
      </c>
      <c r="AH50" s="43">
        <v>120</v>
      </c>
      <c r="AI50" s="41">
        <v>29.95</v>
      </c>
      <c r="AJ50" s="42">
        <v>55.64</v>
      </c>
      <c r="AK50" s="32">
        <f t="shared" si="175"/>
        <v>25.69</v>
      </c>
      <c r="AL50" s="41">
        <v>52.87</v>
      </c>
      <c r="AM50" s="32">
        <f t="shared" si="176"/>
        <v>22.919999999999998</v>
      </c>
      <c r="AN50" s="41">
        <f t="shared" si="177"/>
        <v>2.7700000000000031</v>
      </c>
      <c r="AO50" s="40">
        <f t="shared" si="178"/>
        <v>0.12085514834205949</v>
      </c>
      <c r="AP50" s="30">
        <v>1.58</v>
      </c>
      <c r="AQ50" s="33">
        <f t="shared" si="179"/>
        <v>0.190951134380454</v>
      </c>
      <c r="AS50" s="43">
        <v>120</v>
      </c>
      <c r="AT50" s="41">
        <v>30.19</v>
      </c>
      <c r="AU50" s="42">
        <v>53.55</v>
      </c>
      <c r="AV50" s="32">
        <f t="shared" si="180"/>
        <v>23.359999999999996</v>
      </c>
      <c r="AW50" s="41">
        <v>51.59</v>
      </c>
      <c r="AX50" s="32">
        <f t="shared" si="181"/>
        <v>21.400000000000002</v>
      </c>
      <c r="AY50" s="41">
        <f t="shared" si="182"/>
        <v>1.9599999999999937</v>
      </c>
      <c r="AZ50" s="40">
        <f t="shared" si="183"/>
        <v>9.1588785046728668E-2</v>
      </c>
      <c r="BA50" s="30">
        <v>1.58</v>
      </c>
      <c r="BB50" s="33">
        <f t="shared" si="184"/>
        <v>0.1447102803738313</v>
      </c>
      <c r="BD50" s="43">
        <v>120</v>
      </c>
      <c r="BE50" s="41">
        <v>33.57</v>
      </c>
      <c r="BF50" s="42">
        <v>57.51</v>
      </c>
      <c r="BG50" s="32">
        <f t="shared" si="185"/>
        <v>23.939999999999998</v>
      </c>
      <c r="BH50" s="41">
        <v>55.47</v>
      </c>
      <c r="BI50" s="32">
        <f t="shared" si="186"/>
        <v>21.9</v>
      </c>
      <c r="BJ50" s="41">
        <f t="shared" si="187"/>
        <v>2.0399999999999991</v>
      </c>
      <c r="BK50" s="40">
        <f t="shared" si="188"/>
        <v>9.3150684931506814E-2</v>
      </c>
      <c r="BL50" s="30">
        <v>1.58</v>
      </c>
      <c r="BM50" s="33">
        <f t="shared" si="189"/>
        <v>0.14717808219178077</v>
      </c>
      <c r="BO50" s="43">
        <v>120</v>
      </c>
      <c r="BP50" s="41">
        <v>40.43</v>
      </c>
      <c r="BQ50" s="42">
        <v>61.73</v>
      </c>
      <c r="BR50" s="32">
        <f t="shared" si="190"/>
        <v>21.299999999999997</v>
      </c>
      <c r="BS50" s="41">
        <v>59.87</v>
      </c>
      <c r="BT50" s="32">
        <f t="shared" si="191"/>
        <v>19.439999999999998</v>
      </c>
      <c r="BU50" s="41">
        <f t="shared" si="192"/>
        <v>1.8599999999999994</v>
      </c>
      <c r="BV50" s="40">
        <f t="shared" si="193"/>
        <v>9.5679012345678993E-2</v>
      </c>
      <c r="BW50" s="30">
        <v>1.58</v>
      </c>
      <c r="BX50" s="33">
        <f t="shared" si="194"/>
        <v>0.15117283950617283</v>
      </c>
      <c r="BZ50" s="43">
        <v>120</v>
      </c>
      <c r="CA50" s="41">
        <v>43.75</v>
      </c>
      <c r="CB50" s="42">
        <v>68.8</v>
      </c>
      <c r="CC50" s="32">
        <f t="shared" si="195"/>
        <v>25.049999999999997</v>
      </c>
      <c r="CD50" s="41">
        <v>66.739999999999995</v>
      </c>
      <c r="CE50" s="32">
        <f t="shared" si="196"/>
        <v>22.989999999999995</v>
      </c>
      <c r="CF50" s="41">
        <f t="shared" si="197"/>
        <v>2.0600000000000023</v>
      </c>
      <c r="CG50" s="40">
        <f t="shared" si="198"/>
        <v>8.9604175728577762E-2</v>
      </c>
      <c r="CH50" s="30">
        <v>1.58</v>
      </c>
      <c r="CI50" s="33">
        <f t="shared" si="199"/>
        <v>0.14157459765115288</v>
      </c>
    </row>
    <row r="51" spans="1:94" x14ac:dyDescent="0.2">
      <c r="A51" s="43">
        <v>150</v>
      </c>
      <c r="B51" s="41">
        <v>29.2</v>
      </c>
      <c r="C51" s="42">
        <v>48.4</v>
      </c>
      <c r="D51" s="32">
        <f t="shared" si="160"/>
        <v>19.2</v>
      </c>
      <c r="E51" s="41">
        <v>46.7</v>
      </c>
      <c r="F51" s="32">
        <f t="shared" si="161"/>
        <v>17.500000000000004</v>
      </c>
      <c r="G51" s="41">
        <f t="shared" si="162"/>
        <v>1.6999999999999957</v>
      </c>
      <c r="H51" s="40">
        <f t="shared" si="163"/>
        <v>9.7142857142856878E-2</v>
      </c>
      <c r="I51" s="30">
        <v>1.58</v>
      </c>
      <c r="J51" s="33">
        <f t="shared" si="164"/>
        <v>0.15348571428571386</v>
      </c>
      <c r="L51" s="43">
        <v>150</v>
      </c>
      <c r="M51" s="41">
        <v>35.29</v>
      </c>
      <c r="N51" s="42">
        <v>52.97</v>
      </c>
      <c r="O51" s="32">
        <f t="shared" si="165"/>
        <v>17.68</v>
      </c>
      <c r="P51" s="41">
        <v>50.85</v>
      </c>
      <c r="Q51" s="32">
        <f t="shared" si="166"/>
        <v>15.560000000000002</v>
      </c>
      <c r="R51" s="41">
        <f t="shared" si="167"/>
        <v>2.1199999999999974</v>
      </c>
      <c r="S51" s="40">
        <f t="shared" si="168"/>
        <v>0.13624678663239057</v>
      </c>
      <c r="T51" s="30">
        <v>1.58</v>
      </c>
      <c r="U51" s="33">
        <f t="shared" si="169"/>
        <v>0.21526992287917709</v>
      </c>
      <c r="W51" s="43">
        <v>150</v>
      </c>
      <c r="X51" s="41">
        <v>28.8</v>
      </c>
      <c r="Y51" s="42">
        <v>52.75</v>
      </c>
      <c r="Z51" s="32">
        <f t="shared" si="170"/>
        <v>23.95</v>
      </c>
      <c r="AA51" s="41">
        <v>50.59</v>
      </c>
      <c r="AB51" s="32">
        <f t="shared" si="171"/>
        <v>21.790000000000003</v>
      </c>
      <c r="AC51" s="41">
        <f t="shared" si="172"/>
        <v>2.1599999999999966</v>
      </c>
      <c r="AD51" s="40">
        <f t="shared" si="173"/>
        <v>9.9128040385497759E-2</v>
      </c>
      <c r="AE51" s="30">
        <v>1.58</v>
      </c>
      <c r="AF51" s="33">
        <f t="shared" si="174"/>
        <v>0.15662230380908645</v>
      </c>
      <c r="AH51" s="43">
        <v>150</v>
      </c>
      <c r="AI51" s="41">
        <v>33.71</v>
      </c>
      <c r="AJ51" s="42">
        <v>58.68</v>
      </c>
      <c r="AK51" s="32">
        <f t="shared" si="175"/>
        <v>24.97</v>
      </c>
      <c r="AL51" s="41">
        <v>56.5</v>
      </c>
      <c r="AM51" s="32">
        <f t="shared" si="176"/>
        <v>22.79</v>
      </c>
      <c r="AN51" s="41">
        <f t="shared" si="177"/>
        <v>2.1799999999999997</v>
      </c>
      <c r="AO51" s="40">
        <f t="shared" si="178"/>
        <v>9.5655989469065367E-2</v>
      </c>
      <c r="AP51" s="30">
        <v>1.58</v>
      </c>
      <c r="AQ51" s="33">
        <f t="shared" si="179"/>
        <v>0.1511364633611233</v>
      </c>
      <c r="AS51" s="43">
        <v>150</v>
      </c>
      <c r="AT51" s="41">
        <v>33.99</v>
      </c>
      <c r="AU51" s="42">
        <v>58.73</v>
      </c>
      <c r="AV51" s="32">
        <f t="shared" si="180"/>
        <v>24.739999999999995</v>
      </c>
      <c r="AW51" s="41">
        <v>56.87</v>
      </c>
      <c r="AX51" s="32">
        <f t="shared" si="181"/>
        <v>22.879999999999995</v>
      </c>
      <c r="AY51" s="41">
        <f t="shared" si="182"/>
        <v>1.8599999999999994</v>
      </c>
      <c r="AZ51" s="40">
        <f t="shared" si="183"/>
        <v>8.1293706293706289E-2</v>
      </c>
      <c r="BA51" s="30">
        <v>1.58</v>
      </c>
      <c r="BB51" s="33">
        <f t="shared" si="184"/>
        <v>0.12844405594405595</v>
      </c>
      <c r="BD51" s="43">
        <v>150</v>
      </c>
      <c r="BE51" s="41">
        <v>33.979999999999997</v>
      </c>
      <c r="BF51" s="42">
        <v>61.47</v>
      </c>
      <c r="BG51" s="32">
        <f t="shared" si="185"/>
        <v>27.490000000000002</v>
      </c>
      <c r="BH51" s="41">
        <v>59.19</v>
      </c>
      <c r="BI51" s="32">
        <f t="shared" si="186"/>
        <v>25.21</v>
      </c>
      <c r="BJ51" s="41">
        <f t="shared" si="187"/>
        <v>2.2800000000000011</v>
      </c>
      <c r="BK51" s="40">
        <f t="shared" si="188"/>
        <v>9.0440301467671597E-2</v>
      </c>
      <c r="BL51" s="30">
        <v>1.58</v>
      </c>
      <c r="BM51" s="33">
        <f t="shared" si="189"/>
        <v>0.14289567631892114</v>
      </c>
      <c r="BO51" s="43">
        <v>150</v>
      </c>
      <c r="BP51" s="41">
        <v>39.29</v>
      </c>
      <c r="BQ51" s="42">
        <v>64.900000000000006</v>
      </c>
      <c r="BR51" s="32">
        <f t="shared" si="190"/>
        <v>25.610000000000007</v>
      </c>
      <c r="BS51" s="41">
        <v>62.86</v>
      </c>
      <c r="BT51" s="32">
        <f t="shared" si="191"/>
        <v>23.57</v>
      </c>
      <c r="BU51" s="41">
        <f t="shared" si="192"/>
        <v>2.0400000000000063</v>
      </c>
      <c r="BV51" s="40">
        <f t="shared" si="193"/>
        <v>8.6550700042427084E-2</v>
      </c>
      <c r="BW51" s="30">
        <v>1.58</v>
      </c>
      <c r="BX51" s="33">
        <f t="shared" si="194"/>
        <v>0.1367501060670348</v>
      </c>
      <c r="BZ51" s="43">
        <v>150</v>
      </c>
      <c r="CA51" s="41">
        <v>41.4</v>
      </c>
      <c r="CB51" s="42">
        <v>64.77</v>
      </c>
      <c r="CC51" s="32">
        <f t="shared" si="195"/>
        <v>23.369999999999997</v>
      </c>
      <c r="CD51" s="41">
        <v>62.97</v>
      </c>
      <c r="CE51" s="32">
        <f t="shared" si="196"/>
        <v>21.57</v>
      </c>
      <c r="CF51" s="41">
        <f t="shared" si="197"/>
        <v>1.7999999999999972</v>
      </c>
      <c r="CG51" s="40">
        <f t="shared" si="198"/>
        <v>8.3449235048678586E-2</v>
      </c>
      <c r="CH51" s="30">
        <v>1.58</v>
      </c>
      <c r="CI51" s="33">
        <f t="shared" si="199"/>
        <v>0.13184979137691216</v>
      </c>
    </row>
    <row r="52" spans="1:94" x14ac:dyDescent="0.2">
      <c r="A52" s="43">
        <v>180</v>
      </c>
      <c r="B52" s="41">
        <v>29.1</v>
      </c>
      <c r="C52" s="42">
        <v>59</v>
      </c>
      <c r="D52" s="32">
        <f t="shared" si="160"/>
        <v>29.9</v>
      </c>
      <c r="E52" s="41">
        <v>56</v>
      </c>
      <c r="F52" s="32">
        <f t="shared" si="161"/>
        <v>26.9</v>
      </c>
      <c r="G52" s="41">
        <f t="shared" si="162"/>
        <v>3</v>
      </c>
      <c r="H52" s="40">
        <f t="shared" si="163"/>
        <v>0.11152416356877325</v>
      </c>
      <c r="I52" s="30">
        <v>1.58</v>
      </c>
      <c r="J52" s="33">
        <f t="shared" si="164"/>
        <v>0.17620817843866174</v>
      </c>
      <c r="L52" s="43">
        <v>180</v>
      </c>
      <c r="M52" s="41">
        <v>24.42</v>
      </c>
      <c r="N52" s="42">
        <v>51.38</v>
      </c>
      <c r="O52" s="32">
        <f t="shared" si="165"/>
        <v>26.96</v>
      </c>
      <c r="P52" s="41">
        <v>48.94</v>
      </c>
      <c r="Q52" s="32">
        <f t="shared" si="166"/>
        <v>24.519999999999996</v>
      </c>
      <c r="R52" s="41">
        <f t="shared" si="167"/>
        <v>2.4400000000000048</v>
      </c>
      <c r="S52" s="40">
        <f t="shared" si="168"/>
        <v>9.9510603588907232E-2</v>
      </c>
      <c r="T52" s="30">
        <v>1.58</v>
      </c>
      <c r="U52" s="33">
        <f t="shared" si="169"/>
        <v>0.15722675367047342</v>
      </c>
      <c r="W52" s="43">
        <v>180</v>
      </c>
      <c r="X52" s="41">
        <v>40.32</v>
      </c>
      <c r="Y52" s="42">
        <v>63.87</v>
      </c>
      <c r="Z52" s="32">
        <f t="shared" si="170"/>
        <v>23.549999999999997</v>
      </c>
      <c r="AA52" s="41">
        <v>61.45</v>
      </c>
      <c r="AB52" s="32">
        <f t="shared" si="171"/>
        <v>21.130000000000003</v>
      </c>
      <c r="AC52" s="41">
        <f t="shared" si="172"/>
        <v>2.4199999999999946</v>
      </c>
      <c r="AD52" s="40">
        <f t="shared" si="173"/>
        <v>0.1145291055371507</v>
      </c>
      <c r="AE52" s="30">
        <v>1.58</v>
      </c>
      <c r="AF52" s="33">
        <f t="shared" si="174"/>
        <v>0.18095598674869812</v>
      </c>
      <c r="AH52" s="43">
        <v>180</v>
      </c>
      <c r="AI52" s="41">
        <v>29.46</v>
      </c>
      <c r="AJ52" s="42">
        <v>56.35</v>
      </c>
      <c r="AK52" s="32">
        <f t="shared" si="175"/>
        <v>26.89</v>
      </c>
      <c r="AL52" s="41">
        <v>53.77</v>
      </c>
      <c r="AM52" s="32">
        <f t="shared" si="176"/>
        <v>24.310000000000002</v>
      </c>
      <c r="AN52" s="41">
        <f t="shared" si="177"/>
        <v>2.5799999999999983</v>
      </c>
      <c r="AO52" s="40">
        <f t="shared" si="178"/>
        <v>0.10612916495269428</v>
      </c>
      <c r="AP52" s="30">
        <v>1.58</v>
      </c>
      <c r="AQ52" s="33">
        <f t="shared" si="179"/>
        <v>0.16768408062525697</v>
      </c>
      <c r="AS52" s="43">
        <v>180</v>
      </c>
      <c r="AT52" s="41">
        <v>34</v>
      </c>
      <c r="AU52" s="42">
        <v>60.24</v>
      </c>
      <c r="AV52" s="32">
        <f t="shared" si="180"/>
        <v>26.240000000000002</v>
      </c>
      <c r="AW52" s="41">
        <v>57.94</v>
      </c>
      <c r="AX52" s="32">
        <f t="shared" si="181"/>
        <v>23.939999999999998</v>
      </c>
      <c r="AY52" s="41">
        <f t="shared" si="182"/>
        <v>2.3000000000000043</v>
      </c>
      <c r="AZ52" s="40">
        <f t="shared" si="183"/>
        <v>9.6073517126148894E-2</v>
      </c>
      <c r="BA52" s="30">
        <v>1.58</v>
      </c>
      <c r="BB52" s="33">
        <f t="shared" si="184"/>
        <v>0.15179615705931526</v>
      </c>
      <c r="BD52" s="43">
        <v>180</v>
      </c>
      <c r="BE52" s="41">
        <v>30.1</v>
      </c>
      <c r="BF52" s="42">
        <v>54.6</v>
      </c>
      <c r="BG52" s="32">
        <f t="shared" si="185"/>
        <v>24.5</v>
      </c>
      <c r="BH52" s="41">
        <v>51.92</v>
      </c>
      <c r="BI52" s="32">
        <f t="shared" si="186"/>
        <v>21.82</v>
      </c>
      <c r="BJ52" s="41">
        <f t="shared" si="187"/>
        <v>2.6799999999999997</v>
      </c>
      <c r="BK52" s="40">
        <f t="shared" si="188"/>
        <v>0.12282309807516038</v>
      </c>
      <c r="BL52" s="30">
        <v>1.58</v>
      </c>
      <c r="BM52" s="33">
        <f t="shared" si="189"/>
        <v>0.19406049495875341</v>
      </c>
      <c r="BO52" s="43">
        <v>180</v>
      </c>
      <c r="BP52" s="41">
        <v>47.15</v>
      </c>
      <c r="BQ52" s="42">
        <v>70.180000000000007</v>
      </c>
      <c r="BR52" s="32">
        <f t="shared" si="190"/>
        <v>23.030000000000008</v>
      </c>
      <c r="BS52" s="41">
        <v>68.47</v>
      </c>
      <c r="BT52" s="32">
        <f t="shared" si="191"/>
        <v>21.32</v>
      </c>
      <c r="BU52" s="41">
        <f t="shared" si="192"/>
        <v>1.710000000000008</v>
      </c>
      <c r="BV52" s="40">
        <f t="shared" si="193"/>
        <v>8.0206378986867166E-2</v>
      </c>
      <c r="BW52" s="30">
        <v>1.58</v>
      </c>
      <c r="BX52" s="33">
        <f t="shared" si="194"/>
        <v>0.12672607879925013</v>
      </c>
      <c r="BZ52" s="43">
        <v>180</v>
      </c>
      <c r="CA52" s="41">
        <v>55.5</v>
      </c>
      <c r="CB52" s="42">
        <v>83.06</v>
      </c>
      <c r="CC52" s="32">
        <f t="shared" si="195"/>
        <v>27.560000000000002</v>
      </c>
      <c r="CD52" s="41">
        <v>80.989999999999995</v>
      </c>
      <c r="CE52" s="32">
        <f t="shared" si="196"/>
        <v>25.489999999999995</v>
      </c>
      <c r="CF52" s="41">
        <f t="shared" si="197"/>
        <v>2.0700000000000074</v>
      </c>
      <c r="CG52" s="40">
        <f t="shared" si="198"/>
        <v>8.1208316987054052E-2</v>
      </c>
      <c r="CH52" s="30">
        <v>1.58</v>
      </c>
      <c r="CI52" s="33">
        <f t="shared" si="199"/>
        <v>0.12830914083954542</v>
      </c>
    </row>
    <row r="53" spans="1:94" ht="13.5" thickBot="1" x14ac:dyDescent="0.25">
      <c r="A53" s="37"/>
      <c r="B53" s="34"/>
      <c r="C53" s="35"/>
      <c r="D53" s="35"/>
      <c r="E53" s="35"/>
      <c r="F53" s="34"/>
      <c r="G53" s="34"/>
      <c r="H53" s="59"/>
      <c r="I53" s="32"/>
      <c r="L53" s="37"/>
      <c r="M53" s="34"/>
      <c r="N53" s="35"/>
      <c r="O53" s="35"/>
      <c r="P53" s="35"/>
      <c r="Q53" s="34"/>
      <c r="R53" s="34"/>
      <c r="S53" s="59"/>
      <c r="T53" s="32"/>
      <c r="W53" s="37"/>
      <c r="X53" s="34"/>
      <c r="Y53" s="35"/>
      <c r="Z53" s="35"/>
      <c r="AA53" s="35"/>
      <c r="AB53" s="34"/>
      <c r="AC53" s="34"/>
      <c r="AD53" s="59"/>
      <c r="AE53" s="32"/>
      <c r="AH53" s="37"/>
      <c r="AI53" s="34"/>
      <c r="AJ53" s="35"/>
      <c r="AK53" s="35"/>
      <c r="AL53" s="35"/>
      <c r="AM53" s="34"/>
      <c r="AN53" s="34"/>
      <c r="AO53" s="59"/>
      <c r="AP53" s="32"/>
      <c r="AS53" s="37"/>
      <c r="AT53" s="34"/>
      <c r="AU53" s="35"/>
      <c r="AV53" s="35"/>
      <c r="AW53" s="35"/>
      <c r="AX53" s="34"/>
      <c r="AY53" s="34"/>
      <c r="AZ53" s="59"/>
      <c r="BA53" s="32"/>
      <c r="BD53" s="37"/>
      <c r="BE53" s="34"/>
      <c r="BF53" s="35"/>
      <c r="BG53" s="35"/>
      <c r="BH53" s="35"/>
      <c r="BI53" s="34"/>
      <c r="BJ53" s="34"/>
      <c r="BK53" s="59"/>
      <c r="BL53" s="32"/>
      <c r="BO53" s="37"/>
      <c r="BP53" s="34"/>
      <c r="BQ53" s="35"/>
      <c r="BR53" s="35"/>
      <c r="BS53" s="35"/>
      <c r="BT53" s="34"/>
      <c r="BU53" s="34"/>
      <c r="BV53" s="59"/>
      <c r="BW53" s="32"/>
      <c r="BZ53" s="37"/>
      <c r="CA53" s="34"/>
      <c r="CB53" s="35"/>
      <c r="CC53" s="35"/>
      <c r="CD53" s="35"/>
      <c r="CE53" s="34"/>
      <c r="CF53" s="34"/>
      <c r="CG53" s="59"/>
    </row>
    <row r="54" spans="1:94" ht="14.25" thickTop="1" thickBot="1" x14ac:dyDescent="0.25">
      <c r="B54" s="32"/>
      <c r="F54" s="32"/>
      <c r="H54" s="32"/>
      <c r="I54" s="32"/>
      <c r="M54" s="32"/>
      <c r="Q54" s="32"/>
      <c r="S54" s="32"/>
      <c r="T54" s="32"/>
      <c r="X54" s="32"/>
      <c r="AB54" s="32"/>
      <c r="AD54" s="32"/>
      <c r="AE54" s="32"/>
      <c r="AI54" s="32"/>
      <c r="AM54" s="32"/>
      <c r="AO54" s="32"/>
      <c r="AP54" s="32"/>
      <c r="AT54" s="32"/>
      <c r="AX54" s="32"/>
      <c r="AZ54" s="32"/>
      <c r="BA54" s="32"/>
      <c r="BE54" s="32"/>
      <c r="BI54" s="32"/>
      <c r="BK54" s="32"/>
      <c r="BL54" s="32"/>
      <c r="BP54" s="32"/>
      <c r="BT54" s="32"/>
      <c r="BV54" s="32"/>
      <c r="BW54" s="32"/>
      <c r="CA54" s="32"/>
      <c r="CE54" s="32"/>
      <c r="CG54" s="32"/>
    </row>
    <row r="55" spans="1:94" ht="13.5" thickBot="1" x14ac:dyDescent="0.25">
      <c r="B55" s="58" t="s">
        <v>123</v>
      </c>
      <c r="C55" s="57"/>
      <c r="D55" s="57"/>
      <c r="E55" s="57"/>
      <c r="F55" s="56"/>
      <c r="G55" s="32"/>
      <c r="H55" s="32"/>
      <c r="I55" s="32"/>
      <c r="M55" s="58" t="s">
        <v>123</v>
      </c>
      <c r="N55" s="57"/>
      <c r="O55" s="57"/>
      <c r="P55" s="57"/>
      <c r="Q55" s="56"/>
      <c r="R55" s="32"/>
      <c r="S55" s="32"/>
      <c r="T55" s="32"/>
      <c r="X55" s="58" t="s">
        <v>123</v>
      </c>
      <c r="Y55" s="57"/>
      <c r="Z55" s="57"/>
      <c r="AA55" s="57"/>
      <c r="AB55" s="56"/>
      <c r="AC55" s="32"/>
      <c r="AD55" s="32"/>
      <c r="AE55" s="32"/>
      <c r="AI55" s="58" t="s">
        <v>123</v>
      </c>
      <c r="AJ55" s="57"/>
      <c r="AK55" s="57"/>
      <c r="AL55" s="57"/>
      <c r="AM55" s="56"/>
      <c r="AN55" s="32"/>
      <c r="AO55" s="32"/>
      <c r="AP55" s="32"/>
      <c r="AT55" s="58" t="s">
        <v>123</v>
      </c>
      <c r="AU55" s="57"/>
      <c r="AV55" s="57"/>
      <c r="AW55" s="57"/>
      <c r="AX55" s="56"/>
      <c r="AY55" s="32"/>
      <c r="AZ55" s="32"/>
      <c r="BA55" s="32"/>
      <c r="BE55" s="58" t="s">
        <v>123</v>
      </c>
      <c r="BF55" s="57"/>
      <c r="BG55" s="57"/>
      <c r="BH55" s="57"/>
      <c r="BI55" s="56"/>
      <c r="BJ55" s="32"/>
      <c r="BK55" s="32"/>
      <c r="BL55" s="32"/>
      <c r="BP55" s="58" t="s">
        <v>123</v>
      </c>
      <c r="BQ55" s="57"/>
      <c r="BR55" s="57"/>
      <c r="BS55" s="57"/>
      <c r="BT55" s="56"/>
      <c r="BU55" s="32"/>
      <c r="BV55" s="32"/>
      <c r="BW55" s="32"/>
      <c r="CA55" s="58" t="s">
        <v>123</v>
      </c>
      <c r="CB55" s="57"/>
      <c r="CC55" s="57"/>
      <c r="CD55" s="57"/>
      <c r="CE55" s="56"/>
      <c r="CF55" s="32"/>
      <c r="CG55" s="32"/>
    </row>
    <row r="56" spans="1:94" ht="51.75" thickBot="1" x14ac:dyDescent="0.25">
      <c r="A56" s="55" t="s">
        <v>54</v>
      </c>
      <c r="B56" s="54" t="s">
        <v>122</v>
      </c>
      <c r="C56" s="54" t="s">
        <v>121</v>
      </c>
      <c r="D56" s="53" t="s">
        <v>120</v>
      </c>
      <c r="E56" s="52" t="s">
        <v>119</v>
      </c>
      <c r="F56" s="51" t="s">
        <v>118</v>
      </c>
      <c r="G56" s="50" t="s">
        <v>117</v>
      </c>
      <c r="H56" s="50" t="s">
        <v>116</v>
      </c>
      <c r="I56" s="49" t="s">
        <v>115</v>
      </c>
      <c r="J56" s="48" t="s">
        <v>114</v>
      </c>
      <c r="L56" s="55" t="s">
        <v>54</v>
      </c>
      <c r="M56" s="54" t="s">
        <v>122</v>
      </c>
      <c r="N56" s="54" t="s">
        <v>121</v>
      </c>
      <c r="O56" s="53" t="s">
        <v>120</v>
      </c>
      <c r="P56" s="52" t="s">
        <v>119</v>
      </c>
      <c r="Q56" s="51" t="s">
        <v>118</v>
      </c>
      <c r="R56" s="50" t="s">
        <v>117</v>
      </c>
      <c r="S56" s="50" t="s">
        <v>116</v>
      </c>
      <c r="T56" s="49" t="s">
        <v>115</v>
      </c>
      <c r="U56" s="48" t="s">
        <v>114</v>
      </c>
      <c r="W56" s="55" t="s">
        <v>54</v>
      </c>
      <c r="X56" s="54" t="s">
        <v>122</v>
      </c>
      <c r="Y56" s="54" t="s">
        <v>121</v>
      </c>
      <c r="Z56" s="53" t="s">
        <v>120</v>
      </c>
      <c r="AA56" s="52" t="s">
        <v>119</v>
      </c>
      <c r="AB56" s="51" t="s">
        <v>118</v>
      </c>
      <c r="AC56" s="50" t="s">
        <v>117</v>
      </c>
      <c r="AD56" s="50" t="s">
        <v>116</v>
      </c>
      <c r="AE56" s="49" t="s">
        <v>115</v>
      </c>
      <c r="AF56" s="48" t="s">
        <v>114</v>
      </c>
      <c r="AH56" s="55" t="s">
        <v>54</v>
      </c>
      <c r="AI56" s="54" t="s">
        <v>122</v>
      </c>
      <c r="AJ56" s="54" t="s">
        <v>121</v>
      </c>
      <c r="AK56" s="53" t="s">
        <v>120</v>
      </c>
      <c r="AL56" s="52" t="s">
        <v>119</v>
      </c>
      <c r="AM56" s="51" t="s">
        <v>118</v>
      </c>
      <c r="AN56" s="50" t="s">
        <v>117</v>
      </c>
      <c r="AO56" s="50" t="s">
        <v>116</v>
      </c>
      <c r="AP56" s="49" t="s">
        <v>115</v>
      </c>
      <c r="AQ56" s="48" t="s">
        <v>114</v>
      </c>
      <c r="AS56" s="55" t="s">
        <v>54</v>
      </c>
      <c r="AT56" s="54" t="s">
        <v>122</v>
      </c>
      <c r="AU56" s="54" t="s">
        <v>121</v>
      </c>
      <c r="AV56" s="53" t="s">
        <v>120</v>
      </c>
      <c r="AW56" s="52" t="s">
        <v>119</v>
      </c>
      <c r="AX56" s="51" t="s">
        <v>118</v>
      </c>
      <c r="AY56" s="50" t="s">
        <v>117</v>
      </c>
      <c r="AZ56" s="50" t="s">
        <v>116</v>
      </c>
      <c r="BA56" s="49" t="s">
        <v>115</v>
      </c>
      <c r="BB56" s="48" t="s">
        <v>114</v>
      </c>
      <c r="BD56" s="55" t="s">
        <v>54</v>
      </c>
      <c r="BE56" s="54" t="s">
        <v>122</v>
      </c>
      <c r="BF56" s="54" t="s">
        <v>121</v>
      </c>
      <c r="BG56" s="53" t="s">
        <v>120</v>
      </c>
      <c r="BH56" s="52" t="s">
        <v>119</v>
      </c>
      <c r="BI56" s="51" t="s">
        <v>118</v>
      </c>
      <c r="BJ56" s="50" t="s">
        <v>117</v>
      </c>
      <c r="BK56" s="50" t="s">
        <v>116</v>
      </c>
      <c r="BL56" s="49" t="s">
        <v>115</v>
      </c>
      <c r="BM56" s="48" t="s">
        <v>114</v>
      </c>
      <c r="BO56" s="55" t="s">
        <v>54</v>
      </c>
      <c r="BP56" s="54" t="s">
        <v>122</v>
      </c>
      <c r="BQ56" s="54" t="s">
        <v>121</v>
      </c>
      <c r="BR56" s="53" t="s">
        <v>120</v>
      </c>
      <c r="BS56" s="52" t="s">
        <v>119</v>
      </c>
      <c r="BT56" s="51" t="s">
        <v>118</v>
      </c>
      <c r="BU56" s="50" t="s">
        <v>117</v>
      </c>
      <c r="BV56" s="50" t="s">
        <v>116</v>
      </c>
      <c r="BW56" s="49" t="s">
        <v>115</v>
      </c>
      <c r="BX56" s="48" t="s">
        <v>114</v>
      </c>
      <c r="BZ56" s="55" t="s">
        <v>54</v>
      </c>
      <c r="CA56" s="54" t="s">
        <v>122</v>
      </c>
      <c r="CB56" s="54" t="s">
        <v>121</v>
      </c>
      <c r="CC56" s="53" t="s">
        <v>120</v>
      </c>
      <c r="CD56" s="52" t="s">
        <v>119</v>
      </c>
      <c r="CE56" s="51" t="s">
        <v>118</v>
      </c>
      <c r="CF56" s="50" t="s">
        <v>117</v>
      </c>
      <c r="CG56" s="50" t="s">
        <v>116</v>
      </c>
      <c r="CH56" s="49" t="s">
        <v>115</v>
      </c>
      <c r="CI56" s="48" t="s">
        <v>114</v>
      </c>
      <c r="CJ56" s="62"/>
      <c r="CK56" s="62"/>
      <c r="CL56" s="61"/>
      <c r="CM56" s="60"/>
      <c r="CN56" s="49"/>
      <c r="CO56" s="49"/>
      <c r="CP56" s="49"/>
    </row>
    <row r="57" spans="1:94" ht="13.5" thickTop="1" x14ac:dyDescent="0.2">
      <c r="A57" s="47">
        <v>30</v>
      </c>
      <c r="B57" s="45">
        <v>33.799999999999997</v>
      </c>
      <c r="C57" s="46">
        <v>50.3</v>
      </c>
      <c r="D57" s="32">
        <f>C57-B57</f>
        <v>16.5</v>
      </c>
      <c r="E57" s="45">
        <v>48.9</v>
      </c>
      <c r="F57" s="32">
        <f>E57-B57</f>
        <v>15.100000000000001</v>
      </c>
      <c r="G57" s="45">
        <f t="shared" ref="G57:G62" si="200">D57-F57</f>
        <v>1.3999999999999986</v>
      </c>
      <c r="H57" s="44">
        <f t="shared" ref="H57:H62" si="201">(G57/F57)</f>
        <v>9.2715231788079361E-2</v>
      </c>
      <c r="I57" s="30">
        <v>1.49</v>
      </c>
      <c r="J57" s="33">
        <f t="shared" ref="J57:J62" si="202">H57*I57</f>
        <v>0.13814569536423824</v>
      </c>
      <c r="L57" s="47">
        <v>30</v>
      </c>
      <c r="M57" s="45">
        <v>33.6</v>
      </c>
      <c r="N57" s="46">
        <v>57.3</v>
      </c>
      <c r="O57" s="32">
        <f t="shared" ref="O57:O62" si="203">N57-M57</f>
        <v>23.699999999999996</v>
      </c>
      <c r="P57" s="45">
        <v>54.7</v>
      </c>
      <c r="Q57" s="32">
        <f t="shared" ref="Q57:Q62" si="204">P57-M57</f>
        <v>21.1</v>
      </c>
      <c r="R57" s="45">
        <f t="shared" ref="R57:R62" si="205">O57-Q57</f>
        <v>2.5999999999999943</v>
      </c>
      <c r="S57" s="44">
        <f t="shared" ref="S57:S62" si="206">(R57/Q57)</f>
        <v>0.12322274881516559</v>
      </c>
      <c r="T57" s="30">
        <v>1.49</v>
      </c>
      <c r="U57" s="33">
        <f t="shared" ref="U57:U62" si="207">S57*T57</f>
        <v>0.18360189573459673</v>
      </c>
      <c r="W57" s="47">
        <v>30</v>
      </c>
      <c r="X57" s="45">
        <v>29.63</v>
      </c>
      <c r="Y57" s="46">
        <v>52.12</v>
      </c>
      <c r="Z57" s="32">
        <f t="shared" ref="Z57:Z62" si="208">Y57-X57</f>
        <v>22.49</v>
      </c>
      <c r="AA57" s="45">
        <v>49.84</v>
      </c>
      <c r="AB57" s="32">
        <f t="shared" ref="AB57:AB62" si="209">AA57-X57</f>
        <v>20.210000000000004</v>
      </c>
      <c r="AC57" s="45">
        <f t="shared" ref="AC57:AC62" si="210">Z57-AB57</f>
        <v>2.279999999999994</v>
      </c>
      <c r="AD57" s="44">
        <f t="shared" ref="AD57:AD62" si="211">(AC57/AB57)</f>
        <v>0.11281543790202837</v>
      </c>
      <c r="AE57" s="30">
        <v>1.49</v>
      </c>
      <c r="AF57" s="33">
        <f t="shared" ref="AF57:AF62" si="212">AD57*AE57</f>
        <v>0.16809500247402229</v>
      </c>
      <c r="AH57" s="47">
        <v>30</v>
      </c>
      <c r="AI57" s="45">
        <v>46.82</v>
      </c>
      <c r="AJ57" s="46">
        <v>69.459999999999994</v>
      </c>
      <c r="AK57" s="32">
        <f t="shared" ref="AK57:AK62" si="213">AJ57-AI57</f>
        <v>22.639999999999993</v>
      </c>
      <c r="AL57" s="45">
        <v>66.760000000000005</v>
      </c>
      <c r="AM57" s="32">
        <f t="shared" ref="AM57:AM62" si="214">AL57-AI57</f>
        <v>19.940000000000005</v>
      </c>
      <c r="AN57" s="45">
        <f t="shared" ref="AN57:AN62" si="215">AK57-AM57</f>
        <v>2.6999999999999886</v>
      </c>
      <c r="AO57" s="44">
        <f t="shared" ref="AO57:AO62" si="216">(AN57/AM57)</f>
        <v>0.1354062186559673</v>
      </c>
      <c r="AP57" s="30">
        <v>1.49</v>
      </c>
      <c r="AQ57" s="33">
        <f t="shared" ref="AQ57:AQ62" si="217">AO57*AP57</f>
        <v>0.20175526579739128</v>
      </c>
      <c r="AS57" s="47">
        <v>30</v>
      </c>
      <c r="AT57" s="45">
        <v>29.49</v>
      </c>
      <c r="AU57" s="46">
        <v>52.32</v>
      </c>
      <c r="AV57" s="32">
        <f t="shared" ref="AV57:AV62" si="218">AU57-AT57</f>
        <v>22.830000000000002</v>
      </c>
      <c r="AW57" s="45">
        <v>49.02</v>
      </c>
      <c r="AX57" s="32">
        <f t="shared" ref="AX57:AX62" si="219">AW57-AT57</f>
        <v>19.530000000000005</v>
      </c>
      <c r="AY57" s="45">
        <f t="shared" ref="AY57:AY62" si="220">AV57-AX57</f>
        <v>3.2999999999999972</v>
      </c>
      <c r="AZ57" s="44">
        <f t="shared" ref="AZ57:AZ62" si="221">(AY57/AX57)</f>
        <v>0.16897081413210427</v>
      </c>
      <c r="BA57" s="30">
        <v>1.49</v>
      </c>
      <c r="BB57" s="33">
        <f t="shared" ref="BB57:BB62" si="222">AZ57*BA57</f>
        <v>0.25176651305683534</v>
      </c>
      <c r="BD57" s="47">
        <v>30</v>
      </c>
      <c r="BE57" s="45">
        <v>38.520000000000003</v>
      </c>
      <c r="BF57" s="46">
        <v>61.11</v>
      </c>
      <c r="BG57" s="32">
        <f t="shared" ref="BG57:BG62" si="223">BF57-BE57</f>
        <v>22.589999999999996</v>
      </c>
      <c r="BH57" s="45">
        <v>58.31</v>
      </c>
      <c r="BI57" s="32">
        <f t="shared" ref="BI57:BI62" si="224">BH57-BE57</f>
        <v>19.79</v>
      </c>
      <c r="BJ57" s="45">
        <f t="shared" ref="BJ57:BJ62" si="225">BG57-BI57</f>
        <v>2.7999999999999972</v>
      </c>
      <c r="BK57" s="44">
        <f t="shared" ref="BK57:BK62" si="226">(BJ57/BI57)</f>
        <v>0.14148559878726616</v>
      </c>
      <c r="BL57" s="30">
        <v>1.49</v>
      </c>
      <c r="BM57" s="33">
        <f t="shared" ref="BM57:BM62" si="227">BK57*BL57</f>
        <v>0.21081354219302659</v>
      </c>
      <c r="BO57" s="47">
        <v>30</v>
      </c>
      <c r="BP57" s="45">
        <v>56.29</v>
      </c>
      <c r="BQ57" s="46">
        <v>79.16</v>
      </c>
      <c r="BR57" s="32">
        <f t="shared" ref="BR57:BR62" si="228">BQ57-BP57</f>
        <v>22.869999999999997</v>
      </c>
      <c r="BS57" s="45">
        <v>76.38</v>
      </c>
      <c r="BT57" s="32">
        <f t="shared" ref="BT57:BT62" si="229">BS57-BP57</f>
        <v>20.089999999999996</v>
      </c>
      <c r="BU57" s="45">
        <f t="shared" ref="BU57:BU62" si="230">BR57-BT57</f>
        <v>2.7800000000000011</v>
      </c>
      <c r="BV57" s="44">
        <f t="shared" ref="BV57:BV62" si="231">(BU57/BT57)</f>
        <v>0.13837730214036842</v>
      </c>
      <c r="BW57" s="30">
        <v>1.49</v>
      </c>
      <c r="BX57" s="33">
        <f t="shared" ref="BX57:BX62" si="232">BV57*BW57</f>
        <v>0.20618218018914894</v>
      </c>
      <c r="BZ57" s="47">
        <v>30</v>
      </c>
      <c r="CA57" s="45">
        <v>30</v>
      </c>
      <c r="CB57" s="46">
        <v>53.2</v>
      </c>
      <c r="CC57" s="32">
        <f t="shared" ref="CC57:CC62" si="233">CB57-CA57</f>
        <v>23.200000000000003</v>
      </c>
      <c r="CD57" s="45">
        <v>50.7</v>
      </c>
      <c r="CE57" s="32">
        <f t="shared" ref="CE57:CE62" si="234">CD57-CA57</f>
        <v>20.700000000000003</v>
      </c>
      <c r="CF57" s="45">
        <f t="shared" ref="CF57:CF62" si="235">CC57-CE57</f>
        <v>2.5</v>
      </c>
      <c r="CG57" s="44">
        <f t="shared" ref="CG57:CG62" si="236">(CF57/CE57)</f>
        <v>0.12077294685990336</v>
      </c>
      <c r="CH57" s="30">
        <v>1.49</v>
      </c>
      <c r="CI57" s="33">
        <f t="shared" ref="CI57:CI62" si="237">CG57*CH57</f>
        <v>0.17995169082125601</v>
      </c>
      <c r="CJ57" s="32"/>
      <c r="CL57" s="32"/>
      <c r="CM57" s="32"/>
      <c r="CN57" s="32"/>
      <c r="CO57" s="32"/>
      <c r="CP57" s="32"/>
    </row>
    <row r="58" spans="1:94" x14ac:dyDescent="0.2">
      <c r="A58" s="43">
        <v>60</v>
      </c>
      <c r="B58" s="41">
        <v>33.799999999999997</v>
      </c>
      <c r="C58" s="42">
        <v>58.8</v>
      </c>
      <c r="D58" s="32">
        <v>53.8</v>
      </c>
      <c r="E58" s="41">
        <v>55.6</v>
      </c>
      <c r="F58" s="32">
        <v>50</v>
      </c>
      <c r="G58" s="41">
        <f t="shared" si="200"/>
        <v>3.7999999999999972</v>
      </c>
      <c r="H58" s="40">
        <f t="shared" si="201"/>
        <v>7.5999999999999943E-2</v>
      </c>
      <c r="I58" s="30">
        <v>1.42</v>
      </c>
      <c r="J58" s="33">
        <f t="shared" si="202"/>
        <v>0.10791999999999992</v>
      </c>
      <c r="L58" s="43">
        <v>60</v>
      </c>
      <c r="M58" s="41">
        <v>39.299999999999997</v>
      </c>
      <c r="N58" s="42">
        <v>62</v>
      </c>
      <c r="O58" s="32">
        <f t="shared" si="203"/>
        <v>22.700000000000003</v>
      </c>
      <c r="P58" s="41">
        <v>59.8</v>
      </c>
      <c r="Q58" s="32">
        <f t="shared" si="204"/>
        <v>20.5</v>
      </c>
      <c r="R58" s="41">
        <f t="shared" si="205"/>
        <v>2.2000000000000028</v>
      </c>
      <c r="S58" s="40">
        <f t="shared" si="206"/>
        <v>0.10731707317073184</v>
      </c>
      <c r="T58" s="30">
        <v>1.42</v>
      </c>
      <c r="U58" s="33">
        <f t="shared" si="207"/>
        <v>0.15239024390243922</v>
      </c>
      <c r="W58" s="43">
        <v>60</v>
      </c>
      <c r="X58" s="41">
        <v>29.47</v>
      </c>
      <c r="Y58" s="42">
        <v>51.11</v>
      </c>
      <c r="Z58" s="32">
        <f t="shared" si="208"/>
        <v>21.64</v>
      </c>
      <c r="AA58" s="41">
        <v>48.82</v>
      </c>
      <c r="AB58" s="32">
        <f t="shared" si="209"/>
        <v>19.350000000000001</v>
      </c>
      <c r="AC58" s="41">
        <f t="shared" si="210"/>
        <v>2.2899999999999991</v>
      </c>
      <c r="AD58" s="40">
        <f t="shared" si="211"/>
        <v>0.11834625322997411</v>
      </c>
      <c r="AE58" s="30">
        <v>1.42</v>
      </c>
      <c r="AF58" s="33">
        <f t="shared" si="212"/>
        <v>0.16805167958656322</v>
      </c>
      <c r="AH58" s="43">
        <v>60</v>
      </c>
      <c r="AI58" s="41">
        <v>44.43</v>
      </c>
      <c r="AJ58" s="42">
        <v>69.2</v>
      </c>
      <c r="AK58" s="32">
        <f t="shared" si="213"/>
        <v>24.770000000000003</v>
      </c>
      <c r="AL58" s="41">
        <v>66.12</v>
      </c>
      <c r="AM58" s="32">
        <f t="shared" si="214"/>
        <v>21.690000000000005</v>
      </c>
      <c r="AN58" s="41">
        <f t="shared" si="215"/>
        <v>3.0799999999999983</v>
      </c>
      <c r="AO58" s="40">
        <f t="shared" si="216"/>
        <v>0.14200092208390952</v>
      </c>
      <c r="AP58" s="30">
        <v>1.42</v>
      </c>
      <c r="AQ58" s="33">
        <f t="shared" si="217"/>
        <v>0.2016413093591515</v>
      </c>
      <c r="AS58" s="43">
        <v>60</v>
      </c>
      <c r="AT58" s="41">
        <v>29.38</v>
      </c>
      <c r="AU58" s="42">
        <v>52.13</v>
      </c>
      <c r="AV58" s="32">
        <f t="shared" si="218"/>
        <v>22.750000000000004</v>
      </c>
      <c r="AW58" s="41">
        <v>47.9</v>
      </c>
      <c r="AX58" s="32">
        <f t="shared" si="219"/>
        <v>18.52</v>
      </c>
      <c r="AY58" s="41">
        <f t="shared" si="220"/>
        <v>4.230000000000004</v>
      </c>
      <c r="AZ58" s="40">
        <f t="shared" si="221"/>
        <v>0.22840172786177129</v>
      </c>
      <c r="BA58" s="30">
        <v>1.42</v>
      </c>
      <c r="BB58" s="33">
        <f t="shared" si="222"/>
        <v>0.3243304535637152</v>
      </c>
      <c r="BD58" s="43">
        <v>60</v>
      </c>
      <c r="BE58" s="41">
        <v>39.44</v>
      </c>
      <c r="BF58" s="42">
        <v>64.11</v>
      </c>
      <c r="BG58" s="32">
        <f t="shared" si="223"/>
        <v>24.67</v>
      </c>
      <c r="BH58" s="41">
        <v>60.88</v>
      </c>
      <c r="BI58" s="32">
        <f t="shared" si="224"/>
        <v>21.440000000000005</v>
      </c>
      <c r="BJ58" s="41">
        <f t="shared" si="225"/>
        <v>3.2299999999999969</v>
      </c>
      <c r="BK58" s="40">
        <f t="shared" si="226"/>
        <v>0.15065298507462668</v>
      </c>
      <c r="BL58" s="30">
        <v>1.42</v>
      </c>
      <c r="BM58" s="33">
        <f t="shared" si="227"/>
        <v>0.21392723880596987</v>
      </c>
      <c r="BO58" s="43">
        <v>60</v>
      </c>
      <c r="BP58" s="41">
        <v>38.08</v>
      </c>
      <c r="BQ58" s="42">
        <v>63.6</v>
      </c>
      <c r="BR58" s="32">
        <f t="shared" si="228"/>
        <v>25.520000000000003</v>
      </c>
      <c r="BS58" s="41">
        <v>59.21</v>
      </c>
      <c r="BT58" s="32">
        <f t="shared" si="229"/>
        <v>21.130000000000003</v>
      </c>
      <c r="BU58" s="41">
        <f t="shared" si="230"/>
        <v>4.3900000000000006</v>
      </c>
      <c r="BV58" s="40">
        <f t="shared" si="231"/>
        <v>0.20776147657359206</v>
      </c>
      <c r="BW58" s="30">
        <v>1.42</v>
      </c>
      <c r="BX58" s="33">
        <f t="shared" si="232"/>
        <v>0.29502129673450073</v>
      </c>
      <c r="BZ58" s="43">
        <v>60</v>
      </c>
      <c r="CA58" s="41">
        <v>28.5</v>
      </c>
      <c r="CB58" s="42">
        <v>54.9</v>
      </c>
      <c r="CC58" s="32">
        <f t="shared" si="233"/>
        <v>26.4</v>
      </c>
      <c r="CD58" s="41">
        <v>51.9</v>
      </c>
      <c r="CE58" s="32">
        <f t="shared" si="234"/>
        <v>23.4</v>
      </c>
      <c r="CF58" s="41">
        <f t="shared" si="235"/>
        <v>3</v>
      </c>
      <c r="CG58" s="40">
        <f t="shared" si="236"/>
        <v>0.12820512820512822</v>
      </c>
      <c r="CH58" s="30">
        <v>1.42</v>
      </c>
      <c r="CI58" s="33">
        <f t="shared" si="237"/>
        <v>0.18205128205128207</v>
      </c>
      <c r="CJ58" s="32"/>
      <c r="CL58" s="32"/>
      <c r="CM58" s="32"/>
      <c r="CN58" s="32"/>
      <c r="CO58" s="32"/>
      <c r="CP58" s="32"/>
    </row>
    <row r="59" spans="1:94" x14ac:dyDescent="0.2">
      <c r="A59" s="43">
        <v>90</v>
      </c>
      <c r="B59" s="41">
        <v>33.31</v>
      </c>
      <c r="C59" s="42">
        <v>58.87</v>
      </c>
      <c r="D59" s="32">
        <f>C59-B59</f>
        <v>25.559999999999995</v>
      </c>
      <c r="E59" s="41">
        <v>54.66</v>
      </c>
      <c r="F59" s="32">
        <f>E59-B59</f>
        <v>21.349999999999994</v>
      </c>
      <c r="G59" s="41">
        <f t="shared" si="200"/>
        <v>4.2100000000000009</v>
      </c>
      <c r="H59" s="40">
        <f t="shared" si="201"/>
        <v>0.19718969555035137</v>
      </c>
      <c r="I59" s="30">
        <v>1.58</v>
      </c>
      <c r="J59" s="33">
        <f t="shared" si="202"/>
        <v>0.3115597189695552</v>
      </c>
      <c r="L59" s="43">
        <v>90</v>
      </c>
      <c r="M59" s="41">
        <v>34</v>
      </c>
      <c r="N59" s="42">
        <v>58.7</v>
      </c>
      <c r="O59" s="32">
        <f t="shared" si="203"/>
        <v>24.700000000000003</v>
      </c>
      <c r="P59" s="41">
        <v>56.6</v>
      </c>
      <c r="Q59" s="32">
        <f t="shared" si="204"/>
        <v>22.6</v>
      </c>
      <c r="R59" s="41">
        <f t="shared" si="205"/>
        <v>2.1000000000000014</v>
      </c>
      <c r="S59" s="40">
        <f t="shared" si="206"/>
        <v>9.2920353982300946E-2</v>
      </c>
      <c r="T59" s="30">
        <v>1.58</v>
      </c>
      <c r="U59" s="33">
        <f t="shared" si="207"/>
        <v>0.14681415929203551</v>
      </c>
      <c r="W59" s="43">
        <v>90</v>
      </c>
      <c r="X59" s="41">
        <v>34.14</v>
      </c>
      <c r="Y59" s="42">
        <v>56.16</v>
      </c>
      <c r="Z59" s="32">
        <f t="shared" si="208"/>
        <v>22.019999999999996</v>
      </c>
      <c r="AA59" s="41">
        <v>53.2</v>
      </c>
      <c r="AB59" s="32">
        <f t="shared" si="209"/>
        <v>19.060000000000002</v>
      </c>
      <c r="AC59" s="41">
        <f t="shared" si="210"/>
        <v>2.9599999999999937</v>
      </c>
      <c r="AD59" s="40">
        <f t="shared" si="211"/>
        <v>0.15529905561385066</v>
      </c>
      <c r="AE59" s="30">
        <v>1.58</v>
      </c>
      <c r="AF59" s="33">
        <f t="shared" si="212"/>
        <v>0.24537250786988404</v>
      </c>
      <c r="AH59" s="43">
        <v>90</v>
      </c>
      <c r="AI59" s="41">
        <v>29.36</v>
      </c>
      <c r="AJ59" s="42">
        <v>53.91</v>
      </c>
      <c r="AK59" s="32">
        <f t="shared" si="213"/>
        <v>24.549999999999997</v>
      </c>
      <c r="AL59" s="41">
        <v>49.99</v>
      </c>
      <c r="AM59" s="32">
        <f t="shared" si="214"/>
        <v>20.630000000000003</v>
      </c>
      <c r="AN59" s="41">
        <f t="shared" si="215"/>
        <v>3.9199999999999946</v>
      </c>
      <c r="AO59" s="40">
        <f t="shared" si="216"/>
        <v>0.19001454192922898</v>
      </c>
      <c r="AP59" s="30">
        <v>1.58</v>
      </c>
      <c r="AQ59" s="33">
        <f t="shared" si="217"/>
        <v>0.30022297624818178</v>
      </c>
      <c r="AS59" s="43">
        <v>90</v>
      </c>
      <c r="AT59" s="41">
        <v>33.25</v>
      </c>
      <c r="AU59" s="42">
        <v>57.74</v>
      </c>
      <c r="AV59" s="32">
        <f t="shared" si="218"/>
        <v>24.490000000000002</v>
      </c>
      <c r="AW59" s="41">
        <v>53.34</v>
      </c>
      <c r="AX59" s="32">
        <f t="shared" si="219"/>
        <v>20.090000000000003</v>
      </c>
      <c r="AY59" s="41">
        <f t="shared" si="220"/>
        <v>4.3999999999999986</v>
      </c>
      <c r="AZ59" s="40">
        <f t="shared" si="221"/>
        <v>0.2190144350423095</v>
      </c>
      <c r="BA59" s="30">
        <v>1.58</v>
      </c>
      <c r="BB59" s="33">
        <f t="shared" si="222"/>
        <v>0.346042807366849</v>
      </c>
      <c r="BD59" s="43">
        <v>90</v>
      </c>
      <c r="BE59" s="41">
        <v>28.74</v>
      </c>
      <c r="BF59" s="42">
        <v>52.28</v>
      </c>
      <c r="BG59" s="32">
        <f t="shared" si="223"/>
        <v>23.540000000000003</v>
      </c>
      <c r="BH59" s="41">
        <v>49.3</v>
      </c>
      <c r="BI59" s="32">
        <f t="shared" si="224"/>
        <v>20.56</v>
      </c>
      <c r="BJ59" s="41">
        <f t="shared" si="225"/>
        <v>2.980000000000004</v>
      </c>
      <c r="BK59" s="40">
        <f t="shared" si="226"/>
        <v>0.14494163424124534</v>
      </c>
      <c r="BL59" s="30">
        <v>1.58</v>
      </c>
      <c r="BM59" s="33">
        <f t="shared" si="227"/>
        <v>0.22900778210116765</v>
      </c>
      <c r="BO59" s="43">
        <v>90</v>
      </c>
      <c r="BP59" s="41">
        <v>39.46</v>
      </c>
      <c r="BQ59" s="42">
        <v>62.58</v>
      </c>
      <c r="BR59" s="32">
        <f t="shared" si="228"/>
        <v>23.119999999999997</v>
      </c>
      <c r="BS59" s="41">
        <v>58.81</v>
      </c>
      <c r="BT59" s="32">
        <f t="shared" si="229"/>
        <v>19.350000000000001</v>
      </c>
      <c r="BU59" s="41">
        <f t="shared" si="230"/>
        <v>3.769999999999996</v>
      </c>
      <c r="BV59" s="40">
        <f t="shared" si="231"/>
        <v>0.19483204134366902</v>
      </c>
      <c r="BW59" s="30">
        <v>1.58</v>
      </c>
      <c r="BX59" s="33">
        <f t="shared" si="232"/>
        <v>0.30783462532299705</v>
      </c>
      <c r="BZ59" s="43">
        <v>90</v>
      </c>
      <c r="CA59" s="41">
        <v>28.7</v>
      </c>
      <c r="CB59" s="42">
        <v>55.3</v>
      </c>
      <c r="CC59" s="32">
        <f t="shared" si="233"/>
        <v>26.599999999999998</v>
      </c>
      <c r="CD59" s="41">
        <v>50.9</v>
      </c>
      <c r="CE59" s="32">
        <f t="shared" si="234"/>
        <v>22.2</v>
      </c>
      <c r="CF59" s="41">
        <f t="shared" si="235"/>
        <v>4.3999999999999986</v>
      </c>
      <c r="CG59" s="40">
        <f t="shared" si="236"/>
        <v>0.19819819819819814</v>
      </c>
      <c r="CH59" s="30">
        <v>1.58</v>
      </c>
      <c r="CI59" s="33">
        <f t="shared" si="237"/>
        <v>0.31315315315315306</v>
      </c>
      <c r="CJ59" s="32"/>
      <c r="CL59" s="32"/>
      <c r="CM59" s="32"/>
      <c r="CN59" s="32"/>
      <c r="CO59" s="32"/>
      <c r="CP59" s="32"/>
    </row>
    <row r="60" spans="1:94" x14ac:dyDescent="0.2">
      <c r="A60" s="43">
        <v>120</v>
      </c>
      <c r="B60" s="41">
        <v>29.5</v>
      </c>
      <c r="C60" s="42">
        <v>49.6</v>
      </c>
      <c r="D60" s="32">
        <f>C60-B60</f>
        <v>20.100000000000001</v>
      </c>
      <c r="E60" s="41">
        <v>47.2</v>
      </c>
      <c r="F60" s="32">
        <f>E60-B60</f>
        <v>17.700000000000003</v>
      </c>
      <c r="G60" s="41">
        <f t="shared" si="200"/>
        <v>2.3999999999999986</v>
      </c>
      <c r="H60" s="40">
        <f t="shared" si="201"/>
        <v>0.13559322033898294</v>
      </c>
      <c r="I60" s="30">
        <v>1.58</v>
      </c>
      <c r="J60" s="33">
        <f t="shared" si="202"/>
        <v>0.21423728813559306</v>
      </c>
      <c r="L60" s="43">
        <v>120</v>
      </c>
      <c r="M60" s="41">
        <v>33.799999999999997</v>
      </c>
      <c r="N60" s="42">
        <v>58.2</v>
      </c>
      <c r="O60" s="32">
        <f t="shared" si="203"/>
        <v>24.400000000000006</v>
      </c>
      <c r="P60" s="41">
        <v>55.4</v>
      </c>
      <c r="Q60" s="32">
        <f t="shared" si="204"/>
        <v>21.6</v>
      </c>
      <c r="R60" s="41">
        <f t="shared" si="205"/>
        <v>2.8000000000000043</v>
      </c>
      <c r="S60" s="40">
        <f t="shared" si="206"/>
        <v>0.12962962962962982</v>
      </c>
      <c r="T60" s="30">
        <v>1.58</v>
      </c>
      <c r="U60" s="33">
        <f t="shared" si="207"/>
        <v>0.20481481481481512</v>
      </c>
      <c r="W60" s="43">
        <v>120</v>
      </c>
      <c r="X60" s="41">
        <v>29.36</v>
      </c>
      <c r="Y60" s="42">
        <v>53.02</v>
      </c>
      <c r="Z60" s="32">
        <f t="shared" si="208"/>
        <v>23.660000000000004</v>
      </c>
      <c r="AA60" s="41">
        <v>49.34</v>
      </c>
      <c r="AB60" s="32">
        <f t="shared" si="209"/>
        <v>19.980000000000004</v>
      </c>
      <c r="AC60" s="41">
        <f t="shared" si="210"/>
        <v>3.6799999999999997</v>
      </c>
      <c r="AD60" s="40">
        <f t="shared" si="211"/>
        <v>0.18418418418418414</v>
      </c>
      <c r="AE60" s="30">
        <v>1.58</v>
      </c>
      <c r="AF60" s="33">
        <f t="shared" si="212"/>
        <v>0.29101101101101096</v>
      </c>
      <c r="AH60" s="43">
        <v>120</v>
      </c>
      <c r="AI60" s="41">
        <v>29.96</v>
      </c>
      <c r="AJ60" s="42">
        <v>55.28</v>
      </c>
      <c r="AK60" s="32">
        <f t="shared" si="213"/>
        <v>25.32</v>
      </c>
      <c r="AL60" s="41">
        <v>51.34</v>
      </c>
      <c r="AM60" s="32">
        <f t="shared" si="214"/>
        <v>21.380000000000003</v>
      </c>
      <c r="AN60" s="41">
        <f t="shared" si="215"/>
        <v>3.9399999999999977</v>
      </c>
      <c r="AO60" s="40">
        <f t="shared" si="216"/>
        <v>0.18428437792329266</v>
      </c>
      <c r="AP60" s="30">
        <v>1.58</v>
      </c>
      <c r="AQ60" s="33">
        <f t="shared" si="217"/>
        <v>0.2911693171188024</v>
      </c>
      <c r="AS60" s="43">
        <v>120</v>
      </c>
      <c r="AT60" s="41">
        <v>56.85</v>
      </c>
      <c r="AU60" s="42">
        <v>82.51</v>
      </c>
      <c r="AV60" s="32">
        <f t="shared" si="218"/>
        <v>25.660000000000004</v>
      </c>
      <c r="AW60" s="41">
        <v>79.099999999999994</v>
      </c>
      <c r="AX60" s="32">
        <f t="shared" si="219"/>
        <v>22.249999999999993</v>
      </c>
      <c r="AY60" s="41">
        <f t="shared" si="220"/>
        <v>3.4100000000000108</v>
      </c>
      <c r="AZ60" s="40">
        <f t="shared" si="221"/>
        <v>0.15325842696629266</v>
      </c>
      <c r="BA60" s="30">
        <v>1.58</v>
      </c>
      <c r="BB60" s="33">
        <f t="shared" si="222"/>
        <v>0.24214831460674241</v>
      </c>
      <c r="BD60" s="43">
        <v>120</v>
      </c>
      <c r="BE60" s="41">
        <v>29.15</v>
      </c>
      <c r="BF60" s="42">
        <v>54.22</v>
      </c>
      <c r="BG60" s="32">
        <f t="shared" si="223"/>
        <v>25.07</v>
      </c>
      <c r="BH60" s="41">
        <v>50.81</v>
      </c>
      <c r="BI60" s="32">
        <f t="shared" si="224"/>
        <v>21.660000000000004</v>
      </c>
      <c r="BJ60" s="41">
        <f t="shared" si="225"/>
        <v>3.4099999999999966</v>
      </c>
      <c r="BK60" s="40">
        <f t="shared" si="226"/>
        <v>0.15743305632502291</v>
      </c>
      <c r="BL60" s="30">
        <v>1.58</v>
      </c>
      <c r="BM60" s="33">
        <f t="shared" si="227"/>
        <v>0.24874422899353621</v>
      </c>
      <c r="BO60" s="43">
        <v>120</v>
      </c>
      <c r="BP60" s="41">
        <v>58.1</v>
      </c>
      <c r="BQ60" s="42">
        <v>84.54</v>
      </c>
      <c r="BR60" s="32">
        <f t="shared" si="228"/>
        <v>26.440000000000005</v>
      </c>
      <c r="BS60" s="41">
        <v>80.900000000000006</v>
      </c>
      <c r="BT60" s="32">
        <f t="shared" si="229"/>
        <v>22.800000000000004</v>
      </c>
      <c r="BU60" s="41">
        <f t="shared" si="230"/>
        <v>3.6400000000000006</v>
      </c>
      <c r="BV60" s="40">
        <f t="shared" si="231"/>
        <v>0.15964912280701754</v>
      </c>
      <c r="BW60" s="30">
        <v>1.58</v>
      </c>
      <c r="BX60" s="33">
        <f t="shared" si="232"/>
        <v>0.25224561403508772</v>
      </c>
      <c r="BZ60" s="43">
        <v>120</v>
      </c>
      <c r="CA60" s="41">
        <v>29</v>
      </c>
      <c r="CB60" s="42">
        <v>58.6</v>
      </c>
      <c r="CC60" s="32">
        <f t="shared" si="233"/>
        <v>29.6</v>
      </c>
      <c r="CD60" s="41">
        <v>54.7</v>
      </c>
      <c r="CE60" s="32">
        <f t="shared" si="234"/>
        <v>25.700000000000003</v>
      </c>
      <c r="CF60" s="41">
        <f t="shared" si="235"/>
        <v>3.8999999999999986</v>
      </c>
      <c r="CG60" s="40">
        <f t="shared" si="236"/>
        <v>0.15175097276264585</v>
      </c>
      <c r="CH60" s="30">
        <v>1.58</v>
      </c>
      <c r="CI60" s="33">
        <f t="shared" si="237"/>
        <v>0.23976653696498046</v>
      </c>
      <c r="CJ60" s="32"/>
      <c r="CL60" s="32"/>
      <c r="CM60" s="32"/>
      <c r="CN60" s="32"/>
      <c r="CO60" s="32"/>
      <c r="CP60" s="32"/>
    </row>
    <row r="61" spans="1:94" x14ac:dyDescent="0.2">
      <c r="A61" s="43">
        <v>150</v>
      </c>
      <c r="B61" s="41">
        <v>29.2</v>
      </c>
      <c r="C61" s="42">
        <v>53.5</v>
      </c>
      <c r="D61" s="32">
        <f>C61-B61</f>
        <v>24.3</v>
      </c>
      <c r="E61" s="41">
        <v>51.2</v>
      </c>
      <c r="F61" s="32">
        <f>E61-B61</f>
        <v>22.000000000000004</v>
      </c>
      <c r="G61" s="41">
        <f t="shared" si="200"/>
        <v>2.2999999999999972</v>
      </c>
      <c r="H61" s="40">
        <f t="shared" si="201"/>
        <v>0.1045454545454544</v>
      </c>
      <c r="I61" s="30">
        <v>1.58</v>
      </c>
      <c r="J61" s="33">
        <f t="shared" si="202"/>
        <v>0.16518181818181796</v>
      </c>
      <c r="L61" s="43">
        <v>150</v>
      </c>
      <c r="M61" s="41">
        <v>33.700000000000003</v>
      </c>
      <c r="N61" s="42">
        <v>59.4</v>
      </c>
      <c r="O61" s="32">
        <f t="shared" si="203"/>
        <v>25.699999999999996</v>
      </c>
      <c r="P61" s="41">
        <v>56.1</v>
      </c>
      <c r="Q61" s="32">
        <f t="shared" si="204"/>
        <v>22.4</v>
      </c>
      <c r="R61" s="41">
        <f t="shared" si="205"/>
        <v>3.2999999999999972</v>
      </c>
      <c r="S61" s="40">
        <f t="shared" si="206"/>
        <v>0.14732142857142846</v>
      </c>
      <c r="T61" s="30">
        <v>1.58</v>
      </c>
      <c r="U61" s="33">
        <f t="shared" si="207"/>
        <v>0.23276785714285697</v>
      </c>
      <c r="W61" s="43">
        <v>150</v>
      </c>
      <c r="X61" s="41">
        <v>28.88</v>
      </c>
      <c r="Y61" s="42">
        <v>57.52</v>
      </c>
      <c r="Z61" s="32">
        <f t="shared" si="208"/>
        <v>28.640000000000004</v>
      </c>
      <c r="AA61" s="41">
        <v>53.56</v>
      </c>
      <c r="AB61" s="32">
        <f t="shared" si="209"/>
        <v>24.680000000000003</v>
      </c>
      <c r="AC61" s="41">
        <f t="shared" si="210"/>
        <v>3.9600000000000009</v>
      </c>
      <c r="AD61" s="40">
        <f t="shared" si="211"/>
        <v>0.16045380875202594</v>
      </c>
      <c r="AE61" s="30">
        <v>1.58</v>
      </c>
      <c r="AF61" s="33">
        <f t="shared" si="212"/>
        <v>0.25351701782820102</v>
      </c>
      <c r="AH61" s="43">
        <v>150</v>
      </c>
      <c r="AI61" s="41">
        <v>33.6</v>
      </c>
      <c r="AJ61" s="42">
        <v>59.55</v>
      </c>
      <c r="AK61" s="32">
        <f t="shared" si="213"/>
        <v>25.949999999999996</v>
      </c>
      <c r="AL61" s="41">
        <v>55.93</v>
      </c>
      <c r="AM61" s="32">
        <f t="shared" si="214"/>
        <v>22.33</v>
      </c>
      <c r="AN61" s="41">
        <f t="shared" si="215"/>
        <v>3.6199999999999974</v>
      </c>
      <c r="AO61" s="40">
        <f t="shared" si="216"/>
        <v>0.16211374832064476</v>
      </c>
      <c r="AP61" s="30">
        <v>1.58</v>
      </c>
      <c r="AQ61" s="33">
        <f t="shared" si="217"/>
        <v>0.25613972234661875</v>
      </c>
      <c r="AS61" s="43">
        <v>150</v>
      </c>
      <c r="AT61" s="41">
        <v>29.2</v>
      </c>
      <c r="AU61" s="42">
        <v>53.7</v>
      </c>
      <c r="AV61" s="32">
        <f t="shared" si="218"/>
        <v>24.500000000000004</v>
      </c>
      <c r="AW61" s="41">
        <v>51.1</v>
      </c>
      <c r="AX61" s="32">
        <f t="shared" si="219"/>
        <v>21.900000000000002</v>
      </c>
      <c r="AY61" s="41">
        <f t="shared" si="220"/>
        <v>2.6000000000000014</v>
      </c>
      <c r="AZ61" s="40">
        <f t="shared" si="221"/>
        <v>0.11872146118721466</v>
      </c>
      <c r="BA61" s="30">
        <v>1.58</v>
      </c>
      <c r="BB61" s="33">
        <f t="shared" si="222"/>
        <v>0.18757990867579918</v>
      </c>
      <c r="BD61" s="43">
        <v>150</v>
      </c>
      <c r="BE61" s="41">
        <v>29.49</v>
      </c>
      <c r="BF61" s="42">
        <v>55.29</v>
      </c>
      <c r="BG61" s="32">
        <f t="shared" si="223"/>
        <v>25.8</v>
      </c>
      <c r="BH61" s="41">
        <v>51.9</v>
      </c>
      <c r="BI61" s="32">
        <f t="shared" si="224"/>
        <v>22.41</v>
      </c>
      <c r="BJ61" s="41">
        <f t="shared" si="225"/>
        <v>3.3900000000000006</v>
      </c>
      <c r="BK61" s="40">
        <f t="shared" si="226"/>
        <v>0.15127175368139226</v>
      </c>
      <c r="BL61" s="30">
        <v>1.58</v>
      </c>
      <c r="BM61" s="33">
        <f t="shared" si="227"/>
        <v>0.23900937081659979</v>
      </c>
      <c r="BO61" s="43">
        <v>150</v>
      </c>
      <c r="BP61" s="41">
        <v>30.08</v>
      </c>
      <c r="BQ61" s="42">
        <v>56.05</v>
      </c>
      <c r="BR61" s="32">
        <f t="shared" si="228"/>
        <v>25.97</v>
      </c>
      <c r="BS61" s="41">
        <v>53.12</v>
      </c>
      <c r="BT61" s="32">
        <f t="shared" si="229"/>
        <v>23.04</v>
      </c>
      <c r="BU61" s="41">
        <f t="shared" si="230"/>
        <v>2.9299999999999997</v>
      </c>
      <c r="BV61" s="40">
        <f t="shared" si="231"/>
        <v>0.1271701388888889</v>
      </c>
      <c r="BW61" s="30">
        <v>1.58</v>
      </c>
      <c r="BX61" s="33">
        <f t="shared" si="232"/>
        <v>0.20092881944444446</v>
      </c>
      <c r="BZ61" s="43">
        <v>150</v>
      </c>
      <c r="CA61" s="41">
        <v>29.7</v>
      </c>
      <c r="CB61" s="42">
        <v>57.8</v>
      </c>
      <c r="CC61" s="32">
        <f t="shared" si="233"/>
        <v>28.099999999999998</v>
      </c>
      <c r="CD61" s="41">
        <v>54.2</v>
      </c>
      <c r="CE61" s="32">
        <f t="shared" si="234"/>
        <v>24.500000000000004</v>
      </c>
      <c r="CF61" s="41">
        <f t="shared" si="235"/>
        <v>3.5999999999999943</v>
      </c>
      <c r="CG61" s="40">
        <f t="shared" si="236"/>
        <v>0.14693877551020382</v>
      </c>
      <c r="CH61" s="30">
        <v>1.58</v>
      </c>
      <c r="CI61" s="33">
        <f t="shared" si="237"/>
        <v>0.23216326530612205</v>
      </c>
      <c r="CJ61" s="32"/>
      <c r="CL61" s="32"/>
      <c r="CM61" s="32"/>
      <c r="CN61" s="32"/>
      <c r="CO61" s="32"/>
      <c r="CP61" s="32"/>
    </row>
    <row r="62" spans="1:94" x14ac:dyDescent="0.2">
      <c r="A62" s="43">
        <v>180</v>
      </c>
      <c r="B62" s="41">
        <v>37.6</v>
      </c>
      <c r="C62" s="42">
        <v>65</v>
      </c>
      <c r="D62" s="32">
        <f>C62-B62</f>
        <v>27.4</v>
      </c>
      <c r="E62" s="41">
        <v>61.3</v>
      </c>
      <c r="F62" s="32">
        <f>E62-B62</f>
        <v>23.699999999999996</v>
      </c>
      <c r="G62" s="41">
        <f t="shared" si="200"/>
        <v>3.7000000000000028</v>
      </c>
      <c r="H62" s="40">
        <f t="shared" si="201"/>
        <v>0.15611814345991576</v>
      </c>
      <c r="I62" s="30">
        <v>1.58</v>
      </c>
      <c r="J62" s="33">
        <f t="shared" si="202"/>
        <v>0.24666666666666692</v>
      </c>
      <c r="L62" s="43">
        <v>180</v>
      </c>
      <c r="M62" s="41">
        <v>33.5</v>
      </c>
      <c r="N62" s="42">
        <v>59.8</v>
      </c>
      <c r="O62" s="32">
        <f t="shared" si="203"/>
        <v>26.299999999999997</v>
      </c>
      <c r="P62" s="41">
        <v>56.8</v>
      </c>
      <c r="Q62" s="32">
        <f t="shared" si="204"/>
        <v>23.299999999999997</v>
      </c>
      <c r="R62" s="41">
        <f t="shared" si="205"/>
        <v>3</v>
      </c>
      <c r="S62" s="40">
        <f t="shared" si="206"/>
        <v>0.12875536480686697</v>
      </c>
      <c r="T62" s="30">
        <v>1.58</v>
      </c>
      <c r="U62" s="33">
        <f t="shared" si="207"/>
        <v>0.20343347639484982</v>
      </c>
      <c r="W62" s="43">
        <v>180</v>
      </c>
      <c r="X62" s="41">
        <v>39.56</v>
      </c>
      <c r="Y62" s="42">
        <v>65.11</v>
      </c>
      <c r="Z62" s="32">
        <f t="shared" si="208"/>
        <v>25.549999999999997</v>
      </c>
      <c r="AA62" s="41">
        <v>61.42</v>
      </c>
      <c r="AB62" s="32">
        <f t="shared" si="209"/>
        <v>21.86</v>
      </c>
      <c r="AC62" s="41">
        <f t="shared" si="210"/>
        <v>3.6899999999999977</v>
      </c>
      <c r="AD62" s="40">
        <f t="shared" si="211"/>
        <v>0.16880146386093312</v>
      </c>
      <c r="AE62" s="30">
        <v>1.58</v>
      </c>
      <c r="AF62" s="33">
        <f t="shared" si="212"/>
        <v>0.26670631290027436</v>
      </c>
      <c r="AH62" s="43">
        <v>180</v>
      </c>
      <c r="AI62" s="41">
        <v>29</v>
      </c>
      <c r="AJ62" s="42">
        <v>56.2</v>
      </c>
      <c r="AK62" s="32">
        <f t="shared" si="213"/>
        <v>27.200000000000003</v>
      </c>
      <c r="AL62" s="41">
        <v>52.8</v>
      </c>
      <c r="AM62" s="32">
        <f t="shared" si="214"/>
        <v>23.799999999999997</v>
      </c>
      <c r="AN62" s="41">
        <f t="shared" si="215"/>
        <v>3.4000000000000057</v>
      </c>
      <c r="AO62" s="40">
        <f t="shared" si="216"/>
        <v>0.14285714285714313</v>
      </c>
      <c r="AP62" s="30">
        <v>1.58</v>
      </c>
      <c r="AQ62" s="33">
        <f t="shared" si="217"/>
        <v>0.22571428571428614</v>
      </c>
      <c r="AS62" s="43">
        <v>180</v>
      </c>
      <c r="AT62" s="41">
        <v>29.2</v>
      </c>
      <c r="AU62" s="42">
        <v>56.49</v>
      </c>
      <c r="AV62" s="32">
        <f t="shared" si="218"/>
        <v>27.290000000000003</v>
      </c>
      <c r="AW62" s="41">
        <v>53.03</v>
      </c>
      <c r="AX62" s="32">
        <f t="shared" si="219"/>
        <v>23.830000000000002</v>
      </c>
      <c r="AY62" s="41">
        <f t="shared" si="220"/>
        <v>3.4600000000000009</v>
      </c>
      <c r="AZ62" s="40">
        <f t="shared" si="221"/>
        <v>0.1451951321863198</v>
      </c>
      <c r="BA62" s="30">
        <v>1.58</v>
      </c>
      <c r="BB62" s="33">
        <f t="shared" si="222"/>
        <v>0.22940830885438529</v>
      </c>
      <c r="BD62" s="43">
        <v>180</v>
      </c>
      <c r="BE62" s="41">
        <v>29.8</v>
      </c>
      <c r="BF62" s="42">
        <v>58.7</v>
      </c>
      <c r="BG62" s="32">
        <f t="shared" si="223"/>
        <v>28.900000000000002</v>
      </c>
      <c r="BH62" s="41">
        <v>54.2</v>
      </c>
      <c r="BI62" s="32">
        <f t="shared" si="224"/>
        <v>24.400000000000002</v>
      </c>
      <c r="BJ62" s="41">
        <f t="shared" si="225"/>
        <v>4.5</v>
      </c>
      <c r="BK62" s="40">
        <f t="shared" si="226"/>
        <v>0.1844262295081967</v>
      </c>
      <c r="BL62" s="30">
        <v>1.58</v>
      </c>
      <c r="BM62" s="33">
        <f t="shared" si="227"/>
        <v>0.2913934426229508</v>
      </c>
      <c r="BO62" s="43">
        <v>180</v>
      </c>
      <c r="BP62" s="41">
        <v>29.18</v>
      </c>
      <c r="BQ62" s="42">
        <v>59.3</v>
      </c>
      <c r="BR62" s="32">
        <f t="shared" si="228"/>
        <v>30.119999999999997</v>
      </c>
      <c r="BS62" s="41">
        <v>55.74</v>
      </c>
      <c r="BT62" s="32">
        <f t="shared" si="229"/>
        <v>26.560000000000002</v>
      </c>
      <c r="BU62" s="41">
        <f t="shared" si="230"/>
        <v>3.5599999999999952</v>
      </c>
      <c r="BV62" s="40">
        <f t="shared" si="231"/>
        <v>0.13403614457831306</v>
      </c>
      <c r="BW62" s="30">
        <v>1.58</v>
      </c>
      <c r="BX62" s="33">
        <f t="shared" si="232"/>
        <v>0.21177710843373465</v>
      </c>
      <c r="BZ62" s="43">
        <v>180</v>
      </c>
      <c r="CA62" s="41">
        <v>30.1</v>
      </c>
      <c r="CB62" s="42">
        <v>57.5</v>
      </c>
      <c r="CC62" s="32">
        <f t="shared" si="233"/>
        <v>27.4</v>
      </c>
      <c r="CD62" s="41">
        <v>54</v>
      </c>
      <c r="CE62" s="32">
        <f t="shared" si="234"/>
        <v>23.9</v>
      </c>
      <c r="CF62" s="41">
        <f t="shared" si="235"/>
        <v>3.5</v>
      </c>
      <c r="CG62" s="40">
        <f t="shared" si="236"/>
        <v>0.14644351464435149</v>
      </c>
      <c r="CH62" s="30">
        <v>1.58</v>
      </c>
      <c r="CI62" s="33">
        <f t="shared" si="237"/>
        <v>0.23138075313807535</v>
      </c>
      <c r="CJ62" s="32"/>
      <c r="CL62" s="32"/>
      <c r="CM62" s="32"/>
      <c r="CN62" s="32"/>
      <c r="CO62" s="32"/>
      <c r="CP62" s="32"/>
    </row>
    <row r="63" spans="1:94" ht="13.5" thickBot="1" x14ac:dyDescent="0.25">
      <c r="A63" s="37"/>
      <c r="B63" s="35"/>
      <c r="C63" s="35"/>
      <c r="D63" s="35"/>
      <c r="E63" s="35"/>
      <c r="F63" s="36"/>
      <c r="G63" s="35">
        <f>F63-E63-C63</f>
        <v>0</v>
      </c>
      <c r="H63" s="39"/>
      <c r="I63" s="32"/>
      <c r="K63" s="32"/>
      <c r="L63" s="38"/>
      <c r="M63" s="35"/>
      <c r="N63" s="35"/>
      <c r="O63" s="35"/>
      <c r="P63" s="35"/>
      <c r="Q63" s="36"/>
      <c r="R63" s="35">
        <f>Q63-P63-N63</f>
        <v>0</v>
      </c>
      <c r="S63" s="34"/>
      <c r="T63" s="32"/>
      <c r="W63" s="37"/>
      <c r="X63" s="35"/>
      <c r="Y63" s="35"/>
      <c r="Z63" s="35"/>
      <c r="AA63" s="35"/>
      <c r="AB63" s="36"/>
      <c r="AC63" s="35">
        <f>AB63-AA63-Y63</f>
        <v>0</v>
      </c>
      <c r="AD63" s="34"/>
      <c r="AE63" s="32"/>
      <c r="AH63" s="37"/>
      <c r="AI63" s="35"/>
      <c r="AJ63" s="35"/>
      <c r="AK63" s="35"/>
      <c r="AL63" s="35"/>
      <c r="AM63" s="36"/>
      <c r="AN63" s="35">
        <f>AM63-AL63-AJ63</f>
        <v>0</v>
      </c>
      <c r="AO63" s="34"/>
      <c r="AP63" s="32"/>
      <c r="AS63" s="37"/>
      <c r="AT63" s="35"/>
      <c r="AU63" s="35"/>
      <c r="AV63" s="35"/>
      <c r="AW63" s="35"/>
      <c r="AX63" s="36"/>
      <c r="AY63" s="35">
        <f>AX63-AW63-AU63</f>
        <v>0</v>
      </c>
      <c r="AZ63" s="34"/>
      <c r="BA63" s="32"/>
      <c r="BD63" s="37"/>
      <c r="BE63" s="35"/>
      <c r="BF63" s="35"/>
      <c r="BG63" s="35"/>
      <c r="BH63" s="35"/>
      <c r="BI63" s="36"/>
      <c r="BJ63" s="35"/>
      <c r="BK63" s="34"/>
      <c r="BL63" s="32"/>
      <c r="BO63" s="37"/>
      <c r="BP63" s="35"/>
      <c r="BQ63" s="35"/>
      <c r="BR63" s="35"/>
      <c r="BS63" s="35"/>
      <c r="BT63" s="36"/>
      <c r="BU63" s="35"/>
      <c r="BV63" s="34"/>
      <c r="BW63" s="32"/>
      <c r="BZ63" s="37"/>
      <c r="CA63" s="35"/>
      <c r="CB63" s="35"/>
      <c r="CC63" s="35"/>
      <c r="CD63" s="35"/>
      <c r="CE63" s="36"/>
      <c r="CF63" s="35"/>
      <c r="CG63" s="34"/>
      <c r="CK63" s="30"/>
      <c r="CP63" s="32"/>
    </row>
    <row r="64" spans="1:94" ht="13.5" thickTop="1" x14ac:dyDescent="0.2"/>
    <row r="66" spans="1:87" ht="13.5" thickBot="1" x14ac:dyDescent="0.25">
      <c r="D66" s="30" t="s">
        <v>135</v>
      </c>
      <c r="O66" s="30" t="s">
        <v>135</v>
      </c>
      <c r="Z66" s="30" t="s">
        <v>135</v>
      </c>
      <c r="AK66" s="30" t="s">
        <v>135</v>
      </c>
      <c r="AV66" s="30" t="s">
        <v>135</v>
      </c>
      <c r="BG66" s="30" t="s">
        <v>135</v>
      </c>
      <c r="BR66" s="30" t="s">
        <v>135</v>
      </c>
      <c r="CC66" s="30" t="s">
        <v>135</v>
      </c>
    </row>
    <row r="67" spans="1:87" ht="13.5" thickBot="1" x14ac:dyDescent="0.25">
      <c r="A67" s="30" t="s">
        <v>143</v>
      </c>
      <c r="B67" s="58" t="s">
        <v>126</v>
      </c>
      <c r="C67" s="57"/>
      <c r="D67" s="57"/>
      <c r="E67" s="57"/>
      <c r="F67" s="56"/>
      <c r="G67" s="32"/>
      <c r="H67" s="32"/>
      <c r="I67" s="32"/>
      <c r="L67" s="30" t="s">
        <v>142</v>
      </c>
      <c r="M67" s="58" t="s">
        <v>126</v>
      </c>
      <c r="N67" s="57"/>
      <c r="O67" s="57"/>
      <c r="P67" s="57"/>
      <c r="Q67" s="56"/>
      <c r="R67" s="32"/>
      <c r="S67" s="32"/>
      <c r="T67" s="32"/>
      <c r="W67" s="30" t="s">
        <v>141</v>
      </c>
      <c r="X67" s="58" t="s">
        <v>126</v>
      </c>
      <c r="Y67" s="57"/>
      <c r="Z67" s="57"/>
      <c r="AA67" s="57"/>
      <c r="AB67" s="56"/>
      <c r="AC67" s="32"/>
      <c r="AD67" s="32"/>
      <c r="AE67" s="32"/>
      <c r="AH67" s="30" t="s">
        <v>140</v>
      </c>
      <c r="AI67" s="58" t="s">
        <v>126</v>
      </c>
      <c r="AJ67" s="57"/>
      <c r="AK67" s="57"/>
      <c r="AL67" s="57"/>
      <c r="AM67" s="56"/>
      <c r="AN67" s="32"/>
      <c r="AO67" s="32"/>
      <c r="AP67" s="32"/>
      <c r="AS67" s="30" t="s">
        <v>139</v>
      </c>
      <c r="AT67" s="58" t="s">
        <v>126</v>
      </c>
      <c r="AU67" s="57"/>
      <c r="AV67" s="57"/>
      <c r="AW67" s="57"/>
      <c r="AX67" s="56"/>
      <c r="AY67" s="32"/>
      <c r="AZ67" s="32"/>
      <c r="BA67" s="32"/>
      <c r="BD67" s="30" t="s">
        <v>138</v>
      </c>
      <c r="BE67" s="58" t="s">
        <v>126</v>
      </c>
      <c r="BF67" s="57"/>
      <c r="BG67" s="57"/>
      <c r="BH67" s="57"/>
      <c r="BI67" s="56"/>
      <c r="BJ67" s="32"/>
      <c r="BK67" s="32"/>
      <c r="BL67" s="32"/>
      <c r="BO67" s="30" t="s">
        <v>137</v>
      </c>
      <c r="BP67" s="58" t="s">
        <v>126</v>
      </c>
      <c r="BQ67" s="57"/>
      <c r="BR67" s="57"/>
      <c r="BS67" s="57"/>
      <c r="BT67" s="56"/>
      <c r="BU67" s="32"/>
      <c r="BV67" s="32"/>
      <c r="BW67" s="32"/>
      <c r="BZ67" s="30" t="s">
        <v>136</v>
      </c>
      <c r="CA67" s="58" t="s">
        <v>126</v>
      </c>
      <c r="CB67" s="57"/>
      <c r="CC67" s="57"/>
      <c r="CD67" s="57"/>
      <c r="CE67" s="56"/>
      <c r="CF67" s="32"/>
      <c r="CG67" s="32"/>
    </row>
    <row r="68" spans="1:87" ht="51.75" thickBot="1" x14ac:dyDescent="0.25">
      <c r="A68" s="55" t="s">
        <v>125</v>
      </c>
      <c r="B68" s="54" t="s">
        <v>122</v>
      </c>
      <c r="C68" s="54" t="s">
        <v>121</v>
      </c>
      <c r="D68" s="53" t="s">
        <v>120</v>
      </c>
      <c r="E68" s="52" t="s">
        <v>119</v>
      </c>
      <c r="F68" s="51" t="s">
        <v>118</v>
      </c>
      <c r="G68" s="50" t="s">
        <v>117</v>
      </c>
      <c r="H68" s="50" t="s">
        <v>116</v>
      </c>
      <c r="I68" s="49" t="s">
        <v>115</v>
      </c>
      <c r="J68" s="48" t="s">
        <v>114</v>
      </c>
      <c r="L68" s="55" t="s">
        <v>125</v>
      </c>
      <c r="M68" s="54" t="s">
        <v>122</v>
      </c>
      <c r="N68" s="54" t="s">
        <v>121</v>
      </c>
      <c r="O68" s="53" t="s">
        <v>120</v>
      </c>
      <c r="P68" s="52" t="s">
        <v>119</v>
      </c>
      <c r="Q68" s="51" t="s">
        <v>118</v>
      </c>
      <c r="R68" s="50" t="s">
        <v>117</v>
      </c>
      <c r="S68" s="50" t="s">
        <v>116</v>
      </c>
      <c r="T68" s="49" t="s">
        <v>115</v>
      </c>
      <c r="U68" s="48" t="s">
        <v>114</v>
      </c>
      <c r="W68" s="55" t="s">
        <v>125</v>
      </c>
      <c r="X68" s="54" t="s">
        <v>122</v>
      </c>
      <c r="Y68" s="54" t="s">
        <v>121</v>
      </c>
      <c r="Z68" s="53" t="s">
        <v>120</v>
      </c>
      <c r="AA68" s="52" t="s">
        <v>119</v>
      </c>
      <c r="AB68" s="51" t="s">
        <v>118</v>
      </c>
      <c r="AC68" s="50" t="s">
        <v>117</v>
      </c>
      <c r="AD68" s="50" t="s">
        <v>116</v>
      </c>
      <c r="AE68" s="49" t="s">
        <v>115</v>
      </c>
      <c r="AF68" s="48" t="s">
        <v>114</v>
      </c>
      <c r="AH68" s="55" t="s">
        <v>125</v>
      </c>
      <c r="AI68" s="54" t="s">
        <v>122</v>
      </c>
      <c r="AJ68" s="54" t="s">
        <v>121</v>
      </c>
      <c r="AK68" s="53" t="s">
        <v>120</v>
      </c>
      <c r="AL68" s="52" t="s">
        <v>119</v>
      </c>
      <c r="AM68" s="51" t="s">
        <v>118</v>
      </c>
      <c r="AN68" s="50" t="s">
        <v>117</v>
      </c>
      <c r="AO68" s="50" t="s">
        <v>116</v>
      </c>
      <c r="AP68" s="49" t="s">
        <v>115</v>
      </c>
      <c r="AQ68" s="48" t="s">
        <v>114</v>
      </c>
      <c r="AS68" s="55" t="s">
        <v>125</v>
      </c>
      <c r="AT68" s="54" t="s">
        <v>122</v>
      </c>
      <c r="AU68" s="54" t="s">
        <v>121</v>
      </c>
      <c r="AV68" s="53" t="s">
        <v>120</v>
      </c>
      <c r="AW68" s="52" t="s">
        <v>119</v>
      </c>
      <c r="AX68" s="51" t="s">
        <v>118</v>
      </c>
      <c r="AY68" s="50" t="s">
        <v>117</v>
      </c>
      <c r="AZ68" s="50" t="s">
        <v>116</v>
      </c>
      <c r="BA68" s="49" t="s">
        <v>115</v>
      </c>
      <c r="BB68" s="48" t="s">
        <v>114</v>
      </c>
      <c r="BD68" s="55" t="s">
        <v>125</v>
      </c>
      <c r="BE68" s="54" t="s">
        <v>122</v>
      </c>
      <c r="BF68" s="54" t="s">
        <v>121</v>
      </c>
      <c r="BG68" s="53" t="s">
        <v>120</v>
      </c>
      <c r="BH68" s="52" t="s">
        <v>119</v>
      </c>
      <c r="BI68" s="51" t="s">
        <v>118</v>
      </c>
      <c r="BJ68" s="50" t="s">
        <v>117</v>
      </c>
      <c r="BK68" s="50" t="s">
        <v>116</v>
      </c>
      <c r="BL68" s="49" t="s">
        <v>115</v>
      </c>
      <c r="BM68" s="48" t="s">
        <v>114</v>
      </c>
      <c r="BO68" s="55" t="s">
        <v>125</v>
      </c>
      <c r="BP68" s="54" t="s">
        <v>122</v>
      </c>
      <c r="BQ68" s="54" t="s">
        <v>121</v>
      </c>
      <c r="BR68" s="53" t="s">
        <v>120</v>
      </c>
      <c r="BS68" s="52" t="s">
        <v>119</v>
      </c>
      <c r="BT68" s="51" t="s">
        <v>118</v>
      </c>
      <c r="BU68" s="50" t="s">
        <v>117</v>
      </c>
      <c r="BV68" s="50" t="s">
        <v>116</v>
      </c>
      <c r="BW68" s="49" t="s">
        <v>115</v>
      </c>
      <c r="BX68" s="48" t="s">
        <v>114</v>
      </c>
      <c r="BZ68" s="55" t="s">
        <v>125</v>
      </c>
      <c r="CA68" s="54" t="s">
        <v>122</v>
      </c>
      <c r="CB68" s="54" t="s">
        <v>121</v>
      </c>
      <c r="CC68" s="53" t="s">
        <v>120</v>
      </c>
      <c r="CD68" s="52" t="s">
        <v>119</v>
      </c>
      <c r="CE68" s="51" t="s">
        <v>118</v>
      </c>
      <c r="CF68" s="50" t="s">
        <v>117</v>
      </c>
      <c r="CG68" s="50" t="s">
        <v>116</v>
      </c>
      <c r="CH68" s="49" t="s">
        <v>115</v>
      </c>
      <c r="CI68" s="48" t="s">
        <v>114</v>
      </c>
    </row>
    <row r="69" spans="1:87" ht="13.5" thickTop="1" x14ac:dyDescent="0.2">
      <c r="A69" s="47">
        <v>30</v>
      </c>
      <c r="B69" s="45">
        <v>30.18</v>
      </c>
      <c r="C69" s="46">
        <v>55.3</v>
      </c>
      <c r="D69" s="32">
        <f t="shared" ref="D69:D74" si="238">C69-B69</f>
        <v>25.119999999999997</v>
      </c>
      <c r="E69" s="45">
        <v>53.61</v>
      </c>
      <c r="F69" s="32">
        <f t="shared" ref="F69:F74" si="239">E69-B69</f>
        <v>23.43</v>
      </c>
      <c r="G69" s="45">
        <f t="shared" ref="G69:G74" si="240">D69-F69</f>
        <v>1.6899999999999977</v>
      </c>
      <c r="H69" s="44">
        <f t="shared" ref="H69:H74" si="241">(G69/F69)</f>
        <v>7.2129748186086112E-2</v>
      </c>
      <c r="I69" s="30">
        <v>1.49</v>
      </c>
      <c r="J69" s="33">
        <f t="shared" ref="J69:J74" si="242">H69*I69</f>
        <v>0.1074733247972683</v>
      </c>
      <c r="L69" s="47">
        <v>30</v>
      </c>
      <c r="M69" s="45">
        <v>33.93</v>
      </c>
      <c r="N69" s="46">
        <v>58.33</v>
      </c>
      <c r="O69" s="32">
        <f t="shared" ref="O69:O74" si="243">N69-M69</f>
        <v>24.4</v>
      </c>
      <c r="P69" s="45">
        <v>56.6</v>
      </c>
      <c r="Q69" s="32">
        <f t="shared" ref="Q69:Q74" si="244">P69-M69</f>
        <v>22.67</v>
      </c>
      <c r="R69" s="45">
        <f t="shared" ref="R69:R74" si="245">O69-Q69</f>
        <v>1.7299999999999969</v>
      </c>
      <c r="S69" s="44">
        <f t="shared" ref="S69:S74" si="246">(R69/Q69)</f>
        <v>7.6312307013674321E-2</v>
      </c>
      <c r="T69" s="30">
        <v>1.49</v>
      </c>
      <c r="U69" s="33">
        <f t="shared" ref="U69:U74" si="247">S69*T69</f>
        <v>0.11370533745037474</v>
      </c>
      <c r="W69" s="47">
        <v>30</v>
      </c>
      <c r="X69" s="45">
        <v>28.87</v>
      </c>
      <c r="Y69" s="46">
        <v>53.16</v>
      </c>
      <c r="Z69" s="32">
        <f t="shared" ref="Z69:Z74" si="248">Y69-X69</f>
        <v>24.289999999999996</v>
      </c>
      <c r="AA69" s="45">
        <v>51.39</v>
      </c>
      <c r="AB69" s="32">
        <f t="shared" ref="AB69:AB74" si="249">AA69-X69</f>
        <v>22.52</v>
      </c>
      <c r="AC69" s="45">
        <f t="shared" ref="AC69:AC74" si="250">Z69-AB69</f>
        <v>1.769999999999996</v>
      </c>
      <c r="AD69" s="44">
        <f t="shared" ref="AD69:AD74" si="251">(AC69/AB69)</f>
        <v>7.8596802841918126E-2</v>
      </c>
      <c r="AE69" s="30">
        <v>1.49</v>
      </c>
      <c r="AF69" s="33">
        <f t="shared" ref="AF69:AF74" si="252">AD69*AE69</f>
        <v>0.117109236234458</v>
      </c>
      <c r="AH69" s="47">
        <v>30</v>
      </c>
      <c r="AI69" s="45">
        <v>33.659999999999997</v>
      </c>
      <c r="AJ69" s="46">
        <v>57.06</v>
      </c>
      <c r="AK69" s="32">
        <f t="shared" ref="AK69:AK74" si="253">AJ69-AI69</f>
        <v>23.400000000000006</v>
      </c>
      <c r="AL69" s="45">
        <v>55.18</v>
      </c>
      <c r="AM69" s="32">
        <f t="shared" ref="AM69:AM74" si="254">AL69-AI69</f>
        <v>21.520000000000003</v>
      </c>
      <c r="AN69" s="45">
        <f t="shared" ref="AN69:AN74" si="255">AK69-AM69</f>
        <v>1.8800000000000026</v>
      </c>
      <c r="AO69" s="44">
        <f t="shared" ref="AO69:AO74" si="256">(AN69/AM69)</f>
        <v>8.7360594795539134E-2</v>
      </c>
      <c r="AP69" s="30">
        <v>1.49</v>
      </c>
      <c r="AQ69" s="33">
        <f t="shared" ref="AQ69:AQ74" si="257">AO69*AP69</f>
        <v>0.13016728624535331</v>
      </c>
      <c r="AS69" s="47">
        <v>30</v>
      </c>
      <c r="AT69" s="45">
        <v>39.43</v>
      </c>
      <c r="AU69" s="46">
        <v>63.91</v>
      </c>
      <c r="AV69" s="32">
        <f t="shared" ref="AV69:AV74" si="258">AU69-AT69</f>
        <v>24.479999999999997</v>
      </c>
      <c r="AW69" s="45">
        <v>62.07</v>
      </c>
      <c r="AX69" s="32">
        <f t="shared" ref="AX69:AX74" si="259">AW69-AT69</f>
        <v>22.64</v>
      </c>
      <c r="AY69" s="45">
        <f t="shared" ref="AY69:AY74" si="260">AV69-AX69</f>
        <v>1.8399999999999963</v>
      </c>
      <c r="AZ69" s="44">
        <f t="shared" ref="AZ69:AZ74" si="261">(AY69/AX69)</f>
        <v>8.1272084805653538E-2</v>
      </c>
      <c r="BA69" s="30">
        <v>1.49</v>
      </c>
      <c r="BB69" s="33">
        <f t="shared" ref="BB69:BB74" si="262">AZ69*BA69</f>
        <v>0.12109540636042378</v>
      </c>
      <c r="BD69" s="47">
        <v>30</v>
      </c>
      <c r="BE69" s="45">
        <v>32.6</v>
      </c>
      <c r="BF69" s="46">
        <v>55.89</v>
      </c>
      <c r="BG69" s="32">
        <f t="shared" ref="BG69:BG74" si="263">BF69-BE69</f>
        <v>23.29</v>
      </c>
      <c r="BH69" s="45">
        <v>54.14</v>
      </c>
      <c r="BI69" s="32">
        <f t="shared" ref="BI69:BI74" si="264">BH69-BE69</f>
        <v>21.54</v>
      </c>
      <c r="BJ69" s="45">
        <f t="shared" ref="BJ69:BJ74" si="265">BG69-BI69</f>
        <v>1.75</v>
      </c>
      <c r="BK69" s="44">
        <f t="shared" ref="BK69:BK74" si="266">(BJ69/BI69)</f>
        <v>8.1244196843082636E-2</v>
      </c>
      <c r="BL69" s="30">
        <v>1.49</v>
      </c>
      <c r="BM69" s="33">
        <f t="shared" ref="BM69:BM74" si="267">BK69*BL69</f>
        <v>0.12105385329619313</v>
      </c>
      <c r="BO69" s="47">
        <v>30</v>
      </c>
      <c r="BP69" s="45">
        <v>28.13</v>
      </c>
      <c r="BQ69" s="46">
        <v>53.2</v>
      </c>
      <c r="BR69" s="32">
        <f t="shared" ref="BR69:BR74" si="268">BQ69-BP69</f>
        <v>25.070000000000004</v>
      </c>
      <c r="BS69" s="45">
        <v>51.39</v>
      </c>
      <c r="BT69" s="32">
        <f t="shared" ref="BT69:BT74" si="269">BS69-BP69</f>
        <v>23.26</v>
      </c>
      <c r="BU69" s="45">
        <f t="shared" ref="BU69:BU74" si="270">BR69-BT69</f>
        <v>1.8100000000000023</v>
      </c>
      <c r="BV69" s="44">
        <f t="shared" ref="BV69:BV74" si="271">(BU69/BT69)</f>
        <v>7.7815993121238269E-2</v>
      </c>
      <c r="BW69" s="30">
        <v>1.49</v>
      </c>
      <c r="BX69" s="33">
        <f t="shared" ref="BX69:BX74" si="272">BV69*BW69</f>
        <v>0.11594582975064502</v>
      </c>
      <c r="BZ69" s="47">
        <v>30</v>
      </c>
      <c r="CA69" s="45">
        <v>26.93</v>
      </c>
      <c r="CB69" s="46">
        <v>50.7</v>
      </c>
      <c r="CC69" s="32">
        <f t="shared" ref="CC69:CC74" si="273">CB69-CA69</f>
        <v>23.770000000000003</v>
      </c>
      <c r="CD69" s="45">
        <v>48.83</v>
      </c>
      <c r="CE69" s="32">
        <f t="shared" ref="CE69:CE74" si="274">CD69-CA69</f>
        <v>21.9</v>
      </c>
      <c r="CF69" s="45">
        <f t="shared" ref="CF69:CF74" si="275">CC69-CE69</f>
        <v>1.8700000000000045</v>
      </c>
      <c r="CG69" s="44">
        <f t="shared" ref="CG69:CG74" si="276">(CF69/CE69)</f>
        <v>8.5388127853881488E-2</v>
      </c>
      <c r="CH69" s="30">
        <v>1.49</v>
      </c>
      <c r="CI69" s="33">
        <f t="shared" ref="CI69:CI74" si="277">CG69*CH69</f>
        <v>0.12722831050228342</v>
      </c>
    </row>
    <row r="70" spans="1:87" x14ac:dyDescent="0.2">
      <c r="A70" s="43">
        <v>60</v>
      </c>
      <c r="B70" s="41">
        <v>38.159999999999997</v>
      </c>
      <c r="C70" s="42">
        <v>63.03</v>
      </c>
      <c r="D70" s="32">
        <f t="shared" si="238"/>
        <v>24.870000000000005</v>
      </c>
      <c r="E70" s="41">
        <v>60.57</v>
      </c>
      <c r="F70" s="32">
        <f t="shared" si="239"/>
        <v>22.410000000000004</v>
      </c>
      <c r="G70" s="41">
        <f t="shared" si="240"/>
        <v>2.4600000000000009</v>
      </c>
      <c r="H70" s="40">
        <f t="shared" si="241"/>
        <v>0.10977242302543509</v>
      </c>
      <c r="I70" s="30">
        <v>1.42</v>
      </c>
      <c r="J70" s="33">
        <f t="shared" si="242"/>
        <v>0.15587684069611782</v>
      </c>
      <c r="L70" s="43">
        <v>60</v>
      </c>
      <c r="M70" s="41">
        <v>29.88</v>
      </c>
      <c r="N70" s="42">
        <v>54.48</v>
      </c>
      <c r="O70" s="32">
        <f t="shared" si="243"/>
        <v>24.599999999999998</v>
      </c>
      <c r="P70" s="41">
        <v>51.92</v>
      </c>
      <c r="Q70" s="32">
        <f t="shared" si="244"/>
        <v>22.040000000000003</v>
      </c>
      <c r="R70" s="41">
        <f t="shared" si="245"/>
        <v>2.5599999999999952</v>
      </c>
      <c r="S70" s="40">
        <f t="shared" si="246"/>
        <v>0.11615245009074388</v>
      </c>
      <c r="T70" s="30">
        <v>1.42</v>
      </c>
      <c r="U70" s="33">
        <f t="shared" si="247"/>
        <v>0.16493647912885628</v>
      </c>
      <c r="W70" s="43">
        <v>60</v>
      </c>
      <c r="X70" s="41">
        <v>33.79</v>
      </c>
      <c r="Y70" s="42">
        <v>56.58</v>
      </c>
      <c r="Z70" s="32">
        <f t="shared" si="248"/>
        <v>22.79</v>
      </c>
      <c r="AA70" s="41">
        <v>54.34</v>
      </c>
      <c r="AB70" s="32">
        <f t="shared" si="249"/>
        <v>20.550000000000004</v>
      </c>
      <c r="AC70" s="41">
        <f t="shared" si="250"/>
        <v>2.2399999999999949</v>
      </c>
      <c r="AD70" s="40">
        <f t="shared" si="251"/>
        <v>0.10900243309002405</v>
      </c>
      <c r="AE70" s="30">
        <v>1.42</v>
      </c>
      <c r="AF70" s="33">
        <f t="shared" si="252"/>
        <v>0.15478345498783413</v>
      </c>
      <c r="AH70" s="43">
        <v>60</v>
      </c>
      <c r="AI70" s="41">
        <v>30.03</v>
      </c>
      <c r="AJ70" s="42">
        <v>57.19</v>
      </c>
      <c r="AK70" s="32">
        <f t="shared" si="253"/>
        <v>27.159999999999997</v>
      </c>
      <c r="AL70" s="41">
        <v>55.23</v>
      </c>
      <c r="AM70" s="32">
        <f t="shared" si="254"/>
        <v>25.199999999999996</v>
      </c>
      <c r="AN70" s="41">
        <f t="shared" si="255"/>
        <v>1.9600000000000009</v>
      </c>
      <c r="AO70" s="40">
        <f t="shared" si="256"/>
        <v>7.7777777777777821E-2</v>
      </c>
      <c r="AP70" s="30">
        <v>1.42</v>
      </c>
      <c r="AQ70" s="33">
        <f t="shared" si="257"/>
        <v>0.1104444444444445</v>
      </c>
      <c r="AS70" s="43">
        <v>60</v>
      </c>
      <c r="AT70" s="41">
        <v>29.76</v>
      </c>
      <c r="AU70" s="42">
        <v>52.09</v>
      </c>
      <c r="AV70" s="32">
        <f t="shared" si="258"/>
        <v>22.330000000000002</v>
      </c>
      <c r="AW70" s="41">
        <v>50.18</v>
      </c>
      <c r="AX70" s="32">
        <f t="shared" si="259"/>
        <v>20.419999999999998</v>
      </c>
      <c r="AY70" s="41">
        <f t="shared" si="260"/>
        <v>1.9100000000000037</v>
      </c>
      <c r="AZ70" s="40">
        <f t="shared" si="261"/>
        <v>9.3535749265426238E-2</v>
      </c>
      <c r="BA70" s="30">
        <v>1.42</v>
      </c>
      <c r="BB70" s="33">
        <f t="shared" si="262"/>
        <v>0.13282076395690526</v>
      </c>
      <c r="BD70" s="43">
        <v>60</v>
      </c>
      <c r="BE70" s="41">
        <v>29.11</v>
      </c>
      <c r="BF70" s="42">
        <v>52.25</v>
      </c>
      <c r="BG70" s="32">
        <f t="shared" si="263"/>
        <v>23.14</v>
      </c>
      <c r="BH70" s="41">
        <v>49.63</v>
      </c>
      <c r="BI70" s="32">
        <f t="shared" si="264"/>
        <v>20.520000000000003</v>
      </c>
      <c r="BJ70" s="41">
        <f t="shared" si="265"/>
        <v>2.6199999999999974</v>
      </c>
      <c r="BK70" s="40">
        <f t="shared" si="266"/>
        <v>0.12768031189083806</v>
      </c>
      <c r="BL70" s="30">
        <v>1.42</v>
      </c>
      <c r="BM70" s="33">
        <f t="shared" si="267"/>
        <v>0.18130604288499003</v>
      </c>
      <c r="BO70" s="43">
        <v>60</v>
      </c>
      <c r="BP70" s="41">
        <v>27.75</v>
      </c>
      <c r="BQ70" s="42">
        <v>50.79</v>
      </c>
      <c r="BR70" s="32">
        <f t="shared" si="268"/>
        <v>23.04</v>
      </c>
      <c r="BS70" s="41">
        <v>48.7</v>
      </c>
      <c r="BT70" s="32">
        <f t="shared" si="269"/>
        <v>20.950000000000003</v>
      </c>
      <c r="BU70" s="41">
        <f t="shared" si="270"/>
        <v>2.0899999999999963</v>
      </c>
      <c r="BV70" s="40">
        <f t="shared" si="271"/>
        <v>9.976133651551293E-2</v>
      </c>
      <c r="BW70" s="30">
        <v>1.42</v>
      </c>
      <c r="BX70" s="33">
        <f t="shared" si="272"/>
        <v>0.14166109785202835</v>
      </c>
      <c r="BZ70" s="43">
        <v>60</v>
      </c>
      <c r="CA70" s="41">
        <v>22.19</v>
      </c>
      <c r="CB70" s="42">
        <v>47.74</v>
      </c>
      <c r="CC70" s="32">
        <f t="shared" si="273"/>
        <v>25.55</v>
      </c>
      <c r="CD70" s="41">
        <v>46.33</v>
      </c>
      <c r="CE70" s="32">
        <f t="shared" si="274"/>
        <v>24.139999999999997</v>
      </c>
      <c r="CF70" s="41">
        <f t="shared" si="275"/>
        <v>1.4100000000000037</v>
      </c>
      <c r="CG70" s="40">
        <f t="shared" si="276"/>
        <v>5.8409279204639765E-2</v>
      </c>
      <c r="CH70" s="30">
        <v>1.42</v>
      </c>
      <c r="CI70" s="33">
        <f t="shared" si="277"/>
        <v>8.2941176470588462E-2</v>
      </c>
    </row>
    <row r="71" spans="1:87" x14ac:dyDescent="0.2">
      <c r="A71" s="43">
        <v>90</v>
      </c>
      <c r="B71" s="41">
        <v>29.21</v>
      </c>
      <c r="C71" s="42">
        <v>53</v>
      </c>
      <c r="D71" s="32">
        <f t="shared" si="238"/>
        <v>23.79</v>
      </c>
      <c r="E71" s="41">
        <v>50.84</v>
      </c>
      <c r="F71" s="32">
        <f t="shared" si="239"/>
        <v>21.630000000000003</v>
      </c>
      <c r="G71" s="41">
        <f t="shared" si="240"/>
        <v>2.1599999999999966</v>
      </c>
      <c r="H71" s="40">
        <f t="shared" si="241"/>
        <v>9.9861303744798721E-2</v>
      </c>
      <c r="I71" s="30">
        <v>1.58</v>
      </c>
      <c r="J71" s="33">
        <f t="shared" si="242"/>
        <v>0.15778085991678198</v>
      </c>
      <c r="L71" s="43">
        <v>90</v>
      </c>
      <c r="M71" s="41">
        <v>33.47</v>
      </c>
      <c r="N71" s="42">
        <v>59.59</v>
      </c>
      <c r="O71" s="32">
        <f t="shared" si="243"/>
        <v>26.120000000000005</v>
      </c>
      <c r="P71" s="41">
        <v>57.09</v>
      </c>
      <c r="Q71" s="32">
        <f t="shared" si="244"/>
        <v>23.620000000000005</v>
      </c>
      <c r="R71" s="41">
        <f t="shared" si="245"/>
        <v>2.5</v>
      </c>
      <c r="S71" s="40">
        <f t="shared" si="246"/>
        <v>0.10584250635055036</v>
      </c>
      <c r="T71" s="30">
        <v>1.58</v>
      </c>
      <c r="U71" s="33">
        <f t="shared" si="247"/>
        <v>0.16723116003386956</v>
      </c>
      <c r="W71" s="43">
        <v>90</v>
      </c>
      <c r="X71" s="41">
        <v>29.73</v>
      </c>
      <c r="Y71" s="42">
        <v>54.5</v>
      </c>
      <c r="Z71" s="32">
        <f t="shared" si="248"/>
        <v>24.77</v>
      </c>
      <c r="AA71" s="41">
        <v>52.07</v>
      </c>
      <c r="AB71" s="32">
        <f t="shared" si="249"/>
        <v>22.34</v>
      </c>
      <c r="AC71" s="41">
        <f t="shared" si="250"/>
        <v>2.4299999999999997</v>
      </c>
      <c r="AD71" s="40">
        <f t="shared" si="251"/>
        <v>0.10877350044762756</v>
      </c>
      <c r="AE71" s="30">
        <v>1.58</v>
      </c>
      <c r="AF71" s="33">
        <f t="shared" si="252"/>
        <v>0.17186213070725154</v>
      </c>
      <c r="AH71" s="43">
        <v>90</v>
      </c>
      <c r="AI71" s="41">
        <v>39.42</v>
      </c>
      <c r="AJ71" s="42">
        <v>61.76</v>
      </c>
      <c r="AK71" s="32">
        <f t="shared" si="253"/>
        <v>22.339999999999996</v>
      </c>
      <c r="AL71" s="41">
        <v>60.13</v>
      </c>
      <c r="AM71" s="32">
        <f t="shared" si="254"/>
        <v>20.71</v>
      </c>
      <c r="AN71" s="41">
        <f t="shared" si="255"/>
        <v>1.6299999999999955</v>
      </c>
      <c r="AO71" s="40">
        <f t="shared" si="256"/>
        <v>7.8705939159825947E-2</v>
      </c>
      <c r="AP71" s="30">
        <v>1.58</v>
      </c>
      <c r="AQ71" s="33">
        <f t="shared" si="257"/>
        <v>0.124355383872525</v>
      </c>
      <c r="AS71" s="43">
        <v>90</v>
      </c>
      <c r="AT71" s="41">
        <v>39.659999999999997</v>
      </c>
      <c r="AU71" s="42">
        <v>62.7</v>
      </c>
      <c r="AV71" s="32">
        <f t="shared" si="258"/>
        <v>23.040000000000006</v>
      </c>
      <c r="AW71" s="41">
        <v>60.63</v>
      </c>
      <c r="AX71" s="32">
        <f t="shared" si="259"/>
        <v>20.970000000000006</v>
      </c>
      <c r="AY71" s="41">
        <f t="shared" si="260"/>
        <v>2.0700000000000003</v>
      </c>
      <c r="AZ71" s="40">
        <f t="shared" si="261"/>
        <v>9.8712446351931313E-2</v>
      </c>
      <c r="BA71" s="30">
        <v>1.58</v>
      </c>
      <c r="BB71" s="33">
        <f t="shared" si="262"/>
        <v>0.15596566523605149</v>
      </c>
      <c r="BD71" s="43">
        <v>90</v>
      </c>
      <c r="BE71" s="41">
        <v>39.44</v>
      </c>
      <c r="BF71" s="42">
        <v>65.95</v>
      </c>
      <c r="BG71" s="32">
        <f t="shared" si="263"/>
        <v>26.510000000000005</v>
      </c>
      <c r="BH71" s="41">
        <v>63.48</v>
      </c>
      <c r="BI71" s="32">
        <f t="shared" si="264"/>
        <v>24.04</v>
      </c>
      <c r="BJ71" s="41">
        <f t="shared" si="265"/>
        <v>2.470000000000006</v>
      </c>
      <c r="BK71" s="40">
        <f t="shared" si="266"/>
        <v>0.10274542429284551</v>
      </c>
      <c r="BL71" s="30">
        <v>1.58</v>
      </c>
      <c r="BM71" s="33">
        <f t="shared" si="267"/>
        <v>0.16233777038269592</v>
      </c>
      <c r="BO71" s="43">
        <v>90</v>
      </c>
      <c r="BP71" s="41">
        <v>25.28</v>
      </c>
      <c r="BQ71" s="42">
        <v>46.39</v>
      </c>
      <c r="BR71" s="32">
        <f t="shared" si="268"/>
        <v>21.11</v>
      </c>
      <c r="BS71" s="41">
        <v>44.39</v>
      </c>
      <c r="BT71" s="32">
        <f t="shared" si="269"/>
        <v>19.11</v>
      </c>
      <c r="BU71" s="41">
        <f t="shared" si="270"/>
        <v>2</v>
      </c>
      <c r="BV71" s="40">
        <f t="shared" si="271"/>
        <v>0.10465724751439037</v>
      </c>
      <c r="BW71" s="30">
        <v>1.58</v>
      </c>
      <c r="BX71" s="33">
        <f t="shared" si="272"/>
        <v>0.16535845107273681</v>
      </c>
      <c r="BZ71" s="43">
        <v>90</v>
      </c>
      <c r="CA71" s="41">
        <v>32.32</v>
      </c>
      <c r="CB71" s="42">
        <v>63.65</v>
      </c>
      <c r="CC71" s="32">
        <f t="shared" si="273"/>
        <v>31.33</v>
      </c>
      <c r="CD71" s="41">
        <v>61.84</v>
      </c>
      <c r="CE71" s="32">
        <f t="shared" si="274"/>
        <v>29.520000000000003</v>
      </c>
      <c r="CF71" s="41">
        <f t="shared" si="275"/>
        <v>1.8099999999999952</v>
      </c>
      <c r="CG71" s="40">
        <f t="shared" si="276"/>
        <v>6.1314363143631263E-2</v>
      </c>
      <c r="CH71" s="30">
        <v>1.58</v>
      </c>
      <c r="CI71" s="33">
        <f t="shared" si="277"/>
        <v>9.6876693766937402E-2</v>
      </c>
    </row>
    <row r="72" spans="1:87" x14ac:dyDescent="0.2">
      <c r="A72" s="43">
        <v>120</v>
      </c>
      <c r="B72" s="41">
        <v>39.29</v>
      </c>
      <c r="C72" s="42">
        <v>65.459999999999994</v>
      </c>
      <c r="D72" s="32">
        <f t="shared" si="238"/>
        <v>26.169999999999995</v>
      </c>
      <c r="E72" s="41">
        <v>64.13</v>
      </c>
      <c r="F72" s="32">
        <f t="shared" si="239"/>
        <v>24.839999999999996</v>
      </c>
      <c r="G72" s="41">
        <f t="shared" si="240"/>
        <v>1.3299999999999983</v>
      </c>
      <c r="H72" s="40">
        <f t="shared" si="241"/>
        <v>5.3542673107890439E-2</v>
      </c>
      <c r="I72" s="30">
        <v>1.58</v>
      </c>
      <c r="J72" s="33">
        <f t="shared" si="242"/>
        <v>8.4597423510466896E-2</v>
      </c>
      <c r="L72" s="43">
        <v>120</v>
      </c>
      <c r="M72" s="41">
        <v>29.66</v>
      </c>
      <c r="N72" s="42">
        <v>53.04</v>
      </c>
      <c r="O72" s="32">
        <f t="shared" si="243"/>
        <v>23.38</v>
      </c>
      <c r="P72" s="41">
        <v>51.21</v>
      </c>
      <c r="Q72" s="32">
        <f t="shared" si="244"/>
        <v>21.55</v>
      </c>
      <c r="R72" s="41">
        <f t="shared" si="245"/>
        <v>1.8299999999999983</v>
      </c>
      <c r="S72" s="40">
        <f t="shared" si="246"/>
        <v>8.4918793503480194E-2</v>
      </c>
      <c r="T72" s="30">
        <v>1.58</v>
      </c>
      <c r="U72" s="33">
        <f t="shared" si="247"/>
        <v>0.13417169373549873</v>
      </c>
      <c r="W72" s="43">
        <v>120</v>
      </c>
      <c r="X72" s="41">
        <v>39.28</v>
      </c>
      <c r="Y72" s="42">
        <v>62.07</v>
      </c>
      <c r="Z72" s="32">
        <f t="shared" si="248"/>
        <v>22.79</v>
      </c>
      <c r="AA72" s="41">
        <v>60.47</v>
      </c>
      <c r="AB72" s="32">
        <f t="shared" si="249"/>
        <v>21.189999999999998</v>
      </c>
      <c r="AC72" s="41">
        <f t="shared" si="250"/>
        <v>1.6000000000000014</v>
      </c>
      <c r="AD72" s="40">
        <f t="shared" si="251"/>
        <v>7.5507314771118522E-2</v>
      </c>
      <c r="AE72" s="30">
        <v>1.58</v>
      </c>
      <c r="AF72" s="33">
        <f t="shared" si="252"/>
        <v>0.11930155733836727</v>
      </c>
      <c r="AH72" s="43">
        <v>120</v>
      </c>
      <c r="AI72" s="41">
        <v>29.59</v>
      </c>
      <c r="AJ72" s="42">
        <v>53.18</v>
      </c>
      <c r="AK72" s="32">
        <f t="shared" si="253"/>
        <v>23.59</v>
      </c>
      <c r="AL72" s="41">
        <v>51.45</v>
      </c>
      <c r="AM72" s="32">
        <f t="shared" si="254"/>
        <v>21.860000000000003</v>
      </c>
      <c r="AN72" s="41">
        <f t="shared" si="255"/>
        <v>1.7299999999999969</v>
      </c>
      <c r="AO72" s="40">
        <f t="shared" si="256"/>
        <v>7.913998170173818E-2</v>
      </c>
      <c r="AP72" s="30">
        <v>1.58</v>
      </c>
      <c r="AQ72" s="33">
        <f t="shared" si="257"/>
        <v>0.12504117108874632</v>
      </c>
      <c r="AS72" s="43">
        <v>120</v>
      </c>
      <c r="AT72" s="41">
        <v>40.28</v>
      </c>
      <c r="AU72" s="42">
        <v>63.72</v>
      </c>
      <c r="AV72" s="32">
        <f t="shared" si="258"/>
        <v>23.439999999999998</v>
      </c>
      <c r="AW72" s="41">
        <v>61.82</v>
      </c>
      <c r="AX72" s="32">
        <f t="shared" si="259"/>
        <v>21.54</v>
      </c>
      <c r="AY72" s="41">
        <f t="shared" si="260"/>
        <v>1.8999999999999986</v>
      </c>
      <c r="AZ72" s="40">
        <f t="shared" si="261"/>
        <v>8.8207985143918227E-2</v>
      </c>
      <c r="BA72" s="30">
        <v>1.58</v>
      </c>
      <c r="BB72" s="33">
        <f t="shared" si="262"/>
        <v>0.1393686165273908</v>
      </c>
      <c r="BD72" s="43">
        <v>120</v>
      </c>
      <c r="BE72" s="41">
        <v>29.58</v>
      </c>
      <c r="BF72" s="42">
        <v>54.75</v>
      </c>
      <c r="BG72" s="32">
        <f t="shared" si="263"/>
        <v>25.17</v>
      </c>
      <c r="BH72" s="41">
        <v>52.94</v>
      </c>
      <c r="BI72" s="32">
        <f t="shared" si="264"/>
        <v>23.36</v>
      </c>
      <c r="BJ72" s="41">
        <f t="shared" si="265"/>
        <v>1.8100000000000023</v>
      </c>
      <c r="BK72" s="40">
        <f t="shared" si="266"/>
        <v>7.7482876712328869E-2</v>
      </c>
      <c r="BL72" s="30">
        <v>1.58</v>
      </c>
      <c r="BM72" s="33">
        <f t="shared" si="267"/>
        <v>0.12242294520547962</v>
      </c>
      <c r="BO72" s="43">
        <v>120</v>
      </c>
      <c r="BP72" s="41">
        <v>32.83</v>
      </c>
      <c r="BQ72" s="42">
        <v>62.55</v>
      </c>
      <c r="BR72" s="32">
        <f t="shared" si="268"/>
        <v>29.72</v>
      </c>
      <c r="BS72" s="41">
        <v>60.21</v>
      </c>
      <c r="BT72" s="32">
        <f t="shared" si="269"/>
        <v>27.380000000000003</v>
      </c>
      <c r="BU72" s="41">
        <f t="shared" si="270"/>
        <v>2.3399999999999963</v>
      </c>
      <c r="BV72" s="40">
        <f t="shared" si="271"/>
        <v>8.5463842220598829E-2</v>
      </c>
      <c r="BW72" s="30">
        <v>1.58</v>
      </c>
      <c r="BX72" s="33">
        <f t="shared" si="272"/>
        <v>0.13503287070854617</v>
      </c>
      <c r="BZ72" s="43">
        <v>120</v>
      </c>
      <c r="CA72" s="41">
        <v>37.35</v>
      </c>
      <c r="CB72" s="42">
        <v>70.39</v>
      </c>
      <c r="CC72" s="32">
        <f t="shared" si="273"/>
        <v>33.04</v>
      </c>
      <c r="CD72" s="41">
        <v>68.41</v>
      </c>
      <c r="CE72" s="32">
        <f t="shared" si="274"/>
        <v>31.059999999999995</v>
      </c>
      <c r="CF72" s="41">
        <f t="shared" si="275"/>
        <v>1.980000000000004</v>
      </c>
      <c r="CG72" s="40">
        <f t="shared" si="276"/>
        <v>6.3747585318738059E-2</v>
      </c>
      <c r="CH72" s="30">
        <v>1.58</v>
      </c>
      <c r="CI72" s="33">
        <f t="shared" si="277"/>
        <v>0.10072118480360613</v>
      </c>
    </row>
    <row r="73" spans="1:87" x14ac:dyDescent="0.2">
      <c r="A73" s="43">
        <v>150</v>
      </c>
      <c r="B73" s="41">
        <v>29.2</v>
      </c>
      <c r="C73" s="42">
        <v>56.79</v>
      </c>
      <c r="D73" s="32">
        <f t="shared" si="238"/>
        <v>27.59</v>
      </c>
      <c r="E73" s="41">
        <v>55.32</v>
      </c>
      <c r="F73" s="32">
        <f t="shared" si="239"/>
        <v>26.12</v>
      </c>
      <c r="G73" s="41">
        <f t="shared" si="240"/>
        <v>1.4699999999999989</v>
      </c>
      <c r="H73" s="40">
        <f t="shared" si="241"/>
        <v>5.6278713629402712E-2</v>
      </c>
      <c r="I73" s="30">
        <v>1.58</v>
      </c>
      <c r="J73" s="33">
        <f t="shared" si="242"/>
        <v>8.8920367534456285E-2</v>
      </c>
      <c r="L73" s="43">
        <v>150</v>
      </c>
      <c r="M73" s="41">
        <v>29</v>
      </c>
      <c r="N73" s="42">
        <v>54.36</v>
      </c>
      <c r="O73" s="32">
        <f t="shared" si="243"/>
        <v>25.36</v>
      </c>
      <c r="P73" s="41">
        <v>52.68</v>
      </c>
      <c r="Q73" s="32">
        <f t="shared" si="244"/>
        <v>23.68</v>
      </c>
      <c r="R73" s="41">
        <f t="shared" si="245"/>
        <v>1.6799999999999997</v>
      </c>
      <c r="S73" s="40">
        <f t="shared" si="246"/>
        <v>7.0945945945945929E-2</v>
      </c>
      <c r="T73" s="30">
        <v>1.58</v>
      </c>
      <c r="U73" s="33">
        <f t="shared" si="247"/>
        <v>0.11209459459459457</v>
      </c>
      <c r="W73" s="43">
        <v>150</v>
      </c>
      <c r="X73" s="41">
        <v>39</v>
      </c>
      <c r="Y73" s="42">
        <v>61.06</v>
      </c>
      <c r="Z73" s="32">
        <f t="shared" si="248"/>
        <v>22.060000000000002</v>
      </c>
      <c r="AA73" s="41">
        <v>59.64</v>
      </c>
      <c r="AB73" s="32">
        <f t="shared" si="249"/>
        <v>20.64</v>
      </c>
      <c r="AC73" s="41">
        <f t="shared" si="250"/>
        <v>1.4200000000000017</v>
      </c>
      <c r="AD73" s="40">
        <f t="shared" si="251"/>
        <v>6.8798449612403181E-2</v>
      </c>
      <c r="AE73" s="30">
        <v>1.58</v>
      </c>
      <c r="AF73" s="33">
        <f t="shared" si="252"/>
        <v>0.10870155038759703</v>
      </c>
      <c r="AH73" s="43">
        <v>150</v>
      </c>
      <c r="AI73" s="41">
        <v>39.619999999999997</v>
      </c>
      <c r="AJ73" s="42">
        <v>66.41</v>
      </c>
      <c r="AK73" s="32">
        <f t="shared" si="253"/>
        <v>26.79</v>
      </c>
      <c r="AL73" s="41">
        <v>65.02</v>
      </c>
      <c r="AM73" s="32">
        <f t="shared" si="254"/>
        <v>25.4</v>
      </c>
      <c r="AN73" s="41">
        <f t="shared" si="255"/>
        <v>1.3900000000000006</v>
      </c>
      <c r="AO73" s="40">
        <f t="shared" si="256"/>
        <v>5.4724409448818921E-2</v>
      </c>
      <c r="AP73" s="30">
        <v>1.58</v>
      </c>
      <c r="AQ73" s="33">
        <f t="shared" si="257"/>
        <v>8.6464566929133901E-2</v>
      </c>
      <c r="AS73" s="43">
        <v>150</v>
      </c>
      <c r="AT73" s="41">
        <v>33.25</v>
      </c>
      <c r="AU73" s="42">
        <v>57.21</v>
      </c>
      <c r="AV73" s="32">
        <f t="shared" si="258"/>
        <v>23.96</v>
      </c>
      <c r="AW73" s="41">
        <v>55.16</v>
      </c>
      <c r="AX73" s="32">
        <f t="shared" si="259"/>
        <v>21.909999999999997</v>
      </c>
      <c r="AY73" s="41">
        <f t="shared" si="260"/>
        <v>2.0500000000000043</v>
      </c>
      <c r="AZ73" s="40">
        <f t="shared" si="261"/>
        <v>9.3564582382473963E-2</v>
      </c>
      <c r="BA73" s="30">
        <v>1.58</v>
      </c>
      <c r="BB73" s="33">
        <f t="shared" si="262"/>
        <v>0.14783204016430887</v>
      </c>
      <c r="BD73" s="43">
        <v>150</v>
      </c>
      <c r="BE73" s="41">
        <v>29.43</v>
      </c>
      <c r="BF73" s="42">
        <v>54.76</v>
      </c>
      <c r="BG73" s="32">
        <f t="shared" si="263"/>
        <v>25.33</v>
      </c>
      <c r="BH73" s="41">
        <v>53.14</v>
      </c>
      <c r="BI73" s="32">
        <f t="shared" si="264"/>
        <v>23.71</v>
      </c>
      <c r="BJ73" s="41">
        <f t="shared" si="265"/>
        <v>1.6199999999999974</v>
      </c>
      <c r="BK73" s="40">
        <f t="shared" si="266"/>
        <v>6.8325601012231021E-2</v>
      </c>
      <c r="BL73" s="30">
        <v>1.58</v>
      </c>
      <c r="BM73" s="33">
        <f t="shared" si="267"/>
        <v>0.10795444959932501</v>
      </c>
      <c r="BO73" s="43">
        <v>150</v>
      </c>
      <c r="BP73" s="41">
        <v>37.409999999999997</v>
      </c>
      <c r="BQ73" s="42">
        <v>69.53</v>
      </c>
      <c r="BR73" s="32">
        <f t="shared" si="268"/>
        <v>32.120000000000005</v>
      </c>
      <c r="BS73" s="41">
        <v>67.680000000000007</v>
      </c>
      <c r="BT73" s="32">
        <f t="shared" si="269"/>
        <v>30.27000000000001</v>
      </c>
      <c r="BU73" s="41">
        <f t="shared" si="270"/>
        <v>1.8499999999999943</v>
      </c>
      <c r="BV73" s="40">
        <f t="shared" si="271"/>
        <v>6.111661711265258E-2</v>
      </c>
      <c r="BW73" s="30">
        <v>1.58</v>
      </c>
      <c r="BX73" s="33">
        <f t="shared" si="272"/>
        <v>9.6564255037991084E-2</v>
      </c>
      <c r="BZ73" s="43">
        <v>150</v>
      </c>
      <c r="CA73" s="41">
        <v>25.64</v>
      </c>
      <c r="CB73" s="42">
        <v>51.01</v>
      </c>
      <c r="CC73" s="32">
        <f t="shared" si="273"/>
        <v>25.369999999999997</v>
      </c>
      <c r="CD73" s="41">
        <v>48.42</v>
      </c>
      <c r="CE73" s="32">
        <f t="shared" si="274"/>
        <v>22.78</v>
      </c>
      <c r="CF73" s="41">
        <f t="shared" si="275"/>
        <v>2.5899999999999963</v>
      </c>
      <c r="CG73" s="40">
        <f t="shared" si="276"/>
        <v>0.11369622475855998</v>
      </c>
      <c r="CH73" s="30">
        <v>1.58</v>
      </c>
      <c r="CI73" s="33">
        <f t="shared" si="277"/>
        <v>0.17964003511852478</v>
      </c>
    </row>
    <row r="74" spans="1:87" x14ac:dyDescent="0.2">
      <c r="A74" s="43">
        <v>180</v>
      </c>
      <c r="B74" s="41">
        <v>38.619999999999997</v>
      </c>
      <c r="C74" s="42">
        <v>65.67</v>
      </c>
      <c r="D74" s="32">
        <f t="shared" si="238"/>
        <v>27.050000000000004</v>
      </c>
      <c r="E74" s="41">
        <v>63.74</v>
      </c>
      <c r="F74" s="32">
        <f t="shared" si="239"/>
        <v>25.120000000000005</v>
      </c>
      <c r="G74" s="41">
        <f t="shared" si="240"/>
        <v>1.9299999999999997</v>
      </c>
      <c r="H74" s="40">
        <f t="shared" si="241"/>
        <v>7.6831210191082772E-2</v>
      </c>
      <c r="I74" s="30">
        <v>1.58</v>
      </c>
      <c r="J74" s="33">
        <f t="shared" si="242"/>
        <v>0.12139331210191079</v>
      </c>
      <c r="L74" s="43">
        <v>180</v>
      </c>
      <c r="M74" s="41">
        <v>29.54</v>
      </c>
      <c r="N74" s="42">
        <v>52.68</v>
      </c>
      <c r="O74" s="32">
        <f t="shared" si="243"/>
        <v>23.14</v>
      </c>
      <c r="P74" s="41">
        <v>50.27</v>
      </c>
      <c r="Q74" s="32">
        <f t="shared" si="244"/>
        <v>20.730000000000004</v>
      </c>
      <c r="R74" s="41">
        <f t="shared" si="245"/>
        <v>2.4099999999999966</v>
      </c>
      <c r="S74" s="40">
        <f t="shared" si="246"/>
        <v>0.11625663289917974</v>
      </c>
      <c r="T74" s="30">
        <v>1.58</v>
      </c>
      <c r="U74" s="33">
        <f t="shared" si="247"/>
        <v>0.183685479980704</v>
      </c>
      <c r="W74" s="43">
        <v>180</v>
      </c>
      <c r="X74" s="41">
        <v>35.270000000000003</v>
      </c>
      <c r="Y74" s="42">
        <v>60.46</v>
      </c>
      <c r="Z74" s="32">
        <f t="shared" si="248"/>
        <v>25.189999999999998</v>
      </c>
      <c r="AA74" s="41">
        <v>58.46</v>
      </c>
      <c r="AB74" s="32">
        <f t="shared" si="249"/>
        <v>23.189999999999998</v>
      </c>
      <c r="AC74" s="41">
        <f t="shared" si="250"/>
        <v>2</v>
      </c>
      <c r="AD74" s="40">
        <f t="shared" si="251"/>
        <v>8.6244070720137997E-2</v>
      </c>
      <c r="AE74" s="30">
        <v>1.58</v>
      </c>
      <c r="AF74" s="33">
        <f t="shared" si="252"/>
        <v>0.13626563173781805</v>
      </c>
      <c r="AH74" s="43">
        <v>180</v>
      </c>
      <c r="AI74" s="41">
        <v>29.74</v>
      </c>
      <c r="AJ74" s="42">
        <v>54</v>
      </c>
      <c r="AK74" s="32">
        <f t="shared" si="253"/>
        <v>24.26</v>
      </c>
      <c r="AL74" s="41">
        <v>51.7</v>
      </c>
      <c r="AM74" s="32">
        <f t="shared" si="254"/>
        <v>21.960000000000004</v>
      </c>
      <c r="AN74" s="41">
        <f t="shared" si="255"/>
        <v>2.2999999999999972</v>
      </c>
      <c r="AO74" s="40">
        <f t="shared" si="256"/>
        <v>0.10473588342440786</v>
      </c>
      <c r="AP74" s="30">
        <v>1.58</v>
      </c>
      <c r="AQ74" s="33">
        <f t="shared" si="257"/>
        <v>0.16548269581056443</v>
      </c>
      <c r="AS74" s="43">
        <v>180</v>
      </c>
      <c r="AT74" s="41">
        <v>41.02</v>
      </c>
      <c r="AU74" s="42">
        <v>66.260000000000005</v>
      </c>
      <c r="AV74" s="32">
        <f t="shared" si="258"/>
        <v>25.240000000000002</v>
      </c>
      <c r="AW74" s="41">
        <v>63.07</v>
      </c>
      <c r="AX74" s="32">
        <f t="shared" si="259"/>
        <v>22.049999999999997</v>
      </c>
      <c r="AY74" s="41">
        <f t="shared" si="260"/>
        <v>3.1900000000000048</v>
      </c>
      <c r="AZ74" s="40">
        <f t="shared" si="261"/>
        <v>0.14467120181405921</v>
      </c>
      <c r="BA74" s="30">
        <v>1.58</v>
      </c>
      <c r="BB74" s="33">
        <f t="shared" si="262"/>
        <v>0.22858049886621357</v>
      </c>
      <c r="BD74" s="43">
        <v>180</v>
      </c>
      <c r="BE74" s="41">
        <v>29.18</v>
      </c>
      <c r="BF74" s="42">
        <v>54.41</v>
      </c>
      <c r="BG74" s="32">
        <f t="shared" si="263"/>
        <v>25.229999999999997</v>
      </c>
      <c r="BH74" s="41">
        <v>51.91</v>
      </c>
      <c r="BI74" s="32">
        <f t="shared" si="264"/>
        <v>22.729999999999997</v>
      </c>
      <c r="BJ74" s="41">
        <f t="shared" si="265"/>
        <v>2.5</v>
      </c>
      <c r="BK74" s="40">
        <f t="shared" si="266"/>
        <v>0.10998680158380995</v>
      </c>
      <c r="BL74" s="30">
        <v>1.58</v>
      </c>
      <c r="BM74" s="33">
        <f t="shared" si="267"/>
        <v>0.17377914650241974</v>
      </c>
      <c r="BO74" s="43">
        <v>180</v>
      </c>
      <c r="BP74" s="41">
        <v>21.5</v>
      </c>
      <c r="BQ74" s="42">
        <v>47.72</v>
      </c>
      <c r="BR74" s="32">
        <f t="shared" si="268"/>
        <v>26.22</v>
      </c>
      <c r="BS74" s="41">
        <v>45.93</v>
      </c>
      <c r="BT74" s="32">
        <f t="shared" si="269"/>
        <v>24.43</v>
      </c>
      <c r="BU74" s="41">
        <f t="shared" si="270"/>
        <v>1.7899999999999991</v>
      </c>
      <c r="BV74" s="40">
        <f t="shared" si="271"/>
        <v>7.3270568972574668E-2</v>
      </c>
      <c r="BW74" s="30">
        <v>1.58</v>
      </c>
      <c r="BX74" s="33">
        <f t="shared" si="272"/>
        <v>0.11576749897666798</v>
      </c>
      <c r="BZ74" s="43">
        <v>180</v>
      </c>
      <c r="CA74" s="41">
        <v>35.630000000000003</v>
      </c>
      <c r="CB74" s="42">
        <v>62.48</v>
      </c>
      <c r="CC74" s="32">
        <f t="shared" si="273"/>
        <v>26.849999999999994</v>
      </c>
      <c r="CD74" s="41">
        <v>59.64</v>
      </c>
      <c r="CE74" s="32">
        <f t="shared" si="274"/>
        <v>24.009999999999998</v>
      </c>
      <c r="CF74" s="41">
        <f t="shared" si="275"/>
        <v>2.8399999999999963</v>
      </c>
      <c r="CG74" s="40">
        <f t="shared" si="276"/>
        <v>0.11828404831320269</v>
      </c>
      <c r="CH74" s="30">
        <v>1.58</v>
      </c>
      <c r="CI74" s="33">
        <f t="shared" si="277"/>
        <v>0.18688879633486025</v>
      </c>
    </row>
    <row r="75" spans="1:87" ht="13.5" thickBot="1" x14ac:dyDescent="0.25">
      <c r="A75" s="37"/>
      <c r="B75" s="34"/>
      <c r="C75" s="35"/>
      <c r="D75" s="35"/>
      <c r="E75" s="35"/>
      <c r="F75" s="34"/>
      <c r="G75" s="34"/>
      <c r="H75" s="59"/>
      <c r="I75" s="32"/>
      <c r="L75" s="37"/>
      <c r="M75" s="34"/>
      <c r="N75" s="35"/>
      <c r="O75" s="35"/>
      <c r="P75" s="35"/>
      <c r="Q75" s="34"/>
      <c r="R75" s="34"/>
      <c r="S75" s="59"/>
      <c r="T75" s="32"/>
      <c r="W75" s="37"/>
      <c r="X75" s="34"/>
      <c r="Y75" s="35"/>
      <c r="Z75" s="35"/>
      <c r="AA75" s="35"/>
      <c r="AB75" s="34"/>
      <c r="AC75" s="34"/>
      <c r="AD75" s="59"/>
      <c r="AE75" s="32"/>
      <c r="AH75" s="37"/>
      <c r="AI75" s="34"/>
      <c r="AJ75" s="35"/>
      <c r="AK75" s="35"/>
      <c r="AL75" s="35"/>
      <c r="AM75" s="34"/>
      <c r="AN75" s="34"/>
      <c r="AO75" s="59"/>
      <c r="AP75" s="32"/>
      <c r="AS75" s="37"/>
      <c r="AT75" s="34"/>
      <c r="AU75" s="35"/>
      <c r="AV75" s="35"/>
      <c r="AW75" s="35"/>
      <c r="AX75" s="34"/>
      <c r="AY75" s="34"/>
      <c r="AZ75" s="59"/>
      <c r="BA75" s="32"/>
      <c r="BD75" s="37"/>
      <c r="BE75" s="34"/>
      <c r="BF75" s="35"/>
      <c r="BG75" s="35"/>
      <c r="BH75" s="35"/>
      <c r="BI75" s="34"/>
      <c r="BJ75" s="34"/>
      <c r="BK75" s="59"/>
      <c r="BL75" s="32"/>
      <c r="BO75" s="37"/>
      <c r="BP75" s="34"/>
      <c r="BQ75" s="35"/>
      <c r="BR75" s="35"/>
      <c r="BS75" s="35"/>
      <c r="BT75" s="34"/>
      <c r="BU75" s="34"/>
      <c r="BV75" s="59"/>
      <c r="BW75" s="32"/>
      <c r="BZ75" s="37"/>
      <c r="CA75" s="34"/>
      <c r="CB75" s="35"/>
      <c r="CC75" s="35"/>
      <c r="CD75" s="35"/>
      <c r="CE75" s="34"/>
      <c r="CF75" s="34"/>
      <c r="CG75" s="59"/>
    </row>
    <row r="76" spans="1:87" ht="14.25" thickTop="1" thickBot="1" x14ac:dyDescent="0.25">
      <c r="B76" s="32"/>
      <c r="F76" s="32"/>
      <c r="H76" s="32"/>
      <c r="I76" s="32"/>
      <c r="M76" s="32"/>
      <c r="Q76" s="32"/>
      <c r="S76" s="32"/>
      <c r="T76" s="32"/>
      <c r="X76" s="32"/>
      <c r="AB76" s="32"/>
      <c r="AD76" s="32"/>
      <c r="AE76" s="32"/>
      <c r="AI76" s="32"/>
      <c r="AM76" s="32"/>
      <c r="AO76" s="32"/>
      <c r="AP76" s="32"/>
      <c r="AT76" s="32"/>
      <c r="AX76" s="32"/>
      <c r="AZ76" s="32"/>
      <c r="BA76" s="32"/>
      <c r="BE76" s="32"/>
      <c r="BI76" s="32"/>
      <c r="BK76" s="32"/>
      <c r="BL76" s="32"/>
      <c r="BP76" s="32"/>
      <c r="BT76" s="32"/>
      <c r="BV76" s="32"/>
      <c r="BW76" s="32"/>
      <c r="CA76" s="32"/>
      <c r="CE76" s="32"/>
      <c r="CG76" s="32"/>
    </row>
    <row r="77" spans="1:87" ht="13.5" thickBot="1" x14ac:dyDescent="0.25">
      <c r="B77" s="58" t="s">
        <v>124</v>
      </c>
      <c r="C77" s="57"/>
      <c r="D77" s="57"/>
      <c r="E77" s="57"/>
      <c r="F77" s="56"/>
      <c r="G77" s="32"/>
      <c r="H77" s="32"/>
      <c r="I77" s="32"/>
      <c r="M77" s="58" t="s">
        <v>124</v>
      </c>
      <c r="N77" s="57"/>
      <c r="O77" s="57"/>
      <c r="P77" s="57"/>
      <c r="Q77" s="56"/>
      <c r="R77" s="32"/>
      <c r="S77" s="32"/>
      <c r="T77" s="32"/>
      <c r="X77" s="58" t="s">
        <v>124</v>
      </c>
      <c r="Y77" s="57"/>
      <c r="Z77" s="57"/>
      <c r="AA77" s="57"/>
      <c r="AB77" s="56"/>
      <c r="AC77" s="32"/>
      <c r="AD77" s="32"/>
      <c r="AE77" s="32"/>
      <c r="AI77" s="58" t="s">
        <v>124</v>
      </c>
      <c r="AJ77" s="57"/>
      <c r="AK77" s="57"/>
      <c r="AL77" s="57"/>
      <c r="AM77" s="56"/>
      <c r="AN77" s="32"/>
      <c r="AO77" s="32"/>
      <c r="AP77" s="32"/>
      <c r="AT77" s="58" t="s">
        <v>124</v>
      </c>
      <c r="AU77" s="57"/>
      <c r="AV77" s="57"/>
      <c r="AW77" s="57"/>
      <c r="AX77" s="56"/>
      <c r="AY77" s="32"/>
      <c r="AZ77" s="32"/>
      <c r="BA77" s="32"/>
      <c r="BE77" s="58" t="s">
        <v>124</v>
      </c>
      <c r="BF77" s="57"/>
      <c r="BG77" s="57"/>
      <c r="BH77" s="57"/>
      <c r="BI77" s="56"/>
      <c r="BJ77" s="32"/>
      <c r="BK77" s="32"/>
      <c r="BL77" s="32"/>
      <c r="BP77" s="58" t="s">
        <v>124</v>
      </c>
      <c r="BQ77" s="57"/>
      <c r="BR77" s="57"/>
      <c r="BS77" s="57"/>
      <c r="BT77" s="56"/>
      <c r="BU77" s="32"/>
      <c r="BV77" s="32"/>
      <c r="BW77" s="32"/>
      <c r="CA77" s="58" t="s">
        <v>124</v>
      </c>
      <c r="CB77" s="57"/>
      <c r="CC77" s="57"/>
      <c r="CD77" s="57"/>
      <c r="CE77" s="56"/>
      <c r="CF77" s="32"/>
      <c r="CG77" s="32"/>
    </row>
    <row r="78" spans="1:87" ht="51.75" thickBot="1" x14ac:dyDescent="0.25">
      <c r="A78" s="55" t="s">
        <v>54</v>
      </c>
      <c r="B78" s="54" t="s">
        <v>122</v>
      </c>
      <c r="C78" s="54" t="s">
        <v>121</v>
      </c>
      <c r="D78" s="53" t="s">
        <v>120</v>
      </c>
      <c r="E78" s="52" t="s">
        <v>119</v>
      </c>
      <c r="F78" s="51" t="s">
        <v>118</v>
      </c>
      <c r="G78" s="50" t="s">
        <v>117</v>
      </c>
      <c r="H78" s="50" t="s">
        <v>116</v>
      </c>
      <c r="I78" s="49" t="s">
        <v>115</v>
      </c>
      <c r="J78" s="48" t="s">
        <v>114</v>
      </c>
      <c r="L78" s="55" t="s">
        <v>54</v>
      </c>
      <c r="M78" s="54" t="s">
        <v>122</v>
      </c>
      <c r="N78" s="54" t="s">
        <v>121</v>
      </c>
      <c r="O78" s="53" t="s">
        <v>120</v>
      </c>
      <c r="P78" s="52" t="s">
        <v>119</v>
      </c>
      <c r="Q78" s="51" t="s">
        <v>118</v>
      </c>
      <c r="R78" s="50" t="s">
        <v>117</v>
      </c>
      <c r="S78" s="50" t="s">
        <v>116</v>
      </c>
      <c r="T78" s="49" t="s">
        <v>115</v>
      </c>
      <c r="U78" s="48" t="s">
        <v>114</v>
      </c>
      <c r="W78" s="55" t="s">
        <v>54</v>
      </c>
      <c r="X78" s="54" t="s">
        <v>122</v>
      </c>
      <c r="Y78" s="54" t="s">
        <v>121</v>
      </c>
      <c r="Z78" s="53" t="s">
        <v>120</v>
      </c>
      <c r="AA78" s="52" t="s">
        <v>119</v>
      </c>
      <c r="AB78" s="51" t="s">
        <v>118</v>
      </c>
      <c r="AC78" s="50" t="s">
        <v>117</v>
      </c>
      <c r="AD78" s="50" t="s">
        <v>116</v>
      </c>
      <c r="AE78" s="49" t="s">
        <v>115</v>
      </c>
      <c r="AF78" s="48" t="s">
        <v>114</v>
      </c>
      <c r="AH78" s="55" t="s">
        <v>54</v>
      </c>
      <c r="AI78" s="54" t="s">
        <v>122</v>
      </c>
      <c r="AJ78" s="54" t="s">
        <v>121</v>
      </c>
      <c r="AK78" s="53" t="s">
        <v>120</v>
      </c>
      <c r="AL78" s="52" t="s">
        <v>119</v>
      </c>
      <c r="AM78" s="51" t="s">
        <v>118</v>
      </c>
      <c r="AN78" s="50" t="s">
        <v>117</v>
      </c>
      <c r="AO78" s="50" t="s">
        <v>116</v>
      </c>
      <c r="AP78" s="49" t="s">
        <v>115</v>
      </c>
      <c r="AQ78" s="48" t="s">
        <v>114</v>
      </c>
      <c r="AS78" s="55" t="s">
        <v>54</v>
      </c>
      <c r="AT78" s="54" t="s">
        <v>122</v>
      </c>
      <c r="AU78" s="54" t="s">
        <v>121</v>
      </c>
      <c r="AV78" s="53" t="s">
        <v>120</v>
      </c>
      <c r="AW78" s="52" t="s">
        <v>119</v>
      </c>
      <c r="AX78" s="51" t="s">
        <v>118</v>
      </c>
      <c r="AY78" s="50" t="s">
        <v>117</v>
      </c>
      <c r="AZ78" s="50" t="s">
        <v>116</v>
      </c>
      <c r="BA78" s="49" t="s">
        <v>115</v>
      </c>
      <c r="BB78" s="48" t="s">
        <v>114</v>
      </c>
      <c r="BD78" s="55" t="s">
        <v>54</v>
      </c>
      <c r="BE78" s="54" t="s">
        <v>122</v>
      </c>
      <c r="BF78" s="54" t="s">
        <v>121</v>
      </c>
      <c r="BG78" s="53" t="s">
        <v>120</v>
      </c>
      <c r="BH78" s="52" t="s">
        <v>119</v>
      </c>
      <c r="BI78" s="51" t="s">
        <v>118</v>
      </c>
      <c r="BJ78" s="50" t="s">
        <v>117</v>
      </c>
      <c r="BK78" s="50" t="s">
        <v>116</v>
      </c>
      <c r="BL78" s="49" t="s">
        <v>115</v>
      </c>
      <c r="BM78" s="48" t="s">
        <v>114</v>
      </c>
      <c r="BO78" s="55" t="s">
        <v>54</v>
      </c>
      <c r="BP78" s="54" t="s">
        <v>122</v>
      </c>
      <c r="BQ78" s="54" t="s">
        <v>121</v>
      </c>
      <c r="BR78" s="53" t="s">
        <v>120</v>
      </c>
      <c r="BS78" s="52" t="s">
        <v>119</v>
      </c>
      <c r="BT78" s="51" t="s">
        <v>118</v>
      </c>
      <c r="BU78" s="50" t="s">
        <v>117</v>
      </c>
      <c r="BV78" s="50" t="s">
        <v>116</v>
      </c>
      <c r="BW78" s="49" t="s">
        <v>115</v>
      </c>
      <c r="BX78" s="48" t="s">
        <v>114</v>
      </c>
      <c r="BZ78" s="55" t="s">
        <v>54</v>
      </c>
      <c r="CA78" s="54" t="s">
        <v>122</v>
      </c>
      <c r="CB78" s="54" t="s">
        <v>121</v>
      </c>
      <c r="CC78" s="53" t="s">
        <v>120</v>
      </c>
      <c r="CD78" s="52" t="s">
        <v>119</v>
      </c>
      <c r="CE78" s="51" t="s">
        <v>118</v>
      </c>
      <c r="CF78" s="50" t="s">
        <v>117</v>
      </c>
      <c r="CG78" s="50" t="s">
        <v>116</v>
      </c>
      <c r="CH78" s="49" t="s">
        <v>115</v>
      </c>
      <c r="CI78" s="48" t="s">
        <v>114</v>
      </c>
    </row>
    <row r="79" spans="1:87" ht="13.5" thickTop="1" x14ac:dyDescent="0.2">
      <c r="A79" s="47">
        <v>30</v>
      </c>
      <c r="B79" s="45">
        <v>42.26</v>
      </c>
      <c r="C79" s="46">
        <v>60.76</v>
      </c>
      <c r="D79" s="32">
        <f t="shared" ref="D79:D84" si="278">C79-B79</f>
        <v>18.5</v>
      </c>
      <c r="E79" s="45">
        <v>58.74</v>
      </c>
      <c r="F79" s="32">
        <f t="shared" ref="F79:F84" si="279">E79-B79</f>
        <v>16.480000000000004</v>
      </c>
      <c r="G79" s="45">
        <f t="shared" ref="G79:G84" si="280">D79-F79</f>
        <v>2.019999999999996</v>
      </c>
      <c r="H79" s="44">
        <f t="shared" ref="H79:H84" si="281">(G79/F79)</f>
        <v>0.12257281553398031</v>
      </c>
      <c r="I79" s="30">
        <v>1.49</v>
      </c>
      <c r="J79" s="33">
        <f t="shared" ref="J79:J84" si="282">H79*I79</f>
        <v>0.18263349514563065</v>
      </c>
      <c r="L79" s="47">
        <v>30</v>
      </c>
      <c r="M79" s="45">
        <v>36.159999999999997</v>
      </c>
      <c r="N79" s="46">
        <v>62.49</v>
      </c>
      <c r="O79" s="32">
        <f t="shared" ref="O79:O84" si="283">N79-M79</f>
        <v>26.330000000000005</v>
      </c>
      <c r="P79" s="45">
        <v>59.88</v>
      </c>
      <c r="Q79" s="32">
        <f t="shared" ref="Q79:Q84" si="284">P79-M79</f>
        <v>23.720000000000006</v>
      </c>
      <c r="R79" s="45">
        <f t="shared" ref="R79:R84" si="285">O79-Q79</f>
        <v>2.6099999999999994</v>
      </c>
      <c r="S79" s="44">
        <f t="shared" ref="S79:S84" si="286">(R79/Q79)</f>
        <v>0.11003372681281613</v>
      </c>
      <c r="T79" s="30">
        <v>1.49</v>
      </c>
      <c r="U79" s="33">
        <f t="shared" ref="U79:U84" si="287">S79*T79</f>
        <v>0.16395025295109603</v>
      </c>
      <c r="W79" s="47">
        <v>30</v>
      </c>
      <c r="X79" s="45">
        <v>39.700000000000003</v>
      </c>
      <c r="Y79" s="46">
        <v>63.3</v>
      </c>
      <c r="Z79" s="32">
        <f t="shared" ref="Z79:Z84" si="288">Y79-X79</f>
        <v>23.599999999999994</v>
      </c>
      <c r="AA79" s="45">
        <v>61</v>
      </c>
      <c r="AB79" s="32">
        <f t="shared" ref="AB79:AB84" si="289">AA79-X79</f>
        <v>21.299999999999997</v>
      </c>
      <c r="AC79" s="45">
        <f t="shared" ref="AC79:AC84" si="290">Z79-AB79</f>
        <v>2.2999999999999972</v>
      </c>
      <c r="AD79" s="44">
        <f t="shared" ref="AD79:AD84" si="291">(AC79/AB79)</f>
        <v>0.10798122065727687</v>
      </c>
      <c r="AE79" s="30">
        <v>1.49</v>
      </c>
      <c r="AF79" s="33">
        <f t="shared" ref="AF79:AF84" si="292">AD79*AE79</f>
        <v>0.16089201877934253</v>
      </c>
      <c r="AH79" s="47">
        <v>30</v>
      </c>
      <c r="AI79" s="45">
        <v>29.6</v>
      </c>
      <c r="AJ79" s="46">
        <v>51.5</v>
      </c>
      <c r="AK79" s="32">
        <f t="shared" ref="AK79:AK84" si="293">AJ79-AI79</f>
        <v>21.9</v>
      </c>
      <c r="AL79" s="45">
        <v>49.5</v>
      </c>
      <c r="AM79" s="32">
        <f t="shared" ref="AM79:AM84" si="294">AL79-AI79</f>
        <v>19.899999999999999</v>
      </c>
      <c r="AN79" s="45">
        <f t="shared" ref="AN79:AN84" si="295">AK79-AM79</f>
        <v>2</v>
      </c>
      <c r="AO79" s="44">
        <f t="shared" ref="AO79:AO84" si="296">(AN79/AM79)</f>
        <v>0.10050251256281408</v>
      </c>
      <c r="AP79" s="30">
        <v>1.49</v>
      </c>
      <c r="AQ79" s="33">
        <f t="shared" ref="AQ79:AQ84" si="297">AO79*AP79</f>
        <v>0.14974874371859298</v>
      </c>
      <c r="AS79" s="47">
        <v>30</v>
      </c>
      <c r="AT79" s="45">
        <v>42.15</v>
      </c>
      <c r="AU79" s="46">
        <v>70.41</v>
      </c>
      <c r="AV79" s="32">
        <f t="shared" ref="AV79:AV84" si="298">AU79-AT79</f>
        <v>28.259999999999998</v>
      </c>
      <c r="AW79" s="45">
        <v>67.55</v>
      </c>
      <c r="AX79" s="32">
        <f t="shared" ref="AX79:AX84" si="299">AW79-AT79</f>
        <v>25.4</v>
      </c>
      <c r="AY79" s="45">
        <f t="shared" ref="AY79:AY84" si="300">AV79-AX79</f>
        <v>2.8599999999999994</v>
      </c>
      <c r="AZ79" s="44">
        <f t="shared" ref="AZ79:AZ84" si="301">(AY79/AX79)</f>
        <v>0.11259842519685037</v>
      </c>
      <c r="BA79" s="30">
        <v>1.49</v>
      </c>
      <c r="BB79" s="33">
        <f t="shared" ref="BB79:BB84" si="302">AZ79*BA79</f>
        <v>0.16777165354330706</v>
      </c>
      <c r="BD79" s="47">
        <v>30</v>
      </c>
      <c r="BE79" s="45">
        <v>47.47</v>
      </c>
      <c r="BF79" s="46">
        <v>76.09</v>
      </c>
      <c r="BG79" s="32">
        <f t="shared" ref="BG79:BG84" si="303">BF79-BE79</f>
        <v>28.620000000000005</v>
      </c>
      <c r="BH79" s="45">
        <v>72.84</v>
      </c>
      <c r="BI79" s="32">
        <f t="shared" ref="BI79:BI84" si="304">BH79-BE79</f>
        <v>25.370000000000005</v>
      </c>
      <c r="BJ79" s="45">
        <f t="shared" ref="BJ79:BJ84" si="305">BG79-BI79</f>
        <v>3.25</v>
      </c>
      <c r="BK79" s="44">
        <f t="shared" ref="BK79:BK84" si="306">(BJ79/BI79)</f>
        <v>0.12810405991328339</v>
      </c>
      <c r="BL79" s="30">
        <v>1.49</v>
      </c>
      <c r="BM79" s="33">
        <f t="shared" ref="BM79:BM84" si="307">BK79*BL79</f>
        <v>0.19087504927079224</v>
      </c>
      <c r="BO79" s="47">
        <v>30</v>
      </c>
      <c r="BP79" s="45">
        <v>37.78</v>
      </c>
      <c r="BQ79" s="46">
        <v>64.66</v>
      </c>
      <c r="BR79" s="32">
        <f t="shared" ref="BR79:BR84" si="308">BQ79-BP79</f>
        <v>26.879999999999995</v>
      </c>
      <c r="BS79" s="45">
        <v>62.45</v>
      </c>
      <c r="BT79" s="32">
        <f t="shared" ref="BT79:BT84" si="309">BS79-BP79</f>
        <v>24.67</v>
      </c>
      <c r="BU79" s="45">
        <f t="shared" ref="BU79:BU84" si="310">BR79-BT79</f>
        <v>2.2099999999999937</v>
      </c>
      <c r="BV79" s="44">
        <f t="shared" ref="BV79:BV84" si="311">(BU79/BT79)</f>
        <v>8.9582488852857467E-2</v>
      </c>
      <c r="BW79" s="30">
        <v>1.49</v>
      </c>
      <c r="BX79" s="33">
        <f t="shared" ref="BX79:BX84" si="312">BV79*BW79</f>
        <v>0.13347790839075763</v>
      </c>
      <c r="BZ79" s="47">
        <v>30</v>
      </c>
      <c r="CA79" s="45">
        <v>34</v>
      </c>
      <c r="CB79" s="46">
        <v>57.4</v>
      </c>
      <c r="CC79" s="32">
        <f t="shared" ref="CC79:CC84" si="313">CB79-CA79</f>
        <v>23.4</v>
      </c>
      <c r="CD79" s="45">
        <v>55.7</v>
      </c>
      <c r="CE79" s="32">
        <f t="shared" ref="CE79:CE84" si="314">CD79-CA79</f>
        <v>21.700000000000003</v>
      </c>
      <c r="CF79" s="45">
        <f t="shared" ref="CF79:CF84" si="315">CC79-CE79</f>
        <v>1.6999999999999957</v>
      </c>
      <c r="CG79" s="44">
        <f t="shared" ref="CG79:CG84" si="316">(CF79/CE79)</f>
        <v>7.8341013824884592E-2</v>
      </c>
      <c r="CH79" s="30">
        <v>1.49</v>
      </c>
      <c r="CI79" s="33">
        <f t="shared" ref="CI79:CI84" si="317">CG79*CH79</f>
        <v>0.11672811059907805</v>
      </c>
    </row>
    <row r="80" spans="1:87" x14ac:dyDescent="0.2">
      <c r="A80" s="43">
        <v>60</v>
      </c>
      <c r="B80" s="41">
        <v>51.85</v>
      </c>
      <c r="C80" s="42">
        <v>80.48</v>
      </c>
      <c r="D80" s="32">
        <f t="shared" si="278"/>
        <v>28.630000000000003</v>
      </c>
      <c r="E80" s="41">
        <v>76.55</v>
      </c>
      <c r="F80" s="32">
        <f t="shared" si="279"/>
        <v>24.699999999999996</v>
      </c>
      <c r="G80" s="41">
        <f t="shared" si="280"/>
        <v>3.9300000000000068</v>
      </c>
      <c r="H80" s="40">
        <f t="shared" si="281"/>
        <v>0.15910931174089099</v>
      </c>
      <c r="I80" s="30">
        <v>1.42</v>
      </c>
      <c r="J80" s="33">
        <f t="shared" si="282"/>
        <v>0.2259352226720652</v>
      </c>
      <c r="L80" s="43">
        <v>60</v>
      </c>
      <c r="M80" s="41">
        <v>47.96</v>
      </c>
      <c r="N80" s="42">
        <v>77.33</v>
      </c>
      <c r="O80" s="32">
        <f t="shared" si="283"/>
        <v>29.369999999999997</v>
      </c>
      <c r="P80" s="41">
        <v>73.099999999999994</v>
      </c>
      <c r="Q80" s="32">
        <f t="shared" si="284"/>
        <v>25.139999999999993</v>
      </c>
      <c r="R80" s="41">
        <f t="shared" si="285"/>
        <v>4.230000000000004</v>
      </c>
      <c r="S80" s="40">
        <f t="shared" si="286"/>
        <v>0.16825775656324601</v>
      </c>
      <c r="T80" s="30">
        <v>1.42</v>
      </c>
      <c r="U80" s="33">
        <f t="shared" si="287"/>
        <v>0.23892601431980934</v>
      </c>
      <c r="W80" s="43">
        <v>60</v>
      </c>
      <c r="X80" s="41">
        <v>39.4</v>
      </c>
      <c r="Y80" s="42">
        <v>62</v>
      </c>
      <c r="Z80" s="32">
        <f t="shared" si="288"/>
        <v>22.6</v>
      </c>
      <c r="AA80" s="41">
        <v>59.1</v>
      </c>
      <c r="AB80" s="32">
        <f t="shared" si="289"/>
        <v>19.700000000000003</v>
      </c>
      <c r="AC80" s="41">
        <f t="shared" si="290"/>
        <v>2.8999999999999986</v>
      </c>
      <c r="AD80" s="40">
        <f t="shared" si="291"/>
        <v>0.14720812182741108</v>
      </c>
      <c r="AE80" s="30">
        <v>1.42</v>
      </c>
      <c r="AF80" s="33">
        <f t="shared" si="292"/>
        <v>0.20903553299492372</v>
      </c>
      <c r="AH80" s="43">
        <v>60</v>
      </c>
      <c r="AI80" s="41">
        <v>32.619999999999997</v>
      </c>
      <c r="AJ80" s="42">
        <v>59.14</v>
      </c>
      <c r="AK80" s="32">
        <f t="shared" si="293"/>
        <v>26.520000000000003</v>
      </c>
      <c r="AL80" s="41">
        <v>56.06</v>
      </c>
      <c r="AM80" s="32">
        <f t="shared" si="294"/>
        <v>23.440000000000005</v>
      </c>
      <c r="AN80" s="41">
        <f t="shared" si="295"/>
        <v>3.0799999999999983</v>
      </c>
      <c r="AO80" s="40">
        <f t="shared" si="296"/>
        <v>0.13139931740614325</v>
      </c>
      <c r="AP80" s="30">
        <v>1.42</v>
      </c>
      <c r="AQ80" s="33">
        <f t="shared" si="297"/>
        <v>0.18658703071672339</v>
      </c>
      <c r="AS80" s="43">
        <v>60</v>
      </c>
      <c r="AT80" s="41">
        <v>49.53</v>
      </c>
      <c r="AU80" s="42">
        <v>72.61</v>
      </c>
      <c r="AV80" s="32">
        <f t="shared" si="298"/>
        <v>23.08</v>
      </c>
      <c r="AW80" s="41">
        <v>69.83</v>
      </c>
      <c r="AX80" s="32">
        <f t="shared" si="299"/>
        <v>20.299999999999997</v>
      </c>
      <c r="AY80" s="41">
        <f t="shared" si="300"/>
        <v>2.7800000000000011</v>
      </c>
      <c r="AZ80" s="40">
        <f t="shared" si="301"/>
        <v>0.13694581280788184</v>
      </c>
      <c r="BA80" s="30">
        <v>1.42</v>
      </c>
      <c r="BB80" s="33">
        <f t="shared" si="302"/>
        <v>0.1944630541871922</v>
      </c>
      <c r="BD80" s="43">
        <v>60</v>
      </c>
      <c r="BE80" s="41">
        <v>42.96</v>
      </c>
      <c r="BF80" s="42">
        <v>65.66</v>
      </c>
      <c r="BG80" s="32">
        <f t="shared" si="303"/>
        <v>22.699999999999996</v>
      </c>
      <c r="BH80" s="41">
        <v>62.4</v>
      </c>
      <c r="BI80" s="32">
        <f t="shared" si="304"/>
        <v>19.439999999999998</v>
      </c>
      <c r="BJ80" s="41">
        <f t="shared" si="305"/>
        <v>3.259999999999998</v>
      </c>
      <c r="BK80" s="40">
        <f t="shared" si="306"/>
        <v>0.16769547325102874</v>
      </c>
      <c r="BL80" s="30">
        <v>1.42</v>
      </c>
      <c r="BM80" s="33">
        <f t="shared" si="307"/>
        <v>0.23812757201646079</v>
      </c>
      <c r="BO80" s="43">
        <v>60</v>
      </c>
      <c r="BP80" s="41">
        <v>42.31</v>
      </c>
      <c r="BQ80" s="42">
        <v>73.02</v>
      </c>
      <c r="BR80" s="32">
        <f t="shared" si="308"/>
        <v>30.709999999999994</v>
      </c>
      <c r="BS80" s="41">
        <v>69.28</v>
      </c>
      <c r="BT80" s="32">
        <f t="shared" si="309"/>
        <v>26.97</v>
      </c>
      <c r="BU80" s="41">
        <f t="shared" si="310"/>
        <v>3.7399999999999949</v>
      </c>
      <c r="BV80" s="40">
        <f t="shared" si="311"/>
        <v>0.13867259918427866</v>
      </c>
      <c r="BW80" s="30">
        <v>1.42</v>
      </c>
      <c r="BX80" s="33">
        <f t="shared" si="312"/>
        <v>0.19691509084167569</v>
      </c>
      <c r="BZ80" s="43">
        <v>60</v>
      </c>
      <c r="CA80" s="41">
        <v>42.08</v>
      </c>
      <c r="CB80" s="42">
        <v>70.39</v>
      </c>
      <c r="CC80" s="32">
        <f t="shared" si="313"/>
        <v>28.310000000000002</v>
      </c>
      <c r="CD80" s="41">
        <v>68.53</v>
      </c>
      <c r="CE80" s="32">
        <f t="shared" si="314"/>
        <v>26.450000000000003</v>
      </c>
      <c r="CF80" s="41">
        <f t="shared" si="315"/>
        <v>1.8599999999999994</v>
      </c>
      <c r="CG80" s="40">
        <f t="shared" si="316"/>
        <v>7.0321361058601109E-2</v>
      </c>
      <c r="CH80" s="30">
        <v>1.42</v>
      </c>
      <c r="CI80" s="33">
        <f t="shared" si="317"/>
        <v>9.9856332703213563E-2</v>
      </c>
    </row>
    <row r="81" spans="1:87" x14ac:dyDescent="0.2">
      <c r="A81" s="43">
        <v>90</v>
      </c>
      <c r="B81" s="41">
        <v>36.369999999999997</v>
      </c>
      <c r="C81" s="42">
        <v>63.5</v>
      </c>
      <c r="D81" s="32">
        <f t="shared" si="278"/>
        <v>27.130000000000003</v>
      </c>
      <c r="E81" s="41">
        <v>59.6</v>
      </c>
      <c r="F81" s="32">
        <f t="shared" si="279"/>
        <v>23.230000000000004</v>
      </c>
      <c r="G81" s="41">
        <f t="shared" si="280"/>
        <v>3.8999999999999986</v>
      </c>
      <c r="H81" s="40">
        <f t="shared" si="281"/>
        <v>0.1678863538527765</v>
      </c>
      <c r="I81" s="30">
        <v>1.58</v>
      </c>
      <c r="J81" s="33">
        <f t="shared" si="282"/>
        <v>0.26526043908738689</v>
      </c>
      <c r="L81" s="43">
        <v>90</v>
      </c>
      <c r="M81" s="41">
        <v>46.35</v>
      </c>
      <c r="N81" s="42">
        <v>75.540000000000006</v>
      </c>
      <c r="O81" s="32">
        <f t="shared" si="283"/>
        <v>29.190000000000005</v>
      </c>
      <c r="P81" s="41">
        <v>71.52</v>
      </c>
      <c r="Q81" s="32">
        <f t="shared" si="284"/>
        <v>25.169999999999995</v>
      </c>
      <c r="R81" s="41">
        <f t="shared" si="285"/>
        <v>4.0200000000000102</v>
      </c>
      <c r="S81" s="40">
        <f t="shared" si="286"/>
        <v>0.15971394517282522</v>
      </c>
      <c r="T81" s="30">
        <v>1.58</v>
      </c>
      <c r="U81" s="33">
        <f t="shared" si="287"/>
        <v>0.25234803337306388</v>
      </c>
      <c r="W81" s="43">
        <v>90</v>
      </c>
      <c r="X81" s="41">
        <v>39.5</v>
      </c>
      <c r="Y81" s="42">
        <v>66.099999999999994</v>
      </c>
      <c r="Z81" s="32">
        <f t="shared" si="288"/>
        <v>26.599999999999994</v>
      </c>
      <c r="AA81" s="41">
        <v>62.5</v>
      </c>
      <c r="AB81" s="32">
        <f t="shared" si="289"/>
        <v>23</v>
      </c>
      <c r="AC81" s="41">
        <f t="shared" si="290"/>
        <v>3.5999999999999943</v>
      </c>
      <c r="AD81" s="40">
        <f t="shared" si="291"/>
        <v>0.15652173913043455</v>
      </c>
      <c r="AE81" s="30">
        <v>1.58</v>
      </c>
      <c r="AF81" s="33">
        <f t="shared" si="292"/>
        <v>0.2473043478260866</v>
      </c>
      <c r="AH81" s="43">
        <v>90</v>
      </c>
      <c r="AI81" s="41">
        <v>42.03</v>
      </c>
      <c r="AJ81" s="42">
        <v>68.47</v>
      </c>
      <c r="AK81" s="32">
        <f t="shared" si="293"/>
        <v>26.439999999999998</v>
      </c>
      <c r="AL81" s="41">
        <v>64.52</v>
      </c>
      <c r="AM81" s="32">
        <f t="shared" si="294"/>
        <v>22.489999999999995</v>
      </c>
      <c r="AN81" s="41">
        <f t="shared" si="295"/>
        <v>3.9500000000000028</v>
      </c>
      <c r="AO81" s="40">
        <f t="shared" si="296"/>
        <v>0.17563361493997348</v>
      </c>
      <c r="AP81" s="30">
        <v>1.58</v>
      </c>
      <c r="AQ81" s="33">
        <f t="shared" si="297"/>
        <v>0.27750111160515811</v>
      </c>
      <c r="AS81" s="43">
        <v>90</v>
      </c>
      <c r="AT81" s="41">
        <v>38.4</v>
      </c>
      <c r="AU81" s="42">
        <v>69.83</v>
      </c>
      <c r="AV81" s="32">
        <f t="shared" si="298"/>
        <v>31.43</v>
      </c>
      <c r="AW81" s="41">
        <v>65.760000000000005</v>
      </c>
      <c r="AX81" s="32">
        <f t="shared" si="299"/>
        <v>27.360000000000007</v>
      </c>
      <c r="AY81" s="41">
        <f t="shared" si="300"/>
        <v>4.0699999999999932</v>
      </c>
      <c r="AZ81" s="40">
        <f t="shared" si="301"/>
        <v>0.14875730994152017</v>
      </c>
      <c r="BA81" s="30">
        <v>1.58</v>
      </c>
      <c r="BB81" s="33">
        <f t="shared" si="302"/>
        <v>0.23503654970760188</v>
      </c>
      <c r="BD81" s="43">
        <v>90</v>
      </c>
      <c r="BE81" s="41">
        <v>33.700000000000003</v>
      </c>
      <c r="BF81" s="42">
        <v>57</v>
      </c>
      <c r="BG81" s="32">
        <f t="shared" si="303"/>
        <v>23.299999999999997</v>
      </c>
      <c r="BH81" s="41">
        <v>54.5</v>
      </c>
      <c r="BI81" s="32">
        <f t="shared" si="304"/>
        <v>20.799999999999997</v>
      </c>
      <c r="BJ81" s="41">
        <f t="shared" si="305"/>
        <v>2.5</v>
      </c>
      <c r="BK81" s="40">
        <f t="shared" si="306"/>
        <v>0.12019230769230771</v>
      </c>
      <c r="BL81" s="30">
        <v>1.58</v>
      </c>
      <c r="BM81" s="33">
        <f t="shared" si="307"/>
        <v>0.1899038461538462</v>
      </c>
      <c r="BO81" s="43">
        <v>90</v>
      </c>
      <c r="BP81" s="41">
        <v>36.36</v>
      </c>
      <c r="BQ81" s="42">
        <v>59.98</v>
      </c>
      <c r="BR81" s="32">
        <f t="shared" si="308"/>
        <v>23.619999999999997</v>
      </c>
      <c r="BS81" s="41">
        <v>57.22</v>
      </c>
      <c r="BT81" s="32">
        <f t="shared" si="309"/>
        <v>20.86</v>
      </c>
      <c r="BU81" s="41">
        <f t="shared" si="310"/>
        <v>2.759999999999998</v>
      </c>
      <c r="BV81" s="40">
        <f t="shared" si="311"/>
        <v>0.13231064237775639</v>
      </c>
      <c r="BW81" s="30">
        <v>1.58</v>
      </c>
      <c r="BX81" s="33">
        <f t="shared" si="312"/>
        <v>0.2090508149568551</v>
      </c>
      <c r="BZ81" s="43">
        <v>90</v>
      </c>
      <c r="CA81" s="41">
        <v>36.74</v>
      </c>
      <c r="CB81" s="42">
        <v>65.069999999999993</v>
      </c>
      <c r="CC81" s="32">
        <f t="shared" si="313"/>
        <v>28.329999999999991</v>
      </c>
      <c r="CD81" s="41">
        <v>63.11</v>
      </c>
      <c r="CE81" s="32">
        <f t="shared" si="314"/>
        <v>26.369999999999997</v>
      </c>
      <c r="CF81" s="41">
        <f t="shared" si="315"/>
        <v>1.9599999999999937</v>
      </c>
      <c r="CG81" s="40">
        <f t="shared" si="316"/>
        <v>7.432688661357581E-2</v>
      </c>
      <c r="CH81" s="30">
        <v>1.58</v>
      </c>
      <c r="CI81" s="33">
        <f t="shared" si="317"/>
        <v>0.11743648084944978</v>
      </c>
    </row>
    <row r="82" spans="1:87" x14ac:dyDescent="0.2">
      <c r="A82" s="43">
        <v>120</v>
      </c>
      <c r="B82" s="41">
        <v>46.36</v>
      </c>
      <c r="C82" s="42">
        <v>73.02</v>
      </c>
      <c r="D82" s="32">
        <f t="shared" si="278"/>
        <v>26.659999999999997</v>
      </c>
      <c r="E82" s="41">
        <v>71.11</v>
      </c>
      <c r="F82" s="32">
        <f t="shared" si="279"/>
        <v>24.75</v>
      </c>
      <c r="G82" s="41">
        <f t="shared" si="280"/>
        <v>1.9099999999999966</v>
      </c>
      <c r="H82" s="40">
        <f t="shared" si="281"/>
        <v>7.717171717171703E-2</v>
      </c>
      <c r="I82" s="30">
        <v>1.58</v>
      </c>
      <c r="J82" s="33">
        <f t="shared" si="282"/>
        <v>0.12193131313131292</v>
      </c>
      <c r="L82" s="43">
        <v>120</v>
      </c>
      <c r="M82" s="41">
        <v>43.02</v>
      </c>
      <c r="N82" s="42">
        <v>66.08</v>
      </c>
      <c r="O82" s="32">
        <f t="shared" si="283"/>
        <v>23.059999999999995</v>
      </c>
      <c r="P82" s="41">
        <v>63.38</v>
      </c>
      <c r="Q82" s="32">
        <f t="shared" si="284"/>
        <v>20.36</v>
      </c>
      <c r="R82" s="41">
        <f t="shared" si="285"/>
        <v>2.6999999999999957</v>
      </c>
      <c r="S82" s="40">
        <f t="shared" si="286"/>
        <v>0.13261296660117858</v>
      </c>
      <c r="T82" s="30">
        <v>1.58</v>
      </c>
      <c r="U82" s="33">
        <f t="shared" si="287"/>
        <v>0.20952848722986217</v>
      </c>
      <c r="W82" s="43">
        <v>120</v>
      </c>
      <c r="X82" s="41">
        <v>39.5</v>
      </c>
      <c r="Y82" s="42">
        <v>63.3</v>
      </c>
      <c r="Z82" s="32">
        <f t="shared" si="288"/>
        <v>23.799999999999997</v>
      </c>
      <c r="AA82" s="41">
        <v>61</v>
      </c>
      <c r="AB82" s="32">
        <f t="shared" si="289"/>
        <v>21.5</v>
      </c>
      <c r="AC82" s="41">
        <f t="shared" si="290"/>
        <v>2.2999999999999972</v>
      </c>
      <c r="AD82" s="40">
        <f t="shared" si="291"/>
        <v>0.10697674418604639</v>
      </c>
      <c r="AE82" s="30">
        <v>1.58</v>
      </c>
      <c r="AF82" s="33">
        <f t="shared" si="292"/>
        <v>0.1690232558139533</v>
      </c>
      <c r="AH82" s="43">
        <v>120</v>
      </c>
      <c r="AI82" s="41">
        <v>31.82</v>
      </c>
      <c r="AJ82" s="42">
        <v>55.72</v>
      </c>
      <c r="AK82" s="32">
        <f t="shared" si="293"/>
        <v>23.9</v>
      </c>
      <c r="AL82" s="41">
        <v>52.38</v>
      </c>
      <c r="AM82" s="32">
        <f t="shared" si="294"/>
        <v>20.560000000000002</v>
      </c>
      <c r="AN82" s="41">
        <f t="shared" si="295"/>
        <v>3.3399999999999963</v>
      </c>
      <c r="AO82" s="40">
        <f t="shared" si="296"/>
        <v>0.16245136186770409</v>
      </c>
      <c r="AP82" s="30">
        <v>1.58</v>
      </c>
      <c r="AQ82" s="33">
        <f t="shared" si="297"/>
        <v>0.25667315175097249</v>
      </c>
      <c r="AS82" s="43">
        <v>120</v>
      </c>
      <c r="AT82" s="41">
        <v>50.24</v>
      </c>
      <c r="AU82" s="42">
        <v>79.47</v>
      </c>
      <c r="AV82" s="32">
        <f t="shared" si="298"/>
        <v>29.229999999999997</v>
      </c>
      <c r="AW82" s="41">
        <v>76.03</v>
      </c>
      <c r="AX82" s="32">
        <f t="shared" si="299"/>
        <v>25.79</v>
      </c>
      <c r="AY82" s="41">
        <f t="shared" si="300"/>
        <v>3.4399999999999977</v>
      </c>
      <c r="AZ82" s="40">
        <f t="shared" si="301"/>
        <v>0.13338503295851098</v>
      </c>
      <c r="BA82" s="30">
        <v>1.58</v>
      </c>
      <c r="BB82" s="33">
        <f t="shared" si="302"/>
        <v>0.21074835207444736</v>
      </c>
      <c r="BD82" s="43">
        <v>120</v>
      </c>
      <c r="BE82" s="41">
        <v>45.6</v>
      </c>
      <c r="BF82" s="42">
        <v>76.430000000000007</v>
      </c>
      <c r="BG82" s="32">
        <f t="shared" si="303"/>
        <v>30.830000000000005</v>
      </c>
      <c r="BH82" s="41">
        <v>72.81</v>
      </c>
      <c r="BI82" s="32">
        <f t="shared" si="304"/>
        <v>27.21</v>
      </c>
      <c r="BJ82" s="41">
        <f t="shared" si="305"/>
        <v>3.6200000000000045</v>
      </c>
      <c r="BK82" s="40">
        <f t="shared" si="306"/>
        <v>0.13303932377802294</v>
      </c>
      <c r="BL82" s="30">
        <v>1.58</v>
      </c>
      <c r="BM82" s="33">
        <f t="shared" si="307"/>
        <v>0.21020213156927625</v>
      </c>
      <c r="BO82" s="43">
        <v>120</v>
      </c>
      <c r="BP82" s="41">
        <v>52.64</v>
      </c>
      <c r="BQ82" s="42">
        <v>84.71</v>
      </c>
      <c r="BR82" s="32">
        <f t="shared" si="308"/>
        <v>32.069999999999993</v>
      </c>
      <c r="BS82" s="41">
        <v>81.75</v>
      </c>
      <c r="BT82" s="32">
        <f t="shared" si="309"/>
        <v>29.11</v>
      </c>
      <c r="BU82" s="41">
        <f t="shared" si="310"/>
        <v>2.9599999999999937</v>
      </c>
      <c r="BV82" s="40">
        <f t="shared" si="311"/>
        <v>0.10168327035383008</v>
      </c>
      <c r="BW82" s="30">
        <v>1.58</v>
      </c>
      <c r="BX82" s="33">
        <f t="shared" si="312"/>
        <v>0.16065956715905153</v>
      </c>
      <c r="BZ82" s="43">
        <v>120</v>
      </c>
      <c r="CA82" s="41">
        <v>38.07</v>
      </c>
      <c r="CB82" s="42">
        <v>68.39</v>
      </c>
      <c r="CC82" s="32">
        <f t="shared" si="313"/>
        <v>30.32</v>
      </c>
      <c r="CD82" s="41">
        <v>65.94</v>
      </c>
      <c r="CE82" s="32">
        <f t="shared" si="314"/>
        <v>27.869999999999997</v>
      </c>
      <c r="CF82" s="41">
        <f t="shared" si="315"/>
        <v>2.4500000000000028</v>
      </c>
      <c r="CG82" s="40">
        <f t="shared" si="316"/>
        <v>8.7908144958737097E-2</v>
      </c>
      <c r="CH82" s="30">
        <v>1.58</v>
      </c>
      <c r="CI82" s="33">
        <f t="shared" si="317"/>
        <v>0.13889486903480461</v>
      </c>
    </row>
    <row r="83" spans="1:87" x14ac:dyDescent="0.2">
      <c r="A83" s="43">
        <v>150</v>
      </c>
      <c r="B83" s="41">
        <v>32.61</v>
      </c>
      <c r="C83" s="42">
        <v>66.53</v>
      </c>
      <c r="D83" s="32">
        <f t="shared" si="278"/>
        <v>33.92</v>
      </c>
      <c r="E83" s="41">
        <v>64.62</v>
      </c>
      <c r="F83" s="32">
        <f t="shared" si="279"/>
        <v>32.010000000000005</v>
      </c>
      <c r="G83" s="41">
        <f t="shared" si="280"/>
        <v>1.9099999999999966</v>
      </c>
      <c r="H83" s="40">
        <f t="shared" si="281"/>
        <v>5.9668853483286356E-2</v>
      </c>
      <c r="I83" s="30">
        <v>1.58</v>
      </c>
      <c r="J83" s="33">
        <f t="shared" si="282"/>
        <v>9.4276788503592446E-2</v>
      </c>
      <c r="L83" s="43">
        <v>150</v>
      </c>
      <c r="M83" s="41">
        <v>36.119999999999997</v>
      </c>
      <c r="N83" s="42">
        <v>59.89</v>
      </c>
      <c r="O83" s="32">
        <f t="shared" si="283"/>
        <v>23.770000000000003</v>
      </c>
      <c r="P83" s="41">
        <v>57.82</v>
      </c>
      <c r="Q83" s="32">
        <f t="shared" si="284"/>
        <v>21.700000000000003</v>
      </c>
      <c r="R83" s="41">
        <f t="shared" si="285"/>
        <v>2.0700000000000003</v>
      </c>
      <c r="S83" s="40">
        <f t="shared" si="286"/>
        <v>9.5391705069124422E-2</v>
      </c>
      <c r="T83" s="30">
        <v>1.58</v>
      </c>
      <c r="U83" s="33">
        <f t="shared" si="287"/>
        <v>0.15071889400921659</v>
      </c>
      <c r="W83" s="43">
        <v>150</v>
      </c>
      <c r="X83" s="41">
        <v>40.799999999999997</v>
      </c>
      <c r="Y83" s="42">
        <v>63.1</v>
      </c>
      <c r="Z83" s="32">
        <f t="shared" si="288"/>
        <v>22.300000000000004</v>
      </c>
      <c r="AA83" s="41">
        <v>61</v>
      </c>
      <c r="AB83" s="32">
        <f t="shared" si="289"/>
        <v>20.200000000000003</v>
      </c>
      <c r="AC83" s="41">
        <f t="shared" si="290"/>
        <v>2.1000000000000014</v>
      </c>
      <c r="AD83" s="40">
        <f t="shared" si="291"/>
        <v>0.10396039603960401</v>
      </c>
      <c r="AE83" s="30">
        <v>1.58</v>
      </c>
      <c r="AF83" s="33">
        <f t="shared" si="292"/>
        <v>0.16425742574257435</v>
      </c>
      <c r="AH83" s="43">
        <v>150</v>
      </c>
      <c r="AI83" s="41">
        <v>25.68</v>
      </c>
      <c r="AJ83" s="42">
        <v>51.32</v>
      </c>
      <c r="AK83" s="32">
        <f t="shared" si="293"/>
        <v>25.64</v>
      </c>
      <c r="AL83" s="41">
        <v>48.49</v>
      </c>
      <c r="AM83" s="32">
        <f t="shared" si="294"/>
        <v>22.810000000000002</v>
      </c>
      <c r="AN83" s="41">
        <f t="shared" si="295"/>
        <v>2.8299999999999983</v>
      </c>
      <c r="AO83" s="40">
        <f t="shared" si="296"/>
        <v>0.12406839105655405</v>
      </c>
      <c r="AP83" s="30">
        <v>1.58</v>
      </c>
      <c r="AQ83" s="33">
        <f t="shared" si="297"/>
        <v>0.19602805786935543</v>
      </c>
      <c r="AS83" s="43">
        <v>150</v>
      </c>
      <c r="AT83" s="41">
        <v>31.7</v>
      </c>
      <c r="AU83" s="42">
        <v>55.75</v>
      </c>
      <c r="AV83" s="32">
        <f t="shared" si="298"/>
        <v>24.05</v>
      </c>
      <c r="AW83" s="41">
        <v>52.79</v>
      </c>
      <c r="AX83" s="32">
        <f t="shared" si="299"/>
        <v>21.09</v>
      </c>
      <c r="AY83" s="41">
        <f t="shared" si="300"/>
        <v>2.9600000000000009</v>
      </c>
      <c r="AZ83" s="40">
        <f t="shared" si="301"/>
        <v>0.1403508771929825</v>
      </c>
      <c r="BA83" s="30">
        <v>1.58</v>
      </c>
      <c r="BB83" s="33">
        <f t="shared" si="302"/>
        <v>0.22175438596491237</v>
      </c>
      <c r="BD83" s="43">
        <v>150</v>
      </c>
      <c r="BE83" s="41">
        <v>37.700000000000003</v>
      </c>
      <c r="BF83" s="42">
        <v>74.25</v>
      </c>
      <c r="BG83" s="32">
        <f t="shared" si="303"/>
        <v>36.549999999999997</v>
      </c>
      <c r="BH83" s="41">
        <v>70.58</v>
      </c>
      <c r="BI83" s="32">
        <f t="shared" si="304"/>
        <v>32.879999999999995</v>
      </c>
      <c r="BJ83" s="41">
        <f t="shared" si="305"/>
        <v>3.6700000000000017</v>
      </c>
      <c r="BK83" s="40">
        <f t="shared" si="306"/>
        <v>0.11161800486618012</v>
      </c>
      <c r="BL83" s="30">
        <v>1.58</v>
      </c>
      <c r="BM83" s="33">
        <f t="shared" si="307"/>
        <v>0.17635644768856459</v>
      </c>
      <c r="BO83" s="43">
        <v>150</v>
      </c>
      <c r="BP83" s="41">
        <v>42.48</v>
      </c>
      <c r="BQ83" s="42">
        <v>75.7</v>
      </c>
      <c r="BR83" s="32">
        <f t="shared" si="308"/>
        <v>33.220000000000006</v>
      </c>
      <c r="BS83" s="41">
        <v>72.94</v>
      </c>
      <c r="BT83" s="32">
        <f t="shared" si="309"/>
        <v>30.46</v>
      </c>
      <c r="BU83" s="41">
        <f t="shared" si="310"/>
        <v>2.7600000000000051</v>
      </c>
      <c r="BV83" s="40">
        <f t="shared" si="311"/>
        <v>9.0610636900853747E-2</v>
      </c>
      <c r="BW83" s="30">
        <v>1.58</v>
      </c>
      <c r="BX83" s="33">
        <f t="shared" si="312"/>
        <v>0.14316480630334893</v>
      </c>
      <c r="BZ83" s="43">
        <v>150</v>
      </c>
      <c r="CA83" s="41">
        <v>32.53</v>
      </c>
      <c r="CB83" s="42">
        <v>58.8</v>
      </c>
      <c r="CC83" s="32">
        <f t="shared" si="313"/>
        <v>26.269999999999996</v>
      </c>
      <c r="CD83" s="41">
        <v>55.22</v>
      </c>
      <c r="CE83" s="32">
        <f t="shared" si="314"/>
        <v>22.689999999999998</v>
      </c>
      <c r="CF83" s="41">
        <f t="shared" si="315"/>
        <v>3.5799999999999983</v>
      </c>
      <c r="CG83" s="40">
        <f t="shared" si="316"/>
        <v>0.15777875716174519</v>
      </c>
      <c r="CH83" s="30">
        <v>1.58</v>
      </c>
      <c r="CI83" s="33">
        <f t="shared" si="317"/>
        <v>0.24929043631555742</v>
      </c>
    </row>
    <row r="84" spans="1:87" x14ac:dyDescent="0.2">
      <c r="A84" s="43">
        <v>180</v>
      </c>
      <c r="B84" s="41">
        <v>47.5</v>
      </c>
      <c r="C84" s="42">
        <v>77.760000000000005</v>
      </c>
      <c r="D84" s="32">
        <f t="shared" si="278"/>
        <v>30.260000000000005</v>
      </c>
      <c r="E84" s="41">
        <v>74.31</v>
      </c>
      <c r="F84" s="32">
        <f t="shared" si="279"/>
        <v>26.810000000000002</v>
      </c>
      <c r="G84" s="41">
        <f t="shared" si="280"/>
        <v>3.4500000000000028</v>
      </c>
      <c r="H84" s="40">
        <f t="shared" si="281"/>
        <v>0.12868332711674757</v>
      </c>
      <c r="I84" s="30">
        <v>1.58</v>
      </c>
      <c r="J84" s="33">
        <f t="shared" si="282"/>
        <v>0.20331965684446118</v>
      </c>
      <c r="L84" s="43">
        <v>180</v>
      </c>
      <c r="M84" s="41">
        <v>31.93</v>
      </c>
      <c r="N84" s="42">
        <v>54.18</v>
      </c>
      <c r="O84" s="32">
        <f t="shared" si="283"/>
        <v>22.25</v>
      </c>
      <c r="P84" s="41">
        <v>50.82</v>
      </c>
      <c r="Q84" s="32">
        <f t="shared" si="284"/>
        <v>18.89</v>
      </c>
      <c r="R84" s="41">
        <f t="shared" si="285"/>
        <v>3.3599999999999994</v>
      </c>
      <c r="S84" s="40">
        <f t="shared" si="286"/>
        <v>0.17787188988883004</v>
      </c>
      <c r="T84" s="30">
        <v>1.58</v>
      </c>
      <c r="U84" s="33">
        <f t="shared" si="287"/>
        <v>0.28103758602435147</v>
      </c>
      <c r="W84" s="43">
        <v>180</v>
      </c>
      <c r="X84" s="41">
        <v>40.700000000000003</v>
      </c>
      <c r="Y84" s="42">
        <v>68.2</v>
      </c>
      <c r="Z84" s="32">
        <f t="shared" si="288"/>
        <v>27.5</v>
      </c>
      <c r="AA84" s="41">
        <v>64.2</v>
      </c>
      <c r="AB84" s="32">
        <f t="shared" si="289"/>
        <v>23.5</v>
      </c>
      <c r="AC84" s="41">
        <f t="shared" si="290"/>
        <v>4</v>
      </c>
      <c r="AD84" s="40">
        <f t="shared" si="291"/>
        <v>0.1702127659574468</v>
      </c>
      <c r="AE84" s="30">
        <v>1.58</v>
      </c>
      <c r="AF84" s="33">
        <f t="shared" si="292"/>
        <v>0.26893617021276595</v>
      </c>
      <c r="AH84" s="43">
        <v>180</v>
      </c>
      <c r="AI84" s="41">
        <v>33.6</v>
      </c>
      <c r="AJ84" s="42">
        <v>59.8</v>
      </c>
      <c r="AK84" s="32">
        <f t="shared" si="293"/>
        <v>26.199999999999996</v>
      </c>
      <c r="AL84" s="41">
        <v>56.9</v>
      </c>
      <c r="AM84" s="32">
        <f t="shared" si="294"/>
        <v>23.299999999999997</v>
      </c>
      <c r="AN84" s="41">
        <f t="shared" si="295"/>
        <v>2.8999999999999986</v>
      </c>
      <c r="AO84" s="40">
        <f t="shared" si="296"/>
        <v>0.12446351931330467</v>
      </c>
      <c r="AP84" s="30">
        <v>1.58</v>
      </c>
      <c r="AQ84" s="33">
        <f t="shared" si="297"/>
        <v>0.19665236051502138</v>
      </c>
      <c r="AS84" s="43">
        <v>180</v>
      </c>
      <c r="AT84" s="41">
        <v>32.68</v>
      </c>
      <c r="AU84" s="42">
        <v>58.17</v>
      </c>
      <c r="AV84" s="32">
        <f t="shared" si="298"/>
        <v>25.490000000000002</v>
      </c>
      <c r="AW84" s="41">
        <v>54.24</v>
      </c>
      <c r="AX84" s="32">
        <f t="shared" si="299"/>
        <v>21.560000000000002</v>
      </c>
      <c r="AY84" s="41">
        <f t="shared" si="300"/>
        <v>3.9299999999999997</v>
      </c>
      <c r="AZ84" s="40">
        <f t="shared" si="301"/>
        <v>0.1822820037105751</v>
      </c>
      <c r="BA84" s="30">
        <v>1.58</v>
      </c>
      <c r="BB84" s="33">
        <f t="shared" si="302"/>
        <v>0.28800556586270865</v>
      </c>
      <c r="BD84" s="43">
        <v>180</v>
      </c>
      <c r="BE84" s="41">
        <v>32.42</v>
      </c>
      <c r="BF84" s="42">
        <v>60.01</v>
      </c>
      <c r="BG84" s="32">
        <f t="shared" si="303"/>
        <v>27.589999999999996</v>
      </c>
      <c r="BH84" s="41">
        <v>56.31</v>
      </c>
      <c r="BI84" s="32">
        <f t="shared" si="304"/>
        <v>23.89</v>
      </c>
      <c r="BJ84" s="41">
        <f t="shared" si="305"/>
        <v>3.6999999999999957</v>
      </c>
      <c r="BK84" s="40">
        <f t="shared" si="306"/>
        <v>0.15487651737128488</v>
      </c>
      <c r="BL84" s="30">
        <v>1.58</v>
      </c>
      <c r="BM84" s="33">
        <f t="shared" si="307"/>
        <v>0.24470489744663013</v>
      </c>
      <c r="BO84" s="43">
        <v>180</v>
      </c>
      <c r="BP84" s="41">
        <v>42.7</v>
      </c>
      <c r="BQ84" s="42">
        <v>67.97</v>
      </c>
      <c r="BR84" s="32">
        <f t="shared" si="308"/>
        <v>25.269999999999996</v>
      </c>
      <c r="BS84" s="41">
        <v>65.72</v>
      </c>
      <c r="BT84" s="32">
        <f t="shared" si="309"/>
        <v>23.019999999999996</v>
      </c>
      <c r="BU84" s="41">
        <f t="shared" si="310"/>
        <v>2.25</v>
      </c>
      <c r="BV84" s="40">
        <f t="shared" si="311"/>
        <v>9.7741094700260656E-2</v>
      </c>
      <c r="BW84" s="30">
        <v>1.58</v>
      </c>
      <c r="BX84" s="33">
        <f t="shared" si="312"/>
        <v>0.15443092962641183</v>
      </c>
      <c r="BZ84" s="43">
        <v>180</v>
      </c>
      <c r="CA84" s="41">
        <v>26.38</v>
      </c>
      <c r="CB84" s="42">
        <v>51.81</v>
      </c>
      <c r="CC84" s="32">
        <f t="shared" si="313"/>
        <v>25.430000000000003</v>
      </c>
      <c r="CD84" s="41">
        <v>48.32</v>
      </c>
      <c r="CE84" s="32">
        <f t="shared" si="314"/>
        <v>21.94</v>
      </c>
      <c r="CF84" s="41">
        <f t="shared" si="315"/>
        <v>3.490000000000002</v>
      </c>
      <c r="CG84" s="40">
        <f t="shared" si="316"/>
        <v>0.15907019143117601</v>
      </c>
      <c r="CH84" s="30">
        <v>1.58</v>
      </c>
      <c r="CI84" s="33">
        <f t="shared" si="317"/>
        <v>0.25133090246125811</v>
      </c>
    </row>
    <row r="85" spans="1:87" ht="13.5" thickBot="1" x14ac:dyDescent="0.25">
      <c r="A85" s="37"/>
      <c r="B85" s="34"/>
      <c r="C85" s="35"/>
      <c r="D85" s="35"/>
      <c r="E85" s="35"/>
      <c r="F85" s="34"/>
      <c r="G85" s="34"/>
      <c r="H85" s="59"/>
      <c r="I85" s="32"/>
      <c r="L85" s="37"/>
      <c r="M85" s="34"/>
      <c r="N85" s="35"/>
      <c r="O85" s="35"/>
      <c r="P85" s="35"/>
      <c r="Q85" s="34"/>
      <c r="R85" s="34"/>
      <c r="S85" s="59"/>
      <c r="T85" s="32"/>
      <c r="W85" s="37"/>
      <c r="X85" s="34"/>
      <c r="Y85" s="35"/>
      <c r="Z85" s="35"/>
      <c r="AA85" s="35"/>
      <c r="AB85" s="34"/>
      <c r="AC85" s="34"/>
      <c r="AD85" s="59"/>
      <c r="AE85" s="32"/>
      <c r="AH85" s="37"/>
      <c r="AI85" s="34"/>
      <c r="AJ85" s="35"/>
      <c r="AK85" s="35"/>
      <c r="AL85" s="35"/>
      <c r="AM85" s="34"/>
      <c r="AN85" s="34"/>
      <c r="AO85" s="59"/>
      <c r="AP85" s="32"/>
      <c r="AS85" s="37"/>
      <c r="AT85" s="34"/>
      <c r="AU85" s="35"/>
      <c r="AV85" s="35"/>
      <c r="AW85" s="35"/>
      <c r="AX85" s="34"/>
      <c r="AY85" s="34"/>
      <c r="AZ85" s="59"/>
      <c r="BA85" s="32"/>
      <c r="BD85" s="37"/>
      <c r="BE85" s="34"/>
      <c r="BF85" s="35"/>
      <c r="BG85" s="35"/>
      <c r="BH85" s="35"/>
      <c r="BI85" s="34"/>
      <c r="BJ85" s="34"/>
      <c r="BK85" s="59"/>
      <c r="BL85" s="32"/>
      <c r="BO85" s="37"/>
      <c r="BP85" s="34"/>
      <c r="BQ85" s="35"/>
      <c r="BR85" s="35"/>
      <c r="BS85" s="35"/>
      <c r="BT85" s="34"/>
      <c r="BU85" s="34"/>
      <c r="BV85" s="59"/>
      <c r="BW85" s="32"/>
      <c r="BZ85" s="37"/>
      <c r="CA85" s="34"/>
      <c r="CB85" s="35"/>
      <c r="CC85" s="35"/>
      <c r="CD85" s="35"/>
      <c r="CE85" s="34"/>
      <c r="CF85" s="34"/>
      <c r="CG85" s="59"/>
    </row>
    <row r="86" spans="1:87" ht="14.25" thickTop="1" thickBot="1" x14ac:dyDescent="0.25">
      <c r="B86" s="32"/>
      <c r="F86" s="32"/>
      <c r="H86" s="32"/>
      <c r="I86" s="32"/>
      <c r="M86" s="32"/>
      <c r="Q86" s="32"/>
      <c r="S86" s="32"/>
      <c r="T86" s="32"/>
      <c r="X86" s="32"/>
      <c r="AB86" s="32"/>
      <c r="AD86" s="32"/>
      <c r="AE86" s="32"/>
      <c r="AI86" s="32"/>
      <c r="AM86" s="32"/>
      <c r="AO86" s="32"/>
      <c r="AP86" s="32"/>
      <c r="AT86" s="32"/>
      <c r="AX86" s="32"/>
      <c r="AZ86" s="32"/>
      <c r="BA86" s="32"/>
      <c r="BE86" s="32"/>
      <c r="BI86" s="32"/>
      <c r="BK86" s="32"/>
      <c r="BL86" s="32"/>
      <c r="BP86" s="32"/>
      <c r="BT86" s="32"/>
      <c r="BV86" s="32"/>
      <c r="BW86" s="32"/>
      <c r="CA86" s="32"/>
      <c r="CE86" s="32"/>
      <c r="CG86" s="32"/>
    </row>
    <row r="87" spans="1:87" ht="13.5" thickBot="1" x14ac:dyDescent="0.25">
      <c r="B87" s="58" t="s">
        <v>123</v>
      </c>
      <c r="C87" s="57"/>
      <c r="D87" s="57"/>
      <c r="E87" s="57"/>
      <c r="F87" s="56"/>
      <c r="G87" s="32"/>
      <c r="H87" s="32"/>
      <c r="I87" s="32"/>
      <c r="M87" s="58" t="s">
        <v>123</v>
      </c>
      <c r="N87" s="57"/>
      <c r="O87" s="57"/>
      <c r="P87" s="57"/>
      <c r="Q87" s="56"/>
      <c r="R87" s="32"/>
      <c r="S87" s="32"/>
      <c r="T87" s="32"/>
      <c r="X87" s="58" t="s">
        <v>123</v>
      </c>
      <c r="Y87" s="57"/>
      <c r="Z87" s="57"/>
      <c r="AA87" s="57"/>
      <c r="AB87" s="56"/>
      <c r="AC87" s="32"/>
      <c r="AD87" s="32"/>
      <c r="AE87" s="32"/>
      <c r="AI87" s="58" t="s">
        <v>123</v>
      </c>
      <c r="AJ87" s="57"/>
      <c r="AK87" s="57"/>
      <c r="AL87" s="57"/>
      <c r="AM87" s="56"/>
      <c r="AN87" s="32"/>
      <c r="AO87" s="32"/>
      <c r="AP87" s="32"/>
      <c r="AT87" s="58" t="s">
        <v>123</v>
      </c>
      <c r="AU87" s="57"/>
      <c r="AV87" s="57"/>
      <c r="AW87" s="57"/>
      <c r="AX87" s="56"/>
      <c r="AY87" s="32"/>
      <c r="AZ87" s="32"/>
      <c r="BA87" s="32"/>
      <c r="BE87" s="58" t="s">
        <v>123</v>
      </c>
      <c r="BF87" s="57"/>
      <c r="BG87" s="57"/>
      <c r="BH87" s="57"/>
      <c r="BI87" s="56"/>
      <c r="BJ87" s="32"/>
      <c r="BK87" s="32"/>
      <c r="BL87" s="32"/>
      <c r="BP87" s="58" t="s">
        <v>123</v>
      </c>
      <c r="BQ87" s="57"/>
      <c r="BR87" s="57"/>
      <c r="BS87" s="57"/>
      <c r="BT87" s="56"/>
      <c r="BU87" s="32"/>
      <c r="BV87" s="32"/>
      <c r="BW87" s="32"/>
      <c r="CA87" s="58" t="s">
        <v>123</v>
      </c>
      <c r="CB87" s="57"/>
      <c r="CC87" s="57"/>
      <c r="CD87" s="57"/>
      <c r="CE87" s="56"/>
      <c r="CF87" s="32"/>
      <c r="CG87" s="32"/>
    </row>
    <row r="88" spans="1:87" ht="51.75" thickBot="1" x14ac:dyDescent="0.25">
      <c r="A88" s="55" t="s">
        <v>54</v>
      </c>
      <c r="B88" s="54" t="s">
        <v>122</v>
      </c>
      <c r="C88" s="54" t="s">
        <v>121</v>
      </c>
      <c r="D88" s="53" t="s">
        <v>120</v>
      </c>
      <c r="E88" s="52" t="s">
        <v>119</v>
      </c>
      <c r="F88" s="51" t="s">
        <v>118</v>
      </c>
      <c r="G88" s="50" t="s">
        <v>117</v>
      </c>
      <c r="H88" s="50" t="s">
        <v>116</v>
      </c>
      <c r="I88" s="49" t="s">
        <v>115</v>
      </c>
      <c r="J88" s="48" t="s">
        <v>114</v>
      </c>
      <c r="L88" s="55" t="s">
        <v>54</v>
      </c>
      <c r="M88" s="54" t="s">
        <v>122</v>
      </c>
      <c r="N88" s="54" t="s">
        <v>121</v>
      </c>
      <c r="O88" s="53" t="s">
        <v>120</v>
      </c>
      <c r="P88" s="52" t="s">
        <v>119</v>
      </c>
      <c r="Q88" s="51" t="s">
        <v>118</v>
      </c>
      <c r="R88" s="50" t="s">
        <v>117</v>
      </c>
      <c r="S88" s="50" t="s">
        <v>116</v>
      </c>
      <c r="T88" s="49" t="s">
        <v>115</v>
      </c>
      <c r="U88" s="48" t="s">
        <v>114</v>
      </c>
      <c r="W88" s="55" t="s">
        <v>54</v>
      </c>
      <c r="X88" s="54" t="s">
        <v>122</v>
      </c>
      <c r="Y88" s="54" t="s">
        <v>121</v>
      </c>
      <c r="Z88" s="53" t="s">
        <v>120</v>
      </c>
      <c r="AA88" s="52" t="s">
        <v>119</v>
      </c>
      <c r="AB88" s="51" t="s">
        <v>118</v>
      </c>
      <c r="AC88" s="50" t="s">
        <v>117</v>
      </c>
      <c r="AD88" s="50" t="s">
        <v>116</v>
      </c>
      <c r="AE88" s="49" t="s">
        <v>115</v>
      </c>
      <c r="AF88" s="48" t="s">
        <v>114</v>
      </c>
      <c r="AH88" s="55" t="s">
        <v>54</v>
      </c>
      <c r="AI88" s="54" t="s">
        <v>122</v>
      </c>
      <c r="AJ88" s="54" t="s">
        <v>121</v>
      </c>
      <c r="AK88" s="53" t="s">
        <v>120</v>
      </c>
      <c r="AL88" s="52" t="s">
        <v>119</v>
      </c>
      <c r="AM88" s="51" t="s">
        <v>118</v>
      </c>
      <c r="AN88" s="50" t="s">
        <v>117</v>
      </c>
      <c r="AO88" s="50" t="s">
        <v>116</v>
      </c>
      <c r="AP88" s="49" t="s">
        <v>115</v>
      </c>
      <c r="AQ88" s="48" t="s">
        <v>114</v>
      </c>
      <c r="AS88" s="55" t="s">
        <v>54</v>
      </c>
      <c r="AT88" s="54" t="s">
        <v>122</v>
      </c>
      <c r="AU88" s="54" t="s">
        <v>121</v>
      </c>
      <c r="AV88" s="53" t="s">
        <v>120</v>
      </c>
      <c r="AW88" s="52" t="s">
        <v>119</v>
      </c>
      <c r="AX88" s="51" t="s">
        <v>118</v>
      </c>
      <c r="AY88" s="50" t="s">
        <v>117</v>
      </c>
      <c r="AZ88" s="50" t="s">
        <v>116</v>
      </c>
      <c r="BA88" s="49" t="s">
        <v>115</v>
      </c>
      <c r="BB88" s="48" t="s">
        <v>114</v>
      </c>
      <c r="BD88" s="55" t="s">
        <v>54</v>
      </c>
      <c r="BE88" s="54" t="s">
        <v>122</v>
      </c>
      <c r="BF88" s="54" t="s">
        <v>121</v>
      </c>
      <c r="BG88" s="53" t="s">
        <v>120</v>
      </c>
      <c r="BH88" s="52" t="s">
        <v>119</v>
      </c>
      <c r="BI88" s="51" t="s">
        <v>118</v>
      </c>
      <c r="BJ88" s="50" t="s">
        <v>117</v>
      </c>
      <c r="BK88" s="50" t="s">
        <v>116</v>
      </c>
      <c r="BL88" s="49" t="s">
        <v>115</v>
      </c>
      <c r="BM88" s="48" t="s">
        <v>114</v>
      </c>
      <c r="BO88" s="55" t="s">
        <v>54</v>
      </c>
      <c r="BP88" s="54" t="s">
        <v>122</v>
      </c>
      <c r="BQ88" s="54" t="s">
        <v>121</v>
      </c>
      <c r="BR88" s="53" t="s">
        <v>120</v>
      </c>
      <c r="BS88" s="52" t="s">
        <v>119</v>
      </c>
      <c r="BT88" s="51" t="s">
        <v>118</v>
      </c>
      <c r="BU88" s="50" t="s">
        <v>117</v>
      </c>
      <c r="BV88" s="50" t="s">
        <v>116</v>
      </c>
      <c r="BW88" s="49" t="s">
        <v>115</v>
      </c>
      <c r="BX88" s="48" t="s">
        <v>114</v>
      </c>
      <c r="BZ88" s="55" t="s">
        <v>54</v>
      </c>
      <c r="CA88" s="54" t="s">
        <v>122</v>
      </c>
      <c r="CB88" s="54" t="s">
        <v>121</v>
      </c>
      <c r="CC88" s="53" t="s">
        <v>120</v>
      </c>
      <c r="CD88" s="52" t="s">
        <v>119</v>
      </c>
      <c r="CE88" s="51" t="s">
        <v>118</v>
      </c>
      <c r="CF88" s="50" t="s">
        <v>117</v>
      </c>
      <c r="CG88" s="50" t="s">
        <v>116</v>
      </c>
      <c r="CH88" s="49" t="s">
        <v>115</v>
      </c>
      <c r="CI88" s="48" t="s">
        <v>114</v>
      </c>
    </row>
    <row r="89" spans="1:87" ht="13.5" thickTop="1" x14ac:dyDescent="0.2">
      <c r="A89" s="47">
        <v>30</v>
      </c>
      <c r="B89" s="45">
        <v>36.74</v>
      </c>
      <c r="C89" s="46">
        <v>61.44</v>
      </c>
      <c r="D89" s="32">
        <f t="shared" ref="D89:D94" si="318">C89-B89</f>
        <v>24.699999999999996</v>
      </c>
      <c r="E89" s="45">
        <v>58.82</v>
      </c>
      <c r="F89" s="32">
        <f t="shared" ref="F89:F94" si="319">E89-B89</f>
        <v>22.08</v>
      </c>
      <c r="G89" s="45">
        <f t="shared" ref="G89:G94" si="320">D89-F89</f>
        <v>2.6199999999999974</v>
      </c>
      <c r="H89" s="44">
        <f t="shared" ref="H89:H94" si="321">(G89/F89)</f>
        <v>0.11865942028985496</v>
      </c>
      <c r="I89" s="30">
        <v>1.49</v>
      </c>
      <c r="J89" s="33">
        <f t="shared" ref="J89:J94" si="322">H89*I89</f>
        <v>0.17680253623188388</v>
      </c>
      <c r="L89" s="47">
        <v>30</v>
      </c>
      <c r="M89" s="45">
        <v>38.770000000000003</v>
      </c>
      <c r="N89" s="46">
        <v>68.739999999999995</v>
      </c>
      <c r="O89" s="32">
        <f t="shared" ref="O89:O94" si="323">N89-M89</f>
        <v>29.969999999999992</v>
      </c>
      <c r="P89" s="45">
        <v>65.349999999999994</v>
      </c>
      <c r="Q89" s="32">
        <f t="shared" ref="Q89:Q94" si="324">P89-M89</f>
        <v>26.579999999999991</v>
      </c>
      <c r="R89" s="45">
        <f t="shared" ref="R89:R94" si="325">O89-Q89</f>
        <v>3.3900000000000006</v>
      </c>
      <c r="S89" s="44">
        <f t="shared" ref="S89:S94" si="326">(R89/Q89)</f>
        <v>0.12753950338600459</v>
      </c>
      <c r="T89" s="30">
        <v>1.49</v>
      </c>
      <c r="U89" s="33">
        <f t="shared" ref="U89:U94" si="327">S89*T89</f>
        <v>0.19003386004514683</v>
      </c>
      <c r="W89" s="47">
        <v>30</v>
      </c>
      <c r="X89" s="45">
        <v>32.299999999999997</v>
      </c>
      <c r="Y89" s="46">
        <v>57.05</v>
      </c>
      <c r="Z89" s="32">
        <f t="shared" ref="Z89:Z94" si="328">Y89-X89</f>
        <v>24.75</v>
      </c>
      <c r="AA89" s="45">
        <v>54.46</v>
      </c>
      <c r="AB89" s="32">
        <f t="shared" ref="AB89:AB94" si="329">AA89-X89</f>
        <v>22.160000000000004</v>
      </c>
      <c r="AC89" s="45">
        <f t="shared" ref="AC89:AC94" si="330">Z89-AB89</f>
        <v>2.5899999999999963</v>
      </c>
      <c r="AD89" s="44">
        <f t="shared" ref="AD89:AD94" si="331">(AC89/AB89)</f>
        <v>0.11687725631768935</v>
      </c>
      <c r="AE89" s="30">
        <v>1.49</v>
      </c>
      <c r="AF89" s="33">
        <f t="shared" ref="AF89:AF94" si="332">AD89*AE89</f>
        <v>0.17414711191335713</v>
      </c>
      <c r="AH89" s="47">
        <v>30</v>
      </c>
      <c r="AI89" s="45">
        <v>36.82</v>
      </c>
      <c r="AJ89" s="46">
        <v>62.84</v>
      </c>
      <c r="AK89" s="32">
        <f t="shared" ref="AK89:AK94" si="333">AJ89-AI89</f>
        <v>26.020000000000003</v>
      </c>
      <c r="AL89" s="45">
        <v>59.58</v>
      </c>
      <c r="AM89" s="32">
        <f t="shared" ref="AM89:AM94" si="334">AL89-AI89</f>
        <v>22.759999999999998</v>
      </c>
      <c r="AN89" s="45">
        <f t="shared" ref="AN89:AN94" si="335">AK89-AM89</f>
        <v>3.2600000000000051</v>
      </c>
      <c r="AO89" s="44">
        <f t="shared" ref="AO89:AO94" si="336">(AN89/AM89)</f>
        <v>0.14323374340949058</v>
      </c>
      <c r="AP89" s="30">
        <v>1.49</v>
      </c>
      <c r="AQ89" s="33">
        <f t="shared" ref="AQ89:AQ94" si="337">AO89*AP89</f>
        <v>0.21341827768014096</v>
      </c>
      <c r="AS89" s="47">
        <v>30</v>
      </c>
      <c r="AT89" s="45">
        <v>52.78</v>
      </c>
      <c r="AU89" s="46">
        <v>82</v>
      </c>
      <c r="AV89" s="32">
        <f t="shared" ref="AV89:AV94" si="338">AU89-AT89</f>
        <v>29.22</v>
      </c>
      <c r="AW89" s="45">
        <v>78.7</v>
      </c>
      <c r="AX89" s="32">
        <f t="shared" ref="AX89:AX94" si="339">AW89-AT89</f>
        <v>25.92</v>
      </c>
      <c r="AY89" s="45">
        <f t="shared" ref="AY89:AY94" si="340">AV89-AX89</f>
        <v>3.2999999999999972</v>
      </c>
      <c r="AZ89" s="44">
        <f t="shared" ref="AZ89:AZ94" si="341">(AY89/AX89)</f>
        <v>0.12731481481481469</v>
      </c>
      <c r="BA89" s="30">
        <v>1.49</v>
      </c>
      <c r="BB89" s="33">
        <f t="shared" ref="BB89:BB94" si="342">AZ89*BA89</f>
        <v>0.18969907407407388</v>
      </c>
      <c r="BD89" s="47">
        <v>30</v>
      </c>
      <c r="BE89" s="45">
        <v>31.87</v>
      </c>
      <c r="BF89" s="46">
        <v>56.41</v>
      </c>
      <c r="BG89" s="32">
        <f t="shared" ref="BG89:BG94" si="343">BF89-BE89</f>
        <v>24.539999999999996</v>
      </c>
      <c r="BH89" s="45">
        <v>53.05</v>
      </c>
      <c r="BI89" s="32">
        <f t="shared" ref="BI89:BI94" si="344">BH89-BE89</f>
        <v>21.179999999999996</v>
      </c>
      <c r="BJ89" s="45">
        <f t="shared" ref="BJ89:BJ94" si="345">BG89-BI89</f>
        <v>3.3599999999999994</v>
      </c>
      <c r="BK89" s="44">
        <f t="shared" ref="BK89:BK94" si="346">(BJ89/BI89)</f>
        <v>0.15864022662889518</v>
      </c>
      <c r="BL89" s="30">
        <v>1.49</v>
      </c>
      <c r="BM89" s="33">
        <f t="shared" ref="BM89:BM94" si="347">BK89*BL89</f>
        <v>0.23637393767705381</v>
      </c>
      <c r="BO89" s="47">
        <v>30</v>
      </c>
      <c r="BP89" s="45">
        <v>51.04</v>
      </c>
      <c r="BQ89" s="46">
        <v>78.03</v>
      </c>
      <c r="BR89" s="32">
        <f t="shared" ref="BR89:BR94" si="348">BQ89-BP89</f>
        <v>26.990000000000002</v>
      </c>
      <c r="BS89" s="45">
        <v>74.98</v>
      </c>
      <c r="BT89" s="32">
        <f t="shared" ref="BT89:BT94" si="349">BS89-BP89</f>
        <v>23.940000000000005</v>
      </c>
      <c r="BU89" s="45">
        <f t="shared" ref="BU89:BU94" si="350">BR89-BT89</f>
        <v>3.0499999999999972</v>
      </c>
      <c r="BV89" s="44">
        <f t="shared" ref="BV89:BV94" si="351">(BU89/BT89)</f>
        <v>0.12740183792815357</v>
      </c>
      <c r="BW89" s="30">
        <v>1.49</v>
      </c>
      <c r="BX89" s="33">
        <f t="shared" ref="BX89:BX94" si="352">BV89*BW89</f>
        <v>0.18982873851294882</v>
      </c>
      <c r="BZ89" s="47">
        <v>30</v>
      </c>
      <c r="CA89" s="45">
        <v>32.6</v>
      </c>
      <c r="CB89" s="46">
        <v>57.36</v>
      </c>
      <c r="CC89" s="32">
        <f t="shared" ref="CC89:CC94" si="353">CB89-CA89</f>
        <v>24.759999999999998</v>
      </c>
      <c r="CD89" s="45">
        <v>54.79</v>
      </c>
      <c r="CE89" s="32">
        <f t="shared" ref="CE89:CE94" si="354">CD89-CA89</f>
        <v>22.189999999999998</v>
      </c>
      <c r="CF89" s="45">
        <f t="shared" ref="CF89:CF94" si="355">CC89-CE89</f>
        <v>2.5700000000000003</v>
      </c>
      <c r="CG89" s="44">
        <f t="shared" ref="CG89:CG94" si="356">(CF89/CE89)</f>
        <v>0.11581793600721048</v>
      </c>
      <c r="CH89" s="30">
        <v>1.49</v>
      </c>
      <c r="CI89" s="33">
        <f t="shared" ref="CI89:CI94" si="357">CG89*CH89</f>
        <v>0.1725687246507436</v>
      </c>
    </row>
    <row r="90" spans="1:87" x14ac:dyDescent="0.2">
      <c r="A90" s="43">
        <v>60</v>
      </c>
      <c r="B90" s="41">
        <v>33.03</v>
      </c>
      <c r="C90" s="42">
        <v>58.79</v>
      </c>
      <c r="D90" s="32">
        <f t="shared" si="318"/>
        <v>25.759999999999998</v>
      </c>
      <c r="E90" s="41">
        <v>54.93</v>
      </c>
      <c r="F90" s="32">
        <f t="shared" si="319"/>
        <v>21.9</v>
      </c>
      <c r="G90" s="41">
        <f t="shared" si="320"/>
        <v>3.8599999999999994</v>
      </c>
      <c r="H90" s="40">
        <f t="shared" si="321"/>
        <v>0.17625570776255706</v>
      </c>
      <c r="I90" s="30">
        <v>1.42</v>
      </c>
      <c r="J90" s="33">
        <f t="shared" si="322"/>
        <v>0.25028310502283102</v>
      </c>
      <c r="L90" s="43">
        <v>60</v>
      </c>
      <c r="M90" s="41">
        <v>41.97</v>
      </c>
      <c r="N90" s="42">
        <v>66.36</v>
      </c>
      <c r="O90" s="32">
        <f t="shared" si="323"/>
        <v>24.39</v>
      </c>
      <c r="P90" s="41">
        <v>62.45</v>
      </c>
      <c r="Q90" s="32">
        <f t="shared" si="324"/>
        <v>20.480000000000004</v>
      </c>
      <c r="R90" s="41">
        <f t="shared" si="325"/>
        <v>3.9099999999999966</v>
      </c>
      <c r="S90" s="40">
        <f t="shared" si="326"/>
        <v>0.19091796874999981</v>
      </c>
      <c r="T90" s="30">
        <v>1.42</v>
      </c>
      <c r="U90" s="33">
        <f t="shared" si="327"/>
        <v>0.27110351562499974</v>
      </c>
      <c r="W90" s="43">
        <v>60</v>
      </c>
      <c r="X90" s="41">
        <v>41.55</v>
      </c>
      <c r="Y90" s="42">
        <v>69.08</v>
      </c>
      <c r="Z90" s="32">
        <f t="shared" si="328"/>
        <v>27.53</v>
      </c>
      <c r="AA90" s="41">
        <v>65.36</v>
      </c>
      <c r="AB90" s="32">
        <f t="shared" si="329"/>
        <v>23.810000000000002</v>
      </c>
      <c r="AC90" s="41">
        <f t="shared" si="330"/>
        <v>3.7199999999999989</v>
      </c>
      <c r="AD90" s="40">
        <f t="shared" si="331"/>
        <v>0.15623687526249469</v>
      </c>
      <c r="AE90" s="30">
        <v>1.42</v>
      </c>
      <c r="AF90" s="33">
        <f t="shared" si="332"/>
        <v>0.22185636287274244</v>
      </c>
      <c r="AH90" s="43">
        <v>60</v>
      </c>
      <c r="AI90" s="41">
        <v>49.3</v>
      </c>
      <c r="AJ90" s="42">
        <v>69.010000000000005</v>
      </c>
      <c r="AK90" s="32">
        <f t="shared" si="333"/>
        <v>19.710000000000008</v>
      </c>
      <c r="AL90" s="41">
        <v>66.17</v>
      </c>
      <c r="AM90" s="32">
        <f t="shared" si="334"/>
        <v>16.870000000000005</v>
      </c>
      <c r="AN90" s="41">
        <f t="shared" si="335"/>
        <v>2.8400000000000034</v>
      </c>
      <c r="AO90" s="40">
        <f t="shared" si="336"/>
        <v>0.16834617664493198</v>
      </c>
      <c r="AP90" s="30">
        <v>1.42</v>
      </c>
      <c r="AQ90" s="33">
        <f t="shared" si="337"/>
        <v>0.23905157083580342</v>
      </c>
      <c r="AS90" s="43">
        <v>60</v>
      </c>
      <c r="AT90" s="41">
        <v>32.32</v>
      </c>
      <c r="AU90" s="42">
        <v>56.73</v>
      </c>
      <c r="AV90" s="32">
        <f t="shared" si="338"/>
        <v>24.409999999999997</v>
      </c>
      <c r="AW90" s="41">
        <v>53.16</v>
      </c>
      <c r="AX90" s="32">
        <f t="shared" si="339"/>
        <v>20.839999999999996</v>
      </c>
      <c r="AY90" s="41">
        <f t="shared" si="340"/>
        <v>3.5700000000000003</v>
      </c>
      <c r="AZ90" s="40">
        <f t="shared" si="341"/>
        <v>0.17130518234165071</v>
      </c>
      <c r="BA90" s="30">
        <v>1.42</v>
      </c>
      <c r="BB90" s="33">
        <f t="shared" si="342"/>
        <v>0.24325335892514399</v>
      </c>
      <c r="BD90" s="43">
        <v>60</v>
      </c>
      <c r="BE90" s="41">
        <v>42.15</v>
      </c>
      <c r="BF90" s="42">
        <v>71.790000000000006</v>
      </c>
      <c r="BG90" s="32">
        <f t="shared" si="343"/>
        <v>29.640000000000008</v>
      </c>
      <c r="BH90" s="41">
        <v>66.81</v>
      </c>
      <c r="BI90" s="32">
        <f t="shared" si="344"/>
        <v>24.660000000000004</v>
      </c>
      <c r="BJ90" s="41">
        <f t="shared" si="345"/>
        <v>4.980000000000004</v>
      </c>
      <c r="BK90" s="40">
        <f t="shared" si="346"/>
        <v>0.20194647201946486</v>
      </c>
      <c r="BL90" s="30">
        <v>1.42</v>
      </c>
      <c r="BM90" s="33">
        <f t="shared" si="347"/>
        <v>0.2867639902676401</v>
      </c>
      <c r="BO90" s="43">
        <v>60</v>
      </c>
      <c r="BP90" s="41">
        <v>32.1</v>
      </c>
      <c r="BQ90" s="42">
        <v>59.24</v>
      </c>
      <c r="BR90" s="32">
        <f t="shared" si="348"/>
        <v>27.14</v>
      </c>
      <c r="BS90" s="41">
        <v>55.28</v>
      </c>
      <c r="BT90" s="32">
        <f t="shared" si="349"/>
        <v>23.18</v>
      </c>
      <c r="BU90" s="41">
        <f t="shared" si="350"/>
        <v>3.9600000000000009</v>
      </c>
      <c r="BV90" s="40">
        <f t="shared" si="351"/>
        <v>0.17083692838654016</v>
      </c>
      <c r="BW90" s="30">
        <v>1.42</v>
      </c>
      <c r="BX90" s="33">
        <f t="shared" si="352"/>
        <v>0.24258843830888702</v>
      </c>
      <c r="BZ90" s="43">
        <v>60</v>
      </c>
      <c r="CA90" s="41">
        <v>31.75</v>
      </c>
      <c r="CB90" s="42">
        <v>56.54</v>
      </c>
      <c r="CC90" s="32">
        <f t="shared" si="353"/>
        <v>24.79</v>
      </c>
      <c r="CD90" s="41">
        <v>54.49</v>
      </c>
      <c r="CE90" s="32">
        <f t="shared" si="354"/>
        <v>22.740000000000002</v>
      </c>
      <c r="CF90" s="41">
        <f t="shared" si="355"/>
        <v>2.0499999999999972</v>
      </c>
      <c r="CG90" s="40">
        <f t="shared" si="356"/>
        <v>9.0149516270888172E-2</v>
      </c>
      <c r="CH90" s="30">
        <v>1.42</v>
      </c>
      <c r="CI90" s="33">
        <f t="shared" si="357"/>
        <v>0.12801231310466119</v>
      </c>
    </row>
    <row r="91" spans="1:87" x14ac:dyDescent="0.2">
      <c r="A91" s="43">
        <v>90</v>
      </c>
      <c r="B91" s="41">
        <v>45.88</v>
      </c>
      <c r="C91" s="42">
        <v>76.06</v>
      </c>
      <c r="D91" s="32">
        <f t="shared" si="318"/>
        <v>30.18</v>
      </c>
      <c r="E91" s="41">
        <v>71.27</v>
      </c>
      <c r="F91" s="32">
        <f t="shared" si="319"/>
        <v>25.389999999999993</v>
      </c>
      <c r="G91" s="41">
        <f t="shared" si="320"/>
        <v>4.7900000000000063</v>
      </c>
      <c r="H91" s="40">
        <f t="shared" si="321"/>
        <v>0.1886569515557309</v>
      </c>
      <c r="I91" s="30">
        <v>1.58</v>
      </c>
      <c r="J91" s="33">
        <f t="shared" si="322"/>
        <v>0.29807798345805481</v>
      </c>
      <c r="L91" s="43">
        <v>90</v>
      </c>
      <c r="M91" s="41">
        <v>32.49</v>
      </c>
      <c r="N91" s="42">
        <v>58.81</v>
      </c>
      <c r="O91" s="32">
        <f t="shared" si="323"/>
        <v>26.32</v>
      </c>
      <c r="P91" s="41">
        <v>54.62</v>
      </c>
      <c r="Q91" s="32">
        <f t="shared" si="324"/>
        <v>22.129999999999995</v>
      </c>
      <c r="R91" s="41">
        <f t="shared" si="325"/>
        <v>4.1900000000000048</v>
      </c>
      <c r="S91" s="40">
        <f t="shared" si="326"/>
        <v>0.18933574333483985</v>
      </c>
      <c r="T91" s="30">
        <v>1.58</v>
      </c>
      <c r="U91" s="33">
        <f t="shared" si="327"/>
        <v>0.29915047446904697</v>
      </c>
      <c r="W91" s="43">
        <v>90</v>
      </c>
      <c r="X91" s="41">
        <v>37.159999999999997</v>
      </c>
      <c r="Y91" s="42">
        <v>64.48</v>
      </c>
      <c r="Z91" s="32">
        <f t="shared" si="328"/>
        <v>27.320000000000007</v>
      </c>
      <c r="AA91" s="41">
        <v>60.57</v>
      </c>
      <c r="AB91" s="32">
        <f t="shared" si="329"/>
        <v>23.410000000000004</v>
      </c>
      <c r="AC91" s="41">
        <f t="shared" si="330"/>
        <v>3.9100000000000037</v>
      </c>
      <c r="AD91" s="40">
        <f t="shared" si="331"/>
        <v>0.16702263989747984</v>
      </c>
      <c r="AE91" s="30">
        <v>1.58</v>
      </c>
      <c r="AF91" s="33">
        <f t="shared" si="332"/>
        <v>0.26389577103801815</v>
      </c>
      <c r="AH91" s="43">
        <v>90</v>
      </c>
      <c r="AI91" s="41">
        <v>45.88</v>
      </c>
      <c r="AJ91" s="42">
        <v>73.36</v>
      </c>
      <c r="AK91" s="32">
        <f t="shared" si="333"/>
        <v>27.479999999999997</v>
      </c>
      <c r="AL91" s="41">
        <v>70.510000000000005</v>
      </c>
      <c r="AM91" s="32">
        <f t="shared" si="334"/>
        <v>24.630000000000003</v>
      </c>
      <c r="AN91" s="41">
        <f t="shared" si="335"/>
        <v>2.8499999999999943</v>
      </c>
      <c r="AO91" s="40">
        <f t="shared" si="336"/>
        <v>0.11571254567600463</v>
      </c>
      <c r="AP91" s="30">
        <v>1.58</v>
      </c>
      <c r="AQ91" s="33">
        <f t="shared" si="337"/>
        <v>0.18282582216808732</v>
      </c>
      <c r="AS91" s="43">
        <v>90</v>
      </c>
      <c r="AT91" s="41">
        <v>46.55</v>
      </c>
      <c r="AU91" s="42">
        <v>80.900000000000006</v>
      </c>
      <c r="AV91" s="32">
        <f t="shared" si="338"/>
        <v>34.350000000000009</v>
      </c>
      <c r="AW91" s="41">
        <v>75.87</v>
      </c>
      <c r="AX91" s="32">
        <f t="shared" si="339"/>
        <v>29.320000000000007</v>
      </c>
      <c r="AY91" s="41">
        <f t="shared" si="340"/>
        <v>5.0300000000000011</v>
      </c>
      <c r="AZ91" s="40">
        <f t="shared" si="341"/>
        <v>0.17155525238744884</v>
      </c>
      <c r="BA91" s="30">
        <v>1.58</v>
      </c>
      <c r="BB91" s="33">
        <f t="shared" si="342"/>
        <v>0.27105729877216916</v>
      </c>
      <c r="BD91" s="43">
        <v>90</v>
      </c>
      <c r="BE91" s="41">
        <v>36.5</v>
      </c>
      <c r="BF91" s="42">
        <v>62.15</v>
      </c>
      <c r="BG91" s="32">
        <f t="shared" si="343"/>
        <v>25.65</v>
      </c>
      <c r="BH91" s="41">
        <v>58.12</v>
      </c>
      <c r="BI91" s="32">
        <f t="shared" si="344"/>
        <v>21.619999999999997</v>
      </c>
      <c r="BJ91" s="41">
        <f t="shared" si="345"/>
        <v>4.0300000000000011</v>
      </c>
      <c r="BK91" s="40">
        <f t="shared" si="346"/>
        <v>0.18640148011100841</v>
      </c>
      <c r="BL91" s="30">
        <v>1.58</v>
      </c>
      <c r="BM91" s="33">
        <f t="shared" si="347"/>
        <v>0.29451433857539328</v>
      </c>
      <c r="BO91" s="43">
        <v>90</v>
      </c>
      <c r="BP91" s="41">
        <v>31.57</v>
      </c>
      <c r="BQ91" s="42">
        <v>56.88</v>
      </c>
      <c r="BR91" s="32">
        <f t="shared" si="348"/>
        <v>25.310000000000002</v>
      </c>
      <c r="BS91" s="41">
        <v>52.94</v>
      </c>
      <c r="BT91" s="32">
        <f t="shared" si="349"/>
        <v>21.369999999999997</v>
      </c>
      <c r="BU91" s="41">
        <f t="shared" si="350"/>
        <v>3.9400000000000048</v>
      </c>
      <c r="BV91" s="40">
        <f t="shared" si="351"/>
        <v>0.18437061300889121</v>
      </c>
      <c r="BW91" s="30">
        <v>1.58</v>
      </c>
      <c r="BX91" s="33">
        <f t="shared" si="352"/>
        <v>0.2913055685540481</v>
      </c>
      <c r="BZ91" s="43">
        <v>90</v>
      </c>
      <c r="CA91" s="41">
        <v>28.8</v>
      </c>
      <c r="CB91" s="42">
        <v>59.7</v>
      </c>
      <c r="CC91" s="32">
        <f t="shared" si="353"/>
        <v>30.900000000000002</v>
      </c>
      <c r="CD91" s="41">
        <v>57</v>
      </c>
      <c r="CE91" s="32">
        <f t="shared" si="354"/>
        <v>28.2</v>
      </c>
      <c r="CF91" s="41">
        <f t="shared" si="355"/>
        <v>2.7000000000000028</v>
      </c>
      <c r="CG91" s="40">
        <f t="shared" si="356"/>
        <v>9.5744680851063926E-2</v>
      </c>
      <c r="CH91" s="30">
        <v>1.58</v>
      </c>
      <c r="CI91" s="33">
        <f t="shared" si="357"/>
        <v>0.151276595744681</v>
      </c>
    </row>
    <row r="92" spans="1:87" x14ac:dyDescent="0.2">
      <c r="A92" s="43">
        <v>120</v>
      </c>
      <c r="B92" s="41">
        <v>29.4</v>
      </c>
      <c r="C92" s="42">
        <v>59.9</v>
      </c>
      <c r="D92" s="32">
        <f t="shared" si="318"/>
        <v>30.5</v>
      </c>
      <c r="E92" s="41">
        <v>56.6</v>
      </c>
      <c r="F92" s="32">
        <f t="shared" si="319"/>
        <v>27.200000000000003</v>
      </c>
      <c r="G92" s="41">
        <f t="shared" si="320"/>
        <v>3.2999999999999972</v>
      </c>
      <c r="H92" s="40">
        <f t="shared" si="321"/>
        <v>0.12132352941176459</v>
      </c>
      <c r="I92" s="30">
        <v>1.58</v>
      </c>
      <c r="J92" s="33">
        <f t="shared" si="322"/>
        <v>0.19169117647058806</v>
      </c>
      <c r="L92" s="43">
        <v>120</v>
      </c>
      <c r="M92" s="41">
        <v>42.43</v>
      </c>
      <c r="N92" s="42">
        <v>69.63</v>
      </c>
      <c r="O92" s="32">
        <f t="shared" si="323"/>
        <v>27.199999999999996</v>
      </c>
      <c r="P92" s="41">
        <v>65.83</v>
      </c>
      <c r="Q92" s="32">
        <f t="shared" si="324"/>
        <v>23.4</v>
      </c>
      <c r="R92" s="41">
        <f t="shared" si="325"/>
        <v>3.7999999999999972</v>
      </c>
      <c r="S92" s="40">
        <f t="shared" si="326"/>
        <v>0.16239316239316229</v>
      </c>
      <c r="T92" s="30">
        <v>1.58</v>
      </c>
      <c r="U92" s="33">
        <f t="shared" si="327"/>
        <v>0.25658119658119644</v>
      </c>
      <c r="W92" s="43">
        <v>120</v>
      </c>
      <c r="X92" s="41">
        <v>42.51</v>
      </c>
      <c r="Y92" s="42">
        <v>72.180000000000007</v>
      </c>
      <c r="Z92" s="32">
        <f t="shared" si="328"/>
        <v>29.670000000000009</v>
      </c>
      <c r="AA92" s="41">
        <v>67.23</v>
      </c>
      <c r="AB92" s="32">
        <f t="shared" si="329"/>
        <v>24.720000000000006</v>
      </c>
      <c r="AC92" s="41">
        <f t="shared" si="330"/>
        <v>4.9500000000000028</v>
      </c>
      <c r="AD92" s="40">
        <f t="shared" si="331"/>
        <v>0.20024271844660202</v>
      </c>
      <c r="AE92" s="30">
        <v>1.58</v>
      </c>
      <c r="AF92" s="33">
        <f t="shared" si="332"/>
        <v>0.31638349514563119</v>
      </c>
      <c r="AH92" s="43">
        <v>120</v>
      </c>
      <c r="AI92" s="41">
        <v>32.119999999999997</v>
      </c>
      <c r="AJ92" s="42">
        <v>58.9</v>
      </c>
      <c r="AK92" s="32">
        <f t="shared" si="333"/>
        <v>26.78</v>
      </c>
      <c r="AL92" s="41">
        <v>55.73</v>
      </c>
      <c r="AM92" s="32">
        <f t="shared" si="334"/>
        <v>23.61</v>
      </c>
      <c r="AN92" s="41">
        <f t="shared" si="335"/>
        <v>3.1700000000000017</v>
      </c>
      <c r="AO92" s="40">
        <f t="shared" si="336"/>
        <v>0.13426514188903016</v>
      </c>
      <c r="AP92" s="30">
        <v>1.58</v>
      </c>
      <c r="AQ92" s="33">
        <f t="shared" si="337"/>
        <v>0.21213892418466765</v>
      </c>
      <c r="AS92" s="43">
        <v>120</v>
      </c>
      <c r="AT92" s="41">
        <v>38.130000000000003</v>
      </c>
      <c r="AU92" s="42">
        <v>67.45</v>
      </c>
      <c r="AV92" s="32">
        <f t="shared" si="338"/>
        <v>29.32</v>
      </c>
      <c r="AW92" s="41">
        <v>63.32</v>
      </c>
      <c r="AX92" s="32">
        <f t="shared" si="339"/>
        <v>25.189999999999998</v>
      </c>
      <c r="AY92" s="41">
        <f t="shared" si="340"/>
        <v>4.1300000000000026</v>
      </c>
      <c r="AZ92" s="40">
        <f t="shared" si="341"/>
        <v>0.16395394998015098</v>
      </c>
      <c r="BA92" s="30">
        <v>1.58</v>
      </c>
      <c r="BB92" s="33">
        <f t="shared" si="342"/>
        <v>0.25904724096863857</v>
      </c>
      <c r="BD92" s="43">
        <v>120</v>
      </c>
      <c r="BE92" s="41">
        <v>32.53</v>
      </c>
      <c r="BF92" s="42">
        <v>58.77</v>
      </c>
      <c r="BG92" s="32">
        <f t="shared" si="343"/>
        <v>26.240000000000002</v>
      </c>
      <c r="BH92" s="41">
        <v>55.28</v>
      </c>
      <c r="BI92" s="32">
        <f t="shared" si="344"/>
        <v>22.75</v>
      </c>
      <c r="BJ92" s="41">
        <f t="shared" si="345"/>
        <v>3.490000000000002</v>
      </c>
      <c r="BK92" s="40">
        <f t="shared" si="346"/>
        <v>0.15340659340659349</v>
      </c>
      <c r="BL92" s="30">
        <v>1.58</v>
      </c>
      <c r="BM92" s="33">
        <f t="shared" si="347"/>
        <v>0.24238241758241771</v>
      </c>
      <c r="BO92" s="43">
        <v>120</v>
      </c>
      <c r="BP92" s="41">
        <v>41.15</v>
      </c>
      <c r="BQ92" s="42">
        <v>71.180000000000007</v>
      </c>
      <c r="BR92" s="32">
        <f t="shared" si="348"/>
        <v>30.030000000000008</v>
      </c>
      <c r="BS92" s="41">
        <v>67.67</v>
      </c>
      <c r="BT92" s="32">
        <f t="shared" si="349"/>
        <v>26.520000000000003</v>
      </c>
      <c r="BU92" s="41">
        <f t="shared" si="350"/>
        <v>3.5100000000000051</v>
      </c>
      <c r="BV92" s="40">
        <f t="shared" si="351"/>
        <v>0.13235294117647076</v>
      </c>
      <c r="BW92" s="30">
        <v>1.58</v>
      </c>
      <c r="BX92" s="33">
        <f t="shared" si="352"/>
        <v>0.2091176470588238</v>
      </c>
      <c r="BZ92" s="43">
        <v>120</v>
      </c>
      <c r="CA92" s="41">
        <v>39.799999999999997</v>
      </c>
      <c r="CB92" s="42">
        <v>62.5</v>
      </c>
      <c r="CC92" s="32">
        <f t="shared" si="353"/>
        <v>22.700000000000003</v>
      </c>
      <c r="CD92" s="41">
        <v>60.1</v>
      </c>
      <c r="CE92" s="32">
        <f t="shared" si="354"/>
        <v>20.300000000000004</v>
      </c>
      <c r="CF92" s="41">
        <f t="shared" si="355"/>
        <v>2.3999999999999986</v>
      </c>
      <c r="CG92" s="40">
        <f t="shared" si="356"/>
        <v>0.11822660098522159</v>
      </c>
      <c r="CH92" s="30">
        <v>1.58</v>
      </c>
      <c r="CI92" s="33">
        <f t="shared" si="357"/>
        <v>0.18679802955665012</v>
      </c>
    </row>
    <row r="93" spans="1:87" x14ac:dyDescent="0.2">
      <c r="A93" s="43">
        <v>150</v>
      </c>
      <c r="B93" s="41">
        <v>41.51</v>
      </c>
      <c r="C93" s="42">
        <v>73.22</v>
      </c>
      <c r="D93" s="32">
        <f t="shared" si="318"/>
        <v>31.71</v>
      </c>
      <c r="E93" s="41">
        <v>69.95</v>
      </c>
      <c r="F93" s="32">
        <f t="shared" si="319"/>
        <v>28.440000000000005</v>
      </c>
      <c r="G93" s="41">
        <f t="shared" si="320"/>
        <v>3.269999999999996</v>
      </c>
      <c r="H93" s="40">
        <f t="shared" si="321"/>
        <v>0.11497890295358634</v>
      </c>
      <c r="I93" s="30">
        <v>1.58</v>
      </c>
      <c r="J93" s="33">
        <f t="shared" si="322"/>
        <v>0.18166666666666642</v>
      </c>
      <c r="L93" s="43">
        <v>150</v>
      </c>
      <c r="M93" s="41">
        <v>42.21</v>
      </c>
      <c r="N93" s="42">
        <v>72.150000000000006</v>
      </c>
      <c r="O93" s="32">
        <f t="shared" si="323"/>
        <v>29.940000000000005</v>
      </c>
      <c r="P93" s="41">
        <v>68.91</v>
      </c>
      <c r="Q93" s="32">
        <f t="shared" si="324"/>
        <v>26.699999999999996</v>
      </c>
      <c r="R93" s="41">
        <f t="shared" si="325"/>
        <v>3.2400000000000091</v>
      </c>
      <c r="S93" s="40">
        <f t="shared" si="326"/>
        <v>0.12134831460674193</v>
      </c>
      <c r="T93" s="30">
        <v>1.58</v>
      </c>
      <c r="U93" s="33">
        <f t="shared" si="327"/>
        <v>0.19173033707865225</v>
      </c>
      <c r="W93" s="43">
        <v>150</v>
      </c>
      <c r="X93" s="41">
        <v>36.409999999999997</v>
      </c>
      <c r="Y93" s="42">
        <v>62.37</v>
      </c>
      <c r="Z93" s="32">
        <f t="shared" si="328"/>
        <v>25.96</v>
      </c>
      <c r="AA93" s="41">
        <v>59.51</v>
      </c>
      <c r="AB93" s="32">
        <f t="shared" si="329"/>
        <v>23.1</v>
      </c>
      <c r="AC93" s="41">
        <f t="shared" si="330"/>
        <v>2.8599999999999994</v>
      </c>
      <c r="AD93" s="40">
        <f t="shared" si="331"/>
        <v>0.12380952380952377</v>
      </c>
      <c r="AE93" s="30">
        <v>1.58</v>
      </c>
      <c r="AF93" s="33">
        <f t="shared" si="332"/>
        <v>0.19561904761904758</v>
      </c>
      <c r="AH93" s="43">
        <v>150</v>
      </c>
      <c r="AI93" s="41">
        <v>32.5</v>
      </c>
      <c r="AJ93" s="42">
        <v>58.12</v>
      </c>
      <c r="AK93" s="32">
        <f t="shared" si="333"/>
        <v>25.619999999999997</v>
      </c>
      <c r="AL93" s="41">
        <v>55.72</v>
      </c>
      <c r="AM93" s="32">
        <f t="shared" si="334"/>
        <v>23.22</v>
      </c>
      <c r="AN93" s="41">
        <f t="shared" si="335"/>
        <v>2.3999999999999986</v>
      </c>
      <c r="AO93" s="40">
        <f t="shared" si="336"/>
        <v>0.10335917312661493</v>
      </c>
      <c r="AP93" s="30">
        <v>1.58</v>
      </c>
      <c r="AQ93" s="33">
        <f t="shared" si="337"/>
        <v>0.16330749354005158</v>
      </c>
      <c r="AS93" s="43">
        <v>150</v>
      </c>
      <c r="AT93" s="41">
        <v>33.119999999999997</v>
      </c>
      <c r="AU93" s="42">
        <v>60.25</v>
      </c>
      <c r="AV93" s="32">
        <f t="shared" si="338"/>
        <v>27.130000000000003</v>
      </c>
      <c r="AW93" s="41">
        <v>56.35</v>
      </c>
      <c r="AX93" s="32">
        <f t="shared" si="339"/>
        <v>23.230000000000004</v>
      </c>
      <c r="AY93" s="41">
        <f t="shared" si="340"/>
        <v>3.8999999999999986</v>
      </c>
      <c r="AZ93" s="40">
        <f t="shared" si="341"/>
        <v>0.1678863538527765</v>
      </c>
      <c r="BA93" s="30">
        <v>1.58</v>
      </c>
      <c r="BB93" s="33">
        <f t="shared" si="342"/>
        <v>0.26526043908738689</v>
      </c>
      <c r="BD93" s="43">
        <v>150</v>
      </c>
      <c r="BE93" s="41">
        <v>46.05</v>
      </c>
      <c r="BF93" s="42">
        <v>78.209999999999994</v>
      </c>
      <c r="BG93" s="32">
        <f t="shared" si="343"/>
        <v>32.159999999999997</v>
      </c>
      <c r="BH93" s="41">
        <v>74.37</v>
      </c>
      <c r="BI93" s="32">
        <f t="shared" si="344"/>
        <v>28.320000000000007</v>
      </c>
      <c r="BJ93" s="41">
        <f t="shared" si="345"/>
        <v>3.8399999999999892</v>
      </c>
      <c r="BK93" s="40">
        <f t="shared" si="346"/>
        <v>0.13559322033898263</v>
      </c>
      <c r="BL93" s="30">
        <v>1.58</v>
      </c>
      <c r="BM93" s="33">
        <f t="shared" si="347"/>
        <v>0.21423728813559256</v>
      </c>
      <c r="BO93" s="43">
        <v>150</v>
      </c>
      <c r="BP93" s="41">
        <v>31.8</v>
      </c>
      <c r="BQ93" s="42">
        <v>59.41</v>
      </c>
      <c r="BR93" s="32">
        <f t="shared" si="348"/>
        <v>27.609999999999996</v>
      </c>
      <c r="BS93" s="41">
        <v>56.25</v>
      </c>
      <c r="BT93" s="32">
        <f t="shared" si="349"/>
        <v>24.45</v>
      </c>
      <c r="BU93" s="41">
        <f t="shared" si="350"/>
        <v>3.1599999999999966</v>
      </c>
      <c r="BV93" s="40">
        <f t="shared" si="351"/>
        <v>0.12924335378323096</v>
      </c>
      <c r="BW93" s="30">
        <v>1.58</v>
      </c>
      <c r="BX93" s="33">
        <f t="shared" si="352"/>
        <v>0.20420449897750492</v>
      </c>
      <c r="BZ93" s="43">
        <v>150</v>
      </c>
      <c r="CA93" s="41">
        <v>42.47</v>
      </c>
      <c r="CB93" s="42">
        <v>70.150000000000006</v>
      </c>
      <c r="CC93" s="32">
        <f t="shared" si="353"/>
        <v>27.680000000000007</v>
      </c>
      <c r="CD93" s="41">
        <v>65.680000000000007</v>
      </c>
      <c r="CE93" s="32">
        <f t="shared" si="354"/>
        <v>23.210000000000008</v>
      </c>
      <c r="CF93" s="41">
        <f t="shared" si="355"/>
        <v>4.4699999999999989</v>
      </c>
      <c r="CG93" s="40">
        <f t="shared" si="356"/>
        <v>0.1925894011202067</v>
      </c>
      <c r="CH93" s="30">
        <v>1.58</v>
      </c>
      <c r="CI93" s="33">
        <f t="shared" si="357"/>
        <v>0.30429125376992661</v>
      </c>
    </row>
    <row r="94" spans="1:87" x14ac:dyDescent="0.2">
      <c r="A94" s="43">
        <v>180</v>
      </c>
      <c r="B94" s="41">
        <v>36.5</v>
      </c>
      <c r="C94" s="42">
        <v>63.52</v>
      </c>
      <c r="D94" s="32">
        <f t="shared" si="318"/>
        <v>27.020000000000003</v>
      </c>
      <c r="E94" s="41">
        <v>60.42</v>
      </c>
      <c r="F94" s="32">
        <f t="shared" si="319"/>
        <v>23.92</v>
      </c>
      <c r="G94" s="41">
        <f t="shared" si="320"/>
        <v>3.1000000000000014</v>
      </c>
      <c r="H94" s="40">
        <f t="shared" si="321"/>
        <v>0.12959866220735791</v>
      </c>
      <c r="I94" s="30">
        <v>1.58</v>
      </c>
      <c r="J94" s="33">
        <f t="shared" si="322"/>
        <v>0.20476588628762551</v>
      </c>
      <c r="L94" s="43">
        <v>180</v>
      </c>
      <c r="M94" s="41">
        <v>41.26</v>
      </c>
      <c r="N94" s="42">
        <v>67.31</v>
      </c>
      <c r="O94" s="32">
        <f t="shared" si="323"/>
        <v>26.050000000000004</v>
      </c>
      <c r="P94" s="41">
        <v>62.43</v>
      </c>
      <c r="Q94" s="32">
        <f t="shared" si="324"/>
        <v>21.17</v>
      </c>
      <c r="R94" s="41">
        <f t="shared" si="325"/>
        <v>4.8800000000000026</v>
      </c>
      <c r="S94" s="40">
        <f t="shared" si="326"/>
        <v>0.23051487954652822</v>
      </c>
      <c r="T94" s="30">
        <v>1.58</v>
      </c>
      <c r="U94" s="33">
        <f t="shared" si="327"/>
        <v>0.36421350968351462</v>
      </c>
      <c r="W94" s="43">
        <v>180</v>
      </c>
      <c r="X94" s="41">
        <v>46.61</v>
      </c>
      <c r="Y94" s="42">
        <v>78.459999999999994</v>
      </c>
      <c r="Z94" s="32">
        <f t="shared" si="328"/>
        <v>31.849999999999994</v>
      </c>
      <c r="AA94" s="41">
        <v>74.8</v>
      </c>
      <c r="AB94" s="32">
        <f t="shared" si="329"/>
        <v>28.189999999999998</v>
      </c>
      <c r="AC94" s="41">
        <f t="shared" si="330"/>
        <v>3.6599999999999966</v>
      </c>
      <c r="AD94" s="40">
        <f t="shared" si="331"/>
        <v>0.12983327421071292</v>
      </c>
      <c r="AE94" s="30">
        <v>1.58</v>
      </c>
      <c r="AF94" s="33">
        <f t="shared" si="332"/>
        <v>0.20513657325292642</v>
      </c>
      <c r="AH94" s="43">
        <v>180</v>
      </c>
      <c r="AI94" s="41">
        <v>32.08</v>
      </c>
      <c r="AJ94" s="42">
        <v>58.37</v>
      </c>
      <c r="AK94" s="32">
        <f t="shared" si="333"/>
        <v>26.29</v>
      </c>
      <c r="AL94" s="41">
        <v>54.66</v>
      </c>
      <c r="AM94" s="32">
        <f t="shared" si="334"/>
        <v>22.58</v>
      </c>
      <c r="AN94" s="41">
        <f t="shared" si="335"/>
        <v>3.7100000000000009</v>
      </c>
      <c r="AO94" s="40">
        <f t="shared" si="336"/>
        <v>0.16430469441984061</v>
      </c>
      <c r="AP94" s="30">
        <v>1.58</v>
      </c>
      <c r="AQ94" s="33">
        <f t="shared" si="337"/>
        <v>0.25960141718334817</v>
      </c>
      <c r="AS94" s="43">
        <v>180</v>
      </c>
      <c r="AT94" s="41">
        <v>48.1</v>
      </c>
      <c r="AU94" s="42">
        <v>80.959999999999994</v>
      </c>
      <c r="AV94" s="32">
        <f t="shared" si="338"/>
        <v>32.859999999999992</v>
      </c>
      <c r="AW94" s="41">
        <v>75.03</v>
      </c>
      <c r="AX94" s="32">
        <f t="shared" si="339"/>
        <v>26.93</v>
      </c>
      <c r="AY94" s="41">
        <f t="shared" si="340"/>
        <v>5.9299999999999926</v>
      </c>
      <c r="AZ94" s="40">
        <f t="shared" si="341"/>
        <v>0.2202005198663198</v>
      </c>
      <c r="BA94" s="30">
        <v>1.58</v>
      </c>
      <c r="BB94" s="33">
        <f t="shared" si="342"/>
        <v>0.34791682138878532</v>
      </c>
      <c r="BD94" s="43">
        <v>180</v>
      </c>
      <c r="BE94" s="41">
        <v>50.45</v>
      </c>
      <c r="BF94" s="42">
        <v>81.42</v>
      </c>
      <c r="BG94" s="32">
        <f t="shared" si="343"/>
        <v>30.97</v>
      </c>
      <c r="BH94" s="41">
        <v>76.709999999999994</v>
      </c>
      <c r="BI94" s="32">
        <f t="shared" si="344"/>
        <v>26.259999999999991</v>
      </c>
      <c r="BJ94" s="41">
        <f t="shared" si="345"/>
        <v>4.710000000000008</v>
      </c>
      <c r="BK94" s="40">
        <f t="shared" si="346"/>
        <v>0.17936024371667972</v>
      </c>
      <c r="BL94" s="30">
        <v>1.58</v>
      </c>
      <c r="BM94" s="33">
        <f t="shared" si="347"/>
        <v>0.28338918507235394</v>
      </c>
      <c r="BO94" s="43">
        <v>180</v>
      </c>
      <c r="BP94" s="41">
        <v>41.53</v>
      </c>
      <c r="BQ94" s="42">
        <v>75.66</v>
      </c>
      <c r="BR94" s="32">
        <f t="shared" si="348"/>
        <v>34.129999999999995</v>
      </c>
      <c r="BS94" s="41">
        <v>71.59</v>
      </c>
      <c r="BT94" s="32">
        <f t="shared" si="349"/>
        <v>30.060000000000002</v>
      </c>
      <c r="BU94" s="41">
        <f t="shared" si="350"/>
        <v>4.0699999999999932</v>
      </c>
      <c r="BV94" s="40">
        <f t="shared" si="351"/>
        <v>0.13539587491683278</v>
      </c>
      <c r="BW94" s="30">
        <v>1.58</v>
      </c>
      <c r="BX94" s="33">
        <f t="shared" si="352"/>
        <v>0.21392548236859579</v>
      </c>
      <c r="BZ94" s="43">
        <v>180</v>
      </c>
      <c r="CA94" s="41">
        <v>42.4</v>
      </c>
      <c r="CB94" s="42">
        <v>72.650000000000006</v>
      </c>
      <c r="CC94" s="32">
        <f t="shared" si="353"/>
        <v>30.250000000000007</v>
      </c>
      <c r="CD94" s="41">
        <v>67.42</v>
      </c>
      <c r="CE94" s="32">
        <f t="shared" si="354"/>
        <v>25.020000000000003</v>
      </c>
      <c r="CF94" s="41">
        <f t="shared" si="355"/>
        <v>5.230000000000004</v>
      </c>
      <c r="CG94" s="40">
        <f t="shared" si="356"/>
        <v>0.20903277378097535</v>
      </c>
      <c r="CH94" s="30">
        <v>1.58</v>
      </c>
      <c r="CI94" s="33">
        <f t="shared" si="357"/>
        <v>0.33027178257394108</v>
      </c>
    </row>
    <row r="95" spans="1:87" ht="13.5" thickBot="1" x14ac:dyDescent="0.25">
      <c r="A95" s="37"/>
      <c r="B95" s="35"/>
      <c r="C95" s="35"/>
      <c r="D95" s="35"/>
      <c r="E95" s="35"/>
      <c r="F95" s="36"/>
      <c r="G95" s="35"/>
      <c r="H95" s="39"/>
      <c r="I95" s="32"/>
      <c r="K95" s="32"/>
      <c r="L95" s="38"/>
      <c r="M95" s="35"/>
      <c r="N95" s="35"/>
      <c r="O95" s="35"/>
      <c r="P95" s="35"/>
      <c r="Q95" s="36"/>
      <c r="R95" s="35"/>
      <c r="S95" s="34"/>
      <c r="T95" s="32"/>
      <c r="W95" s="37"/>
      <c r="X95" s="35"/>
      <c r="Y95" s="35"/>
      <c r="Z95" s="35"/>
      <c r="AA95" s="35"/>
      <c r="AB95" s="36"/>
      <c r="AC95" s="35"/>
      <c r="AD95" s="34"/>
      <c r="AE95" s="32"/>
      <c r="AH95" s="37"/>
      <c r="AI95" s="35"/>
      <c r="AJ95" s="35"/>
      <c r="AK95" s="35"/>
      <c r="AL95" s="35"/>
      <c r="AM95" s="36"/>
      <c r="AN95" s="35">
        <f>AM95-AL95-AJ95</f>
        <v>0</v>
      </c>
      <c r="AO95" s="34"/>
      <c r="AP95" s="32"/>
      <c r="AS95" s="37"/>
      <c r="AT95" s="35"/>
      <c r="AU95" s="35"/>
      <c r="AV95" s="35"/>
      <c r="AW95" s="35"/>
      <c r="AX95" s="36"/>
      <c r="AY95" s="35">
        <f>AX95-AW95-AU95</f>
        <v>0</v>
      </c>
      <c r="AZ95" s="34"/>
      <c r="BA95" s="32"/>
      <c r="BD95" s="37"/>
      <c r="BE95" s="35"/>
      <c r="BF95" s="35"/>
      <c r="BG95" s="35"/>
      <c r="BH95" s="35"/>
      <c r="BI95" s="36"/>
      <c r="BJ95" s="35"/>
      <c r="BK95" s="34"/>
      <c r="BL95" s="32"/>
      <c r="BO95" s="37"/>
      <c r="BP95" s="35"/>
      <c r="BQ95" s="35"/>
      <c r="BR95" s="35"/>
      <c r="BS95" s="35"/>
      <c r="BT95" s="36"/>
      <c r="BU95" s="35"/>
      <c r="BV95" s="34"/>
      <c r="BW95" s="32"/>
      <c r="BZ95" s="37"/>
      <c r="CA95" s="35"/>
      <c r="CB95" s="35"/>
      <c r="CC95" s="35"/>
      <c r="CD95" s="35"/>
      <c r="CE95" s="36"/>
      <c r="CF95" s="35"/>
      <c r="CG95" s="34"/>
    </row>
    <row r="96" spans="1:87" ht="13.5" thickTop="1" x14ac:dyDescent="0.2"/>
    <row r="98" spans="1:87" ht="13.5" thickBot="1" x14ac:dyDescent="0.25">
      <c r="D98" s="30" t="s">
        <v>135</v>
      </c>
      <c r="O98" s="30" t="s">
        <v>135</v>
      </c>
      <c r="Z98" s="30" t="s">
        <v>135</v>
      </c>
      <c r="AK98" s="30" t="s">
        <v>135</v>
      </c>
      <c r="AV98" s="30" t="s">
        <v>135</v>
      </c>
      <c r="BG98" s="30" t="s">
        <v>135</v>
      </c>
      <c r="BR98" s="30" t="s">
        <v>135</v>
      </c>
      <c r="CC98" s="30" t="s">
        <v>135</v>
      </c>
    </row>
    <row r="99" spans="1:87" ht="13.5" thickBot="1" x14ac:dyDescent="0.25">
      <c r="A99" s="30" t="s">
        <v>134</v>
      </c>
      <c r="B99" s="58" t="s">
        <v>126</v>
      </c>
      <c r="C99" s="57"/>
      <c r="D99" s="57"/>
      <c r="E99" s="57"/>
      <c r="F99" s="56"/>
      <c r="G99" s="32"/>
      <c r="H99" s="32"/>
      <c r="I99" s="32"/>
      <c r="L99" s="30" t="s">
        <v>133</v>
      </c>
      <c r="M99" s="58" t="s">
        <v>126</v>
      </c>
      <c r="N99" s="57"/>
      <c r="O99" s="57"/>
      <c r="P99" s="57"/>
      <c r="Q99" s="56"/>
      <c r="R99" s="32"/>
      <c r="S99" s="32"/>
      <c r="T99" s="32"/>
      <c r="W99" s="30" t="s">
        <v>132</v>
      </c>
      <c r="X99" s="58" t="s">
        <v>126</v>
      </c>
      <c r="Y99" s="57"/>
      <c r="Z99" s="57"/>
      <c r="AA99" s="57"/>
      <c r="AB99" s="56"/>
      <c r="AC99" s="32"/>
      <c r="AD99" s="32"/>
      <c r="AE99" s="32"/>
      <c r="AH99" s="30" t="s">
        <v>131</v>
      </c>
      <c r="AI99" s="58" t="s">
        <v>126</v>
      </c>
      <c r="AJ99" s="57"/>
      <c r="AK99" s="57"/>
      <c r="AL99" s="57"/>
      <c r="AM99" s="56"/>
      <c r="AN99" s="32"/>
      <c r="AO99" s="32"/>
      <c r="AP99" s="32"/>
      <c r="AS99" s="30" t="s">
        <v>130</v>
      </c>
      <c r="AT99" s="58" t="s">
        <v>126</v>
      </c>
      <c r="AU99" s="57"/>
      <c r="AV99" s="57"/>
      <c r="AW99" s="57"/>
      <c r="AX99" s="56"/>
      <c r="AY99" s="32"/>
      <c r="AZ99" s="32"/>
      <c r="BA99" s="32"/>
      <c r="BD99" s="30" t="s">
        <v>129</v>
      </c>
      <c r="BE99" s="58" t="s">
        <v>126</v>
      </c>
      <c r="BF99" s="57"/>
      <c r="BG99" s="57"/>
      <c r="BH99" s="57"/>
      <c r="BI99" s="56"/>
      <c r="BJ99" s="32"/>
      <c r="BK99" s="32"/>
      <c r="BL99" s="32"/>
      <c r="BO99" s="30" t="s">
        <v>128</v>
      </c>
      <c r="BP99" s="58" t="s">
        <v>126</v>
      </c>
      <c r="BQ99" s="57"/>
      <c r="BR99" s="57"/>
      <c r="BS99" s="57"/>
      <c r="BT99" s="56"/>
      <c r="BU99" s="32"/>
      <c r="BV99" s="32"/>
      <c r="BW99" s="32"/>
      <c r="BZ99" s="30" t="s">
        <v>127</v>
      </c>
      <c r="CA99" s="58" t="s">
        <v>126</v>
      </c>
      <c r="CB99" s="57"/>
      <c r="CC99" s="57"/>
      <c r="CD99" s="57"/>
      <c r="CE99" s="56"/>
      <c r="CF99" s="32"/>
      <c r="CG99" s="32"/>
    </row>
    <row r="100" spans="1:87" ht="51.75" thickBot="1" x14ac:dyDescent="0.25">
      <c r="A100" s="55" t="s">
        <v>125</v>
      </c>
      <c r="B100" s="54" t="s">
        <v>122</v>
      </c>
      <c r="C100" s="54" t="s">
        <v>121</v>
      </c>
      <c r="D100" s="53" t="s">
        <v>120</v>
      </c>
      <c r="E100" s="52" t="s">
        <v>119</v>
      </c>
      <c r="F100" s="51" t="s">
        <v>118</v>
      </c>
      <c r="G100" s="50" t="s">
        <v>117</v>
      </c>
      <c r="H100" s="50" t="s">
        <v>116</v>
      </c>
      <c r="I100" s="49" t="s">
        <v>115</v>
      </c>
      <c r="J100" s="48" t="s">
        <v>114</v>
      </c>
      <c r="L100" s="55" t="s">
        <v>125</v>
      </c>
      <c r="M100" s="54" t="s">
        <v>122</v>
      </c>
      <c r="N100" s="54" t="s">
        <v>121</v>
      </c>
      <c r="O100" s="53" t="s">
        <v>120</v>
      </c>
      <c r="P100" s="52" t="s">
        <v>119</v>
      </c>
      <c r="Q100" s="51" t="s">
        <v>118</v>
      </c>
      <c r="R100" s="50" t="s">
        <v>117</v>
      </c>
      <c r="S100" s="50" t="s">
        <v>116</v>
      </c>
      <c r="T100" s="49" t="s">
        <v>115</v>
      </c>
      <c r="U100" s="48" t="s">
        <v>114</v>
      </c>
      <c r="W100" s="55" t="s">
        <v>125</v>
      </c>
      <c r="X100" s="54" t="s">
        <v>122</v>
      </c>
      <c r="Y100" s="54" t="s">
        <v>121</v>
      </c>
      <c r="Z100" s="53" t="s">
        <v>120</v>
      </c>
      <c r="AA100" s="52" t="s">
        <v>119</v>
      </c>
      <c r="AB100" s="51" t="s">
        <v>118</v>
      </c>
      <c r="AC100" s="50" t="s">
        <v>117</v>
      </c>
      <c r="AD100" s="50" t="s">
        <v>116</v>
      </c>
      <c r="AE100" s="49" t="s">
        <v>115</v>
      </c>
      <c r="AF100" s="48" t="s">
        <v>114</v>
      </c>
      <c r="AH100" s="55" t="s">
        <v>125</v>
      </c>
      <c r="AI100" s="54" t="s">
        <v>122</v>
      </c>
      <c r="AJ100" s="54" t="s">
        <v>121</v>
      </c>
      <c r="AK100" s="53" t="s">
        <v>120</v>
      </c>
      <c r="AL100" s="52" t="s">
        <v>119</v>
      </c>
      <c r="AM100" s="51" t="s">
        <v>118</v>
      </c>
      <c r="AN100" s="50" t="s">
        <v>117</v>
      </c>
      <c r="AO100" s="50" t="s">
        <v>116</v>
      </c>
      <c r="AP100" s="49" t="s">
        <v>115</v>
      </c>
      <c r="AQ100" s="48" t="s">
        <v>114</v>
      </c>
      <c r="AS100" s="55" t="s">
        <v>125</v>
      </c>
      <c r="AT100" s="54" t="s">
        <v>122</v>
      </c>
      <c r="AU100" s="54" t="s">
        <v>121</v>
      </c>
      <c r="AV100" s="53" t="s">
        <v>120</v>
      </c>
      <c r="AW100" s="52" t="s">
        <v>119</v>
      </c>
      <c r="AX100" s="51" t="s">
        <v>118</v>
      </c>
      <c r="AY100" s="50" t="s">
        <v>117</v>
      </c>
      <c r="AZ100" s="50" t="s">
        <v>116</v>
      </c>
      <c r="BA100" s="49" t="s">
        <v>115</v>
      </c>
      <c r="BB100" s="48" t="s">
        <v>114</v>
      </c>
      <c r="BD100" s="55" t="s">
        <v>125</v>
      </c>
      <c r="BE100" s="54" t="s">
        <v>122</v>
      </c>
      <c r="BF100" s="54" t="s">
        <v>121</v>
      </c>
      <c r="BG100" s="53" t="s">
        <v>120</v>
      </c>
      <c r="BH100" s="52" t="s">
        <v>119</v>
      </c>
      <c r="BI100" s="51" t="s">
        <v>118</v>
      </c>
      <c r="BJ100" s="50" t="s">
        <v>117</v>
      </c>
      <c r="BK100" s="50" t="s">
        <v>116</v>
      </c>
      <c r="BL100" s="49" t="s">
        <v>115</v>
      </c>
      <c r="BM100" s="48" t="s">
        <v>114</v>
      </c>
      <c r="BO100" s="55" t="s">
        <v>125</v>
      </c>
      <c r="BP100" s="54" t="s">
        <v>122</v>
      </c>
      <c r="BQ100" s="54" t="s">
        <v>121</v>
      </c>
      <c r="BR100" s="53" t="s">
        <v>120</v>
      </c>
      <c r="BS100" s="52" t="s">
        <v>119</v>
      </c>
      <c r="BT100" s="51" t="s">
        <v>118</v>
      </c>
      <c r="BU100" s="50" t="s">
        <v>117</v>
      </c>
      <c r="BV100" s="50" t="s">
        <v>116</v>
      </c>
      <c r="BW100" s="49" t="s">
        <v>115</v>
      </c>
      <c r="BX100" s="48" t="s">
        <v>114</v>
      </c>
      <c r="BZ100" s="55" t="s">
        <v>125</v>
      </c>
      <c r="CA100" s="54" t="s">
        <v>122</v>
      </c>
      <c r="CB100" s="54" t="s">
        <v>121</v>
      </c>
      <c r="CC100" s="53" t="s">
        <v>120</v>
      </c>
      <c r="CD100" s="52" t="s">
        <v>119</v>
      </c>
      <c r="CE100" s="51" t="s">
        <v>118</v>
      </c>
      <c r="CF100" s="50" t="s">
        <v>117</v>
      </c>
      <c r="CG100" s="50" t="s">
        <v>116</v>
      </c>
      <c r="CH100" s="49" t="s">
        <v>115</v>
      </c>
      <c r="CI100" s="48" t="s">
        <v>114</v>
      </c>
    </row>
    <row r="101" spans="1:87" ht="13.5" thickTop="1" x14ac:dyDescent="0.2">
      <c r="A101" s="47">
        <v>30</v>
      </c>
      <c r="B101" s="45">
        <v>27.2</v>
      </c>
      <c r="C101" s="46">
        <v>51.29</v>
      </c>
      <c r="D101" s="32">
        <f t="shared" ref="D101:D106" si="358">C101-B101</f>
        <v>24.09</v>
      </c>
      <c r="E101" s="45">
        <v>49.74</v>
      </c>
      <c r="F101" s="32">
        <f t="shared" ref="F101:F106" si="359">E101-B101</f>
        <v>22.540000000000003</v>
      </c>
      <c r="G101" s="45">
        <f t="shared" ref="G101:G106" si="360">D101-F101</f>
        <v>1.5499999999999972</v>
      </c>
      <c r="H101" s="44">
        <f t="shared" ref="H101:H106" si="361">(G101/F101)</f>
        <v>6.8766637089618318E-2</v>
      </c>
      <c r="I101" s="30">
        <v>1.49</v>
      </c>
      <c r="J101" s="33">
        <f t="shared" ref="J101:J106" si="362">H101*I101</f>
        <v>0.10246228926353129</v>
      </c>
      <c r="L101" s="47">
        <v>30</v>
      </c>
      <c r="M101" s="45">
        <v>26.8</v>
      </c>
      <c r="N101" s="46">
        <v>55.28</v>
      </c>
      <c r="O101" s="32">
        <f t="shared" ref="O101:O106" si="363">N101-M101</f>
        <v>28.48</v>
      </c>
      <c r="P101" s="45">
        <v>52.94</v>
      </c>
      <c r="Q101" s="32">
        <f t="shared" ref="Q101:Q106" si="364">P101-M101</f>
        <v>26.139999999999997</v>
      </c>
      <c r="R101" s="45">
        <f t="shared" ref="R101:R106" si="365">O101-Q101</f>
        <v>2.3400000000000034</v>
      </c>
      <c r="S101" s="44">
        <f t="shared" ref="S101:S106" si="366">(R101/Q101)</f>
        <v>8.9517980107115674E-2</v>
      </c>
      <c r="T101" s="30">
        <v>1.49</v>
      </c>
      <c r="U101" s="33">
        <f t="shared" ref="U101:U106" si="367">S101*T101</f>
        <v>0.13338179035960235</v>
      </c>
      <c r="W101" s="47">
        <v>30</v>
      </c>
      <c r="X101" s="45">
        <v>27.52</v>
      </c>
      <c r="Y101" s="46">
        <v>51.01</v>
      </c>
      <c r="Z101" s="32">
        <f t="shared" ref="Z101:Z106" si="368">Y101-X101</f>
        <v>23.49</v>
      </c>
      <c r="AA101" s="45">
        <v>48.76</v>
      </c>
      <c r="AB101" s="32">
        <f t="shared" ref="AB101:AB106" si="369">AA101-X101</f>
        <v>21.24</v>
      </c>
      <c r="AC101" s="45">
        <f t="shared" ref="AC101:AC106" si="370">Z101-AB101</f>
        <v>2.25</v>
      </c>
      <c r="AD101" s="44">
        <f t="shared" ref="AD101:AD106" si="371">(AC101/AB101)</f>
        <v>0.10593220338983052</v>
      </c>
      <c r="AE101" s="30">
        <v>1.49</v>
      </c>
      <c r="AF101" s="33">
        <f t="shared" ref="AF101:AF106" si="372">AD101*AE101</f>
        <v>0.15783898305084748</v>
      </c>
      <c r="AH101" s="47">
        <v>30</v>
      </c>
      <c r="AI101" s="45">
        <v>36.17</v>
      </c>
      <c r="AJ101" s="46">
        <v>63.84</v>
      </c>
      <c r="AK101" s="32">
        <f t="shared" ref="AK101:AK106" si="373">AJ101-AI101</f>
        <v>27.67</v>
      </c>
      <c r="AL101" s="45">
        <v>60.72</v>
      </c>
      <c r="AM101" s="32">
        <f t="shared" ref="AM101:AM106" si="374">AL101-AI101</f>
        <v>24.549999999999997</v>
      </c>
      <c r="AN101" s="45">
        <f t="shared" ref="AN101:AN106" si="375">AK101-AM101</f>
        <v>3.1200000000000045</v>
      </c>
      <c r="AO101" s="44">
        <f t="shared" ref="AO101:AO106" si="376">(AN101/AM101)</f>
        <v>0.12708757637474563</v>
      </c>
      <c r="AP101" s="30">
        <v>1.49</v>
      </c>
      <c r="AQ101" s="33">
        <f t="shared" ref="AQ101:AQ106" si="377">AO101*AP101</f>
        <v>0.189360488798371</v>
      </c>
      <c r="AS101" s="47">
        <v>30</v>
      </c>
      <c r="AT101" s="45">
        <v>24.53</v>
      </c>
      <c r="AU101" s="46">
        <v>47.75</v>
      </c>
      <c r="AV101" s="32">
        <f t="shared" ref="AV101:AV106" si="378">AU101-AT101</f>
        <v>23.22</v>
      </c>
      <c r="AW101" s="45">
        <v>46.11</v>
      </c>
      <c r="AX101" s="32">
        <f t="shared" ref="AX101:AX106" si="379">AW101-AT101</f>
        <v>21.58</v>
      </c>
      <c r="AY101" s="45">
        <f t="shared" ref="AY101:AY106" si="380">AV101-AX101</f>
        <v>1.6400000000000006</v>
      </c>
      <c r="AZ101" s="44">
        <f t="shared" ref="AZ101:AZ106" si="381">(AY101/AX101)</f>
        <v>7.5996292863762777E-2</v>
      </c>
      <c r="BA101" s="30">
        <v>1.49</v>
      </c>
      <c r="BB101" s="33">
        <f t="shared" ref="BB101:BB106" si="382">AZ101*BA101</f>
        <v>0.11323447636700654</v>
      </c>
      <c r="BD101" s="47">
        <v>30</v>
      </c>
      <c r="BE101" s="45">
        <v>29.1</v>
      </c>
      <c r="BF101" s="46">
        <v>54.6</v>
      </c>
      <c r="BG101" s="32">
        <f t="shared" ref="BG101:BG106" si="383">BF101-BE101</f>
        <v>25.5</v>
      </c>
      <c r="BH101" s="45">
        <v>52.9</v>
      </c>
      <c r="BI101" s="32">
        <f t="shared" ref="BI101:BI106" si="384">BH101-BE101</f>
        <v>23.799999999999997</v>
      </c>
      <c r="BJ101" s="45">
        <f t="shared" ref="BJ101:BJ106" si="385">BG101-BI101</f>
        <v>1.7000000000000028</v>
      </c>
      <c r="BK101" s="44">
        <f t="shared" ref="BK101:BK106" si="386">(BJ101/BI101)</f>
        <v>7.1428571428571563E-2</v>
      </c>
      <c r="BL101" s="30">
        <v>1.49</v>
      </c>
      <c r="BM101" s="33">
        <f t="shared" ref="BM101:BM106" si="387">BK101*BL101</f>
        <v>0.10642857142857162</v>
      </c>
      <c r="BO101" s="47">
        <v>30</v>
      </c>
      <c r="BP101" s="45">
        <v>35.369999999999997</v>
      </c>
      <c r="BQ101" s="46">
        <v>59.85</v>
      </c>
      <c r="BR101" s="32">
        <f t="shared" ref="BR101:BR106" si="388">BQ101-BP101</f>
        <v>24.480000000000004</v>
      </c>
      <c r="BS101" s="45">
        <v>58.09</v>
      </c>
      <c r="BT101" s="32">
        <f t="shared" ref="BT101:BT106" si="389">BS101-BP101</f>
        <v>22.720000000000006</v>
      </c>
      <c r="BU101" s="45">
        <f t="shared" ref="BU101:BU106" si="390">BR101-BT101</f>
        <v>1.759999999999998</v>
      </c>
      <c r="BV101" s="44">
        <f t="shared" ref="BV101:BV106" si="391">(BU101/BT101)</f>
        <v>7.7464788732394263E-2</v>
      </c>
      <c r="BW101" s="30">
        <v>1.49</v>
      </c>
      <c r="BX101" s="33">
        <f t="shared" ref="BX101:BX106" si="392">BV101*BW101</f>
        <v>0.11542253521126745</v>
      </c>
      <c r="BZ101" s="47">
        <v>30</v>
      </c>
      <c r="CA101" s="45">
        <v>18.84</v>
      </c>
      <c r="CB101" s="46">
        <v>43.9</v>
      </c>
      <c r="CC101" s="32">
        <f t="shared" ref="CC101:CC106" si="393">CB101-CA101</f>
        <v>25.06</v>
      </c>
      <c r="CD101" s="45">
        <v>42.2</v>
      </c>
      <c r="CE101" s="32">
        <f t="shared" ref="CE101:CE106" si="394">CD101-CA101</f>
        <v>23.360000000000003</v>
      </c>
      <c r="CF101" s="45">
        <f t="shared" ref="CF101:CF106" si="395">CC101-CE101</f>
        <v>1.6999999999999957</v>
      </c>
      <c r="CG101" s="44">
        <f t="shared" ref="CG101:CG106" si="396">(CF101/CE101)</f>
        <v>7.2773972602739531E-2</v>
      </c>
      <c r="CH101" s="30">
        <v>1.49</v>
      </c>
      <c r="CI101" s="33">
        <f t="shared" ref="CI101:CI106" si="397">CG101*CH101</f>
        <v>0.10843321917808191</v>
      </c>
    </row>
    <row r="102" spans="1:87" x14ac:dyDescent="0.2">
      <c r="A102" s="43">
        <v>60</v>
      </c>
      <c r="B102" s="41">
        <v>32.450000000000003</v>
      </c>
      <c r="C102" s="42">
        <v>62.23</v>
      </c>
      <c r="D102" s="32">
        <f t="shared" si="358"/>
        <v>29.779999999999994</v>
      </c>
      <c r="E102" s="41">
        <v>59.8</v>
      </c>
      <c r="F102" s="32">
        <f t="shared" si="359"/>
        <v>27.349999999999994</v>
      </c>
      <c r="G102" s="41">
        <f t="shared" si="360"/>
        <v>2.4299999999999997</v>
      </c>
      <c r="H102" s="40">
        <f t="shared" si="361"/>
        <v>8.8848263254113352E-2</v>
      </c>
      <c r="I102" s="30">
        <v>1.42</v>
      </c>
      <c r="J102" s="33">
        <f t="shared" si="362"/>
        <v>0.12616453382084095</v>
      </c>
      <c r="L102" s="43">
        <v>60</v>
      </c>
      <c r="M102" s="41">
        <v>27.88</v>
      </c>
      <c r="N102" s="42">
        <v>52.26</v>
      </c>
      <c r="O102" s="32">
        <f t="shared" si="363"/>
        <v>24.38</v>
      </c>
      <c r="P102" s="41">
        <v>49.32</v>
      </c>
      <c r="Q102" s="32">
        <f t="shared" si="364"/>
        <v>21.44</v>
      </c>
      <c r="R102" s="41">
        <f t="shared" si="365"/>
        <v>2.9399999999999977</v>
      </c>
      <c r="S102" s="40">
        <f t="shared" si="366"/>
        <v>0.13712686567164167</v>
      </c>
      <c r="T102" s="30">
        <v>1.42</v>
      </c>
      <c r="U102" s="33">
        <f t="shared" si="367"/>
        <v>0.19472014925373116</v>
      </c>
      <c r="W102" s="43">
        <v>60</v>
      </c>
      <c r="X102" s="41">
        <v>24.95</v>
      </c>
      <c r="Y102" s="42">
        <v>45.51</v>
      </c>
      <c r="Z102" s="32">
        <f t="shared" si="368"/>
        <v>20.56</v>
      </c>
      <c r="AA102" s="41">
        <v>44.08</v>
      </c>
      <c r="AB102" s="32">
        <f t="shared" si="369"/>
        <v>19.13</v>
      </c>
      <c r="AC102" s="41">
        <f t="shared" si="370"/>
        <v>1.4299999999999997</v>
      </c>
      <c r="AD102" s="40">
        <f t="shared" si="371"/>
        <v>7.4751698902247768E-2</v>
      </c>
      <c r="AE102" s="30">
        <v>1.42</v>
      </c>
      <c r="AF102" s="33">
        <f t="shared" si="372"/>
        <v>0.10614741244119183</v>
      </c>
      <c r="AH102" s="43">
        <v>60</v>
      </c>
      <c r="AI102" s="41">
        <v>26.66</v>
      </c>
      <c r="AJ102" s="42">
        <v>51.38</v>
      </c>
      <c r="AK102" s="32">
        <f t="shared" si="373"/>
        <v>24.720000000000002</v>
      </c>
      <c r="AL102" s="41">
        <v>49.15</v>
      </c>
      <c r="AM102" s="32">
        <f t="shared" si="374"/>
        <v>22.49</v>
      </c>
      <c r="AN102" s="41">
        <f t="shared" si="375"/>
        <v>2.230000000000004</v>
      </c>
      <c r="AO102" s="40">
        <f t="shared" si="376"/>
        <v>9.9155180080035751E-2</v>
      </c>
      <c r="AP102" s="30">
        <v>1.42</v>
      </c>
      <c r="AQ102" s="33">
        <f t="shared" si="377"/>
        <v>0.14080035571365077</v>
      </c>
      <c r="AS102" s="43">
        <v>60</v>
      </c>
      <c r="AT102" s="41">
        <v>18.010000000000002</v>
      </c>
      <c r="AU102" s="42">
        <v>45.67</v>
      </c>
      <c r="AV102" s="32">
        <f t="shared" si="378"/>
        <v>27.66</v>
      </c>
      <c r="AW102" s="41">
        <v>42.76</v>
      </c>
      <c r="AX102" s="32">
        <f t="shared" si="379"/>
        <v>24.749999999999996</v>
      </c>
      <c r="AY102" s="41">
        <f t="shared" si="380"/>
        <v>2.9100000000000037</v>
      </c>
      <c r="AZ102" s="40">
        <f t="shared" si="381"/>
        <v>0.11757575757575774</v>
      </c>
      <c r="BA102" s="30">
        <v>1.42</v>
      </c>
      <c r="BB102" s="33">
        <f t="shared" si="382"/>
        <v>0.16695757575757597</v>
      </c>
      <c r="BD102" s="43">
        <v>60</v>
      </c>
      <c r="BE102" s="41">
        <v>23.66</v>
      </c>
      <c r="BF102" s="42">
        <v>46.01</v>
      </c>
      <c r="BG102" s="32">
        <f t="shared" si="383"/>
        <v>22.349999999999998</v>
      </c>
      <c r="BH102" s="41">
        <v>43.78</v>
      </c>
      <c r="BI102" s="32">
        <f t="shared" si="384"/>
        <v>20.12</v>
      </c>
      <c r="BJ102" s="41">
        <f t="shared" si="385"/>
        <v>2.2299999999999969</v>
      </c>
      <c r="BK102" s="40">
        <f t="shared" si="386"/>
        <v>0.11083499005964198</v>
      </c>
      <c r="BL102" s="30">
        <v>1.42</v>
      </c>
      <c r="BM102" s="33">
        <f t="shared" si="387"/>
        <v>0.1573856858846916</v>
      </c>
      <c r="BO102" s="43">
        <v>60</v>
      </c>
      <c r="BP102" s="41">
        <v>24.23</v>
      </c>
      <c r="BQ102" s="42">
        <v>52.006</v>
      </c>
      <c r="BR102" s="32">
        <f t="shared" si="388"/>
        <v>27.776</v>
      </c>
      <c r="BS102" s="41">
        <v>49.32</v>
      </c>
      <c r="BT102" s="32">
        <f t="shared" si="389"/>
        <v>25.09</v>
      </c>
      <c r="BU102" s="41">
        <f t="shared" si="390"/>
        <v>2.6859999999999999</v>
      </c>
      <c r="BV102" s="40">
        <f t="shared" si="391"/>
        <v>0.10705460342766042</v>
      </c>
      <c r="BW102" s="30">
        <v>1.42</v>
      </c>
      <c r="BX102" s="33">
        <f t="shared" si="392"/>
        <v>0.15201753686727779</v>
      </c>
      <c r="BZ102" s="43">
        <v>60</v>
      </c>
      <c r="CA102" s="41">
        <v>19.09</v>
      </c>
      <c r="CB102" s="42">
        <v>43.05</v>
      </c>
      <c r="CC102" s="32">
        <f t="shared" si="393"/>
        <v>23.959999999999997</v>
      </c>
      <c r="CD102" s="41">
        <v>41.22</v>
      </c>
      <c r="CE102" s="32">
        <f t="shared" si="394"/>
        <v>22.13</v>
      </c>
      <c r="CF102" s="41">
        <f t="shared" si="395"/>
        <v>1.8299999999999983</v>
      </c>
      <c r="CG102" s="40">
        <f t="shared" si="396"/>
        <v>8.269317668323535E-2</v>
      </c>
      <c r="CH102" s="30">
        <v>1.42</v>
      </c>
      <c r="CI102" s="33">
        <f t="shared" si="397"/>
        <v>0.11742431089019419</v>
      </c>
    </row>
    <row r="103" spans="1:87" x14ac:dyDescent="0.2">
      <c r="A103" s="43">
        <v>90</v>
      </c>
      <c r="B103" s="41">
        <v>36.01</v>
      </c>
      <c r="C103" s="42">
        <v>65.150000000000006</v>
      </c>
      <c r="D103" s="32">
        <f t="shared" si="358"/>
        <v>29.140000000000008</v>
      </c>
      <c r="E103" s="41">
        <v>62.29</v>
      </c>
      <c r="F103" s="32">
        <f t="shared" si="359"/>
        <v>26.28</v>
      </c>
      <c r="G103" s="41">
        <f t="shared" si="360"/>
        <v>2.8600000000000065</v>
      </c>
      <c r="H103" s="40">
        <f t="shared" si="361"/>
        <v>0.1088280060882803</v>
      </c>
      <c r="I103" s="30">
        <v>1.58</v>
      </c>
      <c r="J103" s="33">
        <f t="shared" si="362"/>
        <v>0.17194824961948288</v>
      </c>
      <c r="L103" s="43">
        <v>90</v>
      </c>
      <c r="M103" s="41">
        <v>35.96</v>
      </c>
      <c r="N103" s="42">
        <v>66.95</v>
      </c>
      <c r="O103" s="32">
        <f t="shared" si="363"/>
        <v>30.990000000000002</v>
      </c>
      <c r="P103" s="41">
        <v>64.33</v>
      </c>
      <c r="Q103" s="32">
        <f t="shared" si="364"/>
        <v>28.369999999999997</v>
      </c>
      <c r="R103" s="41">
        <f t="shared" si="365"/>
        <v>2.6200000000000045</v>
      </c>
      <c r="S103" s="40">
        <f t="shared" si="366"/>
        <v>9.23510750793093E-2</v>
      </c>
      <c r="T103" s="30">
        <v>1.58</v>
      </c>
      <c r="U103" s="33">
        <f t="shared" si="367"/>
        <v>0.1459146986253087</v>
      </c>
      <c r="W103" s="43">
        <v>90</v>
      </c>
      <c r="X103" s="41">
        <v>27.37</v>
      </c>
      <c r="Y103" s="42">
        <v>50.87</v>
      </c>
      <c r="Z103" s="32">
        <f t="shared" si="368"/>
        <v>23.499999999999996</v>
      </c>
      <c r="AA103" s="41">
        <v>48.4</v>
      </c>
      <c r="AB103" s="32">
        <f t="shared" si="369"/>
        <v>21.029999999999998</v>
      </c>
      <c r="AC103" s="41">
        <f t="shared" si="370"/>
        <v>2.4699999999999989</v>
      </c>
      <c r="AD103" s="40">
        <f t="shared" si="371"/>
        <v>0.11745126010461242</v>
      </c>
      <c r="AE103" s="30">
        <v>1.58</v>
      </c>
      <c r="AF103" s="33">
        <f t="shared" si="372"/>
        <v>0.18557299096528762</v>
      </c>
      <c r="AH103" s="43">
        <v>90</v>
      </c>
      <c r="AI103" s="41">
        <v>27.18</v>
      </c>
      <c r="AJ103" s="42">
        <v>53.26</v>
      </c>
      <c r="AK103" s="32">
        <f t="shared" si="373"/>
        <v>26.08</v>
      </c>
      <c r="AL103" s="41">
        <v>51.44</v>
      </c>
      <c r="AM103" s="32">
        <f t="shared" si="374"/>
        <v>24.259999999999998</v>
      </c>
      <c r="AN103" s="41">
        <f t="shared" si="375"/>
        <v>1.8200000000000003</v>
      </c>
      <c r="AO103" s="40">
        <f t="shared" si="376"/>
        <v>7.5020610057708173E-2</v>
      </c>
      <c r="AP103" s="30">
        <v>1.58</v>
      </c>
      <c r="AQ103" s="33">
        <f t="shared" si="377"/>
        <v>0.11853256389117892</v>
      </c>
      <c r="AS103" s="43">
        <v>90</v>
      </c>
      <c r="AT103" s="41">
        <v>29.9</v>
      </c>
      <c r="AU103" s="42">
        <v>54.3</v>
      </c>
      <c r="AV103" s="32">
        <f t="shared" si="378"/>
        <v>24.4</v>
      </c>
      <c r="AW103" s="41">
        <v>51.4</v>
      </c>
      <c r="AX103" s="32">
        <f t="shared" si="379"/>
        <v>21.5</v>
      </c>
      <c r="AY103" s="41">
        <f t="shared" si="380"/>
        <v>2.8999999999999986</v>
      </c>
      <c r="AZ103" s="40">
        <f t="shared" si="381"/>
        <v>0.13488372093023249</v>
      </c>
      <c r="BA103" s="30">
        <v>1.58</v>
      </c>
      <c r="BB103" s="33">
        <f t="shared" si="382"/>
        <v>0.21311627906976735</v>
      </c>
      <c r="BD103" s="43">
        <v>90</v>
      </c>
      <c r="BE103" s="41">
        <v>30</v>
      </c>
      <c r="BF103" s="42">
        <v>54.6</v>
      </c>
      <c r="BG103" s="32">
        <f t="shared" si="383"/>
        <v>24.6</v>
      </c>
      <c r="BH103" s="41">
        <v>52</v>
      </c>
      <c r="BI103" s="32">
        <f t="shared" si="384"/>
        <v>22</v>
      </c>
      <c r="BJ103" s="41">
        <f t="shared" si="385"/>
        <v>2.6000000000000014</v>
      </c>
      <c r="BK103" s="40">
        <f t="shared" si="386"/>
        <v>0.11818181818181825</v>
      </c>
      <c r="BL103" s="30">
        <v>1.58</v>
      </c>
      <c r="BM103" s="33">
        <f t="shared" si="387"/>
        <v>0.18672727272727285</v>
      </c>
      <c r="BO103" s="43">
        <v>90</v>
      </c>
      <c r="BP103" s="41">
        <v>23.91</v>
      </c>
      <c r="BQ103" s="42">
        <v>48.03</v>
      </c>
      <c r="BR103" s="32">
        <f t="shared" si="388"/>
        <v>24.12</v>
      </c>
      <c r="BS103" s="41">
        <v>45.75</v>
      </c>
      <c r="BT103" s="32">
        <f t="shared" si="389"/>
        <v>21.84</v>
      </c>
      <c r="BU103" s="41">
        <f t="shared" si="390"/>
        <v>2.2800000000000011</v>
      </c>
      <c r="BV103" s="40">
        <f t="shared" si="391"/>
        <v>0.10439560439560445</v>
      </c>
      <c r="BW103" s="30">
        <v>1.58</v>
      </c>
      <c r="BX103" s="33">
        <f t="shared" si="392"/>
        <v>0.16494505494505504</v>
      </c>
      <c r="BZ103" s="43">
        <v>90</v>
      </c>
      <c r="CA103" s="41">
        <v>18.38</v>
      </c>
      <c r="CB103" s="42">
        <v>42.37</v>
      </c>
      <c r="CC103" s="32">
        <f t="shared" si="393"/>
        <v>23.99</v>
      </c>
      <c r="CD103" s="41">
        <v>39.979999999999997</v>
      </c>
      <c r="CE103" s="32">
        <f t="shared" si="394"/>
        <v>21.599999999999998</v>
      </c>
      <c r="CF103" s="41">
        <f t="shared" si="395"/>
        <v>2.3900000000000006</v>
      </c>
      <c r="CG103" s="40">
        <f t="shared" si="396"/>
        <v>0.11064814814814819</v>
      </c>
      <c r="CH103" s="30">
        <v>1.58</v>
      </c>
      <c r="CI103" s="33">
        <f t="shared" si="397"/>
        <v>0.17482407407407416</v>
      </c>
    </row>
    <row r="104" spans="1:87" x14ac:dyDescent="0.2">
      <c r="A104" s="43">
        <v>120</v>
      </c>
      <c r="B104" s="41">
        <v>37.25</v>
      </c>
      <c r="C104" s="42">
        <v>65.56</v>
      </c>
      <c r="D104" s="32">
        <f t="shared" si="358"/>
        <v>28.310000000000002</v>
      </c>
      <c r="E104" s="41">
        <v>63.85</v>
      </c>
      <c r="F104" s="32">
        <f t="shared" si="359"/>
        <v>26.6</v>
      </c>
      <c r="G104" s="41">
        <f t="shared" si="360"/>
        <v>1.7100000000000009</v>
      </c>
      <c r="H104" s="40">
        <f t="shared" si="361"/>
        <v>6.4285714285714321E-2</v>
      </c>
      <c r="I104" s="30">
        <v>1.58</v>
      </c>
      <c r="J104" s="33">
        <f t="shared" si="362"/>
        <v>0.10157142857142863</v>
      </c>
      <c r="L104" s="43">
        <v>120</v>
      </c>
      <c r="M104" s="41">
        <v>26.04</v>
      </c>
      <c r="N104" s="42">
        <v>50.59</v>
      </c>
      <c r="O104" s="32">
        <f t="shared" si="363"/>
        <v>24.550000000000004</v>
      </c>
      <c r="P104" s="41">
        <v>48.78</v>
      </c>
      <c r="Q104" s="32">
        <f t="shared" si="364"/>
        <v>22.740000000000002</v>
      </c>
      <c r="R104" s="41">
        <f t="shared" si="365"/>
        <v>1.8100000000000023</v>
      </c>
      <c r="S104" s="40">
        <f t="shared" si="366"/>
        <v>7.9595426561125865E-2</v>
      </c>
      <c r="T104" s="30">
        <v>1.58</v>
      </c>
      <c r="U104" s="33">
        <f t="shared" si="367"/>
        <v>0.12576077396657886</v>
      </c>
      <c r="W104" s="43">
        <v>120</v>
      </c>
      <c r="X104" s="41">
        <v>33.99</v>
      </c>
      <c r="Y104" s="42">
        <v>63.65</v>
      </c>
      <c r="Z104" s="32">
        <f t="shared" si="368"/>
        <v>29.659999999999997</v>
      </c>
      <c r="AA104" s="41">
        <v>61.42</v>
      </c>
      <c r="AB104" s="32">
        <f t="shared" si="369"/>
        <v>27.43</v>
      </c>
      <c r="AC104" s="41">
        <f t="shared" si="370"/>
        <v>2.2299999999999969</v>
      </c>
      <c r="AD104" s="40">
        <f t="shared" si="371"/>
        <v>8.1297849070360806E-2</v>
      </c>
      <c r="AE104" s="30">
        <v>1.58</v>
      </c>
      <c r="AF104" s="33">
        <f t="shared" si="372"/>
        <v>0.12845060153117008</v>
      </c>
      <c r="AH104" s="43">
        <v>120</v>
      </c>
      <c r="AI104" s="41">
        <v>35.56</v>
      </c>
      <c r="AJ104" s="42">
        <v>67.680000000000007</v>
      </c>
      <c r="AK104" s="32">
        <f t="shared" si="373"/>
        <v>32.120000000000005</v>
      </c>
      <c r="AL104" s="41">
        <v>64.67</v>
      </c>
      <c r="AM104" s="32">
        <f t="shared" si="374"/>
        <v>29.11</v>
      </c>
      <c r="AN104" s="41">
        <f t="shared" si="375"/>
        <v>3.0100000000000051</v>
      </c>
      <c r="AO104" s="40">
        <f t="shared" si="376"/>
        <v>0.10340089316386139</v>
      </c>
      <c r="AP104" s="30">
        <v>1.58</v>
      </c>
      <c r="AQ104" s="33">
        <f t="shared" si="377"/>
        <v>0.163373411198901</v>
      </c>
      <c r="AS104" s="43">
        <v>120</v>
      </c>
      <c r="AT104" s="41">
        <v>18.940000000000001</v>
      </c>
      <c r="AU104" s="42">
        <v>44.97</v>
      </c>
      <c r="AV104" s="32">
        <f t="shared" si="378"/>
        <v>26.029999999999998</v>
      </c>
      <c r="AW104" s="41">
        <v>42.55</v>
      </c>
      <c r="AX104" s="32">
        <f t="shared" si="379"/>
        <v>23.609999999999996</v>
      </c>
      <c r="AY104" s="41">
        <f t="shared" si="380"/>
        <v>2.4200000000000017</v>
      </c>
      <c r="AZ104" s="40">
        <f t="shared" si="381"/>
        <v>0.10249894112664135</v>
      </c>
      <c r="BA104" s="30">
        <v>1.58</v>
      </c>
      <c r="BB104" s="33">
        <f t="shared" si="382"/>
        <v>0.16194832698009334</v>
      </c>
      <c r="BD104" s="43">
        <v>120</v>
      </c>
      <c r="BE104" s="41">
        <v>39.5</v>
      </c>
      <c r="BF104" s="42">
        <v>63</v>
      </c>
      <c r="BG104" s="32">
        <f t="shared" si="383"/>
        <v>23.5</v>
      </c>
      <c r="BH104" s="41">
        <v>61</v>
      </c>
      <c r="BI104" s="32">
        <f t="shared" si="384"/>
        <v>21.5</v>
      </c>
      <c r="BJ104" s="41">
        <f t="shared" si="385"/>
        <v>2</v>
      </c>
      <c r="BK104" s="40">
        <f t="shared" si="386"/>
        <v>9.3023255813953487E-2</v>
      </c>
      <c r="BL104" s="30">
        <v>1.58</v>
      </c>
      <c r="BM104" s="33">
        <f t="shared" si="387"/>
        <v>0.1469767441860465</v>
      </c>
      <c r="BO104" s="43">
        <v>120</v>
      </c>
      <c r="BP104" s="41">
        <v>37</v>
      </c>
      <c r="BQ104" s="42">
        <v>64.38</v>
      </c>
      <c r="BR104" s="32">
        <f t="shared" si="388"/>
        <v>27.379999999999995</v>
      </c>
      <c r="BS104" s="41">
        <v>62.08</v>
      </c>
      <c r="BT104" s="32">
        <f t="shared" si="389"/>
        <v>25.08</v>
      </c>
      <c r="BU104" s="41">
        <f t="shared" si="390"/>
        <v>2.2999999999999972</v>
      </c>
      <c r="BV104" s="40">
        <f t="shared" si="391"/>
        <v>9.1706539074960014E-2</v>
      </c>
      <c r="BW104" s="30">
        <v>1.58</v>
      </c>
      <c r="BX104" s="33">
        <f t="shared" si="392"/>
        <v>0.14489633173843683</v>
      </c>
      <c r="BZ104" s="43">
        <v>120</v>
      </c>
      <c r="CA104" s="41">
        <v>35.92</v>
      </c>
      <c r="CB104" s="42">
        <v>61.51</v>
      </c>
      <c r="CC104" s="32">
        <f t="shared" si="393"/>
        <v>25.589999999999996</v>
      </c>
      <c r="CD104" s="41">
        <v>59.28</v>
      </c>
      <c r="CE104" s="32">
        <f t="shared" si="394"/>
        <v>23.36</v>
      </c>
      <c r="CF104" s="41">
        <f t="shared" si="395"/>
        <v>2.2299999999999969</v>
      </c>
      <c r="CG104" s="40">
        <f t="shared" si="396"/>
        <v>9.5462328767123156E-2</v>
      </c>
      <c r="CH104" s="30">
        <v>1.58</v>
      </c>
      <c r="CI104" s="33">
        <f t="shared" si="397"/>
        <v>0.15083047945205461</v>
      </c>
    </row>
    <row r="105" spans="1:87" x14ac:dyDescent="0.2">
      <c r="A105" s="43">
        <v>150</v>
      </c>
      <c r="B105" s="41">
        <v>26.06</v>
      </c>
      <c r="C105" s="42">
        <v>51.27</v>
      </c>
      <c r="D105" s="32">
        <f t="shared" si="358"/>
        <v>25.210000000000004</v>
      </c>
      <c r="E105" s="41">
        <v>49.88</v>
      </c>
      <c r="F105" s="32">
        <f t="shared" si="359"/>
        <v>23.820000000000004</v>
      </c>
      <c r="G105" s="41">
        <f t="shared" si="360"/>
        <v>1.3900000000000006</v>
      </c>
      <c r="H105" s="40">
        <f t="shared" si="361"/>
        <v>5.8354324097397159E-2</v>
      </c>
      <c r="I105" s="30">
        <v>1.58</v>
      </c>
      <c r="J105" s="33">
        <f t="shared" si="362"/>
        <v>9.2199832073887517E-2</v>
      </c>
      <c r="L105" s="43">
        <v>150</v>
      </c>
      <c r="M105" s="41">
        <v>36.130000000000003</v>
      </c>
      <c r="N105" s="42">
        <v>67.87</v>
      </c>
      <c r="O105" s="32">
        <f t="shared" si="363"/>
        <v>31.740000000000002</v>
      </c>
      <c r="P105" s="41">
        <v>65.209999999999994</v>
      </c>
      <c r="Q105" s="32">
        <f t="shared" si="364"/>
        <v>29.079999999999991</v>
      </c>
      <c r="R105" s="41">
        <f t="shared" si="365"/>
        <v>2.6600000000000108</v>
      </c>
      <c r="S105" s="40">
        <f t="shared" si="366"/>
        <v>9.1471801925722546E-2</v>
      </c>
      <c r="T105" s="30">
        <v>1.58</v>
      </c>
      <c r="U105" s="33">
        <f t="shared" si="367"/>
        <v>0.14452544704264164</v>
      </c>
      <c r="W105" s="43">
        <v>150</v>
      </c>
      <c r="X105" s="41">
        <v>32.5</v>
      </c>
      <c r="Y105" s="42">
        <v>61.51</v>
      </c>
      <c r="Z105" s="32">
        <f t="shared" si="368"/>
        <v>29.009999999999998</v>
      </c>
      <c r="AA105" s="41">
        <v>57.54</v>
      </c>
      <c r="AB105" s="32">
        <f t="shared" si="369"/>
        <v>25.04</v>
      </c>
      <c r="AC105" s="41">
        <f t="shared" si="370"/>
        <v>3.9699999999999989</v>
      </c>
      <c r="AD105" s="40">
        <f t="shared" si="371"/>
        <v>0.15854632587859421</v>
      </c>
      <c r="AE105" s="30">
        <v>1.58</v>
      </c>
      <c r="AF105" s="33">
        <f t="shared" si="372"/>
        <v>0.25050319488817885</v>
      </c>
      <c r="AH105" s="43">
        <v>150</v>
      </c>
      <c r="AI105" s="41">
        <v>21.72</v>
      </c>
      <c r="AJ105" s="42">
        <v>48.54</v>
      </c>
      <c r="AK105" s="32">
        <f t="shared" si="373"/>
        <v>26.82</v>
      </c>
      <c r="AL105" s="41">
        <v>46.67</v>
      </c>
      <c r="AM105" s="32">
        <f t="shared" si="374"/>
        <v>24.950000000000003</v>
      </c>
      <c r="AN105" s="41">
        <f t="shared" si="375"/>
        <v>1.8699999999999974</v>
      </c>
      <c r="AO105" s="40">
        <f t="shared" si="376"/>
        <v>7.4949899799599082E-2</v>
      </c>
      <c r="AP105" s="30">
        <v>1.58</v>
      </c>
      <c r="AQ105" s="33">
        <f t="shared" si="377"/>
        <v>0.11842084168336656</v>
      </c>
      <c r="AS105" s="43">
        <v>150</v>
      </c>
      <c r="AT105" s="41">
        <v>24.14</v>
      </c>
      <c r="AU105" s="42">
        <v>50.8</v>
      </c>
      <c r="AV105" s="32">
        <f t="shared" si="378"/>
        <v>26.659999999999997</v>
      </c>
      <c r="AW105" s="41">
        <v>48.86</v>
      </c>
      <c r="AX105" s="32">
        <f t="shared" si="379"/>
        <v>24.72</v>
      </c>
      <c r="AY105" s="41">
        <f t="shared" si="380"/>
        <v>1.9399999999999977</v>
      </c>
      <c r="AZ105" s="40">
        <f t="shared" si="381"/>
        <v>7.8478964401294413E-2</v>
      </c>
      <c r="BA105" s="30">
        <v>1.58</v>
      </c>
      <c r="BB105" s="33">
        <f t="shared" si="382"/>
        <v>0.12399676375404518</v>
      </c>
      <c r="BD105" s="43">
        <v>150</v>
      </c>
      <c r="BE105" s="41">
        <v>58.1</v>
      </c>
      <c r="BF105" s="42">
        <v>86.6</v>
      </c>
      <c r="BG105" s="32">
        <f t="shared" si="383"/>
        <v>28.499999999999993</v>
      </c>
      <c r="BH105" s="41">
        <v>84.9</v>
      </c>
      <c r="BI105" s="32">
        <f t="shared" si="384"/>
        <v>26.800000000000004</v>
      </c>
      <c r="BJ105" s="41">
        <f t="shared" si="385"/>
        <v>1.6999999999999886</v>
      </c>
      <c r="BK105" s="40">
        <f t="shared" si="386"/>
        <v>6.3432835820895095E-2</v>
      </c>
      <c r="BL105" s="30">
        <v>1.58</v>
      </c>
      <c r="BM105" s="33">
        <f t="shared" si="387"/>
        <v>0.10022388059701426</v>
      </c>
      <c r="BO105" s="43">
        <v>150</v>
      </c>
      <c r="BP105" s="41">
        <v>38.58</v>
      </c>
      <c r="BQ105" s="42">
        <v>64.33</v>
      </c>
      <c r="BR105" s="32">
        <f t="shared" si="388"/>
        <v>25.75</v>
      </c>
      <c r="BS105" s="41">
        <v>62.63</v>
      </c>
      <c r="BT105" s="32">
        <f t="shared" si="389"/>
        <v>24.050000000000004</v>
      </c>
      <c r="BU105" s="41">
        <f t="shared" si="390"/>
        <v>1.6999999999999957</v>
      </c>
      <c r="BV105" s="40">
        <f t="shared" si="391"/>
        <v>7.0686070686070496E-2</v>
      </c>
      <c r="BW105" s="30">
        <v>1.58</v>
      </c>
      <c r="BX105" s="33">
        <f t="shared" si="392"/>
        <v>0.11168399168399139</v>
      </c>
      <c r="BZ105" s="43">
        <v>150</v>
      </c>
      <c r="CA105" s="41">
        <v>32.04</v>
      </c>
      <c r="CB105" s="42">
        <v>54.64</v>
      </c>
      <c r="CC105" s="32">
        <f t="shared" si="393"/>
        <v>22.6</v>
      </c>
      <c r="CD105" s="41">
        <v>53.23</v>
      </c>
      <c r="CE105" s="32">
        <f t="shared" si="394"/>
        <v>21.189999999999998</v>
      </c>
      <c r="CF105" s="41">
        <f t="shared" si="395"/>
        <v>1.4100000000000037</v>
      </c>
      <c r="CG105" s="40">
        <f t="shared" si="396"/>
        <v>6.6540821142048318E-2</v>
      </c>
      <c r="CH105" s="30">
        <v>1.58</v>
      </c>
      <c r="CI105" s="33">
        <f t="shared" si="397"/>
        <v>0.10513449740443635</v>
      </c>
    </row>
    <row r="106" spans="1:87" x14ac:dyDescent="0.2">
      <c r="A106" s="43">
        <v>180</v>
      </c>
      <c r="B106" s="41">
        <v>29.1</v>
      </c>
      <c r="C106" s="42">
        <v>54.1</v>
      </c>
      <c r="D106" s="32">
        <f t="shared" si="358"/>
        <v>25</v>
      </c>
      <c r="E106" s="41">
        <v>51.7</v>
      </c>
      <c r="F106" s="32">
        <f t="shared" si="359"/>
        <v>22.6</v>
      </c>
      <c r="G106" s="41">
        <f t="shared" si="360"/>
        <v>2.3999999999999986</v>
      </c>
      <c r="H106" s="40">
        <f t="shared" si="361"/>
        <v>0.10619469026548665</v>
      </c>
      <c r="I106" s="30">
        <v>1.58</v>
      </c>
      <c r="J106" s="33">
        <f t="shared" si="362"/>
        <v>0.16778761061946892</v>
      </c>
      <c r="L106" s="43">
        <v>180</v>
      </c>
      <c r="M106" s="41">
        <v>35.909999999999997</v>
      </c>
      <c r="N106" s="42">
        <v>63.53</v>
      </c>
      <c r="O106" s="32">
        <f t="shared" si="363"/>
        <v>27.620000000000005</v>
      </c>
      <c r="P106" s="41">
        <v>60.46</v>
      </c>
      <c r="Q106" s="32">
        <f t="shared" si="364"/>
        <v>24.550000000000004</v>
      </c>
      <c r="R106" s="41">
        <f t="shared" si="365"/>
        <v>3.0700000000000003</v>
      </c>
      <c r="S106" s="40">
        <f t="shared" si="366"/>
        <v>0.125050916496945</v>
      </c>
      <c r="T106" s="30">
        <v>1.58</v>
      </c>
      <c r="U106" s="33">
        <f t="shared" si="367"/>
        <v>0.19758044806517311</v>
      </c>
      <c r="W106" s="43">
        <v>180</v>
      </c>
      <c r="X106" s="41">
        <v>25.8</v>
      </c>
      <c r="Y106" s="42">
        <v>49.48</v>
      </c>
      <c r="Z106" s="32">
        <f t="shared" si="368"/>
        <v>23.679999999999996</v>
      </c>
      <c r="AA106" s="41">
        <v>47.41</v>
      </c>
      <c r="AB106" s="32">
        <f t="shared" si="369"/>
        <v>21.609999999999996</v>
      </c>
      <c r="AC106" s="41">
        <f t="shared" si="370"/>
        <v>2.0700000000000003</v>
      </c>
      <c r="AD106" s="40">
        <f t="shared" si="371"/>
        <v>9.5788986580286936E-2</v>
      </c>
      <c r="AE106" s="30">
        <v>1.58</v>
      </c>
      <c r="AF106" s="33">
        <f t="shared" si="372"/>
        <v>0.15134659879685336</v>
      </c>
      <c r="AH106" s="43">
        <v>180</v>
      </c>
      <c r="AI106" s="41">
        <v>29.92</v>
      </c>
      <c r="AJ106" s="42">
        <v>58.65</v>
      </c>
      <c r="AK106" s="32">
        <f t="shared" si="373"/>
        <v>28.729999999999997</v>
      </c>
      <c r="AL106" s="41">
        <v>55.84</v>
      </c>
      <c r="AM106" s="32">
        <f t="shared" si="374"/>
        <v>25.92</v>
      </c>
      <c r="AN106" s="41">
        <f t="shared" si="375"/>
        <v>2.8099999999999952</v>
      </c>
      <c r="AO106" s="40">
        <f t="shared" si="376"/>
        <v>0.1084104938271603</v>
      </c>
      <c r="AP106" s="30">
        <v>1.58</v>
      </c>
      <c r="AQ106" s="33">
        <f t="shared" si="377"/>
        <v>0.17128858024691326</v>
      </c>
      <c r="AS106" s="43">
        <v>180</v>
      </c>
      <c r="AT106" s="41">
        <v>22.7</v>
      </c>
      <c r="AU106" s="42">
        <v>48.99</v>
      </c>
      <c r="AV106" s="32">
        <f t="shared" si="378"/>
        <v>26.290000000000003</v>
      </c>
      <c r="AW106" s="41">
        <v>46.45</v>
      </c>
      <c r="AX106" s="32">
        <f t="shared" si="379"/>
        <v>23.750000000000004</v>
      </c>
      <c r="AY106" s="41">
        <f t="shared" si="380"/>
        <v>2.5399999999999991</v>
      </c>
      <c r="AZ106" s="40">
        <f t="shared" si="381"/>
        <v>0.10694736842105258</v>
      </c>
      <c r="BA106" s="30">
        <v>1.58</v>
      </c>
      <c r="BB106" s="33">
        <f t="shared" si="382"/>
        <v>0.16897684210526309</v>
      </c>
      <c r="BD106" s="43">
        <v>180</v>
      </c>
      <c r="BE106" s="41">
        <v>18.77</v>
      </c>
      <c r="BF106" s="42">
        <v>44.72</v>
      </c>
      <c r="BG106" s="32">
        <f t="shared" si="383"/>
        <v>25.95</v>
      </c>
      <c r="BH106" s="41">
        <v>43.07</v>
      </c>
      <c r="BI106" s="32">
        <f t="shared" si="384"/>
        <v>24.3</v>
      </c>
      <c r="BJ106" s="41">
        <f t="shared" si="385"/>
        <v>1.6499999999999986</v>
      </c>
      <c r="BK106" s="40">
        <f t="shared" si="386"/>
        <v>6.7901234567901175E-2</v>
      </c>
      <c r="BL106" s="30">
        <v>1.58</v>
      </c>
      <c r="BM106" s="33">
        <f t="shared" si="387"/>
        <v>0.10728395061728387</v>
      </c>
      <c r="BO106" s="43">
        <v>180</v>
      </c>
      <c r="BP106" s="41">
        <v>24.15</v>
      </c>
      <c r="BQ106" s="42">
        <v>48.36</v>
      </c>
      <c r="BR106" s="32">
        <f t="shared" si="388"/>
        <v>24.21</v>
      </c>
      <c r="BS106" s="41">
        <v>46.31</v>
      </c>
      <c r="BT106" s="32">
        <f t="shared" si="389"/>
        <v>22.160000000000004</v>
      </c>
      <c r="BU106" s="41">
        <f t="shared" si="390"/>
        <v>2.0499999999999972</v>
      </c>
      <c r="BV106" s="40">
        <f t="shared" si="391"/>
        <v>9.250902527075798E-2</v>
      </c>
      <c r="BW106" s="30">
        <v>1.58</v>
      </c>
      <c r="BX106" s="33">
        <f t="shared" si="392"/>
        <v>0.14616425992779761</v>
      </c>
      <c r="BZ106" s="43">
        <v>180</v>
      </c>
      <c r="CA106" s="41">
        <v>18.04</v>
      </c>
      <c r="CB106" s="42">
        <v>41.77</v>
      </c>
      <c r="CC106" s="32">
        <f t="shared" si="393"/>
        <v>23.730000000000004</v>
      </c>
      <c r="CD106" s="41">
        <v>39.979999999999997</v>
      </c>
      <c r="CE106" s="32">
        <f t="shared" si="394"/>
        <v>21.939999999999998</v>
      </c>
      <c r="CF106" s="41">
        <f t="shared" si="395"/>
        <v>1.7900000000000063</v>
      </c>
      <c r="CG106" s="40">
        <f t="shared" si="396"/>
        <v>8.1586144029170762E-2</v>
      </c>
      <c r="CH106" s="30">
        <v>1.58</v>
      </c>
      <c r="CI106" s="33">
        <f t="shared" si="397"/>
        <v>0.12890610756608981</v>
      </c>
    </row>
    <row r="107" spans="1:87" ht="13.5" thickBot="1" x14ac:dyDescent="0.25">
      <c r="A107" s="37"/>
      <c r="B107" s="34"/>
      <c r="C107" s="35"/>
      <c r="D107" s="35"/>
      <c r="E107" s="35"/>
      <c r="F107" s="34"/>
      <c r="G107" s="34"/>
      <c r="H107" s="59"/>
      <c r="I107" s="32"/>
      <c r="L107" s="37"/>
      <c r="M107" s="34"/>
      <c r="N107" s="35"/>
      <c r="O107" s="35"/>
      <c r="P107" s="35"/>
      <c r="Q107" s="34"/>
      <c r="R107" s="34"/>
      <c r="S107" s="59"/>
      <c r="T107" s="32"/>
      <c r="W107" s="37"/>
      <c r="X107" s="34"/>
      <c r="Y107" s="35"/>
      <c r="Z107" s="35"/>
      <c r="AA107" s="35"/>
      <c r="AB107" s="34"/>
      <c r="AC107" s="34"/>
      <c r="AD107" s="59"/>
      <c r="AE107" s="32"/>
      <c r="AH107" s="37"/>
      <c r="AI107" s="34"/>
      <c r="AJ107" s="35"/>
      <c r="AK107" s="35"/>
      <c r="AL107" s="35"/>
      <c r="AM107" s="34"/>
      <c r="AN107" s="34"/>
      <c r="AO107" s="59"/>
      <c r="AP107" s="32"/>
      <c r="AS107" s="37"/>
      <c r="AT107" s="34"/>
      <c r="AU107" s="35"/>
      <c r="AV107" s="35"/>
      <c r="AW107" s="35"/>
      <c r="AX107" s="34"/>
      <c r="AY107" s="34"/>
      <c r="AZ107" s="59"/>
      <c r="BA107" s="32"/>
      <c r="BD107" s="37"/>
      <c r="BE107" s="34"/>
      <c r="BF107" s="35"/>
      <c r="BG107" s="35"/>
      <c r="BH107" s="35"/>
      <c r="BI107" s="34"/>
      <c r="BJ107" s="34"/>
      <c r="BK107" s="59"/>
      <c r="BL107" s="32"/>
      <c r="BO107" s="37"/>
      <c r="BP107" s="34"/>
      <c r="BQ107" s="35"/>
      <c r="BR107" s="35"/>
      <c r="BS107" s="35"/>
      <c r="BT107" s="34"/>
      <c r="BU107" s="34"/>
      <c r="BV107" s="59"/>
      <c r="BW107" s="32"/>
      <c r="BZ107" s="37"/>
      <c r="CA107" s="34"/>
      <c r="CB107" s="35"/>
      <c r="CC107" s="35"/>
      <c r="CD107" s="35"/>
      <c r="CE107" s="34"/>
      <c r="CF107" s="34"/>
      <c r="CG107" s="59"/>
    </row>
    <row r="108" spans="1:87" ht="14.25" thickTop="1" thickBot="1" x14ac:dyDescent="0.25">
      <c r="B108" s="32"/>
      <c r="F108" s="32"/>
      <c r="H108" s="32"/>
      <c r="I108" s="32"/>
      <c r="M108" s="32"/>
      <c r="Q108" s="32"/>
      <c r="S108" s="32"/>
      <c r="T108" s="32"/>
      <c r="X108" s="32"/>
      <c r="AB108" s="32"/>
      <c r="AD108" s="32"/>
      <c r="AE108" s="32"/>
      <c r="AI108" s="32"/>
      <c r="AM108" s="32"/>
      <c r="AO108" s="32"/>
      <c r="AP108" s="32"/>
      <c r="AT108" s="32"/>
      <c r="AX108" s="32"/>
      <c r="AZ108" s="32"/>
      <c r="BA108" s="32"/>
      <c r="BE108" s="32"/>
      <c r="BI108" s="32"/>
      <c r="BK108" s="32"/>
      <c r="BL108" s="32"/>
      <c r="BP108" s="32"/>
      <c r="BT108" s="32"/>
      <c r="BV108" s="32"/>
      <c r="BW108" s="32"/>
      <c r="CA108" s="32"/>
      <c r="CE108" s="32"/>
      <c r="CG108" s="32"/>
    </row>
    <row r="109" spans="1:87" ht="13.5" thickBot="1" x14ac:dyDescent="0.25">
      <c r="B109" s="58" t="s">
        <v>124</v>
      </c>
      <c r="C109" s="57"/>
      <c r="D109" s="57"/>
      <c r="E109" s="57"/>
      <c r="F109" s="56"/>
      <c r="G109" s="32"/>
      <c r="H109" s="32"/>
      <c r="I109" s="32"/>
      <c r="M109" s="58" t="s">
        <v>124</v>
      </c>
      <c r="N109" s="57"/>
      <c r="O109" s="57"/>
      <c r="P109" s="57"/>
      <c r="Q109" s="56"/>
      <c r="R109" s="32"/>
      <c r="S109" s="32"/>
      <c r="T109" s="32"/>
      <c r="X109" s="58" t="s">
        <v>124</v>
      </c>
      <c r="Y109" s="57"/>
      <c r="Z109" s="57"/>
      <c r="AA109" s="57"/>
      <c r="AB109" s="56"/>
      <c r="AC109" s="32"/>
      <c r="AD109" s="32"/>
      <c r="AE109" s="32"/>
      <c r="AI109" s="58" t="s">
        <v>124</v>
      </c>
      <c r="AJ109" s="57"/>
      <c r="AK109" s="57"/>
      <c r="AL109" s="57"/>
      <c r="AM109" s="56"/>
      <c r="AN109" s="32"/>
      <c r="AO109" s="32"/>
      <c r="AP109" s="32"/>
      <c r="AT109" s="58" t="s">
        <v>124</v>
      </c>
      <c r="AU109" s="57"/>
      <c r="AV109" s="57"/>
      <c r="AW109" s="57"/>
      <c r="AX109" s="56"/>
      <c r="AY109" s="32"/>
      <c r="AZ109" s="32"/>
      <c r="BA109" s="32"/>
      <c r="BE109" s="58" t="s">
        <v>124</v>
      </c>
      <c r="BF109" s="57"/>
      <c r="BG109" s="57"/>
      <c r="BH109" s="57"/>
      <c r="BI109" s="56"/>
      <c r="BJ109" s="32"/>
      <c r="BK109" s="32"/>
      <c r="BL109" s="32"/>
      <c r="BP109" s="58" t="s">
        <v>124</v>
      </c>
      <c r="BQ109" s="57"/>
      <c r="BR109" s="57"/>
      <c r="BS109" s="57"/>
      <c r="BT109" s="56"/>
      <c r="BU109" s="32"/>
      <c r="BV109" s="32"/>
      <c r="BW109" s="32"/>
      <c r="CA109" s="58" t="s">
        <v>124</v>
      </c>
      <c r="CB109" s="57"/>
      <c r="CC109" s="57"/>
      <c r="CD109" s="57"/>
      <c r="CE109" s="56"/>
      <c r="CF109" s="32"/>
      <c r="CG109" s="32"/>
    </row>
    <row r="110" spans="1:87" ht="51.75" thickBot="1" x14ac:dyDescent="0.25">
      <c r="A110" s="55" t="s">
        <v>54</v>
      </c>
      <c r="B110" s="54" t="s">
        <v>122</v>
      </c>
      <c r="C110" s="54" t="s">
        <v>121</v>
      </c>
      <c r="D110" s="53" t="s">
        <v>120</v>
      </c>
      <c r="E110" s="52" t="s">
        <v>119</v>
      </c>
      <c r="F110" s="51" t="s">
        <v>118</v>
      </c>
      <c r="G110" s="50" t="s">
        <v>117</v>
      </c>
      <c r="H110" s="50" t="s">
        <v>116</v>
      </c>
      <c r="I110" s="49" t="s">
        <v>115</v>
      </c>
      <c r="J110" s="48" t="s">
        <v>114</v>
      </c>
      <c r="L110" s="55" t="s">
        <v>54</v>
      </c>
      <c r="M110" s="54" t="s">
        <v>122</v>
      </c>
      <c r="N110" s="54" t="s">
        <v>121</v>
      </c>
      <c r="O110" s="53" t="s">
        <v>120</v>
      </c>
      <c r="P110" s="52" t="s">
        <v>119</v>
      </c>
      <c r="Q110" s="51" t="s">
        <v>118</v>
      </c>
      <c r="R110" s="50" t="s">
        <v>117</v>
      </c>
      <c r="S110" s="50" t="s">
        <v>116</v>
      </c>
      <c r="T110" s="49" t="s">
        <v>115</v>
      </c>
      <c r="U110" s="48" t="s">
        <v>114</v>
      </c>
      <c r="W110" s="55" t="s">
        <v>54</v>
      </c>
      <c r="X110" s="54" t="s">
        <v>122</v>
      </c>
      <c r="Y110" s="54" t="s">
        <v>121</v>
      </c>
      <c r="Z110" s="53" t="s">
        <v>120</v>
      </c>
      <c r="AA110" s="52" t="s">
        <v>119</v>
      </c>
      <c r="AB110" s="51" t="s">
        <v>118</v>
      </c>
      <c r="AC110" s="50" t="s">
        <v>117</v>
      </c>
      <c r="AD110" s="50" t="s">
        <v>116</v>
      </c>
      <c r="AE110" s="49" t="s">
        <v>115</v>
      </c>
      <c r="AF110" s="48" t="s">
        <v>114</v>
      </c>
      <c r="AH110" s="55" t="s">
        <v>54</v>
      </c>
      <c r="AI110" s="54" t="s">
        <v>122</v>
      </c>
      <c r="AJ110" s="54" t="s">
        <v>121</v>
      </c>
      <c r="AK110" s="53" t="s">
        <v>120</v>
      </c>
      <c r="AL110" s="52" t="s">
        <v>119</v>
      </c>
      <c r="AM110" s="51" t="s">
        <v>118</v>
      </c>
      <c r="AN110" s="50" t="s">
        <v>117</v>
      </c>
      <c r="AO110" s="50" t="s">
        <v>116</v>
      </c>
      <c r="AP110" s="49" t="s">
        <v>115</v>
      </c>
      <c r="AQ110" s="48" t="s">
        <v>114</v>
      </c>
      <c r="AS110" s="55" t="s">
        <v>54</v>
      </c>
      <c r="AT110" s="54" t="s">
        <v>122</v>
      </c>
      <c r="AU110" s="54" t="s">
        <v>121</v>
      </c>
      <c r="AV110" s="53" t="s">
        <v>120</v>
      </c>
      <c r="AW110" s="52" t="s">
        <v>119</v>
      </c>
      <c r="AX110" s="51" t="s">
        <v>118</v>
      </c>
      <c r="AY110" s="50" t="s">
        <v>117</v>
      </c>
      <c r="AZ110" s="50" t="s">
        <v>116</v>
      </c>
      <c r="BA110" s="49" t="s">
        <v>115</v>
      </c>
      <c r="BB110" s="48" t="s">
        <v>114</v>
      </c>
      <c r="BD110" s="55" t="s">
        <v>54</v>
      </c>
      <c r="BE110" s="54" t="s">
        <v>122</v>
      </c>
      <c r="BF110" s="54" t="s">
        <v>121</v>
      </c>
      <c r="BG110" s="53" t="s">
        <v>120</v>
      </c>
      <c r="BH110" s="52" t="s">
        <v>119</v>
      </c>
      <c r="BI110" s="51" t="s">
        <v>118</v>
      </c>
      <c r="BJ110" s="50" t="s">
        <v>117</v>
      </c>
      <c r="BK110" s="50" t="s">
        <v>116</v>
      </c>
      <c r="BL110" s="49" t="s">
        <v>115</v>
      </c>
      <c r="BM110" s="48" t="s">
        <v>114</v>
      </c>
      <c r="BO110" s="55" t="s">
        <v>54</v>
      </c>
      <c r="BP110" s="54" t="s">
        <v>122</v>
      </c>
      <c r="BQ110" s="54" t="s">
        <v>121</v>
      </c>
      <c r="BR110" s="53" t="s">
        <v>120</v>
      </c>
      <c r="BS110" s="52" t="s">
        <v>119</v>
      </c>
      <c r="BT110" s="51" t="s">
        <v>118</v>
      </c>
      <c r="BU110" s="50" t="s">
        <v>117</v>
      </c>
      <c r="BV110" s="50" t="s">
        <v>116</v>
      </c>
      <c r="BW110" s="49" t="s">
        <v>115</v>
      </c>
      <c r="BX110" s="48" t="s">
        <v>114</v>
      </c>
      <c r="BZ110" s="55" t="s">
        <v>54</v>
      </c>
      <c r="CA110" s="54" t="s">
        <v>122</v>
      </c>
      <c r="CB110" s="54" t="s">
        <v>121</v>
      </c>
      <c r="CC110" s="53" t="s">
        <v>120</v>
      </c>
      <c r="CD110" s="52" t="s">
        <v>119</v>
      </c>
      <c r="CE110" s="51" t="s">
        <v>118</v>
      </c>
      <c r="CF110" s="50" t="s">
        <v>117</v>
      </c>
      <c r="CG110" s="50" t="s">
        <v>116</v>
      </c>
      <c r="CH110" s="49" t="s">
        <v>115</v>
      </c>
      <c r="CI110" s="48" t="s">
        <v>114</v>
      </c>
    </row>
    <row r="111" spans="1:87" ht="13.5" thickTop="1" x14ac:dyDescent="0.2">
      <c r="A111" s="47">
        <v>30</v>
      </c>
      <c r="B111" s="45">
        <v>33</v>
      </c>
      <c r="C111" s="46">
        <v>59.01</v>
      </c>
      <c r="D111" s="32">
        <f t="shared" ref="D111:D116" si="398">C111-B111</f>
        <v>26.009999999999998</v>
      </c>
      <c r="E111" s="45">
        <v>56.79</v>
      </c>
      <c r="F111" s="32">
        <f t="shared" ref="F111:F116" si="399">E111-B111</f>
        <v>23.79</v>
      </c>
      <c r="G111" s="45">
        <f t="shared" ref="G111:G116" si="400">D111-F111</f>
        <v>2.2199999999999989</v>
      </c>
      <c r="H111" s="44">
        <f t="shared" ref="H111:H116" si="401">(G111/F111)</f>
        <v>9.3316519546027696E-2</v>
      </c>
      <c r="I111" s="30">
        <v>1.49</v>
      </c>
      <c r="J111" s="33">
        <f t="shared" ref="J111:J116" si="402">H111*I111</f>
        <v>0.13904161412358126</v>
      </c>
      <c r="L111" s="47">
        <v>30</v>
      </c>
      <c r="M111" s="45">
        <v>46.07</v>
      </c>
      <c r="N111" s="46">
        <v>82.88</v>
      </c>
      <c r="O111" s="32">
        <f t="shared" ref="O111:O116" si="403">N111-M111</f>
        <v>36.809999999999995</v>
      </c>
      <c r="P111" s="45">
        <v>71.849999999999994</v>
      </c>
      <c r="Q111" s="32">
        <f t="shared" ref="Q111:Q116" si="404">P111-M111</f>
        <v>25.779999999999994</v>
      </c>
      <c r="R111" s="45">
        <f t="shared" ref="R111:R116" si="405">O111-Q111</f>
        <v>11.030000000000001</v>
      </c>
      <c r="S111" s="44">
        <f>(R111/Q111)</f>
        <v>0.42785104732350676</v>
      </c>
      <c r="T111" s="30">
        <v>1.49</v>
      </c>
      <c r="U111" s="33">
        <f>S111*T111</f>
        <v>0.63749806051202507</v>
      </c>
      <c r="W111" s="47">
        <v>30</v>
      </c>
      <c r="X111" s="45">
        <v>32.700000000000003</v>
      </c>
      <c r="Y111" s="46">
        <v>57.93</v>
      </c>
      <c r="Z111" s="32">
        <f t="shared" ref="Z111:Z116" si="406">Y111-X111</f>
        <v>25.229999999999997</v>
      </c>
      <c r="AA111" s="45">
        <v>54.7</v>
      </c>
      <c r="AB111" s="32">
        <f t="shared" ref="AB111:AB116" si="407">AA111-X111</f>
        <v>22</v>
      </c>
      <c r="AC111" s="45">
        <f t="shared" ref="AC111:AC116" si="408">Z111-AB111</f>
        <v>3.2299999999999969</v>
      </c>
      <c r="AD111" s="44">
        <f t="shared" ref="AD111:AD116" si="409">(AC111/AB111)</f>
        <v>0.14681818181818168</v>
      </c>
      <c r="AE111" s="30">
        <v>1.49</v>
      </c>
      <c r="AF111" s="33">
        <f t="shared" ref="AF111:AF116" si="410">AD111*AE111</f>
        <v>0.21875909090909071</v>
      </c>
      <c r="AH111" s="47">
        <v>30</v>
      </c>
      <c r="AI111" s="45">
        <v>27.54</v>
      </c>
      <c r="AJ111" s="46">
        <v>57.78</v>
      </c>
      <c r="AK111" s="32">
        <f t="shared" ref="AK111:AK116" si="411">AJ111-AI111</f>
        <v>30.240000000000002</v>
      </c>
      <c r="AL111" s="45">
        <v>47.37</v>
      </c>
      <c r="AM111" s="32">
        <f t="shared" ref="AM111:AM116" si="412">AL111-AI111</f>
        <v>19.829999999999998</v>
      </c>
      <c r="AN111" s="45">
        <f t="shared" ref="AN111:AN116" si="413">AK111-AM111</f>
        <v>10.410000000000004</v>
      </c>
      <c r="AO111" s="44">
        <f t="shared" ref="AO111:AO116" si="414">(AN111/AM111)</f>
        <v>0.52496217851739813</v>
      </c>
      <c r="AP111" s="30">
        <v>1.49</v>
      </c>
      <c r="AQ111" s="33">
        <f t="shared" ref="AQ111:AQ116" si="415">AO111*AP111</f>
        <v>0.78219364599092323</v>
      </c>
      <c r="AS111" s="47">
        <v>30</v>
      </c>
      <c r="AT111" s="45">
        <v>38.51</v>
      </c>
      <c r="AU111" s="46">
        <v>66.47</v>
      </c>
      <c r="AV111" s="32">
        <f t="shared" ref="AV111:AV116" si="416">AU111-AT111</f>
        <v>27.96</v>
      </c>
      <c r="AW111" s="45">
        <v>64.05</v>
      </c>
      <c r="AX111" s="32">
        <f t="shared" ref="AX111:AX116" si="417">AW111-AT111</f>
        <v>25.54</v>
      </c>
      <c r="AY111" s="45">
        <f t="shared" ref="AY111:AY116" si="418">AV111-AX111</f>
        <v>2.4200000000000017</v>
      </c>
      <c r="AZ111" s="44">
        <f t="shared" ref="AZ111:AZ116" si="419">(AY111/AX111)</f>
        <v>9.4753328112764365E-2</v>
      </c>
      <c r="BA111" s="30">
        <v>1.49</v>
      </c>
      <c r="BB111" s="33">
        <f t="shared" ref="BB111:BB116" si="420">AZ111*BA111</f>
        <v>0.14118245888801889</v>
      </c>
      <c r="BD111" s="47">
        <v>30</v>
      </c>
      <c r="BE111" s="45">
        <v>40.36</v>
      </c>
      <c r="BF111" s="46">
        <v>66.680000000000007</v>
      </c>
      <c r="BG111" s="32">
        <f t="shared" ref="BG111:BG116" si="421">BF111-BE111</f>
        <v>26.320000000000007</v>
      </c>
      <c r="BH111" s="45">
        <v>64.5</v>
      </c>
      <c r="BI111" s="32">
        <f t="shared" ref="BI111:BI116" si="422">BH111-BE111</f>
        <v>24.14</v>
      </c>
      <c r="BJ111" s="45">
        <f t="shared" ref="BJ111:BJ116" si="423">BG111-BI111</f>
        <v>2.1800000000000068</v>
      </c>
      <c r="BK111" s="44">
        <f t="shared" ref="BK111:BK116" si="424">(BJ111/BI111)</f>
        <v>9.0306545153272855E-2</v>
      </c>
      <c r="BL111" s="30">
        <v>1.49</v>
      </c>
      <c r="BM111" s="33">
        <f t="shared" ref="BM111:BM116" si="425">BK111*BL111</f>
        <v>0.13455675227837655</v>
      </c>
      <c r="BO111" s="47">
        <v>30</v>
      </c>
      <c r="BP111" s="45">
        <v>29.59</v>
      </c>
      <c r="BQ111" s="46">
        <v>57.87</v>
      </c>
      <c r="BR111" s="32">
        <f t="shared" ref="BR111:BR116" si="426">BQ111-BP111</f>
        <v>28.279999999999998</v>
      </c>
      <c r="BS111" s="45">
        <v>55.7</v>
      </c>
      <c r="BT111" s="32">
        <f t="shared" ref="BT111:BT116" si="427">BS111-BP111</f>
        <v>26.110000000000003</v>
      </c>
      <c r="BU111" s="45">
        <f t="shared" ref="BU111:BU116" si="428">BR111-BT111</f>
        <v>2.1699999999999946</v>
      </c>
      <c r="BV111" s="44">
        <f t="shared" ref="BV111:BV116" si="429">(BU111/BT111)</f>
        <v>8.3109919571045354E-2</v>
      </c>
      <c r="BW111" s="30">
        <v>1.49</v>
      </c>
      <c r="BX111" s="33">
        <f t="shared" ref="BX111:BX116" si="430">BV111*BW111</f>
        <v>0.12383378016085758</v>
      </c>
      <c r="BZ111" s="47">
        <v>30</v>
      </c>
      <c r="CA111" s="45">
        <v>32.04</v>
      </c>
      <c r="CB111" s="46">
        <v>58.28</v>
      </c>
      <c r="CC111" s="32">
        <f t="shared" ref="CC111:CC116" si="431">CB111-CA111</f>
        <v>26.240000000000002</v>
      </c>
      <c r="CD111" s="45">
        <v>56.13</v>
      </c>
      <c r="CE111" s="32">
        <f t="shared" ref="CE111:CE116" si="432">CD111-CA111</f>
        <v>24.090000000000003</v>
      </c>
      <c r="CF111" s="45">
        <f t="shared" ref="CF111:CF116" si="433">CC111-CE111</f>
        <v>2.1499999999999986</v>
      </c>
      <c r="CG111" s="44">
        <f t="shared" ref="CG111:CG116" si="434">(CF111/CE111)</f>
        <v>8.9248650892486431E-2</v>
      </c>
      <c r="CH111" s="30">
        <v>1.49</v>
      </c>
      <c r="CI111" s="33">
        <f t="shared" ref="CI111:CI116" si="435">CG111*CH111</f>
        <v>0.13298048982980479</v>
      </c>
    </row>
    <row r="112" spans="1:87" x14ac:dyDescent="0.2">
      <c r="A112" s="43">
        <v>60</v>
      </c>
      <c r="B112" s="41">
        <v>48.04</v>
      </c>
      <c r="C112" s="42">
        <v>79.040000000000006</v>
      </c>
      <c r="D112" s="32">
        <f t="shared" si="398"/>
        <v>31.000000000000007</v>
      </c>
      <c r="E112" s="41">
        <v>76.319999999999993</v>
      </c>
      <c r="F112" s="32">
        <f t="shared" si="399"/>
        <v>28.279999999999994</v>
      </c>
      <c r="G112" s="41">
        <f t="shared" si="400"/>
        <v>2.7200000000000131</v>
      </c>
      <c r="H112" s="40">
        <f t="shared" si="401"/>
        <v>9.6181046676096657E-2</v>
      </c>
      <c r="I112" s="30">
        <v>1.42</v>
      </c>
      <c r="J112" s="33">
        <f t="shared" si="402"/>
        <v>0.13657708628005724</v>
      </c>
      <c r="L112" s="43">
        <v>60</v>
      </c>
      <c r="M112" s="41">
        <v>37.42</v>
      </c>
      <c r="N112" s="42">
        <v>66.03</v>
      </c>
      <c r="O112" s="32">
        <f t="shared" si="403"/>
        <v>28.61</v>
      </c>
      <c r="P112" s="41">
        <v>62.64</v>
      </c>
      <c r="Q112" s="32">
        <f t="shared" si="404"/>
        <v>25.22</v>
      </c>
      <c r="R112" s="41">
        <f>O112-Q112</f>
        <v>3.3900000000000006</v>
      </c>
      <c r="S112" s="40">
        <f t="shared" ref="S112:S116" si="436">(R112/Q112)</f>
        <v>0.13441712926249011</v>
      </c>
      <c r="T112" s="30">
        <v>1.42</v>
      </c>
      <c r="U112" s="33">
        <f t="shared" ref="U112:U116" si="437">S112*T112</f>
        <v>0.19087232355273595</v>
      </c>
      <c r="W112" s="43">
        <v>60</v>
      </c>
      <c r="X112" s="41">
        <v>42.03</v>
      </c>
      <c r="Y112" s="42">
        <v>64.31</v>
      </c>
      <c r="Z112" s="32">
        <f t="shared" si="406"/>
        <v>22.28</v>
      </c>
      <c r="AA112" s="41">
        <v>62.34</v>
      </c>
      <c r="AB112" s="32">
        <f t="shared" si="407"/>
        <v>20.310000000000002</v>
      </c>
      <c r="AC112" s="41">
        <f t="shared" si="408"/>
        <v>1.9699999999999989</v>
      </c>
      <c r="AD112" s="40">
        <f t="shared" si="409"/>
        <v>9.6996553421959564E-2</v>
      </c>
      <c r="AE112" s="30">
        <v>1.42</v>
      </c>
      <c r="AF112" s="33">
        <f t="shared" si="410"/>
        <v>0.13773510585918258</v>
      </c>
      <c r="AH112" s="43">
        <v>60</v>
      </c>
      <c r="AI112" s="41">
        <v>33.6</v>
      </c>
      <c r="AJ112" s="42">
        <v>70.599999999999994</v>
      </c>
      <c r="AK112" s="32">
        <f t="shared" si="411"/>
        <v>36.999999999999993</v>
      </c>
      <c r="AL112" s="41">
        <v>58</v>
      </c>
      <c r="AM112" s="32">
        <f t="shared" si="412"/>
        <v>24.4</v>
      </c>
      <c r="AN112" s="41">
        <f t="shared" si="413"/>
        <v>12.599999999999994</v>
      </c>
      <c r="AO112" s="40">
        <f t="shared" si="414"/>
        <v>0.51639344262295062</v>
      </c>
      <c r="AP112" s="30">
        <v>1.42</v>
      </c>
      <c r="AQ112" s="33">
        <f t="shared" si="415"/>
        <v>0.73327868852458988</v>
      </c>
      <c r="AS112" s="43">
        <v>60</v>
      </c>
      <c r="AT112" s="41">
        <v>41.65</v>
      </c>
      <c r="AU112" s="42">
        <v>72.930000000000007</v>
      </c>
      <c r="AV112" s="32">
        <f t="shared" si="416"/>
        <v>31.280000000000008</v>
      </c>
      <c r="AW112" s="41">
        <v>68.95</v>
      </c>
      <c r="AX112" s="32">
        <f t="shared" si="417"/>
        <v>27.300000000000004</v>
      </c>
      <c r="AY112" s="41">
        <f t="shared" si="418"/>
        <v>3.980000000000004</v>
      </c>
      <c r="AZ112" s="40">
        <f t="shared" si="419"/>
        <v>0.14578754578754591</v>
      </c>
      <c r="BA112" s="30">
        <v>1.42</v>
      </c>
      <c r="BB112" s="33">
        <f t="shared" si="420"/>
        <v>0.20701831501831519</v>
      </c>
      <c r="BD112" s="43">
        <v>60</v>
      </c>
      <c r="BE112" s="41">
        <v>36.82</v>
      </c>
      <c r="BF112" s="42">
        <v>61.14</v>
      </c>
      <c r="BG112" s="32">
        <f t="shared" si="421"/>
        <v>24.32</v>
      </c>
      <c r="BH112" s="41">
        <v>57.92</v>
      </c>
      <c r="BI112" s="32">
        <f t="shared" si="422"/>
        <v>21.1</v>
      </c>
      <c r="BJ112" s="41">
        <f t="shared" si="423"/>
        <v>3.2199999999999989</v>
      </c>
      <c r="BK112" s="40">
        <f t="shared" si="424"/>
        <v>0.15260663507108999</v>
      </c>
      <c r="BL112" s="30">
        <v>1.42</v>
      </c>
      <c r="BM112" s="33">
        <f t="shared" si="425"/>
        <v>0.21670142180094776</v>
      </c>
      <c r="BO112" s="43">
        <v>60</v>
      </c>
      <c r="BP112" s="41">
        <v>36.31</v>
      </c>
      <c r="BQ112" s="42">
        <v>61.45</v>
      </c>
      <c r="BR112" s="32">
        <f t="shared" si="426"/>
        <v>25.14</v>
      </c>
      <c r="BS112" s="41">
        <v>58.51</v>
      </c>
      <c r="BT112" s="32">
        <f t="shared" si="427"/>
        <v>22.199999999999996</v>
      </c>
      <c r="BU112" s="41">
        <f t="shared" si="428"/>
        <v>2.9400000000000048</v>
      </c>
      <c r="BV112" s="40">
        <f t="shared" si="429"/>
        <v>0.13243243243243266</v>
      </c>
      <c r="BW112" s="30">
        <v>1.42</v>
      </c>
      <c r="BX112" s="33">
        <f t="shared" si="430"/>
        <v>0.18805405405405437</v>
      </c>
      <c r="BZ112" s="43">
        <v>60</v>
      </c>
      <c r="CA112" s="41">
        <v>32.31</v>
      </c>
      <c r="CB112" s="42">
        <v>58.33</v>
      </c>
      <c r="CC112" s="32">
        <f t="shared" si="431"/>
        <v>26.019999999999996</v>
      </c>
      <c r="CD112" s="41">
        <v>55.93</v>
      </c>
      <c r="CE112" s="32">
        <f t="shared" si="432"/>
        <v>23.619999999999997</v>
      </c>
      <c r="CF112" s="41">
        <f t="shared" si="433"/>
        <v>2.3999999999999986</v>
      </c>
      <c r="CG112" s="40">
        <f t="shared" si="434"/>
        <v>0.10160880609652832</v>
      </c>
      <c r="CH112" s="30">
        <v>1.42</v>
      </c>
      <c r="CI112" s="33">
        <f t="shared" si="435"/>
        <v>0.14428450465707021</v>
      </c>
    </row>
    <row r="113" spans="1:87" x14ac:dyDescent="0.2">
      <c r="A113" s="43">
        <v>90</v>
      </c>
      <c r="B113" s="41">
        <v>37.799999999999997</v>
      </c>
      <c r="C113" s="42">
        <v>66.5</v>
      </c>
      <c r="D113" s="32">
        <f t="shared" si="398"/>
        <v>28.700000000000003</v>
      </c>
      <c r="E113" s="41">
        <v>63.26</v>
      </c>
      <c r="F113" s="32">
        <f t="shared" si="399"/>
        <v>25.46</v>
      </c>
      <c r="G113" s="41">
        <f t="shared" si="400"/>
        <v>3.240000000000002</v>
      </c>
      <c r="H113" s="40">
        <f t="shared" si="401"/>
        <v>0.12725844461901029</v>
      </c>
      <c r="I113" s="30">
        <v>1.58</v>
      </c>
      <c r="J113" s="33">
        <f t="shared" si="402"/>
        <v>0.20106834249803626</v>
      </c>
      <c r="L113" s="43">
        <v>90</v>
      </c>
      <c r="M113" s="41">
        <v>37.270000000000003</v>
      </c>
      <c r="N113" s="42">
        <v>70.709999999999994</v>
      </c>
      <c r="O113" s="32">
        <f t="shared" si="403"/>
        <v>33.439999999999991</v>
      </c>
      <c r="P113" s="41">
        <v>67</v>
      </c>
      <c r="Q113" s="32">
        <f t="shared" si="404"/>
        <v>29.729999999999997</v>
      </c>
      <c r="R113" s="41">
        <f t="shared" si="405"/>
        <v>3.7099999999999937</v>
      </c>
      <c r="S113" s="40">
        <f t="shared" si="436"/>
        <v>0.12478977463841218</v>
      </c>
      <c r="T113" s="30">
        <v>1.58</v>
      </c>
      <c r="U113" s="33">
        <f t="shared" si="437"/>
        <v>0.19716784392869124</v>
      </c>
      <c r="W113" s="43">
        <v>90</v>
      </c>
      <c r="X113" s="41">
        <v>36.51</v>
      </c>
      <c r="Y113" s="42">
        <v>62.77</v>
      </c>
      <c r="Z113" s="32">
        <f t="shared" si="406"/>
        <v>26.260000000000005</v>
      </c>
      <c r="AA113" s="41">
        <v>59.67</v>
      </c>
      <c r="AB113" s="32">
        <f t="shared" si="407"/>
        <v>23.160000000000004</v>
      </c>
      <c r="AC113" s="41">
        <f t="shared" si="408"/>
        <v>3.1000000000000014</v>
      </c>
      <c r="AD113" s="40">
        <f t="shared" si="409"/>
        <v>0.13385146804835929</v>
      </c>
      <c r="AE113" s="30">
        <v>1.58</v>
      </c>
      <c r="AF113" s="33">
        <f t="shared" si="410"/>
        <v>0.2114853195164077</v>
      </c>
      <c r="AH113" s="43">
        <v>90</v>
      </c>
      <c r="AI113" s="41">
        <v>32.31</v>
      </c>
      <c r="AJ113" s="42">
        <v>59.7</v>
      </c>
      <c r="AK113" s="32">
        <f t="shared" si="411"/>
        <v>27.39</v>
      </c>
      <c r="AL113" s="41">
        <v>56.83</v>
      </c>
      <c r="AM113" s="32">
        <f t="shared" si="412"/>
        <v>24.519999999999996</v>
      </c>
      <c r="AN113" s="41">
        <f t="shared" si="413"/>
        <v>2.8700000000000045</v>
      </c>
      <c r="AO113" s="40">
        <f t="shared" si="414"/>
        <v>0.1170473083197392</v>
      </c>
      <c r="AP113" s="30">
        <v>1.58</v>
      </c>
      <c r="AQ113" s="33">
        <f t="shared" si="415"/>
        <v>0.18493474714518793</v>
      </c>
      <c r="AS113" s="43">
        <v>90</v>
      </c>
      <c r="AT113" s="41">
        <v>36.659999999999997</v>
      </c>
      <c r="AU113" s="42">
        <v>63.35</v>
      </c>
      <c r="AV113" s="32">
        <f t="shared" si="416"/>
        <v>26.690000000000005</v>
      </c>
      <c r="AW113" s="41">
        <v>60.07</v>
      </c>
      <c r="AX113" s="32">
        <f t="shared" si="417"/>
        <v>23.410000000000004</v>
      </c>
      <c r="AY113" s="41">
        <f t="shared" si="418"/>
        <v>3.2800000000000011</v>
      </c>
      <c r="AZ113" s="40">
        <f t="shared" si="419"/>
        <v>0.14011106364801371</v>
      </c>
      <c r="BA113" s="30">
        <v>1.58</v>
      </c>
      <c r="BB113" s="33">
        <f t="shared" si="420"/>
        <v>0.22137548056386167</v>
      </c>
      <c r="BD113" s="43">
        <v>90</v>
      </c>
      <c r="BE113" s="41">
        <v>37.33</v>
      </c>
      <c r="BF113" s="42">
        <v>67.849999999999994</v>
      </c>
      <c r="BG113" s="32">
        <f t="shared" si="421"/>
        <v>30.519999999999996</v>
      </c>
      <c r="BH113" s="41">
        <v>63.99</v>
      </c>
      <c r="BI113" s="32">
        <f t="shared" si="422"/>
        <v>26.660000000000004</v>
      </c>
      <c r="BJ113" s="41">
        <f t="shared" si="423"/>
        <v>3.8599999999999923</v>
      </c>
      <c r="BK113" s="40">
        <f t="shared" si="424"/>
        <v>0.14478619654913696</v>
      </c>
      <c r="BL113" s="30">
        <v>1.58</v>
      </c>
      <c r="BM113" s="33">
        <f t="shared" si="425"/>
        <v>0.22876219054763641</v>
      </c>
      <c r="BO113" s="43">
        <v>90</v>
      </c>
      <c r="BP113" s="41">
        <v>36.53</v>
      </c>
      <c r="BQ113" s="42">
        <v>60.58</v>
      </c>
      <c r="BR113" s="32">
        <f t="shared" si="426"/>
        <v>24.049999999999997</v>
      </c>
      <c r="BS113" s="41">
        <v>57.98</v>
      </c>
      <c r="BT113" s="32">
        <f t="shared" si="427"/>
        <v>21.449999999999996</v>
      </c>
      <c r="BU113" s="41">
        <f t="shared" si="428"/>
        <v>2.6000000000000014</v>
      </c>
      <c r="BV113" s="40">
        <f t="shared" si="429"/>
        <v>0.1212121212121213</v>
      </c>
      <c r="BW113" s="30">
        <v>1.58</v>
      </c>
      <c r="BX113" s="33">
        <f t="shared" si="430"/>
        <v>0.19151515151515167</v>
      </c>
      <c r="BZ113" s="43">
        <v>90</v>
      </c>
      <c r="CA113" s="41">
        <v>37.85</v>
      </c>
      <c r="CB113" s="42">
        <v>65.819999999999993</v>
      </c>
      <c r="CC113" s="32">
        <f t="shared" si="431"/>
        <v>27.969999999999992</v>
      </c>
      <c r="CD113" s="41">
        <v>62.21</v>
      </c>
      <c r="CE113" s="32">
        <f t="shared" si="432"/>
        <v>24.36</v>
      </c>
      <c r="CF113" s="41">
        <f t="shared" si="433"/>
        <v>3.6099999999999923</v>
      </c>
      <c r="CG113" s="40">
        <f t="shared" si="434"/>
        <v>0.14819376026272546</v>
      </c>
      <c r="CH113" s="30">
        <v>1.58</v>
      </c>
      <c r="CI113" s="33">
        <f t="shared" si="435"/>
        <v>0.23414614121510624</v>
      </c>
    </row>
    <row r="114" spans="1:87" x14ac:dyDescent="0.2">
      <c r="A114" s="43">
        <v>120</v>
      </c>
      <c r="B114" s="41">
        <v>40.729999999999997</v>
      </c>
      <c r="C114" s="42">
        <v>65.44</v>
      </c>
      <c r="D114" s="32">
        <f t="shared" si="398"/>
        <v>24.71</v>
      </c>
      <c r="E114" s="41">
        <v>63.43</v>
      </c>
      <c r="F114" s="32">
        <f t="shared" si="399"/>
        <v>22.700000000000003</v>
      </c>
      <c r="G114" s="41">
        <f t="shared" si="400"/>
        <v>2.009999999999998</v>
      </c>
      <c r="H114" s="40">
        <f t="shared" si="401"/>
        <v>8.8546255506607829E-2</v>
      </c>
      <c r="I114" s="30">
        <v>1.58</v>
      </c>
      <c r="J114" s="33">
        <f t="shared" si="402"/>
        <v>0.13990308370044038</v>
      </c>
      <c r="L114" s="43">
        <v>120</v>
      </c>
      <c r="M114" s="41">
        <v>32.619999999999997</v>
      </c>
      <c r="N114" s="42">
        <v>58.53</v>
      </c>
      <c r="O114" s="32">
        <f t="shared" si="403"/>
        <v>25.910000000000004</v>
      </c>
      <c r="P114" s="41">
        <v>56.84</v>
      </c>
      <c r="Q114" s="32">
        <f t="shared" si="404"/>
        <v>24.220000000000006</v>
      </c>
      <c r="R114" s="41">
        <f t="shared" si="405"/>
        <v>1.6899999999999977</v>
      </c>
      <c r="S114" s="40">
        <f t="shared" si="436"/>
        <v>6.9777043765482966E-2</v>
      </c>
      <c r="T114" s="30">
        <v>1.58</v>
      </c>
      <c r="U114" s="33">
        <f t="shared" si="437"/>
        <v>0.1102477291494631</v>
      </c>
      <c r="W114" s="43">
        <v>120</v>
      </c>
      <c r="X114" s="41">
        <v>32.44</v>
      </c>
      <c r="Y114" s="42">
        <v>59.4</v>
      </c>
      <c r="Z114" s="32">
        <f t="shared" si="406"/>
        <v>26.96</v>
      </c>
      <c r="AA114" s="41">
        <v>56.04</v>
      </c>
      <c r="AB114" s="32">
        <f t="shared" si="407"/>
        <v>23.6</v>
      </c>
      <c r="AC114" s="41">
        <f t="shared" si="408"/>
        <v>3.3599999999999994</v>
      </c>
      <c r="AD114" s="40">
        <f t="shared" si="409"/>
        <v>0.14237288135593218</v>
      </c>
      <c r="AE114" s="30">
        <v>1.58</v>
      </c>
      <c r="AF114" s="33">
        <f t="shared" si="410"/>
        <v>0.22494915254237285</v>
      </c>
      <c r="AH114" s="43">
        <v>120</v>
      </c>
      <c r="AI114" s="41">
        <v>40.92</v>
      </c>
      <c r="AJ114" s="42">
        <v>66.8</v>
      </c>
      <c r="AK114" s="32">
        <f t="shared" si="411"/>
        <v>25.879999999999995</v>
      </c>
      <c r="AL114" s="41">
        <v>63.77</v>
      </c>
      <c r="AM114" s="32">
        <f t="shared" si="412"/>
        <v>22.85</v>
      </c>
      <c r="AN114" s="41">
        <f t="shared" si="413"/>
        <v>3.029999999999994</v>
      </c>
      <c r="AO114" s="40">
        <f t="shared" si="414"/>
        <v>0.13260393873085313</v>
      </c>
      <c r="AP114" s="30">
        <v>1.58</v>
      </c>
      <c r="AQ114" s="33">
        <f t="shared" si="415"/>
        <v>0.20951422319474797</v>
      </c>
      <c r="AS114" s="43">
        <v>120</v>
      </c>
      <c r="AT114" s="41">
        <v>31.52</v>
      </c>
      <c r="AU114" s="42">
        <v>59.33</v>
      </c>
      <c r="AV114" s="32">
        <f t="shared" si="416"/>
        <v>27.81</v>
      </c>
      <c r="AW114" s="41">
        <v>56.45</v>
      </c>
      <c r="AX114" s="32">
        <f t="shared" si="417"/>
        <v>24.930000000000003</v>
      </c>
      <c r="AY114" s="41">
        <f t="shared" si="418"/>
        <v>2.8799999999999955</v>
      </c>
      <c r="AZ114" s="40">
        <f t="shared" si="419"/>
        <v>0.11552346570397092</v>
      </c>
      <c r="BA114" s="30">
        <v>1.58</v>
      </c>
      <c r="BB114" s="33">
        <f t="shared" si="420"/>
        <v>0.18252707581227406</v>
      </c>
      <c r="BD114" s="43">
        <v>120</v>
      </c>
      <c r="BE114" s="41">
        <v>33.03</v>
      </c>
      <c r="BF114" s="42">
        <v>61.26</v>
      </c>
      <c r="BG114" s="32">
        <f t="shared" si="421"/>
        <v>28.229999999999997</v>
      </c>
      <c r="BH114" s="41">
        <v>56.55</v>
      </c>
      <c r="BI114" s="32">
        <f t="shared" si="422"/>
        <v>23.519999999999996</v>
      </c>
      <c r="BJ114" s="41">
        <f t="shared" si="423"/>
        <v>4.7100000000000009</v>
      </c>
      <c r="BK114" s="40">
        <f t="shared" si="424"/>
        <v>0.2002551020408164</v>
      </c>
      <c r="BL114" s="30">
        <v>1.58</v>
      </c>
      <c r="BM114" s="33">
        <f t="shared" si="425"/>
        <v>0.31640306122448991</v>
      </c>
      <c r="BO114" s="43">
        <v>120</v>
      </c>
      <c r="BP114" s="41">
        <v>32.840000000000003</v>
      </c>
      <c r="BQ114" s="42">
        <v>59.59</v>
      </c>
      <c r="BR114" s="32">
        <f t="shared" si="426"/>
        <v>26.75</v>
      </c>
      <c r="BS114" s="41">
        <v>56.83</v>
      </c>
      <c r="BT114" s="32">
        <f t="shared" si="427"/>
        <v>23.989999999999995</v>
      </c>
      <c r="BU114" s="41">
        <f t="shared" si="428"/>
        <v>2.7600000000000051</v>
      </c>
      <c r="BV114" s="40">
        <f t="shared" si="429"/>
        <v>0.11504793664026701</v>
      </c>
      <c r="BW114" s="30">
        <v>1.58</v>
      </c>
      <c r="BX114" s="33">
        <f t="shared" si="430"/>
        <v>0.18177573989162188</v>
      </c>
      <c r="BZ114" s="43">
        <v>120</v>
      </c>
      <c r="CA114" s="41">
        <v>41.77</v>
      </c>
      <c r="CB114" s="42">
        <v>70.69</v>
      </c>
      <c r="CC114" s="32">
        <f t="shared" si="431"/>
        <v>28.919999999999995</v>
      </c>
      <c r="CD114" s="41">
        <v>67.47</v>
      </c>
      <c r="CE114" s="32">
        <f t="shared" si="432"/>
        <v>25.699999999999996</v>
      </c>
      <c r="CF114" s="41">
        <f t="shared" si="433"/>
        <v>3.2199999999999989</v>
      </c>
      <c r="CG114" s="40">
        <f t="shared" si="434"/>
        <v>0.12529182879377429</v>
      </c>
      <c r="CH114" s="30">
        <v>1.58</v>
      </c>
      <c r="CI114" s="33">
        <f t="shared" si="435"/>
        <v>0.19796108949416338</v>
      </c>
    </row>
    <row r="115" spans="1:87" x14ac:dyDescent="0.2">
      <c r="A115" s="43">
        <v>150</v>
      </c>
      <c r="B115" s="41">
        <v>41.28</v>
      </c>
      <c r="C115" s="42">
        <v>73.069999999999993</v>
      </c>
      <c r="D115" s="32">
        <f t="shared" si="398"/>
        <v>31.789999999999992</v>
      </c>
      <c r="E115" s="41">
        <v>70.739999999999995</v>
      </c>
      <c r="F115" s="32">
        <f t="shared" si="399"/>
        <v>29.459999999999994</v>
      </c>
      <c r="G115" s="41">
        <f t="shared" si="400"/>
        <v>2.3299999999999983</v>
      </c>
      <c r="H115" s="40">
        <f t="shared" si="401"/>
        <v>7.9090291921249112E-2</v>
      </c>
      <c r="I115" s="30">
        <v>1.58</v>
      </c>
      <c r="J115" s="33">
        <f t="shared" si="402"/>
        <v>0.1249626612355736</v>
      </c>
      <c r="L115" s="43">
        <v>150</v>
      </c>
      <c r="M115" s="41">
        <v>32.53</v>
      </c>
      <c r="N115" s="42">
        <v>59.17</v>
      </c>
      <c r="O115" s="32">
        <f t="shared" si="403"/>
        <v>26.64</v>
      </c>
      <c r="P115" s="41">
        <v>57.24</v>
      </c>
      <c r="Q115" s="32">
        <f t="shared" si="404"/>
        <v>24.71</v>
      </c>
      <c r="R115" s="41">
        <f t="shared" si="405"/>
        <v>1.9299999999999997</v>
      </c>
      <c r="S115" s="40">
        <f t="shared" si="436"/>
        <v>7.8106029947389702E-2</v>
      </c>
      <c r="T115" s="30">
        <v>1.58</v>
      </c>
      <c r="U115" s="33">
        <f t="shared" si="437"/>
        <v>0.12340752731687574</v>
      </c>
      <c r="W115" s="43">
        <v>150</v>
      </c>
      <c r="X115" s="41">
        <v>32.4</v>
      </c>
      <c r="Y115" s="42">
        <v>63.89</v>
      </c>
      <c r="Z115" s="32">
        <f t="shared" si="406"/>
        <v>31.490000000000002</v>
      </c>
      <c r="AA115" s="41">
        <v>58.73</v>
      </c>
      <c r="AB115" s="32">
        <f t="shared" si="407"/>
        <v>26.33</v>
      </c>
      <c r="AC115" s="41">
        <f t="shared" si="408"/>
        <v>5.1600000000000037</v>
      </c>
      <c r="AD115" s="40">
        <f t="shared" si="409"/>
        <v>0.19597417394606928</v>
      </c>
      <c r="AE115" s="30">
        <v>1.58</v>
      </c>
      <c r="AF115" s="33">
        <f t="shared" si="410"/>
        <v>0.30963919483478947</v>
      </c>
      <c r="AH115" s="43">
        <v>150</v>
      </c>
      <c r="AI115" s="41">
        <v>40.799999999999997</v>
      </c>
      <c r="AJ115" s="42">
        <v>63.1</v>
      </c>
      <c r="AK115" s="32">
        <f t="shared" si="411"/>
        <v>22.300000000000004</v>
      </c>
      <c r="AL115" s="41">
        <v>61</v>
      </c>
      <c r="AM115" s="32">
        <f t="shared" si="412"/>
        <v>20.200000000000003</v>
      </c>
      <c r="AN115" s="41">
        <f t="shared" si="413"/>
        <v>2.1000000000000014</v>
      </c>
      <c r="AO115" s="40">
        <f t="shared" si="414"/>
        <v>0.10396039603960401</v>
      </c>
      <c r="AP115" s="30">
        <v>1.58</v>
      </c>
      <c r="AQ115" s="33">
        <f t="shared" si="415"/>
        <v>0.16425742574257435</v>
      </c>
      <c r="AS115" s="43">
        <v>150</v>
      </c>
      <c r="AT115" s="41">
        <v>32.65</v>
      </c>
      <c r="AU115" s="42">
        <v>58.46</v>
      </c>
      <c r="AV115" s="32">
        <f t="shared" si="416"/>
        <v>25.810000000000002</v>
      </c>
      <c r="AW115" s="41">
        <v>56.3</v>
      </c>
      <c r="AX115" s="32">
        <f t="shared" si="417"/>
        <v>23.65</v>
      </c>
      <c r="AY115" s="41">
        <f t="shared" si="418"/>
        <v>2.1600000000000037</v>
      </c>
      <c r="AZ115" s="40">
        <f t="shared" si="419"/>
        <v>9.1331923890063588E-2</v>
      </c>
      <c r="BA115" s="30">
        <v>1.58</v>
      </c>
      <c r="BB115" s="33">
        <f t="shared" si="420"/>
        <v>0.14430443974630047</v>
      </c>
      <c r="BD115" s="43">
        <v>150</v>
      </c>
      <c r="BE115" s="41">
        <v>52.16</v>
      </c>
      <c r="BF115" s="42">
        <v>82.28</v>
      </c>
      <c r="BG115" s="32">
        <f t="shared" si="421"/>
        <v>30.120000000000005</v>
      </c>
      <c r="BH115" s="41">
        <v>80.02</v>
      </c>
      <c r="BI115" s="32">
        <f t="shared" si="422"/>
        <v>27.86</v>
      </c>
      <c r="BJ115" s="41">
        <f t="shared" si="423"/>
        <v>2.2600000000000051</v>
      </c>
      <c r="BK115" s="40">
        <f t="shared" si="424"/>
        <v>8.1119885139985831E-2</v>
      </c>
      <c r="BL115" s="30">
        <v>1.58</v>
      </c>
      <c r="BM115" s="33">
        <f t="shared" si="425"/>
        <v>0.12816941852117761</v>
      </c>
      <c r="BO115" s="43">
        <v>150</v>
      </c>
      <c r="BP115" s="41">
        <v>40.67</v>
      </c>
      <c r="BQ115" s="42">
        <v>69.8</v>
      </c>
      <c r="BR115" s="32">
        <f t="shared" si="426"/>
        <v>29.129999999999995</v>
      </c>
      <c r="BS115" s="41">
        <v>67.459999999999994</v>
      </c>
      <c r="BT115" s="32">
        <f t="shared" si="427"/>
        <v>26.789999999999992</v>
      </c>
      <c r="BU115" s="41">
        <f t="shared" si="428"/>
        <v>2.3400000000000034</v>
      </c>
      <c r="BV115" s="40">
        <f t="shared" si="429"/>
        <v>8.7346024636058381E-2</v>
      </c>
      <c r="BW115" s="30">
        <v>1.58</v>
      </c>
      <c r="BX115" s="33">
        <f t="shared" si="430"/>
        <v>0.13800671892497224</v>
      </c>
      <c r="BZ115" s="43">
        <v>150</v>
      </c>
      <c r="CA115" s="41">
        <v>42.23</v>
      </c>
      <c r="CB115" s="42">
        <v>75.989999999999995</v>
      </c>
      <c r="CC115" s="32">
        <f t="shared" si="431"/>
        <v>33.76</v>
      </c>
      <c r="CD115" s="41">
        <v>73.44</v>
      </c>
      <c r="CE115" s="32">
        <f t="shared" si="432"/>
        <v>31.21</v>
      </c>
      <c r="CF115" s="41">
        <f t="shared" si="433"/>
        <v>2.5499999999999972</v>
      </c>
      <c r="CG115" s="40">
        <f t="shared" si="434"/>
        <v>8.1704581864786838E-2</v>
      </c>
      <c r="CH115" s="30">
        <v>1.58</v>
      </c>
      <c r="CI115" s="33">
        <f t="shared" si="435"/>
        <v>0.12909323934636321</v>
      </c>
    </row>
    <row r="116" spans="1:87" x14ac:dyDescent="0.2">
      <c r="A116" s="43">
        <v>180</v>
      </c>
      <c r="B116" s="41">
        <v>37.299999999999997</v>
      </c>
      <c r="C116" s="42">
        <v>65.87</v>
      </c>
      <c r="D116" s="32">
        <f t="shared" si="398"/>
        <v>28.570000000000007</v>
      </c>
      <c r="E116" s="41">
        <v>61.95</v>
      </c>
      <c r="F116" s="32">
        <f t="shared" si="399"/>
        <v>24.650000000000006</v>
      </c>
      <c r="G116" s="41">
        <f t="shared" si="400"/>
        <v>3.9200000000000017</v>
      </c>
      <c r="H116" s="40">
        <f t="shared" si="401"/>
        <v>0.15902636916835702</v>
      </c>
      <c r="I116" s="30">
        <v>1.58</v>
      </c>
      <c r="J116" s="33">
        <f t="shared" si="402"/>
        <v>0.25126166328600413</v>
      </c>
      <c r="L116" s="43">
        <v>180</v>
      </c>
      <c r="M116" s="41">
        <v>32.58</v>
      </c>
      <c r="N116" s="42">
        <v>56.4</v>
      </c>
      <c r="O116" s="32">
        <f t="shared" si="403"/>
        <v>23.82</v>
      </c>
      <c r="P116" s="41">
        <v>53.56</v>
      </c>
      <c r="Q116" s="32">
        <f t="shared" si="404"/>
        <v>20.980000000000004</v>
      </c>
      <c r="R116" s="41">
        <f t="shared" si="405"/>
        <v>2.8399999999999963</v>
      </c>
      <c r="S116" s="40">
        <f t="shared" si="436"/>
        <v>0.13536701620591018</v>
      </c>
      <c r="T116" s="30">
        <v>1.58</v>
      </c>
      <c r="U116" s="33">
        <f t="shared" si="437"/>
        <v>0.2138798856053381</v>
      </c>
      <c r="W116" s="43">
        <v>180</v>
      </c>
      <c r="X116" s="41">
        <v>45.75</v>
      </c>
      <c r="Y116" s="42">
        <v>74.84</v>
      </c>
      <c r="Z116" s="32">
        <f t="shared" si="406"/>
        <v>29.090000000000003</v>
      </c>
      <c r="AA116" s="41">
        <v>71.489999999999995</v>
      </c>
      <c r="AB116" s="32">
        <f t="shared" si="407"/>
        <v>25.739999999999995</v>
      </c>
      <c r="AC116" s="41">
        <f t="shared" si="408"/>
        <v>3.3500000000000085</v>
      </c>
      <c r="AD116" s="40">
        <f t="shared" si="409"/>
        <v>0.13014763014763051</v>
      </c>
      <c r="AE116" s="30">
        <v>1.58</v>
      </c>
      <c r="AF116" s="33">
        <f t="shared" si="410"/>
        <v>0.20563325563325621</v>
      </c>
      <c r="AH116" s="43">
        <v>180</v>
      </c>
      <c r="AI116" s="41">
        <v>46.83</v>
      </c>
      <c r="AJ116" s="42">
        <v>76.709999999999994</v>
      </c>
      <c r="AK116" s="32">
        <f t="shared" si="411"/>
        <v>29.879999999999995</v>
      </c>
      <c r="AL116" s="41">
        <v>73.069999999999993</v>
      </c>
      <c r="AM116" s="32">
        <f t="shared" si="412"/>
        <v>26.239999999999995</v>
      </c>
      <c r="AN116" s="41">
        <f t="shared" si="413"/>
        <v>3.6400000000000006</v>
      </c>
      <c r="AO116" s="40">
        <f t="shared" si="414"/>
        <v>0.13871951219512199</v>
      </c>
      <c r="AP116" s="30">
        <v>1.58</v>
      </c>
      <c r="AQ116" s="33">
        <f t="shared" si="415"/>
        <v>0.21917682926829277</v>
      </c>
      <c r="AS116" s="43">
        <v>180</v>
      </c>
      <c r="AT116" s="41">
        <v>52.65</v>
      </c>
      <c r="AU116" s="42">
        <v>84.65</v>
      </c>
      <c r="AV116" s="32">
        <f t="shared" si="416"/>
        <v>32.000000000000007</v>
      </c>
      <c r="AW116" s="41">
        <v>80.81</v>
      </c>
      <c r="AX116" s="32">
        <f t="shared" si="417"/>
        <v>28.160000000000004</v>
      </c>
      <c r="AY116" s="41">
        <f t="shared" si="418"/>
        <v>3.8400000000000034</v>
      </c>
      <c r="AZ116" s="40">
        <f t="shared" si="419"/>
        <v>0.13636363636363646</v>
      </c>
      <c r="BA116" s="30">
        <v>1.58</v>
      </c>
      <c r="BB116" s="33">
        <f t="shared" si="420"/>
        <v>0.21545454545454562</v>
      </c>
      <c r="BD116" s="43">
        <v>180</v>
      </c>
      <c r="BE116" s="41">
        <v>43.44</v>
      </c>
      <c r="BF116" s="42">
        <v>70.3</v>
      </c>
      <c r="BG116" s="32">
        <f t="shared" si="421"/>
        <v>26.86</v>
      </c>
      <c r="BH116" s="41">
        <v>68.239999999999995</v>
      </c>
      <c r="BI116" s="32">
        <f t="shared" si="422"/>
        <v>24.799999999999997</v>
      </c>
      <c r="BJ116" s="41">
        <f t="shared" si="423"/>
        <v>2.0600000000000023</v>
      </c>
      <c r="BK116" s="40">
        <f t="shared" si="424"/>
        <v>8.3064516129032359E-2</v>
      </c>
      <c r="BL116" s="30">
        <v>1.58</v>
      </c>
      <c r="BM116" s="33">
        <f t="shared" si="425"/>
        <v>0.13124193548387114</v>
      </c>
      <c r="BO116" s="43">
        <v>180</v>
      </c>
      <c r="BP116" s="41">
        <v>41.81</v>
      </c>
      <c r="BQ116" s="42">
        <v>73.52</v>
      </c>
      <c r="BR116" s="32">
        <f t="shared" si="426"/>
        <v>31.709999999999994</v>
      </c>
      <c r="BS116" s="41">
        <v>70.150000000000006</v>
      </c>
      <c r="BT116" s="32">
        <f t="shared" si="427"/>
        <v>28.340000000000003</v>
      </c>
      <c r="BU116" s="41">
        <f t="shared" si="428"/>
        <v>3.3699999999999903</v>
      </c>
      <c r="BV116" s="40">
        <f t="shared" si="429"/>
        <v>0.11891319689484792</v>
      </c>
      <c r="BW116" s="30">
        <v>1.58</v>
      </c>
      <c r="BX116" s="33">
        <f t="shared" si="430"/>
        <v>0.18788285109385972</v>
      </c>
      <c r="BZ116" s="43">
        <v>180</v>
      </c>
      <c r="CA116" s="41">
        <v>42.29</v>
      </c>
      <c r="CB116" s="42">
        <v>70.97</v>
      </c>
      <c r="CC116" s="32">
        <f t="shared" si="431"/>
        <v>28.68</v>
      </c>
      <c r="CD116" s="41">
        <v>68.55</v>
      </c>
      <c r="CE116" s="32">
        <f t="shared" si="432"/>
        <v>26.259999999999998</v>
      </c>
      <c r="CF116" s="41">
        <f t="shared" si="433"/>
        <v>2.4200000000000017</v>
      </c>
      <c r="CG116" s="40">
        <f t="shared" si="434"/>
        <v>9.2155369383092225E-2</v>
      </c>
      <c r="CH116" s="30">
        <v>1.58</v>
      </c>
      <c r="CI116" s="33">
        <f t="shared" si="435"/>
        <v>0.14560548362528572</v>
      </c>
    </row>
    <row r="117" spans="1:87" ht="13.5" thickBot="1" x14ac:dyDescent="0.25">
      <c r="A117" s="37"/>
      <c r="B117" s="34"/>
      <c r="C117" s="35"/>
      <c r="D117" s="35"/>
      <c r="E117" s="35"/>
      <c r="F117" s="34"/>
      <c r="G117" s="34"/>
      <c r="H117" s="59"/>
      <c r="I117" s="32"/>
      <c r="L117" s="37"/>
      <c r="M117" s="34"/>
      <c r="N117" s="35"/>
      <c r="O117" s="35"/>
      <c r="P117" s="35"/>
      <c r="Q117" s="34"/>
      <c r="R117" s="34"/>
      <c r="S117" s="59"/>
      <c r="T117" s="32"/>
      <c r="W117" s="37"/>
      <c r="X117" s="34"/>
      <c r="Y117" s="35"/>
      <c r="Z117" s="35"/>
      <c r="AA117" s="35"/>
      <c r="AB117" s="34"/>
      <c r="AC117" s="34"/>
      <c r="AD117" s="59"/>
      <c r="AE117" s="32"/>
      <c r="AH117" s="37"/>
      <c r="AI117" s="34"/>
      <c r="AJ117" s="35"/>
      <c r="AK117" s="35"/>
      <c r="AL117" s="35"/>
      <c r="AM117" s="34"/>
      <c r="AN117" s="34"/>
      <c r="AO117" s="59"/>
      <c r="AP117" s="32"/>
      <c r="AS117" s="37"/>
      <c r="AT117" s="34"/>
      <c r="AU117" s="35"/>
      <c r="AV117" s="35"/>
      <c r="AW117" s="35"/>
      <c r="AX117" s="34"/>
      <c r="AY117" s="34"/>
      <c r="AZ117" s="59"/>
      <c r="BA117" s="32"/>
      <c r="BD117" s="37"/>
      <c r="BE117" s="34"/>
      <c r="BF117" s="35"/>
      <c r="BG117" s="35"/>
      <c r="BH117" s="35"/>
      <c r="BI117" s="34"/>
      <c r="BJ117" s="34"/>
      <c r="BK117" s="59"/>
      <c r="BL117" s="32"/>
      <c r="BO117" s="37"/>
      <c r="BP117" s="34"/>
      <c r="BQ117" s="35"/>
      <c r="BR117" s="35"/>
      <c r="BS117" s="35"/>
      <c r="BT117" s="34"/>
      <c r="BU117" s="34"/>
      <c r="BV117" s="59"/>
      <c r="BW117" s="32"/>
      <c r="BZ117" s="37"/>
      <c r="CA117" s="34"/>
      <c r="CB117" s="35"/>
      <c r="CC117" s="35"/>
      <c r="CD117" s="35"/>
      <c r="CE117" s="34"/>
      <c r="CF117" s="34"/>
      <c r="CG117" s="59"/>
    </row>
    <row r="118" spans="1:87" ht="14.25" thickTop="1" thickBot="1" x14ac:dyDescent="0.25">
      <c r="B118" s="32"/>
      <c r="F118" s="32"/>
      <c r="H118" s="32"/>
      <c r="I118" s="32"/>
      <c r="M118" s="32"/>
      <c r="Q118" s="32"/>
      <c r="S118" s="32"/>
      <c r="T118" s="32"/>
      <c r="X118" s="32"/>
      <c r="AB118" s="32"/>
      <c r="AD118" s="32"/>
      <c r="AE118" s="32"/>
      <c r="AI118" s="32"/>
      <c r="AM118" s="32"/>
      <c r="AO118" s="32"/>
      <c r="AP118" s="32"/>
      <c r="AT118" s="32"/>
      <c r="AX118" s="32"/>
      <c r="AZ118" s="32"/>
      <c r="BA118" s="32"/>
      <c r="BE118" s="32"/>
      <c r="BI118" s="32"/>
      <c r="BK118" s="32"/>
      <c r="BL118" s="32"/>
      <c r="BP118" s="32"/>
      <c r="BT118" s="32"/>
      <c r="BV118" s="32"/>
      <c r="BW118" s="32"/>
      <c r="CA118" s="32"/>
      <c r="CE118" s="32"/>
      <c r="CG118" s="32"/>
    </row>
    <row r="119" spans="1:87" ht="13.5" thickBot="1" x14ac:dyDescent="0.25">
      <c r="B119" s="58" t="s">
        <v>123</v>
      </c>
      <c r="C119" s="57"/>
      <c r="D119" s="57"/>
      <c r="E119" s="57"/>
      <c r="F119" s="56"/>
      <c r="G119" s="32"/>
      <c r="H119" s="32"/>
      <c r="I119" s="32"/>
      <c r="M119" s="58" t="s">
        <v>123</v>
      </c>
      <c r="N119" s="57"/>
      <c r="O119" s="57"/>
      <c r="P119" s="57"/>
      <c r="Q119" s="56"/>
      <c r="R119" s="32"/>
      <c r="S119" s="32"/>
      <c r="T119" s="32"/>
      <c r="X119" s="58" t="s">
        <v>123</v>
      </c>
      <c r="Y119" s="57"/>
      <c r="Z119" s="57"/>
      <c r="AA119" s="57"/>
      <c r="AB119" s="56"/>
      <c r="AC119" s="32"/>
      <c r="AD119" s="32"/>
      <c r="AE119" s="32"/>
      <c r="AI119" s="58" t="s">
        <v>123</v>
      </c>
      <c r="AJ119" s="57"/>
      <c r="AK119" s="57"/>
      <c r="AL119" s="57"/>
      <c r="AM119" s="56"/>
      <c r="AN119" s="32"/>
      <c r="AO119" s="32"/>
      <c r="AP119" s="32"/>
      <c r="AT119" s="58" t="s">
        <v>123</v>
      </c>
      <c r="AU119" s="57"/>
      <c r="AV119" s="57"/>
      <c r="AW119" s="57"/>
      <c r="AX119" s="56"/>
      <c r="AY119" s="32"/>
      <c r="AZ119" s="32"/>
      <c r="BA119" s="32"/>
      <c r="BE119" s="58" t="s">
        <v>123</v>
      </c>
      <c r="BF119" s="57"/>
      <c r="BG119" s="57"/>
      <c r="BH119" s="57"/>
      <c r="BI119" s="56"/>
      <c r="BJ119" s="32"/>
      <c r="BK119" s="32"/>
      <c r="BL119" s="32"/>
      <c r="BP119" s="58" t="s">
        <v>123</v>
      </c>
      <c r="BQ119" s="57"/>
      <c r="BR119" s="57"/>
      <c r="BS119" s="57"/>
      <c r="BT119" s="56"/>
      <c r="BU119" s="32"/>
      <c r="BV119" s="32"/>
      <c r="BW119" s="32"/>
      <c r="CA119" s="58" t="s">
        <v>123</v>
      </c>
      <c r="CB119" s="57"/>
      <c r="CC119" s="57"/>
      <c r="CD119" s="57"/>
      <c r="CE119" s="56"/>
      <c r="CF119" s="32"/>
      <c r="CG119" s="32"/>
    </row>
    <row r="120" spans="1:87" ht="51.75" thickBot="1" x14ac:dyDescent="0.25">
      <c r="A120" s="55" t="s">
        <v>54</v>
      </c>
      <c r="B120" s="54" t="s">
        <v>122</v>
      </c>
      <c r="C120" s="54" t="s">
        <v>121</v>
      </c>
      <c r="D120" s="53" t="s">
        <v>120</v>
      </c>
      <c r="E120" s="52" t="s">
        <v>119</v>
      </c>
      <c r="F120" s="51" t="s">
        <v>118</v>
      </c>
      <c r="G120" s="50" t="s">
        <v>117</v>
      </c>
      <c r="H120" s="50" t="s">
        <v>116</v>
      </c>
      <c r="I120" s="49" t="s">
        <v>115</v>
      </c>
      <c r="J120" s="48" t="s">
        <v>114</v>
      </c>
      <c r="L120" s="55" t="s">
        <v>54</v>
      </c>
      <c r="M120" s="54" t="s">
        <v>122</v>
      </c>
      <c r="N120" s="54" t="s">
        <v>121</v>
      </c>
      <c r="O120" s="53" t="s">
        <v>120</v>
      </c>
      <c r="P120" s="52" t="s">
        <v>119</v>
      </c>
      <c r="Q120" s="51" t="s">
        <v>118</v>
      </c>
      <c r="R120" s="50" t="s">
        <v>117</v>
      </c>
      <c r="S120" s="50" t="s">
        <v>116</v>
      </c>
      <c r="T120" s="49" t="s">
        <v>115</v>
      </c>
      <c r="U120" s="48" t="s">
        <v>114</v>
      </c>
      <c r="W120" s="55" t="s">
        <v>54</v>
      </c>
      <c r="X120" s="54" t="s">
        <v>122</v>
      </c>
      <c r="Y120" s="54" t="s">
        <v>121</v>
      </c>
      <c r="Z120" s="53" t="s">
        <v>120</v>
      </c>
      <c r="AA120" s="52" t="s">
        <v>119</v>
      </c>
      <c r="AB120" s="51" t="s">
        <v>118</v>
      </c>
      <c r="AC120" s="50" t="s">
        <v>117</v>
      </c>
      <c r="AD120" s="50" t="s">
        <v>116</v>
      </c>
      <c r="AE120" s="49" t="s">
        <v>115</v>
      </c>
      <c r="AF120" s="48" t="s">
        <v>114</v>
      </c>
      <c r="AH120" s="55" t="s">
        <v>54</v>
      </c>
      <c r="AI120" s="54" t="s">
        <v>122</v>
      </c>
      <c r="AJ120" s="54" t="s">
        <v>121</v>
      </c>
      <c r="AK120" s="53" t="s">
        <v>120</v>
      </c>
      <c r="AL120" s="52" t="s">
        <v>119</v>
      </c>
      <c r="AM120" s="51" t="s">
        <v>118</v>
      </c>
      <c r="AN120" s="50" t="s">
        <v>117</v>
      </c>
      <c r="AO120" s="50" t="s">
        <v>116</v>
      </c>
      <c r="AP120" s="49" t="s">
        <v>115</v>
      </c>
      <c r="AQ120" s="48" t="s">
        <v>114</v>
      </c>
      <c r="AS120" s="55" t="s">
        <v>54</v>
      </c>
      <c r="AT120" s="54" t="s">
        <v>122</v>
      </c>
      <c r="AU120" s="54" t="s">
        <v>121</v>
      </c>
      <c r="AV120" s="53" t="s">
        <v>120</v>
      </c>
      <c r="AW120" s="52" t="s">
        <v>119</v>
      </c>
      <c r="AX120" s="51" t="s">
        <v>118</v>
      </c>
      <c r="AY120" s="50" t="s">
        <v>117</v>
      </c>
      <c r="AZ120" s="50" t="s">
        <v>116</v>
      </c>
      <c r="BA120" s="49" t="s">
        <v>115</v>
      </c>
      <c r="BB120" s="48" t="s">
        <v>114</v>
      </c>
      <c r="BD120" s="55" t="s">
        <v>54</v>
      </c>
      <c r="BE120" s="54" t="s">
        <v>122</v>
      </c>
      <c r="BF120" s="54" t="s">
        <v>121</v>
      </c>
      <c r="BG120" s="53" t="s">
        <v>120</v>
      </c>
      <c r="BH120" s="52" t="s">
        <v>119</v>
      </c>
      <c r="BI120" s="51" t="s">
        <v>118</v>
      </c>
      <c r="BJ120" s="50" t="s">
        <v>117</v>
      </c>
      <c r="BK120" s="50" t="s">
        <v>116</v>
      </c>
      <c r="BL120" s="49" t="s">
        <v>115</v>
      </c>
      <c r="BM120" s="48" t="s">
        <v>114</v>
      </c>
      <c r="BO120" s="55" t="s">
        <v>54</v>
      </c>
      <c r="BP120" s="54" t="s">
        <v>122</v>
      </c>
      <c r="BQ120" s="54" t="s">
        <v>121</v>
      </c>
      <c r="BR120" s="53" t="s">
        <v>120</v>
      </c>
      <c r="BS120" s="52" t="s">
        <v>119</v>
      </c>
      <c r="BT120" s="51" t="s">
        <v>118</v>
      </c>
      <c r="BU120" s="50" t="s">
        <v>117</v>
      </c>
      <c r="BV120" s="50" t="s">
        <v>116</v>
      </c>
      <c r="BW120" s="49" t="s">
        <v>115</v>
      </c>
      <c r="BX120" s="48" t="s">
        <v>114</v>
      </c>
      <c r="BZ120" s="55" t="s">
        <v>54</v>
      </c>
      <c r="CA120" s="54" t="s">
        <v>122</v>
      </c>
      <c r="CB120" s="54" t="s">
        <v>121</v>
      </c>
      <c r="CC120" s="53" t="s">
        <v>120</v>
      </c>
      <c r="CD120" s="52" t="s">
        <v>119</v>
      </c>
      <c r="CE120" s="51" t="s">
        <v>118</v>
      </c>
      <c r="CF120" s="50" t="s">
        <v>117</v>
      </c>
      <c r="CG120" s="50" t="s">
        <v>116</v>
      </c>
      <c r="CH120" s="49" t="s">
        <v>115</v>
      </c>
      <c r="CI120" s="48" t="s">
        <v>114</v>
      </c>
    </row>
    <row r="121" spans="1:87" ht="13.5" thickTop="1" x14ac:dyDescent="0.2">
      <c r="A121" s="47">
        <v>30</v>
      </c>
      <c r="B121" s="45">
        <v>32.29</v>
      </c>
      <c r="C121" s="46">
        <v>58.09</v>
      </c>
      <c r="D121" s="32">
        <f t="shared" ref="D121:D126" si="438">C121-B121</f>
        <v>25.800000000000004</v>
      </c>
      <c r="E121" s="45">
        <v>55.49</v>
      </c>
      <c r="F121" s="32">
        <f t="shared" ref="F121:F126" si="439">E121-B121</f>
        <v>23.200000000000003</v>
      </c>
      <c r="G121" s="45">
        <f t="shared" ref="G121:G126" si="440">D121-F121</f>
        <v>2.6000000000000014</v>
      </c>
      <c r="H121" s="44">
        <f t="shared" ref="H121:H126" si="441">(G121/F121)</f>
        <v>0.11206896551724142</v>
      </c>
      <c r="I121" s="30">
        <v>1.49</v>
      </c>
      <c r="J121" s="33">
        <f t="shared" ref="J121:J126" si="442">H121*I121</f>
        <v>0.16698275862068973</v>
      </c>
      <c r="L121" s="47">
        <v>30</v>
      </c>
      <c r="M121" s="45">
        <v>31.58</v>
      </c>
      <c r="N121" s="46">
        <v>56.86</v>
      </c>
      <c r="O121" s="32">
        <f t="shared" ref="O121:O126" si="443">N121-M121</f>
        <v>25.28</v>
      </c>
      <c r="P121" s="45">
        <v>54.07</v>
      </c>
      <c r="Q121" s="32">
        <f t="shared" ref="Q121:Q126" si="444">P121-M121</f>
        <v>22.490000000000002</v>
      </c>
      <c r="R121" s="45">
        <f t="shared" ref="R121:R126" si="445">O121-Q121</f>
        <v>2.7899999999999991</v>
      </c>
      <c r="S121" s="44">
        <f t="shared" ref="S121:S126" si="446">(R121/Q121)</f>
        <v>0.1240551356158292</v>
      </c>
      <c r="T121" s="30">
        <v>1.49</v>
      </c>
      <c r="U121" s="33">
        <f t="shared" ref="U121:U126" si="447">S121*T121</f>
        <v>0.1848421520675855</v>
      </c>
      <c r="W121" s="47">
        <v>30</v>
      </c>
      <c r="X121" s="45">
        <v>53.47</v>
      </c>
      <c r="Y121" s="46">
        <v>80.67</v>
      </c>
      <c r="Z121" s="32">
        <f t="shared" ref="Z121:Z126" si="448">Y121-X121</f>
        <v>27.200000000000003</v>
      </c>
      <c r="AA121" s="45">
        <v>77.27</v>
      </c>
      <c r="AB121" s="32">
        <f t="shared" ref="AB121:AB126" si="449">AA121-X121</f>
        <v>23.799999999999997</v>
      </c>
      <c r="AC121" s="45">
        <f t="shared" ref="AC121:AC126" si="450">Z121-AB121</f>
        <v>3.4000000000000057</v>
      </c>
      <c r="AD121" s="44">
        <f t="shared" ref="AD121:AD126" si="451">(AC121/AB121)</f>
        <v>0.14285714285714313</v>
      </c>
      <c r="AE121" s="30">
        <v>1.49</v>
      </c>
      <c r="AF121" s="33">
        <f t="shared" ref="AF121:AF126" si="452">AD121*AE121</f>
        <v>0.21285714285714324</v>
      </c>
      <c r="AH121" s="47">
        <v>30</v>
      </c>
      <c r="AI121" s="45">
        <v>31.83</v>
      </c>
      <c r="AJ121" s="46">
        <v>57.87</v>
      </c>
      <c r="AK121" s="32">
        <f t="shared" ref="AK121:AK126" si="453">AJ121-AI121</f>
        <v>26.04</v>
      </c>
      <c r="AL121" s="45">
        <v>54.08</v>
      </c>
      <c r="AM121" s="32">
        <f t="shared" ref="AM121:AM126" si="454">AL121-AI121</f>
        <v>22.25</v>
      </c>
      <c r="AN121" s="45">
        <f t="shared" ref="AN121:AN126" si="455">AK121-AM121</f>
        <v>3.7899999999999991</v>
      </c>
      <c r="AO121" s="44">
        <f t="shared" ref="AO121:AO126" si="456">(AN121/AM121)</f>
        <v>0.17033707865168535</v>
      </c>
      <c r="AP121" s="30">
        <v>1.49</v>
      </c>
      <c r="AQ121" s="33">
        <f t="shared" ref="AQ121:AQ126" si="457">AO121*AP121</f>
        <v>0.25380224719101119</v>
      </c>
      <c r="AS121" s="47">
        <v>30</v>
      </c>
      <c r="AT121" s="45">
        <v>47.74</v>
      </c>
      <c r="AU121" s="46">
        <v>71.98</v>
      </c>
      <c r="AV121" s="32">
        <f t="shared" ref="AV121:AV126" si="458">AU121-AT121</f>
        <v>24.240000000000002</v>
      </c>
      <c r="AW121" s="45">
        <v>68.709999999999994</v>
      </c>
      <c r="AX121" s="32">
        <f t="shared" ref="AX121:AX126" si="459">AW121-AT121</f>
        <v>20.969999999999992</v>
      </c>
      <c r="AY121" s="45">
        <f t="shared" ref="AY121:AY126" si="460">AV121-AX121</f>
        <v>3.2700000000000102</v>
      </c>
      <c r="AZ121" s="44">
        <f t="shared" ref="AZ121:AZ126" si="461">(AY121/AX121)</f>
        <v>0.15593705293276164</v>
      </c>
      <c r="BA121" s="30">
        <v>1.49</v>
      </c>
      <c r="BB121" s="33">
        <f t="shared" ref="BB121:BB126" si="462">AZ121*BA121</f>
        <v>0.23234620886981483</v>
      </c>
      <c r="BD121" s="47">
        <v>30</v>
      </c>
      <c r="BE121" s="45">
        <v>54.5</v>
      </c>
      <c r="BF121" s="46">
        <v>75.89</v>
      </c>
      <c r="BG121" s="32">
        <f t="shared" ref="BG121:BG126" si="463">BF121-BE121</f>
        <v>21.39</v>
      </c>
      <c r="BH121" s="45">
        <v>72.599999999999994</v>
      </c>
      <c r="BI121" s="32">
        <f t="shared" ref="BI121:BI126" si="464">BH121-BE121</f>
        <v>18.099999999999994</v>
      </c>
      <c r="BJ121" s="45">
        <f t="shared" ref="BJ121:BJ126" si="465">BG121-BI121</f>
        <v>3.2900000000000063</v>
      </c>
      <c r="BK121" s="44">
        <f t="shared" ref="BK121:BK126" si="466">(BJ121/BI121)</f>
        <v>0.18176795580110539</v>
      </c>
      <c r="BL121" s="30">
        <v>1.49</v>
      </c>
      <c r="BM121" s="33">
        <f t="shared" ref="BM121:BM126" si="467">BK121*BL121</f>
        <v>0.27083425414364704</v>
      </c>
      <c r="BO121" s="47">
        <v>30</v>
      </c>
      <c r="BP121" s="45">
        <v>36.049999999999997</v>
      </c>
      <c r="BQ121" s="46">
        <v>61.005000000000003</v>
      </c>
      <c r="BR121" s="32">
        <f t="shared" ref="BR121:BR126" si="468">BQ121-BP121</f>
        <v>24.955000000000005</v>
      </c>
      <c r="BS121" s="45">
        <v>58.06</v>
      </c>
      <c r="BT121" s="32">
        <f t="shared" ref="BT121:BT126" si="469">BS121-BP121</f>
        <v>22.010000000000005</v>
      </c>
      <c r="BU121" s="45">
        <f t="shared" ref="BU121:BU126" si="470">BR121-BT121</f>
        <v>2.9450000000000003</v>
      </c>
      <c r="BV121" s="44">
        <f t="shared" ref="BV121:BV126" si="471">(BU121/BT121)</f>
        <v>0.13380281690140844</v>
      </c>
      <c r="BW121" s="30">
        <v>1.49</v>
      </c>
      <c r="BX121" s="33">
        <f t="shared" ref="BX121:BX126" si="472">BV121*BW121</f>
        <v>0.19936619718309856</v>
      </c>
      <c r="BZ121" s="47">
        <v>30</v>
      </c>
      <c r="CA121" s="45">
        <v>46.43</v>
      </c>
      <c r="CB121" s="46">
        <v>78.510000000000005</v>
      </c>
      <c r="CC121" s="32">
        <f t="shared" ref="CC121:CC126" si="473">CB121-CA121</f>
        <v>32.080000000000005</v>
      </c>
      <c r="CD121" s="45">
        <v>74.650000000000006</v>
      </c>
      <c r="CE121" s="32">
        <f t="shared" ref="CE121:CE126" si="474">CD121-CA121</f>
        <v>28.220000000000006</v>
      </c>
      <c r="CF121" s="45">
        <f t="shared" ref="CF121:CF126" si="475">CC121-CE121</f>
        <v>3.8599999999999994</v>
      </c>
      <c r="CG121" s="44">
        <f t="shared" ref="CG121:CG126" si="476">(CF121/CE121)</f>
        <v>0.1367824238128986</v>
      </c>
      <c r="CH121" s="30">
        <v>1.49</v>
      </c>
      <c r="CI121" s="33">
        <f t="shared" ref="CI121:CI126" si="477">CG121*CH121</f>
        <v>0.2038058114812189</v>
      </c>
    </row>
    <row r="122" spans="1:87" x14ac:dyDescent="0.2">
      <c r="A122" s="43">
        <v>60</v>
      </c>
      <c r="B122" s="41">
        <v>32.65</v>
      </c>
      <c r="C122" s="42">
        <v>59.23</v>
      </c>
      <c r="D122" s="32">
        <f t="shared" si="438"/>
        <v>26.58</v>
      </c>
      <c r="E122" s="41">
        <v>56.21</v>
      </c>
      <c r="F122" s="32">
        <f t="shared" si="439"/>
        <v>23.560000000000002</v>
      </c>
      <c r="G122" s="41">
        <f t="shared" si="440"/>
        <v>3.019999999999996</v>
      </c>
      <c r="H122" s="40">
        <f t="shared" si="441"/>
        <v>0.12818336162988098</v>
      </c>
      <c r="I122" s="30">
        <v>1.42</v>
      </c>
      <c r="J122" s="33">
        <f t="shared" si="442"/>
        <v>0.18202037351443098</v>
      </c>
      <c r="L122" s="43">
        <v>60</v>
      </c>
      <c r="M122" s="41">
        <v>42.62</v>
      </c>
      <c r="N122" s="42">
        <v>71.400000000000006</v>
      </c>
      <c r="O122" s="32">
        <f t="shared" si="443"/>
        <v>28.780000000000008</v>
      </c>
      <c r="P122" s="41">
        <v>67.33</v>
      </c>
      <c r="Q122" s="32">
        <f t="shared" si="444"/>
        <v>24.71</v>
      </c>
      <c r="R122" s="41">
        <f t="shared" si="445"/>
        <v>4.0700000000000074</v>
      </c>
      <c r="S122" s="40">
        <f t="shared" si="446"/>
        <v>0.16471064346418485</v>
      </c>
      <c r="T122" s="30">
        <v>1.42</v>
      </c>
      <c r="U122" s="33">
        <f t="shared" si="447"/>
        <v>0.23388911371914248</v>
      </c>
      <c r="W122" s="43">
        <v>60</v>
      </c>
      <c r="X122" s="41">
        <v>46.01</v>
      </c>
      <c r="Y122" s="42">
        <v>74.36</v>
      </c>
      <c r="Z122" s="32">
        <f t="shared" si="448"/>
        <v>28.35</v>
      </c>
      <c r="AA122" s="41">
        <v>71.459999999999994</v>
      </c>
      <c r="AB122" s="32">
        <f t="shared" si="449"/>
        <v>25.449999999999996</v>
      </c>
      <c r="AC122" s="41">
        <f t="shared" si="450"/>
        <v>2.9000000000000057</v>
      </c>
      <c r="AD122" s="40">
        <f t="shared" si="451"/>
        <v>0.11394891944990201</v>
      </c>
      <c r="AE122" s="30">
        <v>1.42</v>
      </c>
      <c r="AF122" s="33">
        <f t="shared" si="452"/>
        <v>0.16180746561886086</v>
      </c>
      <c r="AH122" s="43">
        <v>60</v>
      </c>
      <c r="AI122" s="41">
        <v>31.79</v>
      </c>
      <c r="AJ122" s="42">
        <v>58.67</v>
      </c>
      <c r="AK122" s="32">
        <f t="shared" si="453"/>
        <v>26.880000000000003</v>
      </c>
      <c r="AL122" s="41">
        <v>55.15</v>
      </c>
      <c r="AM122" s="32">
        <f t="shared" si="454"/>
        <v>23.36</v>
      </c>
      <c r="AN122" s="41">
        <f t="shared" si="455"/>
        <v>3.5200000000000031</v>
      </c>
      <c r="AO122" s="40">
        <f t="shared" si="456"/>
        <v>0.15068493150684945</v>
      </c>
      <c r="AP122" s="30">
        <v>1.42</v>
      </c>
      <c r="AQ122" s="33">
        <f t="shared" si="457"/>
        <v>0.21397260273972621</v>
      </c>
      <c r="AS122" s="43">
        <v>60</v>
      </c>
      <c r="AT122" s="41">
        <v>37.659999999999997</v>
      </c>
      <c r="AU122" s="42">
        <v>67.08</v>
      </c>
      <c r="AV122" s="32">
        <f t="shared" si="458"/>
        <v>29.42</v>
      </c>
      <c r="AW122" s="41">
        <v>61.88</v>
      </c>
      <c r="AX122" s="32">
        <f t="shared" si="459"/>
        <v>24.220000000000006</v>
      </c>
      <c r="AY122" s="41">
        <f t="shared" si="460"/>
        <v>5.1999999999999957</v>
      </c>
      <c r="AZ122" s="40">
        <f t="shared" si="461"/>
        <v>0.21469859620148615</v>
      </c>
      <c r="BA122" s="30">
        <v>1.42</v>
      </c>
      <c r="BB122" s="33">
        <f t="shared" si="462"/>
        <v>0.3048720066061103</v>
      </c>
      <c r="BD122" s="43">
        <v>60</v>
      </c>
      <c r="BE122" s="41">
        <v>31.82</v>
      </c>
      <c r="BF122" s="42">
        <v>56.1</v>
      </c>
      <c r="BG122" s="32">
        <f t="shared" si="463"/>
        <v>24.28</v>
      </c>
      <c r="BH122" s="41">
        <v>51.84</v>
      </c>
      <c r="BI122" s="32">
        <f t="shared" si="464"/>
        <v>20.020000000000003</v>
      </c>
      <c r="BJ122" s="41">
        <f t="shared" si="465"/>
        <v>4.259999999999998</v>
      </c>
      <c r="BK122" s="40">
        <f t="shared" si="466"/>
        <v>0.21278721278721266</v>
      </c>
      <c r="BL122" s="30">
        <v>1.42</v>
      </c>
      <c r="BM122" s="33">
        <f t="shared" si="467"/>
        <v>0.30215784215784197</v>
      </c>
      <c r="BO122" s="43">
        <v>60</v>
      </c>
      <c r="BP122" s="41">
        <v>32.32</v>
      </c>
      <c r="BQ122" s="42">
        <v>58.15</v>
      </c>
      <c r="BR122" s="32">
        <f t="shared" si="468"/>
        <v>25.83</v>
      </c>
      <c r="BS122" s="41">
        <v>53.94</v>
      </c>
      <c r="BT122" s="32">
        <f t="shared" si="469"/>
        <v>21.619999999999997</v>
      </c>
      <c r="BU122" s="41">
        <f t="shared" si="470"/>
        <v>4.2100000000000009</v>
      </c>
      <c r="BV122" s="40">
        <f t="shared" si="471"/>
        <v>0.19472710453284003</v>
      </c>
      <c r="BW122" s="30">
        <v>1.42</v>
      </c>
      <c r="BX122" s="33">
        <f t="shared" si="472"/>
        <v>0.27651248843663284</v>
      </c>
      <c r="BZ122" s="43">
        <v>60</v>
      </c>
      <c r="CA122" s="41">
        <v>36.36</v>
      </c>
      <c r="CB122" s="42">
        <v>65.02</v>
      </c>
      <c r="CC122" s="32">
        <f t="shared" si="473"/>
        <v>28.659999999999997</v>
      </c>
      <c r="CD122" s="41">
        <v>61.16</v>
      </c>
      <c r="CE122" s="32">
        <f t="shared" si="474"/>
        <v>24.799999999999997</v>
      </c>
      <c r="CF122" s="41">
        <f t="shared" si="475"/>
        <v>3.8599999999999994</v>
      </c>
      <c r="CG122" s="40">
        <f t="shared" si="476"/>
        <v>0.15564516129032258</v>
      </c>
      <c r="CH122" s="30">
        <v>1.42</v>
      </c>
      <c r="CI122" s="33">
        <f t="shared" si="477"/>
        <v>0.22101612903225804</v>
      </c>
    </row>
    <row r="123" spans="1:87" x14ac:dyDescent="0.2">
      <c r="A123" s="43">
        <v>90</v>
      </c>
      <c r="B123" s="41">
        <v>41.55</v>
      </c>
      <c r="C123" s="42">
        <v>75.41</v>
      </c>
      <c r="D123" s="32">
        <f t="shared" si="438"/>
        <v>33.86</v>
      </c>
      <c r="E123" s="41">
        <v>70.75</v>
      </c>
      <c r="F123" s="32">
        <f t="shared" si="439"/>
        <v>29.200000000000003</v>
      </c>
      <c r="G123" s="41">
        <f t="shared" si="440"/>
        <v>4.6599999999999966</v>
      </c>
      <c r="H123" s="40">
        <f t="shared" si="441"/>
        <v>0.15958904109589028</v>
      </c>
      <c r="I123" s="30">
        <v>1.58</v>
      </c>
      <c r="J123" s="33">
        <f t="shared" si="442"/>
        <v>0.25215068493150666</v>
      </c>
      <c r="L123" s="43">
        <v>90</v>
      </c>
      <c r="M123" s="41">
        <v>32.21</v>
      </c>
      <c r="N123" s="42">
        <v>58.55</v>
      </c>
      <c r="O123" s="32">
        <f t="shared" si="443"/>
        <v>26.339999999999996</v>
      </c>
      <c r="P123" s="41">
        <v>54.93</v>
      </c>
      <c r="Q123" s="32">
        <f t="shared" si="444"/>
        <v>22.72</v>
      </c>
      <c r="R123" s="41">
        <f t="shared" si="445"/>
        <v>3.6199999999999974</v>
      </c>
      <c r="S123" s="40">
        <f t="shared" si="446"/>
        <v>0.15933098591549286</v>
      </c>
      <c r="T123" s="30">
        <v>1.58</v>
      </c>
      <c r="U123" s="33">
        <f t="shared" si="447"/>
        <v>0.2517429577464787</v>
      </c>
      <c r="W123" s="43">
        <v>90</v>
      </c>
      <c r="X123" s="41">
        <v>36.299999999999997</v>
      </c>
      <c r="Y123" s="42">
        <v>62.69</v>
      </c>
      <c r="Z123" s="32">
        <f t="shared" si="448"/>
        <v>26.39</v>
      </c>
      <c r="AA123" s="41">
        <v>59.16</v>
      </c>
      <c r="AB123" s="32">
        <f t="shared" si="449"/>
        <v>22.86</v>
      </c>
      <c r="AC123" s="41">
        <f t="shared" si="450"/>
        <v>3.5300000000000011</v>
      </c>
      <c r="AD123" s="40">
        <f t="shared" si="451"/>
        <v>0.1544181977252844</v>
      </c>
      <c r="AE123" s="30">
        <v>1.58</v>
      </c>
      <c r="AF123" s="33">
        <f t="shared" si="452"/>
        <v>0.24398075240594935</v>
      </c>
      <c r="AH123" s="43">
        <v>90</v>
      </c>
      <c r="AI123" s="41">
        <v>41.8</v>
      </c>
      <c r="AJ123" s="42">
        <v>70.2</v>
      </c>
      <c r="AK123" s="32">
        <f t="shared" si="453"/>
        <v>28.400000000000006</v>
      </c>
      <c r="AL123" s="41">
        <v>67.3</v>
      </c>
      <c r="AM123" s="32">
        <f t="shared" si="454"/>
        <v>25.5</v>
      </c>
      <c r="AN123" s="41">
        <f t="shared" si="455"/>
        <v>2.9000000000000057</v>
      </c>
      <c r="AO123" s="40">
        <f t="shared" si="456"/>
        <v>0.11372549019607865</v>
      </c>
      <c r="AP123" s="30">
        <v>1.58</v>
      </c>
      <c r="AQ123" s="33">
        <f t="shared" si="457"/>
        <v>0.17968627450980429</v>
      </c>
      <c r="AS123" s="43">
        <v>90</v>
      </c>
      <c r="AT123" s="41">
        <v>30.56</v>
      </c>
      <c r="AU123" s="42">
        <v>57.17</v>
      </c>
      <c r="AV123" s="32">
        <f t="shared" si="458"/>
        <v>26.610000000000003</v>
      </c>
      <c r="AW123" s="41">
        <v>53.02</v>
      </c>
      <c r="AX123" s="32">
        <f t="shared" si="459"/>
        <v>22.460000000000004</v>
      </c>
      <c r="AY123" s="41">
        <f t="shared" si="460"/>
        <v>4.1499999999999986</v>
      </c>
      <c r="AZ123" s="40">
        <f t="shared" si="461"/>
        <v>0.18477292965271583</v>
      </c>
      <c r="BA123" s="30">
        <v>1.58</v>
      </c>
      <c r="BB123" s="33">
        <f t="shared" si="462"/>
        <v>0.29194122885129103</v>
      </c>
      <c r="BD123" s="43">
        <v>90</v>
      </c>
      <c r="BE123" s="41">
        <v>50.76</v>
      </c>
      <c r="BF123" s="42">
        <v>80.930000000000007</v>
      </c>
      <c r="BG123" s="32">
        <f t="shared" si="463"/>
        <v>30.170000000000009</v>
      </c>
      <c r="BH123" s="41">
        <v>76.040000000000006</v>
      </c>
      <c r="BI123" s="32">
        <f t="shared" si="464"/>
        <v>25.280000000000008</v>
      </c>
      <c r="BJ123" s="41">
        <f t="shared" si="465"/>
        <v>4.8900000000000006</v>
      </c>
      <c r="BK123" s="40">
        <f t="shared" si="466"/>
        <v>0.19343354430379742</v>
      </c>
      <c r="BL123" s="30">
        <v>1.58</v>
      </c>
      <c r="BM123" s="33">
        <f t="shared" si="467"/>
        <v>0.30562499999999992</v>
      </c>
      <c r="BO123" s="43">
        <v>90</v>
      </c>
      <c r="BP123" s="41">
        <v>45.67</v>
      </c>
      <c r="BQ123" s="42">
        <v>73.98</v>
      </c>
      <c r="BR123" s="32">
        <f t="shared" si="468"/>
        <v>28.310000000000002</v>
      </c>
      <c r="BS123" s="41">
        <v>69.69</v>
      </c>
      <c r="BT123" s="32">
        <f t="shared" si="469"/>
        <v>24.019999999999996</v>
      </c>
      <c r="BU123" s="41">
        <f t="shared" si="470"/>
        <v>4.2900000000000063</v>
      </c>
      <c r="BV123" s="40">
        <f t="shared" si="471"/>
        <v>0.17860116569525425</v>
      </c>
      <c r="BW123" s="30">
        <v>1.58</v>
      </c>
      <c r="BX123" s="33">
        <f t="shared" si="472"/>
        <v>0.28218984179850171</v>
      </c>
      <c r="BZ123" s="43">
        <v>90</v>
      </c>
      <c r="CA123" s="41">
        <v>50.29</v>
      </c>
      <c r="CB123" s="42">
        <v>82.25</v>
      </c>
      <c r="CC123" s="32">
        <f t="shared" si="473"/>
        <v>31.96</v>
      </c>
      <c r="CD123" s="41">
        <v>76.84</v>
      </c>
      <c r="CE123" s="32">
        <f t="shared" si="474"/>
        <v>26.550000000000004</v>
      </c>
      <c r="CF123" s="41">
        <f t="shared" si="475"/>
        <v>5.4099999999999966</v>
      </c>
      <c r="CG123" s="40">
        <f t="shared" si="476"/>
        <v>0.20376647834274936</v>
      </c>
      <c r="CH123" s="30">
        <v>1.58</v>
      </c>
      <c r="CI123" s="33">
        <f t="shared" si="477"/>
        <v>0.32195103578154399</v>
      </c>
    </row>
    <row r="124" spans="1:87" x14ac:dyDescent="0.2">
      <c r="A124" s="43">
        <v>120</v>
      </c>
      <c r="B124" s="41">
        <v>36.26</v>
      </c>
      <c r="C124" s="42">
        <v>64.25</v>
      </c>
      <c r="D124" s="32">
        <f t="shared" si="438"/>
        <v>27.990000000000002</v>
      </c>
      <c r="E124" s="41">
        <v>61.3</v>
      </c>
      <c r="F124" s="32">
        <f t="shared" si="439"/>
        <v>25.04</v>
      </c>
      <c r="G124" s="41">
        <f t="shared" si="440"/>
        <v>2.9500000000000028</v>
      </c>
      <c r="H124" s="40">
        <f t="shared" si="441"/>
        <v>0.1178115015974442</v>
      </c>
      <c r="I124" s="30">
        <v>1.58</v>
      </c>
      <c r="J124" s="33">
        <f t="shared" si="442"/>
        <v>0.18614217252396184</v>
      </c>
      <c r="L124" s="43">
        <v>120</v>
      </c>
      <c r="M124" s="41">
        <v>36.26</v>
      </c>
      <c r="N124" s="42">
        <v>62.98</v>
      </c>
      <c r="O124" s="32">
        <f t="shared" si="443"/>
        <v>26.72</v>
      </c>
      <c r="P124" s="41">
        <v>60.97</v>
      </c>
      <c r="Q124" s="32">
        <f t="shared" si="444"/>
        <v>24.71</v>
      </c>
      <c r="R124" s="41">
        <f t="shared" si="445"/>
        <v>2.009999999999998</v>
      </c>
      <c r="S124" s="40">
        <f t="shared" si="446"/>
        <v>8.1343585592877299E-2</v>
      </c>
      <c r="T124" s="30">
        <v>1.58</v>
      </c>
      <c r="U124" s="33">
        <f t="shared" si="447"/>
        <v>0.12852286523674614</v>
      </c>
      <c r="W124" s="43">
        <v>120</v>
      </c>
      <c r="X124" s="41">
        <v>42.09</v>
      </c>
      <c r="Y124" s="42">
        <v>72.13</v>
      </c>
      <c r="Z124" s="32">
        <f t="shared" si="448"/>
        <v>30.039999999999992</v>
      </c>
      <c r="AA124" s="41">
        <v>69.75</v>
      </c>
      <c r="AB124" s="32">
        <f t="shared" si="449"/>
        <v>27.659999999999997</v>
      </c>
      <c r="AC124" s="41">
        <f t="shared" si="450"/>
        <v>2.3799999999999955</v>
      </c>
      <c r="AD124" s="40">
        <f t="shared" si="451"/>
        <v>8.6044830079537088E-2</v>
      </c>
      <c r="AE124" s="30">
        <v>1.58</v>
      </c>
      <c r="AF124" s="33">
        <f t="shared" si="452"/>
        <v>0.13595083152566861</v>
      </c>
      <c r="AH124" s="43">
        <v>120</v>
      </c>
      <c r="AI124" s="41">
        <v>38.659999999999997</v>
      </c>
      <c r="AJ124" s="42">
        <v>68.86</v>
      </c>
      <c r="AK124" s="32">
        <f t="shared" si="453"/>
        <v>30.200000000000003</v>
      </c>
      <c r="AL124" s="41">
        <v>65.010000000000005</v>
      </c>
      <c r="AM124" s="32">
        <f t="shared" si="454"/>
        <v>26.350000000000009</v>
      </c>
      <c r="AN124" s="41">
        <f t="shared" si="455"/>
        <v>3.8499999999999943</v>
      </c>
      <c r="AO124" s="40">
        <f t="shared" si="456"/>
        <v>0.14611005692599593</v>
      </c>
      <c r="AP124" s="30">
        <v>1.58</v>
      </c>
      <c r="AQ124" s="33">
        <f t="shared" si="457"/>
        <v>0.2308538899430736</v>
      </c>
      <c r="AS124" s="43">
        <v>120</v>
      </c>
      <c r="AT124" s="41">
        <v>41.64</v>
      </c>
      <c r="AU124" s="42">
        <v>67.55</v>
      </c>
      <c r="AV124" s="32">
        <f t="shared" si="458"/>
        <v>25.909999999999997</v>
      </c>
      <c r="AW124" s="41">
        <v>63.65</v>
      </c>
      <c r="AX124" s="32">
        <f t="shared" si="459"/>
        <v>22.009999999999998</v>
      </c>
      <c r="AY124" s="41">
        <f t="shared" si="460"/>
        <v>3.8999999999999986</v>
      </c>
      <c r="AZ124" s="40">
        <f t="shared" si="461"/>
        <v>0.17719218537028619</v>
      </c>
      <c r="BA124" s="30">
        <v>1.58</v>
      </c>
      <c r="BB124" s="33">
        <f t="shared" si="462"/>
        <v>0.27996365288505221</v>
      </c>
      <c r="BD124" s="43">
        <v>120</v>
      </c>
      <c r="BE124" s="41">
        <v>36.42</v>
      </c>
      <c r="BF124" s="42">
        <v>59.74</v>
      </c>
      <c r="BG124" s="32">
        <f t="shared" si="463"/>
        <v>23.32</v>
      </c>
      <c r="BH124" s="41">
        <v>56.57</v>
      </c>
      <c r="BI124" s="32">
        <f t="shared" si="464"/>
        <v>20.149999999999999</v>
      </c>
      <c r="BJ124" s="41">
        <f t="shared" si="465"/>
        <v>3.1700000000000017</v>
      </c>
      <c r="BK124" s="40">
        <f t="shared" si="466"/>
        <v>0.15732009925558321</v>
      </c>
      <c r="BL124" s="30">
        <v>1.58</v>
      </c>
      <c r="BM124" s="33">
        <f t="shared" si="467"/>
        <v>0.24856575682382148</v>
      </c>
      <c r="BO124" s="43">
        <v>120</v>
      </c>
      <c r="BP124" s="41">
        <v>36.590000000000003</v>
      </c>
      <c r="BQ124" s="42">
        <v>63.61</v>
      </c>
      <c r="BR124" s="32">
        <f t="shared" si="468"/>
        <v>27.019999999999996</v>
      </c>
      <c r="BS124" s="41">
        <v>59.63</v>
      </c>
      <c r="BT124" s="32">
        <f t="shared" si="469"/>
        <v>23.04</v>
      </c>
      <c r="BU124" s="41">
        <f t="shared" si="470"/>
        <v>3.9799999999999969</v>
      </c>
      <c r="BV124" s="40">
        <f t="shared" si="471"/>
        <v>0.17274305555555541</v>
      </c>
      <c r="BW124" s="30">
        <v>1.58</v>
      </c>
      <c r="BX124" s="33">
        <f t="shared" si="472"/>
        <v>0.27293402777777759</v>
      </c>
      <c r="BZ124" s="43">
        <v>120</v>
      </c>
      <c r="CA124" s="41">
        <v>21.91</v>
      </c>
      <c r="CB124" s="42">
        <v>45.29</v>
      </c>
      <c r="CC124" s="32">
        <f t="shared" si="473"/>
        <v>23.38</v>
      </c>
      <c r="CD124" s="41">
        <v>41.81</v>
      </c>
      <c r="CE124" s="32">
        <f t="shared" si="474"/>
        <v>19.900000000000002</v>
      </c>
      <c r="CF124" s="41">
        <f t="shared" si="475"/>
        <v>3.4799999999999969</v>
      </c>
      <c r="CG124" s="40">
        <f t="shared" si="476"/>
        <v>0.1748743718592963</v>
      </c>
      <c r="CH124" s="30">
        <v>1.58</v>
      </c>
      <c r="CI124" s="33">
        <f t="shared" si="477"/>
        <v>0.27630150753768817</v>
      </c>
    </row>
    <row r="125" spans="1:87" x14ac:dyDescent="0.2">
      <c r="A125" s="43">
        <v>150</v>
      </c>
      <c r="B125" s="41">
        <v>38.75</v>
      </c>
      <c r="C125" s="42">
        <v>74.819999999999993</v>
      </c>
      <c r="D125" s="32">
        <f t="shared" si="438"/>
        <v>36.069999999999993</v>
      </c>
      <c r="E125" s="41">
        <v>71.569999999999993</v>
      </c>
      <c r="F125" s="32">
        <f t="shared" si="439"/>
        <v>32.819999999999993</v>
      </c>
      <c r="G125" s="41">
        <f t="shared" si="440"/>
        <v>3.25</v>
      </c>
      <c r="H125" s="40">
        <f t="shared" si="441"/>
        <v>9.9024984765386986E-2</v>
      </c>
      <c r="I125" s="30">
        <v>1.58</v>
      </c>
      <c r="J125" s="33">
        <f t="shared" si="442"/>
        <v>0.15645947592931145</v>
      </c>
      <c r="L125" s="43">
        <v>150</v>
      </c>
      <c r="M125" s="41">
        <v>32.22</v>
      </c>
      <c r="N125" s="42">
        <v>61.1</v>
      </c>
      <c r="O125" s="32">
        <f t="shared" si="443"/>
        <v>28.880000000000003</v>
      </c>
      <c r="P125" s="41">
        <v>59</v>
      </c>
      <c r="Q125" s="32">
        <f t="shared" si="444"/>
        <v>26.78</v>
      </c>
      <c r="R125" s="41">
        <f t="shared" si="445"/>
        <v>2.1000000000000014</v>
      </c>
      <c r="S125" s="40">
        <f t="shared" si="446"/>
        <v>7.8416728902165847E-2</v>
      </c>
      <c r="T125" s="30">
        <v>1.58</v>
      </c>
      <c r="U125" s="33">
        <f t="shared" si="447"/>
        <v>0.12389843166542204</v>
      </c>
      <c r="W125" s="43">
        <v>150</v>
      </c>
      <c r="X125" s="41">
        <v>42.47</v>
      </c>
      <c r="Y125" s="42">
        <v>67.94</v>
      </c>
      <c r="Z125" s="32">
        <f t="shared" si="448"/>
        <v>25.47</v>
      </c>
      <c r="AA125" s="41">
        <v>65.75</v>
      </c>
      <c r="AB125" s="32">
        <f t="shared" si="449"/>
        <v>23.28</v>
      </c>
      <c r="AC125" s="41">
        <f t="shared" si="450"/>
        <v>2.1899999999999977</v>
      </c>
      <c r="AD125" s="40">
        <f t="shared" si="451"/>
        <v>9.407216494845351E-2</v>
      </c>
      <c r="AE125" s="30">
        <v>1.58</v>
      </c>
      <c r="AF125" s="33">
        <f t="shared" si="452"/>
        <v>0.14863402061855654</v>
      </c>
      <c r="AH125" s="43">
        <v>150</v>
      </c>
      <c r="AI125" s="41">
        <v>32.200000000000003</v>
      </c>
      <c r="AJ125" s="42">
        <v>61.27</v>
      </c>
      <c r="AK125" s="32">
        <f t="shared" si="453"/>
        <v>29.07</v>
      </c>
      <c r="AL125" s="41">
        <v>58.43</v>
      </c>
      <c r="AM125" s="32">
        <f t="shared" si="454"/>
        <v>26.229999999999997</v>
      </c>
      <c r="AN125" s="41">
        <f t="shared" si="455"/>
        <v>2.8400000000000034</v>
      </c>
      <c r="AO125" s="40">
        <f t="shared" si="456"/>
        <v>0.10827296988181485</v>
      </c>
      <c r="AP125" s="30">
        <v>1.58</v>
      </c>
      <c r="AQ125" s="33">
        <f t="shared" si="457"/>
        <v>0.17107129241326749</v>
      </c>
      <c r="AS125" s="43">
        <v>150</v>
      </c>
      <c r="AT125" s="41">
        <v>41.87</v>
      </c>
      <c r="AU125" s="42">
        <v>74.930000000000007</v>
      </c>
      <c r="AV125" s="32">
        <f t="shared" si="458"/>
        <v>33.060000000000009</v>
      </c>
      <c r="AW125" s="41">
        <v>70.67</v>
      </c>
      <c r="AX125" s="32">
        <f t="shared" si="459"/>
        <v>28.800000000000004</v>
      </c>
      <c r="AY125" s="41">
        <f t="shared" si="460"/>
        <v>4.2600000000000051</v>
      </c>
      <c r="AZ125" s="40">
        <f t="shared" si="461"/>
        <v>0.14791666666666684</v>
      </c>
      <c r="BA125" s="30">
        <v>1.58</v>
      </c>
      <c r="BB125" s="33">
        <f t="shared" si="462"/>
        <v>0.2337083333333336</v>
      </c>
      <c r="BD125" s="43">
        <v>150</v>
      </c>
      <c r="BE125" s="41">
        <v>41.42</v>
      </c>
      <c r="BF125" s="42">
        <v>67.2</v>
      </c>
      <c r="BG125" s="32">
        <f t="shared" si="463"/>
        <v>25.78</v>
      </c>
      <c r="BH125" s="41">
        <v>64.290000000000006</v>
      </c>
      <c r="BI125" s="32">
        <f t="shared" si="464"/>
        <v>22.870000000000005</v>
      </c>
      <c r="BJ125" s="41">
        <f t="shared" si="465"/>
        <v>2.9099999999999966</v>
      </c>
      <c r="BK125" s="40">
        <f t="shared" si="466"/>
        <v>0.12724092697857436</v>
      </c>
      <c r="BL125" s="30">
        <v>1.58</v>
      </c>
      <c r="BM125" s="33">
        <f t="shared" si="467"/>
        <v>0.2010406646261475</v>
      </c>
      <c r="BO125" s="43">
        <v>150</v>
      </c>
      <c r="BP125" s="41">
        <v>33.4</v>
      </c>
      <c r="BQ125" s="42">
        <v>60.6</v>
      </c>
      <c r="BR125" s="32">
        <f t="shared" si="468"/>
        <v>27.200000000000003</v>
      </c>
      <c r="BS125" s="41">
        <v>57</v>
      </c>
      <c r="BT125" s="32">
        <f t="shared" si="469"/>
        <v>23.6</v>
      </c>
      <c r="BU125" s="41">
        <f t="shared" si="470"/>
        <v>3.6000000000000014</v>
      </c>
      <c r="BV125" s="40">
        <f t="shared" si="471"/>
        <v>0.15254237288135597</v>
      </c>
      <c r="BW125" s="30">
        <v>1.58</v>
      </c>
      <c r="BX125" s="33">
        <f t="shared" si="472"/>
        <v>0.24101694915254243</v>
      </c>
      <c r="BZ125" s="43">
        <v>150</v>
      </c>
      <c r="CA125" s="41">
        <v>36.72</v>
      </c>
      <c r="CB125" s="42">
        <v>63.25</v>
      </c>
      <c r="CC125" s="32">
        <f t="shared" si="473"/>
        <v>26.53</v>
      </c>
      <c r="CD125" s="41">
        <v>60.47</v>
      </c>
      <c r="CE125" s="32">
        <f t="shared" si="474"/>
        <v>23.75</v>
      </c>
      <c r="CF125" s="41">
        <f t="shared" si="475"/>
        <v>2.7800000000000011</v>
      </c>
      <c r="CG125" s="40">
        <f t="shared" si="476"/>
        <v>0.11705263157894742</v>
      </c>
      <c r="CH125" s="30">
        <v>1.58</v>
      </c>
      <c r="CI125" s="33">
        <f t="shared" si="477"/>
        <v>0.18494315789473695</v>
      </c>
    </row>
    <row r="126" spans="1:87" x14ac:dyDescent="0.2">
      <c r="A126" s="43">
        <v>180</v>
      </c>
      <c r="B126" s="41">
        <v>32.549999999999997</v>
      </c>
      <c r="C126" s="42">
        <v>61.8</v>
      </c>
      <c r="D126" s="32">
        <f t="shared" si="438"/>
        <v>29.25</v>
      </c>
      <c r="E126" s="41">
        <v>57.52</v>
      </c>
      <c r="F126" s="32">
        <f t="shared" si="439"/>
        <v>24.970000000000006</v>
      </c>
      <c r="G126" s="41">
        <f t="shared" si="440"/>
        <v>4.279999999999994</v>
      </c>
      <c r="H126" s="40">
        <f t="shared" si="441"/>
        <v>0.17140568682418875</v>
      </c>
      <c r="I126" s="30">
        <v>1.58</v>
      </c>
      <c r="J126" s="33">
        <f t="shared" si="442"/>
        <v>0.27082098518221825</v>
      </c>
      <c r="L126" s="43">
        <v>180</v>
      </c>
      <c r="M126" s="41">
        <v>42.72</v>
      </c>
      <c r="N126" s="42">
        <v>72.06</v>
      </c>
      <c r="O126" s="32">
        <f t="shared" si="443"/>
        <v>29.340000000000003</v>
      </c>
      <c r="P126" s="41">
        <v>68.08</v>
      </c>
      <c r="Q126" s="32">
        <f t="shared" si="444"/>
        <v>25.36</v>
      </c>
      <c r="R126" s="41">
        <f t="shared" si="445"/>
        <v>3.980000000000004</v>
      </c>
      <c r="S126" s="40">
        <f t="shared" si="446"/>
        <v>0.15694006309148281</v>
      </c>
      <c r="T126" s="30">
        <v>1.58</v>
      </c>
      <c r="U126" s="33">
        <f t="shared" si="447"/>
        <v>0.24796529968454287</v>
      </c>
      <c r="W126" s="43">
        <v>180</v>
      </c>
      <c r="X126" s="41">
        <v>41.61</v>
      </c>
      <c r="Y126" s="42">
        <v>73.790000000000006</v>
      </c>
      <c r="Z126" s="32">
        <f t="shared" si="448"/>
        <v>32.180000000000007</v>
      </c>
      <c r="AA126" s="41">
        <v>69.760000000000005</v>
      </c>
      <c r="AB126" s="32">
        <f t="shared" si="449"/>
        <v>28.150000000000006</v>
      </c>
      <c r="AC126" s="41">
        <f t="shared" si="450"/>
        <v>4.0300000000000011</v>
      </c>
      <c r="AD126" s="40">
        <f t="shared" si="451"/>
        <v>0.14316163410301955</v>
      </c>
      <c r="AE126" s="30">
        <v>1.58</v>
      </c>
      <c r="AF126" s="33">
        <f t="shared" si="452"/>
        <v>0.22619538188277089</v>
      </c>
      <c r="AH126" s="43">
        <v>180</v>
      </c>
      <c r="AI126" s="41">
        <v>41.91</v>
      </c>
      <c r="AJ126" s="42">
        <v>69.319999999999993</v>
      </c>
      <c r="AK126" s="32">
        <f t="shared" si="453"/>
        <v>27.409999999999997</v>
      </c>
      <c r="AL126" s="41">
        <v>65.8</v>
      </c>
      <c r="AM126" s="32">
        <f t="shared" si="454"/>
        <v>23.89</v>
      </c>
      <c r="AN126" s="41">
        <f t="shared" si="455"/>
        <v>3.519999999999996</v>
      </c>
      <c r="AO126" s="40">
        <f t="shared" si="456"/>
        <v>0.14734198409376292</v>
      </c>
      <c r="AP126" s="30">
        <v>1.58</v>
      </c>
      <c r="AQ126" s="33">
        <f t="shared" si="457"/>
        <v>0.23280033486814544</v>
      </c>
      <c r="AS126" s="43">
        <v>180</v>
      </c>
      <c r="AT126" s="41">
        <v>38.51</v>
      </c>
      <c r="AU126" s="42">
        <v>69.37</v>
      </c>
      <c r="AV126" s="32">
        <f t="shared" si="458"/>
        <v>30.860000000000007</v>
      </c>
      <c r="AW126" s="41">
        <v>64.83</v>
      </c>
      <c r="AX126" s="32">
        <f t="shared" si="459"/>
        <v>26.32</v>
      </c>
      <c r="AY126" s="41">
        <f t="shared" si="460"/>
        <v>4.5400000000000063</v>
      </c>
      <c r="AZ126" s="40">
        <f t="shared" si="461"/>
        <v>0.1724924012158057</v>
      </c>
      <c r="BA126" s="30">
        <v>1.58</v>
      </c>
      <c r="BB126" s="33">
        <f t="shared" si="462"/>
        <v>0.272537993920973</v>
      </c>
      <c r="BD126" s="43">
        <v>180</v>
      </c>
      <c r="BE126" s="41">
        <v>42.46</v>
      </c>
      <c r="BF126" s="42">
        <v>70.72</v>
      </c>
      <c r="BG126" s="32">
        <f t="shared" si="463"/>
        <v>28.259999999999998</v>
      </c>
      <c r="BH126" s="41">
        <v>65.05</v>
      </c>
      <c r="BI126" s="32">
        <f t="shared" si="464"/>
        <v>22.589999999999996</v>
      </c>
      <c r="BJ126" s="41">
        <f t="shared" si="465"/>
        <v>5.6700000000000017</v>
      </c>
      <c r="BK126" s="40">
        <f t="shared" si="466"/>
        <v>0.25099601593625509</v>
      </c>
      <c r="BL126" s="30">
        <v>1.58</v>
      </c>
      <c r="BM126" s="33">
        <f t="shared" si="467"/>
        <v>0.39657370517928309</v>
      </c>
      <c r="BO126" s="43">
        <v>180</v>
      </c>
      <c r="BP126" s="41">
        <v>42.23</v>
      </c>
      <c r="BQ126" s="42">
        <v>72.14</v>
      </c>
      <c r="BR126" s="32">
        <f t="shared" si="468"/>
        <v>29.910000000000004</v>
      </c>
      <c r="BS126" s="41">
        <v>67.73</v>
      </c>
      <c r="BT126" s="32">
        <f t="shared" si="469"/>
        <v>25.500000000000007</v>
      </c>
      <c r="BU126" s="41">
        <f t="shared" si="470"/>
        <v>4.4099999999999966</v>
      </c>
      <c r="BV126" s="40">
        <f t="shared" si="471"/>
        <v>0.17294117647058804</v>
      </c>
      <c r="BW126" s="30">
        <v>1.58</v>
      </c>
      <c r="BX126" s="33">
        <f t="shared" si="472"/>
        <v>0.27324705882352912</v>
      </c>
      <c r="BZ126" s="43">
        <v>180</v>
      </c>
      <c r="CA126" s="41">
        <v>52.2</v>
      </c>
      <c r="CB126" s="42">
        <v>71.34</v>
      </c>
      <c r="CC126" s="32">
        <f t="shared" si="473"/>
        <v>19.14</v>
      </c>
      <c r="CD126" s="41">
        <v>68.11</v>
      </c>
      <c r="CE126" s="32">
        <f t="shared" si="474"/>
        <v>15.909999999999997</v>
      </c>
      <c r="CF126" s="41">
        <f t="shared" si="475"/>
        <v>3.230000000000004</v>
      </c>
      <c r="CG126" s="40">
        <f t="shared" si="476"/>
        <v>0.20301697045883121</v>
      </c>
      <c r="CH126" s="30">
        <v>1.58</v>
      </c>
      <c r="CI126" s="33">
        <f t="shared" si="477"/>
        <v>0.32076681332495333</v>
      </c>
    </row>
    <row r="127" spans="1:87" ht="13.5" thickBot="1" x14ac:dyDescent="0.25">
      <c r="A127" s="37"/>
      <c r="B127" s="35"/>
      <c r="C127" s="35"/>
      <c r="D127" s="35"/>
      <c r="E127" s="35"/>
      <c r="F127" s="36"/>
      <c r="G127" s="35"/>
      <c r="H127" s="39"/>
      <c r="I127" s="32"/>
      <c r="K127" s="32"/>
      <c r="L127" s="38"/>
      <c r="M127" s="35"/>
      <c r="N127" s="35"/>
      <c r="O127" s="35"/>
      <c r="P127" s="35"/>
      <c r="Q127" s="36"/>
      <c r="R127" s="35"/>
      <c r="S127" s="34"/>
      <c r="T127" s="32"/>
      <c r="W127" s="37"/>
      <c r="X127" s="35"/>
      <c r="Y127" s="35"/>
      <c r="Z127" s="35"/>
      <c r="AA127" s="35"/>
      <c r="AB127" s="36"/>
      <c r="AC127" s="35"/>
      <c r="AD127" s="34"/>
      <c r="AE127" s="32"/>
      <c r="AH127" s="37"/>
      <c r="AI127" s="35"/>
      <c r="AJ127" s="35"/>
      <c r="AK127" s="35"/>
      <c r="AL127" s="35"/>
      <c r="AM127" s="36"/>
      <c r="AN127" s="35"/>
      <c r="AO127" s="34"/>
      <c r="AP127" s="32"/>
      <c r="AS127" s="37"/>
      <c r="AT127" s="35"/>
      <c r="AU127" s="35"/>
      <c r="AV127" s="35"/>
      <c r="AW127" s="35"/>
      <c r="AX127" s="36"/>
      <c r="AY127" s="35"/>
      <c r="AZ127" s="34"/>
      <c r="BA127" s="32"/>
      <c r="BD127" s="37"/>
      <c r="BE127" s="35"/>
      <c r="BF127" s="35"/>
      <c r="BG127" s="35"/>
      <c r="BH127" s="35"/>
      <c r="BI127" s="36"/>
      <c r="BJ127" s="35"/>
      <c r="BK127" s="34"/>
      <c r="BL127" s="32"/>
      <c r="BO127" s="37"/>
      <c r="BP127" s="35"/>
      <c r="BQ127" s="35"/>
      <c r="BR127" s="35"/>
      <c r="BS127" s="35"/>
      <c r="BT127" s="36"/>
      <c r="BU127" s="35">
        <f>BT127-BS127-BQ127</f>
        <v>0</v>
      </c>
      <c r="BV127" s="34"/>
      <c r="BW127" s="32"/>
      <c r="BZ127" s="37"/>
      <c r="CA127" s="35"/>
      <c r="CB127" s="35"/>
      <c r="CC127" s="35"/>
      <c r="CD127" s="35"/>
      <c r="CE127" s="36"/>
      <c r="CF127" s="35"/>
      <c r="CG127" s="34"/>
    </row>
    <row r="128" spans="1:87" ht="13.5" thickTop="1" x14ac:dyDescent="0.2"/>
    <row r="131" spans="1:13" x14ac:dyDescent="0.2">
      <c r="B131" s="30" t="s">
        <v>41</v>
      </c>
      <c r="D131" s="30" t="s">
        <v>40</v>
      </c>
      <c r="F131" s="30" t="s">
        <v>39</v>
      </c>
      <c r="H131" s="30" t="s">
        <v>38</v>
      </c>
      <c r="J131" s="30" t="s">
        <v>37</v>
      </c>
      <c r="L131" s="30" t="s">
        <v>36</v>
      </c>
    </row>
    <row r="132" spans="1:13" x14ac:dyDescent="0.2">
      <c r="B132" s="30" t="s">
        <v>57</v>
      </c>
      <c r="C132" s="30" t="s">
        <v>46</v>
      </c>
      <c r="D132" s="30" t="s">
        <v>57</v>
      </c>
      <c r="E132" s="30" t="s">
        <v>46</v>
      </c>
      <c r="F132" s="30" t="s">
        <v>57</v>
      </c>
      <c r="G132" s="30" t="s">
        <v>46</v>
      </c>
      <c r="H132" s="30" t="s">
        <v>57</v>
      </c>
      <c r="I132" s="30" t="s">
        <v>46</v>
      </c>
      <c r="J132" s="30" t="s">
        <v>57</v>
      </c>
      <c r="K132" s="30" t="s">
        <v>46</v>
      </c>
      <c r="L132" s="30" t="s">
        <v>57</v>
      </c>
      <c r="M132" s="30" t="s">
        <v>46</v>
      </c>
    </row>
    <row r="133" spans="1:13" x14ac:dyDescent="0.2">
      <c r="A133" s="30">
        <v>30</v>
      </c>
      <c r="B133" s="33">
        <f t="shared" ref="B133:B138" si="478">AVERAGE(J5,BB37)</f>
        <v>0.15419295160993116</v>
      </c>
      <c r="C133" s="33">
        <f t="shared" ref="C133:C138" si="479">AVERAGE(J25,BB57)</f>
        <v>0.21837988270925407</v>
      </c>
      <c r="D133" s="33">
        <f t="shared" ref="D133:D138" si="480">AVERAGE(CI37,AQ69)</f>
        <v>0.12584736037428285</v>
      </c>
      <c r="E133" s="33">
        <f t="shared" ref="E133:E138" si="481">AVERAGE(AQ89,CI57)</f>
        <v>0.19668498425069847</v>
      </c>
      <c r="F133" s="33">
        <f t="shared" ref="F133:F138" si="482">AVERAGE(CI5,AF37,AQ101,BM101)</f>
        <v>0.12751664770004265</v>
      </c>
      <c r="G133" s="33">
        <f t="shared" ref="G133:G138" si="483">AVERAGE(CI25,AF57,AQ121,BM121)</f>
        <v>0.22652901073908788</v>
      </c>
      <c r="H133" s="33">
        <f t="shared" ref="H133:H138" si="484">AVERAGE(U5,BX37,U69,BM69)</f>
        <v>0.11867103642681798</v>
      </c>
      <c r="I133" s="33">
        <f t="shared" ref="I133:I138" si="485">AVERAGE(U25,BX57,U89,BM89)</f>
        <v>0.20717372835956263</v>
      </c>
      <c r="J133" s="33">
        <f t="shared" ref="J133:J138" si="486">AVERAGE(AF5,CI69)</f>
        <v>0.10949302963939636</v>
      </c>
      <c r="K133" s="33">
        <f t="shared" ref="K133:K138" si="487">AVERAGE(AF25,CI89)</f>
        <v>0.18586029482981248</v>
      </c>
      <c r="L133" s="33">
        <f t="shared" ref="L133:L138" si="488">AVERAGE(AF101,BB101)</f>
        <v>0.135536729708927</v>
      </c>
      <c r="M133" s="33">
        <f t="shared" ref="M133:M138" si="489">AVERAGE(AF121,BB121)</f>
        <v>0.22260167586347904</v>
      </c>
    </row>
    <row r="134" spans="1:13" x14ac:dyDescent="0.2">
      <c r="A134" s="30">
        <v>60</v>
      </c>
      <c r="B134" s="33">
        <f t="shared" si="478"/>
        <v>0.13765078002003753</v>
      </c>
      <c r="C134" s="33">
        <f t="shared" si="479"/>
        <v>0.23673665535328614</v>
      </c>
      <c r="D134" s="33">
        <f t="shared" si="480"/>
        <v>0.1258149564478436</v>
      </c>
      <c r="E134" s="33">
        <f t="shared" si="481"/>
        <v>0.21055142644354274</v>
      </c>
      <c r="F134" s="33">
        <f t="shared" si="482"/>
        <v>0.14291019814215331</v>
      </c>
      <c r="G134" s="33">
        <f t="shared" si="483"/>
        <v>0.23557657176417712</v>
      </c>
      <c r="H134" s="33">
        <f t="shared" si="484"/>
        <v>0.14967329718004935</v>
      </c>
      <c r="I134" s="33">
        <f t="shared" si="485"/>
        <v>0.25755584464560155</v>
      </c>
      <c r="J134" s="33">
        <f t="shared" si="486"/>
        <v>0.10772795562232758</v>
      </c>
      <c r="K134" s="33">
        <f t="shared" si="487"/>
        <v>0.1980388859503433</v>
      </c>
      <c r="L134" s="33">
        <f t="shared" si="488"/>
        <v>0.13655249409938391</v>
      </c>
      <c r="M134" s="33">
        <f t="shared" si="489"/>
        <v>0.2333397361124856</v>
      </c>
    </row>
    <row r="135" spans="1:13" x14ac:dyDescent="0.2">
      <c r="A135" s="30">
        <v>90</v>
      </c>
      <c r="B135" s="33">
        <f t="shared" si="478"/>
        <v>0.13295527208558805</v>
      </c>
      <c r="C135" s="33">
        <f t="shared" si="479"/>
        <v>0.24378858771890133</v>
      </c>
      <c r="D135" s="33">
        <f t="shared" si="480"/>
        <v>0.17503483479340515</v>
      </c>
      <c r="E135" s="33">
        <f t="shared" si="481"/>
        <v>0.24798948766062018</v>
      </c>
      <c r="F135" s="33">
        <f t="shared" si="482"/>
        <v>0.1599875447448019</v>
      </c>
      <c r="G135" s="33">
        <f t="shared" si="483"/>
        <v>0.26369259913822929</v>
      </c>
      <c r="H135" s="33">
        <f t="shared" si="484"/>
        <v>0.16454570550226763</v>
      </c>
      <c r="I135" s="33">
        <f t="shared" si="485"/>
        <v>0.26970771122962423</v>
      </c>
      <c r="J135" s="33">
        <f t="shared" si="486"/>
        <v>0.12154990266135773</v>
      </c>
      <c r="K135" s="33">
        <f t="shared" si="487"/>
        <v>0.25335786643936642</v>
      </c>
      <c r="L135" s="33">
        <f t="shared" si="488"/>
        <v>0.19934463501752747</v>
      </c>
      <c r="M135" s="33">
        <f t="shared" si="489"/>
        <v>0.26796099062862022</v>
      </c>
    </row>
    <row r="136" spans="1:13" x14ac:dyDescent="0.2">
      <c r="A136" s="30">
        <v>120</v>
      </c>
      <c r="B136" s="33">
        <f t="shared" si="478"/>
        <v>0.1058007210490873</v>
      </c>
      <c r="C136" s="33">
        <f t="shared" si="479"/>
        <v>0.21853938834868303</v>
      </c>
      <c r="D136" s="33">
        <f t="shared" si="480"/>
        <v>0.14746334924020293</v>
      </c>
      <c r="E136" s="33">
        <f t="shared" si="481"/>
        <v>0.22595273057482407</v>
      </c>
      <c r="F136" s="33">
        <f t="shared" si="482"/>
        <v>0.16425210953379149</v>
      </c>
      <c r="G136" s="33">
        <f t="shared" si="483"/>
        <v>0.25758399580542329</v>
      </c>
      <c r="H136" s="33">
        <f t="shared" si="484"/>
        <v>0.13376819787717065</v>
      </c>
      <c r="I136" s="33">
        <f t="shared" si="485"/>
        <v>0.24400391589834311</v>
      </c>
      <c r="J136" s="33">
        <f t="shared" si="486"/>
        <v>0.10644508717532258</v>
      </c>
      <c r="K136" s="33">
        <f t="shared" si="487"/>
        <v>0.23572163118630735</v>
      </c>
      <c r="L136" s="33">
        <f t="shared" si="488"/>
        <v>0.14519946425563171</v>
      </c>
      <c r="M136" s="33">
        <f t="shared" si="489"/>
        <v>0.20795724220536041</v>
      </c>
    </row>
    <row r="137" spans="1:13" x14ac:dyDescent="0.2">
      <c r="A137" s="30">
        <v>150</v>
      </c>
      <c r="B137" s="33">
        <f t="shared" si="478"/>
        <v>0.1211292804924971</v>
      </c>
      <c r="C137" s="33">
        <f t="shared" si="479"/>
        <v>0.21772680682926612</v>
      </c>
      <c r="D137" s="33">
        <f t="shared" si="480"/>
        <v>0.12678668311779645</v>
      </c>
      <c r="E137" s="33">
        <f t="shared" si="481"/>
        <v>0.19773537942308683</v>
      </c>
      <c r="F137" s="33">
        <f t="shared" si="482"/>
        <v>0.12880302468456548</v>
      </c>
      <c r="G137" s="33">
        <f t="shared" si="483"/>
        <v>0.22500626847309296</v>
      </c>
      <c r="H137" s="33">
        <f t="shared" si="484"/>
        <v>0.12677303548094612</v>
      </c>
      <c r="I137" s="33">
        <f t="shared" si="485"/>
        <v>0.21734352627433923</v>
      </c>
      <c r="J137" s="33">
        <f t="shared" si="486"/>
        <v>0.1298870032051955</v>
      </c>
      <c r="K137" s="33">
        <f t="shared" si="487"/>
        <v>0.24270041826506417</v>
      </c>
      <c r="L137" s="33">
        <f t="shared" si="488"/>
        <v>0.18724997932111201</v>
      </c>
      <c r="M137" s="33">
        <f t="shared" si="489"/>
        <v>0.19117117697594507</v>
      </c>
    </row>
    <row r="138" spans="1:13" x14ac:dyDescent="0.2">
      <c r="A138" s="30">
        <v>180</v>
      </c>
      <c r="B138" s="33">
        <f t="shared" si="478"/>
        <v>0.13489917395529655</v>
      </c>
      <c r="C138" s="33">
        <f t="shared" si="479"/>
        <v>0.23466019095069604</v>
      </c>
      <c r="D138" s="33">
        <f t="shared" si="480"/>
        <v>0.15858134790528239</v>
      </c>
      <c r="E138" s="33">
        <f t="shared" si="481"/>
        <v>0.24549108516071177</v>
      </c>
      <c r="F138" s="33">
        <f t="shared" si="482"/>
        <v>0.14420864551266996</v>
      </c>
      <c r="G138" s="33">
        <f t="shared" si="483"/>
        <v>0.27728599637009044</v>
      </c>
      <c r="H138" s="33">
        <f t="shared" si="484"/>
        <v>0.16168390746878272</v>
      </c>
      <c r="I138" s="33">
        <f t="shared" si="485"/>
        <v>0.27916680453889736</v>
      </c>
      <c r="J138" s="33">
        <f t="shared" si="486"/>
        <v>0.14925013768177853</v>
      </c>
      <c r="K138" s="33">
        <f t="shared" si="487"/>
        <v>0.272535526323467</v>
      </c>
      <c r="L138" s="33">
        <f t="shared" si="488"/>
        <v>0.16016172045105823</v>
      </c>
      <c r="M138" s="33">
        <f t="shared" si="489"/>
        <v>0.24936668790187194</v>
      </c>
    </row>
  </sheetData>
  <pageMargins left="0.91" right="0.57999999999999996" top="0.85" bottom="2.9" header="0.76" footer="2.84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C5C61-E1A9-4DEF-A667-047A489FE235}">
  <dimension ref="A1:I1003"/>
  <sheetViews>
    <sheetView workbookViewId="0"/>
  </sheetViews>
  <sheetFormatPr defaultRowHeight="15" x14ac:dyDescent="0.25"/>
  <sheetData>
    <row r="1" spans="1:9" x14ac:dyDescent="0.25">
      <c r="A1" t="s">
        <v>168</v>
      </c>
      <c r="B1" t="s">
        <v>169</v>
      </c>
      <c r="C1" t="s">
        <v>170</v>
      </c>
      <c r="D1" t="s">
        <v>164</v>
      </c>
      <c r="E1" t="s">
        <v>165</v>
      </c>
      <c r="F1" t="s">
        <v>162</v>
      </c>
      <c r="G1" t="s">
        <v>163</v>
      </c>
      <c r="H1" t="s">
        <v>166</v>
      </c>
      <c r="I1" t="s">
        <v>167</v>
      </c>
    </row>
    <row r="2" spans="1:9" x14ac:dyDescent="0.25">
      <c r="A2">
        <v>1</v>
      </c>
      <c r="B2">
        <v>1</v>
      </c>
      <c r="C2">
        <v>7</v>
      </c>
      <c r="D2">
        <v>409269.24</v>
      </c>
      <c r="E2">
        <v>3659238.85</v>
      </c>
      <c r="F2">
        <v>77.3</v>
      </c>
      <c r="G2">
        <v>33.4</v>
      </c>
      <c r="H2">
        <v>0.46134999999999998</v>
      </c>
      <c r="I2">
        <v>-0.90720999999999996</v>
      </c>
    </row>
    <row r="3" spans="1:9" x14ac:dyDescent="0.25">
      <c r="A3">
        <v>2</v>
      </c>
      <c r="B3">
        <v>1</v>
      </c>
      <c r="C3">
        <v>7</v>
      </c>
      <c r="D3">
        <v>409269.22</v>
      </c>
      <c r="E3">
        <v>3659238.83</v>
      </c>
      <c r="F3">
        <v>75.400000000000006</v>
      </c>
      <c r="G3">
        <v>31.5</v>
      </c>
      <c r="H3">
        <v>-0.30691000000000002</v>
      </c>
      <c r="I3">
        <v>-0.78532000000000002</v>
      </c>
    </row>
    <row r="4" spans="1:9" x14ac:dyDescent="0.25">
      <c r="A4">
        <v>3</v>
      </c>
      <c r="B4">
        <v>1</v>
      </c>
      <c r="C4">
        <v>7</v>
      </c>
      <c r="D4">
        <v>409269.25</v>
      </c>
      <c r="E4">
        <v>3659237.91</v>
      </c>
      <c r="F4">
        <v>70.900000000000006</v>
      </c>
      <c r="G4">
        <v>30.9</v>
      </c>
      <c r="H4">
        <v>-1.2782800000000001</v>
      </c>
      <c r="I4">
        <v>-2.2734200000000002</v>
      </c>
    </row>
    <row r="5" spans="1:9" x14ac:dyDescent="0.25">
      <c r="A5">
        <v>4</v>
      </c>
      <c r="B5">
        <v>1</v>
      </c>
      <c r="C5">
        <v>7</v>
      </c>
      <c r="D5">
        <v>409269.21</v>
      </c>
      <c r="E5">
        <v>3659235.65</v>
      </c>
      <c r="F5">
        <v>73.900000000000006</v>
      </c>
      <c r="G5">
        <v>30.1</v>
      </c>
      <c r="H5">
        <v>-0.89168999999999998</v>
      </c>
      <c r="I5">
        <v>-0.73463999999999996</v>
      </c>
    </row>
    <row r="6" spans="1:9" x14ac:dyDescent="0.25">
      <c r="A6">
        <v>5</v>
      </c>
      <c r="B6">
        <v>1</v>
      </c>
      <c r="C6">
        <v>7</v>
      </c>
      <c r="D6">
        <v>409269.08</v>
      </c>
      <c r="E6">
        <v>3659232.95</v>
      </c>
      <c r="F6">
        <v>74.599999999999994</v>
      </c>
      <c r="G6">
        <v>29.4</v>
      </c>
      <c r="H6">
        <v>-0.91312000000000004</v>
      </c>
      <c r="I6">
        <v>-0.14172999999999999</v>
      </c>
    </row>
    <row r="7" spans="1:9" x14ac:dyDescent="0.25">
      <c r="A7">
        <v>6</v>
      </c>
      <c r="B7">
        <v>1</v>
      </c>
      <c r="C7">
        <v>7</v>
      </c>
      <c r="D7">
        <v>409269.12</v>
      </c>
      <c r="E7">
        <v>3659229.93</v>
      </c>
      <c r="F7">
        <v>73.900000000000006</v>
      </c>
      <c r="G7">
        <v>30.9</v>
      </c>
      <c r="H7">
        <v>-0.7177</v>
      </c>
      <c r="I7">
        <v>-1.09911</v>
      </c>
    </row>
    <row r="8" spans="1:9" x14ac:dyDescent="0.25">
      <c r="A8">
        <v>7</v>
      </c>
      <c r="B8">
        <v>1</v>
      </c>
      <c r="C8">
        <v>7</v>
      </c>
      <c r="D8">
        <v>409269.01</v>
      </c>
      <c r="E8">
        <v>3659226.78</v>
      </c>
      <c r="F8">
        <v>76.900000000000006</v>
      </c>
      <c r="G8">
        <v>31.9</v>
      </c>
      <c r="H8">
        <v>6.0380000000000003E-2</v>
      </c>
      <c r="I8">
        <v>-0.38040000000000002</v>
      </c>
    </row>
    <row r="9" spans="1:9" x14ac:dyDescent="0.25">
      <c r="A9">
        <v>8</v>
      </c>
      <c r="B9">
        <v>1</v>
      </c>
      <c r="C9">
        <v>7</v>
      </c>
      <c r="D9">
        <v>409268.96</v>
      </c>
      <c r="E9">
        <v>3659223.66</v>
      </c>
      <c r="F9">
        <v>76.099999999999994</v>
      </c>
      <c r="G9">
        <v>32.299999999999997</v>
      </c>
      <c r="H9">
        <v>-2.1199999999999999E-3</v>
      </c>
      <c r="I9">
        <v>-0.87578</v>
      </c>
    </row>
    <row r="10" spans="1:9" x14ac:dyDescent="0.25">
      <c r="A10">
        <v>9</v>
      </c>
      <c r="B10">
        <v>1</v>
      </c>
      <c r="C10">
        <v>7</v>
      </c>
      <c r="D10">
        <v>409268.88</v>
      </c>
      <c r="E10">
        <v>3659220.5</v>
      </c>
      <c r="F10">
        <v>74.8</v>
      </c>
      <c r="G10">
        <v>30.6</v>
      </c>
      <c r="H10">
        <v>-0.61477000000000004</v>
      </c>
      <c r="I10">
        <v>-0.61014999999999997</v>
      </c>
    </row>
    <row r="11" spans="1:9" x14ac:dyDescent="0.25">
      <c r="A11">
        <v>10</v>
      </c>
      <c r="B11">
        <v>1</v>
      </c>
      <c r="C11">
        <v>7</v>
      </c>
      <c r="D11">
        <v>409268.82</v>
      </c>
      <c r="E11">
        <v>3659217.37</v>
      </c>
      <c r="F11">
        <v>79.400000000000006</v>
      </c>
      <c r="G11">
        <v>31.8</v>
      </c>
      <c r="H11">
        <v>0.50578000000000001</v>
      </c>
      <c r="I11">
        <v>0.64373999999999998</v>
      </c>
    </row>
    <row r="12" spans="1:9" x14ac:dyDescent="0.25">
      <c r="A12">
        <v>11</v>
      </c>
      <c r="B12">
        <v>1</v>
      </c>
      <c r="C12">
        <v>7</v>
      </c>
      <c r="D12">
        <v>409268.82</v>
      </c>
      <c r="E12">
        <v>3659214.3</v>
      </c>
      <c r="F12">
        <v>78.3</v>
      </c>
      <c r="G12">
        <v>32.9</v>
      </c>
      <c r="H12">
        <v>0.53947000000000001</v>
      </c>
      <c r="I12">
        <v>-0.28798000000000001</v>
      </c>
    </row>
    <row r="13" spans="1:9" x14ac:dyDescent="0.25">
      <c r="A13">
        <v>12</v>
      </c>
      <c r="B13">
        <v>1</v>
      </c>
      <c r="C13">
        <v>7</v>
      </c>
      <c r="D13">
        <v>409268.88</v>
      </c>
      <c r="E13">
        <v>3659211.17</v>
      </c>
      <c r="F13">
        <v>77.400000000000006</v>
      </c>
      <c r="G13">
        <v>32.799999999999997</v>
      </c>
      <c r="H13">
        <v>0.34955000000000003</v>
      </c>
      <c r="I13">
        <v>-0.59470999999999996</v>
      </c>
    </row>
    <row r="14" spans="1:9" x14ac:dyDescent="0.25">
      <c r="A14">
        <v>13</v>
      </c>
      <c r="B14">
        <v>1</v>
      </c>
      <c r="C14">
        <v>7</v>
      </c>
      <c r="D14">
        <v>409268.78</v>
      </c>
      <c r="E14">
        <v>3659208.09</v>
      </c>
      <c r="F14">
        <v>80.400000000000006</v>
      </c>
      <c r="G14">
        <v>32.700000000000003</v>
      </c>
      <c r="H14">
        <v>0.88837999999999995</v>
      </c>
      <c r="I14">
        <v>0.62514999999999998</v>
      </c>
    </row>
    <row r="15" spans="1:9" x14ac:dyDescent="0.25">
      <c r="A15">
        <v>14</v>
      </c>
      <c r="B15">
        <v>1</v>
      </c>
      <c r="C15">
        <v>7</v>
      </c>
      <c r="D15">
        <v>409268.76</v>
      </c>
      <c r="E15">
        <v>3659204.89</v>
      </c>
      <c r="F15">
        <v>80.2</v>
      </c>
      <c r="G15">
        <v>36.299999999999997</v>
      </c>
      <c r="H15">
        <v>1.6339699999999999</v>
      </c>
      <c r="I15">
        <v>-1.0932599999999999</v>
      </c>
    </row>
    <row r="16" spans="1:9" x14ac:dyDescent="0.25">
      <c r="A16">
        <v>15</v>
      </c>
      <c r="B16">
        <v>1</v>
      </c>
      <c r="C16">
        <v>7</v>
      </c>
      <c r="D16">
        <v>409268.75</v>
      </c>
      <c r="E16">
        <v>3659200.87</v>
      </c>
      <c r="F16">
        <v>74.3</v>
      </c>
      <c r="G16">
        <v>30.2</v>
      </c>
      <c r="H16">
        <v>-0.79518999999999995</v>
      </c>
      <c r="I16">
        <v>-0.62363000000000002</v>
      </c>
    </row>
    <row r="17" spans="1:9" x14ac:dyDescent="0.25">
      <c r="A17">
        <v>16</v>
      </c>
      <c r="B17">
        <v>1</v>
      </c>
      <c r="C17">
        <v>7</v>
      </c>
      <c r="D17">
        <v>409268.73</v>
      </c>
      <c r="E17">
        <v>3659197.46</v>
      </c>
      <c r="F17">
        <v>79.099999999999994</v>
      </c>
      <c r="G17">
        <v>33.1</v>
      </c>
      <c r="H17">
        <v>0.73246</v>
      </c>
      <c r="I17">
        <v>-6.5949999999999995E-2</v>
      </c>
    </row>
    <row r="18" spans="1:9" x14ac:dyDescent="0.25">
      <c r="A18">
        <v>17</v>
      </c>
      <c r="B18">
        <v>1</v>
      </c>
      <c r="C18">
        <v>7</v>
      </c>
      <c r="D18">
        <v>409268.68</v>
      </c>
      <c r="E18">
        <v>3659194.05</v>
      </c>
      <c r="F18">
        <v>78</v>
      </c>
      <c r="G18">
        <v>31.1</v>
      </c>
      <c r="H18">
        <v>9.1929999999999998E-2</v>
      </c>
      <c r="I18">
        <v>0.41465000000000002</v>
      </c>
    </row>
    <row r="19" spans="1:9" x14ac:dyDescent="0.25">
      <c r="A19">
        <v>18</v>
      </c>
      <c r="B19">
        <v>1</v>
      </c>
      <c r="C19">
        <v>7</v>
      </c>
      <c r="D19">
        <v>409268.68</v>
      </c>
      <c r="E19">
        <v>3659190.68</v>
      </c>
      <c r="F19">
        <v>75.5</v>
      </c>
      <c r="G19">
        <v>30.4</v>
      </c>
      <c r="H19">
        <v>-0.52746000000000004</v>
      </c>
      <c r="I19">
        <v>-0.24501999999999999</v>
      </c>
    </row>
    <row r="20" spans="1:9" x14ac:dyDescent="0.25">
      <c r="A20">
        <v>19</v>
      </c>
      <c r="B20">
        <v>1</v>
      </c>
      <c r="C20">
        <v>7</v>
      </c>
      <c r="D20">
        <v>409268.63</v>
      </c>
      <c r="E20">
        <v>3659187.24</v>
      </c>
      <c r="F20">
        <v>74.900000000000006</v>
      </c>
      <c r="G20">
        <v>31.1</v>
      </c>
      <c r="H20">
        <v>-0.48734</v>
      </c>
      <c r="I20">
        <v>-0.79879999999999995</v>
      </c>
    </row>
    <row r="21" spans="1:9" x14ac:dyDescent="0.25">
      <c r="A21">
        <v>20</v>
      </c>
      <c r="B21">
        <v>1</v>
      </c>
      <c r="C21">
        <v>7</v>
      </c>
      <c r="D21">
        <v>409268.64</v>
      </c>
      <c r="E21">
        <v>3659184.01</v>
      </c>
      <c r="F21">
        <v>74.900000000000006</v>
      </c>
      <c r="G21">
        <v>28.9</v>
      </c>
      <c r="H21">
        <v>-0.96580999999999995</v>
      </c>
      <c r="I21">
        <v>0.20349999999999999</v>
      </c>
    </row>
    <row r="22" spans="1:9" x14ac:dyDescent="0.25">
      <c r="A22">
        <v>21</v>
      </c>
      <c r="B22">
        <v>1</v>
      </c>
      <c r="C22">
        <v>7</v>
      </c>
      <c r="D22">
        <v>409268.53</v>
      </c>
      <c r="E22">
        <v>3659180.61</v>
      </c>
      <c r="F22">
        <v>71.7</v>
      </c>
      <c r="G22">
        <v>29.4</v>
      </c>
      <c r="H22">
        <v>-1.45502</v>
      </c>
      <c r="I22">
        <v>-1.2768900000000001</v>
      </c>
    </row>
    <row r="23" spans="1:9" x14ac:dyDescent="0.25">
      <c r="A23">
        <v>22</v>
      </c>
      <c r="B23">
        <v>1</v>
      </c>
      <c r="C23">
        <v>7</v>
      </c>
      <c r="D23">
        <v>409268.49</v>
      </c>
      <c r="E23">
        <v>3659177.11</v>
      </c>
      <c r="F23">
        <v>76.900000000000006</v>
      </c>
      <c r="G23">
        <v>31.4</v>
      </c>
      <c r="H23">
        <v>-4.8370000000000003E-2</v>
      </c>
      <c r="I23">
        <v>-0.15261</v>
      </c>
    </row>
    <row r="24" spans="1:9" x14ac:dyDescent="0.25">
      <c r="A24">
        <v>23</v>
      </c>
      <c r="B24">
        <v>1</v>
      </c>
      <c r="C24">
        <v>7</v>
      </c>
      <c r="D24">
        <v>409268.47</v>
      </c>
      <c r="E24">
        <v>3659173.92</v>
      </c>
      <c r="F24">
        <v>76.400000000000006</v>
      </c>
      <c r="G24">
        <v>31.6</v>
      </c>
      <c r="H24">
        <v>-9.8299999999999998E-2</v>
      </c>
      <c r="I24">
        <v>-0.43944</v>
      </c>
    </row>
    <row r="25" spans="1:9" x14ac:dyDescent="0.25">
      <c r="A25">
        <v>24</v>
      </c>
      <c r="B25">
        <v>1</v>
      </c>
      <c r="C25">
        <v>7</v>
      </c>
      <c r="D25">
        <v>409268.44</v>
      </c>
      <c r="E25">
        <v>3659170.61</v>
      </c>
      <c r="F25">
        <v>74.400000000000006</v>
      </c>
      <c r="G25">
        <v>30.4</v>
      </c>
      <c r="H25">
        <v>-0.73301000000000005</v>
      </c>
      <c r="I25">
        <v>-0.67559999999999998</v>
      </c>
    </row>
    <row r="26" spans="1:9" x14ac:dyDescent="0.25">
      <c r="A26">
        <v>25</v>
      </c>
      <c r="B26">
        <v>1</v>
      </c>
      <c r="C26">
        <v>7</v>
      </c>
      <c r="D26">
        <v>409268.43</v>
      </c>
      <c r="E26">
        <v>3659167.32</v>
      </c>
      <c r="F26">
        <v>77.599999999999994</v>
      </c>
      <c r="G26">
        <v>29.6</v>
      </c>
      <c r="H26">
        <v>-0.30903999999999998</v>
      </c>
      <c r="I26">
        <v>0.94145999999999996</v>
      </c>
    </row>
    <row r="27" spans="1:9" x14ac:dyDescent="0.25">
      <c r="A27">
        <v>26</v>
      </c>
      <c r="B27">
        <v>1</v>
      </c>
      <c r="C27">
        <v>7</v>
      </c>
      <c r="D27">
        <v>409268.34</v>
      </c>
      <c r="E27">
        <v>3659164.02</v>
      </c>
      <c r="F27">
        <v>72.900000000000006</v>
      </c>
      <c r="G27">
        <v>28.4</v>
      </c>
      <c r="H27">
        <v>-1.44828</v>
      </c>
      <c r="I27">
        <v>-0.35158</v>
      </c>
    </row>
    <row r="28" spans="1:9" x14ac:dyDescent="0.25">
      <c r="A28">
        <v>27</v>
      </c>
      <c r="B28">
        <v>1</v>
      </c>
      <c r="C28">
        <v>7</v>
      </c>
      <c r="D28">
        <v>409268.26</v>
      </c>
      <c r="E28">
        <v>3659160.4</v>
      </c>
      <c r="F28">
        <v>73.099999999999994</v>
      </c>
      <c r="G28">
        <v>28.2</v>
      </c>
      <c r="H28">
        <v>-1.4543999999999999</v>
      </c>
      <c r="I28">
        <v>-0.18217</v>
      </c>
    </row>
    <row r="29" spans="1:9" x14ac:dyDescent="0.25">
      <c r="A29">
        <v>28</v>
      </c>
      <c r="B29">
        <v>1</v>
      </c>
      <c r="C29">
        <v>7</v>
      </c>
      <c r="D29">
        <v>409268.15</v>
      </c>
      <c r="E29">
        <v>3659153.93</v>
      </c>
      <c r="F29">
        <v>70.599999999999994</v>
      </c>
      <c r="G29">
        <v>29.2</v>
      </c>
      <c r="H29">
        <v>-1.70407</v>
      </c>
      <c r="I29">
        <v>-1.6163400000000001</v>
      </c>
    </row>
    <row r="30" spans="1:9" x14ac:dyDescent="0.25">
      <c r="A30">
        <v>29</v>
      </c>
      <c r="B30">
        <v>1</v>
      </c>
      <c r="C30">
        <v>7</v>
      </c>
      <c r="D30">
        <v>409268.11</v>
      </c>
      <c r="E30">
        <v>3659150.56</v>
      </c>
      <c r="F30">
        <v>73</v>
      </c>
      <c r="G30">
        <v>29</v>
      </c>
      <c r="H30">
        <v>-1.2990999999999999</v>
      </c>
      <c r="I30">
        <v>-0.58579000000000003</v>
      </c>
    </row>
    <row r="31" spans="1:9" x14ac:dyDescent="0.25">
      <c r="A31">
        <v>30</v>
      </c>
      <c r="B31">
        <v>1</v>
      </c>
      <c r="C31">
        <v>7</v>
      </c>
      <c r="D31">
        <v>409268.08</v>
      </c>
      <c r="E31">
        <v>3659147</v>
      </c>
      <c r="F31">
        <v>72.099999999999994</v>
      </c>
      <c r="G31">
        <v>27.5</v>
      </c>
      <c r="H31">
        <v>-1.7935099999999999</v>
      </c>
      <c r="I31">
        <v>-0.25469000000000003</v>
      </c>
    </row>
    <row r="32" spans="1:9" x14ac:dyDescent="0.25">
      <c r="A32">
        <v>31</v>
      </c>
      <c r="B32">
        <v>1</v>
      </c>
      <c r="C32">
        <v>7</v>
      </c>
      <c r="D32">
        <v>409268.01</v>
      </c>
      <c r="E32">
        <v>3659143.6</v>
      </c>
      <c r="F32">
        <v>72.5</v>
      </c>
      <c r="G32">
        <v>28</v>
      </c>
      <c r="H32">
        <v>-1.61002</v>
      </c>
      <c r="I32">
        <v>-0.32590999999999998</v>
      </c>
    </row>
    <row r="33" spans="1:9" x14ac:dyDescent="0.25">
      <c r="A33">
        <v>32</v>
      </c>
      <c r="B33">
        <v>1</v>
      </c>
      <c r="C33">
        <v>7</v>
      </c>
      <c r="D33">
        <v>409267.85</v>
      </c>
      <c r="E33">
        <v>3659140.23</v>
      </c>
      <c r="F33">
        <v>71</v>
      </c>
      <c r="G33">
        <v>28.9</v>
      </c>
      <c r="H33">
        <v>-1.6945699999999999</v>
      </c>
      <c r="I33">
        <v>-1.3230900000000001</v>
      </c>
    </row>
    <row r="34" spans="1:9" x14ac:dyDescent="0.25">
      <c r="A34">
        <v>33</v>
      </c>
      <c r="B34">
        <v>1</v>
      </c>
      <c r="C34">
        <v>7</v>
      </c>
      <c r="D34">
        <v>409267.75</v>
      </c>
      <c r="E34">
        <v>3659136.86</v>
      </c>
      <c r="F34">
        <v>74.900000000000006</v>
      </c>
      <c r="G34">
        <v>29</v>
      </c>
      <c r="H34">
        <v>-0.94406000000000001</v>
      </c>
      <c r="I34">
        <v>0.15794</v>
      </c>
    </row>
    <row r="35" spans="1:9" x14ac:dyDescent="0.25">
      <c r="A35">
        <v>34</v>
      </c>
      <c r="B35">
        <v>1</v>
      </c>
      <c r="C35">
        <v>7</v>
      </c>
      <c r="D35">
        <v>409267.75</v>
      </c>
      <c r="E35">
        <v>3659133.53</v>
      </c>
      <c r="F35">
        <v>76.099999999999994</v>
      </c>
      <c r="G35">
        <v>30.1</v>
      </c>
      <c r="H35">
        <v>-0.48059000000000002</v>
      </c>
      <c r="I35">
        <v>0.12651000000000001</v>
      </c>
    </row>
    <row r="36" spans="1:9" x14ac:dyDescent="0.25">
      <c r="A36">
        <v>35</v>
      </c>
      <c r="B36">
        <v>1</v>
      </c>
      <c r="C36">
        <v>7</v>
      </c>
      <c r="D36">
        <v>409267.65</v>
      </c>
      <c r="E36">
        <v>3659130.3</v>
      </c>
      <c r="F36">
        <v>77.099999999999994</v>
      </c>
      <c r="G36">
        <v>29.4</v>
      </c>
      <c r="H36">
        <v>-0.44596999999999998</v>
      </c>
      <c r="I36">
        <v>0.83686000000000005</v>
      </c>
    </row>
    <row r="37" spans="1:9" x14ac:dyDescent="0.25">
      <c r="A37">
        <v>36</v>
      </c>
      <c r="B37">
        <v>2</v>
      </c>
      <c r="C37">
        <v>7</v>
      </c>
      <c r="D37">
        <v>409271.58</v>
      </c>
      <c r="E37">
        <v>3659129.02</v>
      </c>
      <c r="F37">
        <v>78.3</v>
      </c>
      <c r="G37">
        <v>30.6</v>
      </c>
      <c r="H37">
        <v>3.925E-2</v>
      </c>
      <c r="I37">
        <v>0.75987000000000005</v>
      </c>
    </row>
    <row r="38" spans="1:9" x14ac:dyDescent="0.25">
      <c r="A38">
        <v>37</v>
      </c>
      <c r="B38">
        <v>2</v>
      </c>
      <c r="C38">
        <v>7</v>
      </c>
      <c r="D38">
        <v>409271.58</v>
      </c>
      <c r="E38">
        <v>3659129.06</v>
      </c>
      <c r="F38">
        <v>78.400000000000006</v>
      </c>
      <c r="G38">
        <v>30.5</v>
      </c>
      <c r="H38">
        <v>3.619E-2</v>
      </c>
      <c r="I38">
        <v>0.84457000000000004</v>
      </c>
    </row>
    <row r="39" spans="1:9" x14ac:dyDescent="0.25">
      <c r="A39">
        <v>38</v>
      </c>
      <c r="B39">
        <v>2</v>
      </c>
      <c r="C39">
        <v>7</v>
      </c>
      <c r="D39">
        <v>409271.7</v>
      </c>
      <c r="E39">
        <v>3659131.8</v>
      </c>
      <c r="F39">
        <v>80</v>
      </c>
      <c r="G39">
        <v>31.4</v>
      </c>
      <c r="H39">
        <v>0.53090000000000004</v>
      </c>
      <c r="I39">
        <v>1.06084</v>
      </c>
    </row>
    <row r="40" spans="1:9" x14ac:dyDescent="0.25">
      <c r="A40">
        <v>39</v>
      </c>
      <c r="B40">
        <v>2</v>
      </c>
      <c r="C40">
        <v>0</v>
      </c>
      <c r="D40">
        <v>409271.76</v>
      </c>
      <c r="E40">
        <v>3659135.01</v>
      </c>
      <c r="F40">
        <v>75.8</v>
      </c>
      <c r="G40">
        <v>30.5</v>
      </c>
      <c r="H40">
        <v>-0.44964999999999999</v>
      </c>
      <c r="I40">
        <v>-0.17315</v>
      </c>
    </row>
    <row r="41" spans="1:9" x14ac:dyDescent="0.25">
      <c r="A41">
        <v>40</v>
      </c>
      <c r="B41">
        <v>2</v>
      </c>
      <c r="C41">
        <v>0</v>
      </c>
      <c r="D41">
        <v>409271.77</v>
      </c>
      <c r="E41">
        <v>3659138.19</v>
      </c>
      <c r="F41">
        <v>73.5</v>
      </c>
      <c r="G41">
        <v>29</v>
      </c>
      <c r="H41">
        <v>-1.20567</v>
      </c>
      <c r="I41">
        <v>-0.39006999999999997</v>
      </c>
    </row>
    <row r="42" spans="1:9" x14ac:dyDescent="0.25">
      <c r="A42">
        <v>41</v>
      </c>
      <c r="B42">
        <v>2</v>
      </c>
      <c r="C42">
        <v>0</v>
      </c>
      <c r="D42">
        <v>409271.87</v>
      </c>
      <c r="E42">
        <v>3659141.45</v>
      </c>
      <c r="F42">
        <v>73</v>
      </c>
      <c r="G42">
        <v>27.3</v>
      </c>
      <c r="H42">
        <v>-1.66883</v>
      </c>
      <c r="I42">
        <v>0.18872</v>
      </c>
    </row>
    <row r="43" spans="1:9" x14ac:dyDescent="0.25">
      <c r="A43">
        <v>42</v>
      </c>
      <c r="B43">
        <v>2</v>
      </c>
      <c r="C43">
        <v>0</v>
      </c>
      <c r="D43">
        <v>409271.92</v>
      </c>
      <c r="E43">
        <v>3659144.72</v>
      </c>
      <c r="F43">
        <v>72.099999999999994</v>
      </c>
      <c r="G43">
        <v>27.5</v>
      </c>
      <c r="H43">
        <v>-1.7935099999999999</v>
      </c>
      <c r="I43">
        <v>-0.25469000000000003</v>
      </c>
    </row>
    <row r="44" spans="1:9" x14ac:dyDescent="0.25">
      <c r="A44">
        <v>43</v>
      </c>
      <c r="B44">
        <v>2</v>
      </c>
      <c r="C44">
        <v>0</v>
      </c>
      <c r="D44">
        <v>409272.04</v>
      </c>
      <c r="E44">
        <v>3659147.98</v>
      </c>
      <c r="F44">
        <v>73.5</v>
      </c>
      <c r="G44">
        <v>28.7</v>
      </c>
      <c r="H44">
        <v>-1.27091</v>
      </c>
      <c r="I44">
        <v>-0.25339</v>
      </c>
    </row>
    <row r="45" spans="1:9" x14ac:dyDescent="0.25">
      <c r="A45">
        <v>44</v>
      </c>
      <c r="B45">
        <v>2</v>
      </c>
      <c r="C45">
        <v>0</v>
      </c>
      <c r="D45">
        <v>409272.22</v>
      </c>
      <c r="E45">
        <v>3659151.28</v>
      </c>
      <c r="F45">
        <v>74.400000000000006</v>
      </c>
      <c r="G45">
        <v>28</v>
      </c>
      <c r="H45">
        <v>-1.25498</v>
      </c>
      <c r="I45">
        <v>0.41781000000000001</v>
      </c>
    </row>
    <row r="46" spans="1:9" x14ac:dyDescent="0.25">
      <c r="A46">
        <v>45</v>
      </c>
      <c r="B46">
        <v>2</v>
      </c>
      <c r="C46">
        <v>0</v>
      </c>
      <c r="D46">
        <v>409272.17</v>
      </c>
      <c r="E46">
        <v>3659154.53</v>
      </c>
      <c r="F46">
        <v>74.900000000000006</v>
      </c>
      <c r="G46">
        <v>30.8</v>
      </c>
      <c r="H46">
        <v>-0.55257999999999996</v>
      </c>
      <c r="I46">
        <v>-0.66212000000000004</v>
      </c>
    </row>
    <row r="47" spans="1:9" x14ac:dyDescent="0.25">
      <c r="A47">
        <v>46</v>
      </c>
      <c r="B47">
        <v>2</v>
      </c>
      <c r="C47">
        <v>0</v>
      </c>
      <c r="D47">
        <v>409272.23</v>
      </c>
      <c r="E47">
        <v>3659157.84</v>
      </c>
      <c r="F47">
        <v>75</v>
      </c>
      <c r="G47">
        <v>28.7</v>
      </c>
      <c r="H47">
        <v>-0.99061999999999995</v>
      </c>
      <c r="I47">
        <v>0.33376</v>
      </c>
    </row>
    <row r="48" spans="1:9" x14ac:dyDescent="0.25">
      <c r="A48">
        <v>47</v>
      </c>
      <c r="B48">
        <v>2</v>
      </c>
      <c r="C48">
        <v>0</v>
      </c>
      <c r="D48">
        <v>409272.3</v>
      </c>
      <c r="E48">
        <v>3659161.18</v>
      </c>
      <c r="F48">
        <v>77.900000000000006</v>
      </c>
      <c r="G48">
        <v>28.8</v>
      </c>
      <c r="H48">
        <v>-0.42697000000000002</v>
      </c>
      <c r="I48">
        <v>1.42336</v>
      </c>
    </row>
    <row r="49" spans="1:9" x14ac:dyDescent="0.25">
      <c r="A49">
        <v>48</v>
      </c>
      <c r="B49">
        <v>2</v>
      </c>
      <c r="C49">
        <v>2</v>
      </c>
      <c r="D49">
        <v>409272.35</v>
      </c>
      <c r="E49">
        <v>3659164.47</v>
      </c>
      <c r="F49">
        <v>75.400000000000006</v>
      </c>
      <c r="G49">
        <v>29.5</v>
      </c>
      <c r="H49">
        <v>-0.74189000000000005</v>
      </c>
      <c r="I49">
        <v>0.12586</v>
      </c>
    </row>
    <row r="50" spans="1:9" x14ac:dyDescent="0.25">
      <c r="A50">
        <v>49</v>
      </c>
      <c r="B50">
        <v>2</v>
      </c>
      <c r="C50">
        <v>0</v>
      </c>
      <c r="D50">
        <v>409272.37</v>
      </c>
      <c r="E50">
        <v>3659167.81</v>
      </c>
      <c r="F50">
        <v>77.2</v>
      </c>
      <c r="G50">
        <v>30.2</v>
      </c>
      <c r="H50">
        <v>-0.25329000000000002</v>
      </c>
      <c r="I50">
        <v>0.51153000000000004</v>
      </c>
    </row>
    <row r="51" spans="1:9" x14ac:dyDescent="0.25">
      <c r="A51">
        <v>50</v>
      </c>
      <c r="B51">
        <v>2</v>
      </c>
      <c r="C51">
        <v>0</v>
      </c>
      <c r="D51">
        <v>409272.4</v>
      </c>
      <c r="E51">
        <v>3659171.99</v>
      </c>
      <c r="F51">
        <v>78.2</v>
      </c>
      <c r="G51">
        <v>30.9</v>
      </c>
      <c r="H51">
        <v>8.5809999999999997E-2</v>
      </c>
      <c r="I51">
        <v>0.58404999999999996</v>
      </c>
    </row>
    <row r="52" spans="1:9" x14ac:dyDescent="0.25">
      <c r="A52">
        <v>51</v>
      </c>
      <c r="B52">
        <v>2</v>
      </c>
      <c r="C52">
        <v>0</v>
      </c>
      <c r="D52">
        <v>409272.31</v>
      </c>
      <c r="E52">
        <v>3659175.45</v>
      </c>
      <c r="F52">
        <v>80</v>
      </c>
      <c r="G52">
        <v>30.1</v>
      </c>
      <c r="H52">
        <v>0.24817</v>
      </c>
      <c r="I52">
        <v>1.6531</v>
      </c>
    </row>
    <row r="53" spans="1:9" x14ac:dyDescent="0.25">
      <c r="A53">
        <v>52</v>
      </c>
      <c r="B53">
        <v>2</v>
      </c>
      <c r="C53">
        <v>0</v>
      </c>
      <c r="D53">
        <v>409272.47</v>
      </c>
      <c r="E53">
        <v>3659178.89</v>
      </c>
      <c r="F53">
        <v>77.5</v>
      </c>
      <c r="G53">
        <v>34.799999999999997</v>
      </c>
      <c r="H53">
        <v>0.80320999999999998</v>
      </c>
      <c r="I53">
        <v>-1.46675</v>
      </c>
    </row>
    <row r="54" spans="1:9" x14ac:dyDescent="0.25">
      <c r="A54">
        <v>53</v>
      </c>
      <c r="B54">
        <v>2</v>
      </c>
      <c r="C54">
        <v>0</v>
      </c>
      <c r="D54">
        <v>409272.55</v>
      </c>
      <c r="E54">
        <v>3659182.13</v>
      </c>
      <c r="F54">
        <v>80.599999999999994</v>
      </c>
      <c r="G54">
        <v>32.299999999999997</v>
      </c>
      <c r="H54">
        <v>0.83875999999999995</v>
      </c>
      <c r="I54">
        <v>0.88566999999999996</v>
      </c>
    </row>
    <row r="55" spans="1:9" x14ac:dyDescent="0.25">
      <c r="A55">
        <v>54</v>
      </c>
      <c r="B55">
        <v>2</v>
      </c>
      <c r="C55">
        <v>0</v>
      </c>
      <c r="D55">
        <v>409272.67</v>
      </c>
      <c r="E55">
        <v>3659185.38</v>
      </c>
      <c r="F55">
        <v>79.3</v>
      </c>
      <c r="G55">
        <v>32.9</v>
      </c>
      <c r="H55">
        <v>0.72633000000000003</v>
      </c>
      <c r="I55">
        <v>0.10345</v>
      </c>
    </row>
    <row r="56" spans="1:9" x14ac:dyDescent="0.25">
      <c r="A56">
        <v>55</v>
      </c>
      <c r="B56">
        <v>2</v>
      </c>
      <c r="C56">
        <v>0</v>
      </c>
      <c r="D56">
        <v>409272.65</v>
      </c>
      <c r="E56">
        <v>3659188.65</v>
      </c>
      <c r="F56">
        <v>78.2</v>
      </c>
      <c r="G56">
        <v>30.5</v>
      </c>
      <c r="H56">
        <v>-1.1900000000000001E-3</v>
      </c>
      <c r="I56">
        <v>0.76629000000000003</v>
      </c>
    </row>
    <row r="57" spans="1:9" x14ac:dyDescent="0.25">
      <c r="A57">
        <v>56</v>
      </c>
      <c r="B57">
        <v>2</v>
      </c>
      <c r="C57">
        <v>0</v>
      </c>
      <c r="D57">
        <v>409272.69</v>
      </c>
      <c r="E57">
        <v>3659192.02</v>
      </c>
      <c r="F57">
        <v>76.400000000000006</v>
      </c>
      <c r="G57">
        <v>31.5</v>
      </c>
      <c r="H57">
        <v>-0.12005</v>
      </c>
      <c r="I57">
        <v>-0.39388000000000001</v>
      </c>
    </row>
    <row r="58" spans="1:9" x14ac:dyDescent="0.25">
      <c r="A58">
        <v>57</v>
      </c>
      <c r="B58">
        <v>2</v>
      </c>
      <c r="C58">
        <v>0</v>
      </c>
      <c r="D58">
        <v>409272.75</v>
      </c>
      <c r="E58">
        <v>3659195.44</v>
      </c>
      <c r="F58">
        <v>78.400000000000006</v>
      </c>
      <c r="G58">
        <v>31.2</v>
      </c>
      <c r="H58">
        <v>0.18842999999999999</v>
      </c>
      <c r="I58">
        <v>0.52566000000000002</v>
      </c>
    </row>
    <row r="59" spans="1:9" x14ac:dyDescent="0.25">
      <c r="A59">
        <v>58</v>
      </c>
      <c r="B59">
        <v>2</v>
      </c>
      <c r="C59">
        <v>0</v>
      </c>
      <c r="D59">
        <v>409272.85</v>
      </c>
      <c r="E59">
        <v>3659198.97</v>
      </c>
      <c r="F59">
        <v>75.400000000000006</v>
      </c>
      <c r="G59">
        <v>32.299999999999997</v>
      </c>
      <c r="H59">
        <v>-0.13292000000000001</v>
      </c>
      <c r="I59">
        <v>-1.1497900000000001</v>
      </c>
    </row>
    <row r="60" spans="1:9" x14ac:dyDescent="0.25">
      <c r="A60">
        <v>59</v>
      </c>
      <c r="B60">
        <v>2</v>
      </c>
      <c r="C60">
        <v>0</v>
      </c>
      <c r="D60">
        <v>409272.89</v>
      </c>
      <c r="E60">
        <v>3659202.25</v>
      </c>
      <c r="F60">
        <v>80.2</v>
      </c>
      <c r="G60">
        <v>33.4</v>
      </c>
      <c r="H60">
        <v>1.00325</v>
      </c>
      <c r="I60">
        <v>0.22795000000000001</v>
      </c>
    </row>
    <row r="61" spans="1:9" x14ac:dyDescent="0.25">
      <c r="A61">
        <v>60</v>
      </c>
      <c r="B61">
        <v>2</v>
      </c>
      <c r="C61">
        <v>0</v>
      </c>
      <c r="D61">
        <v>409272.87</v>
      </c>
      <c r="E61">
        <v>3659205.57</v>
      </c>
      <c r="F61">
        <v>81.3</v>
      </c>
      <c r="G61">
        <v>33.6</v>
      </c>
      <c r="H61">
        <v>1.2523</v>
      </c>
      <c r="I61">
        <v>0.56740999999999997</v>
      </c>
    </row>
    <row r="62" spans="1:9" x14ac:dyDescent="0.25">
      <c r="A62">
        <v>61</v>
      </c>
      <c r="B62">
        <v>2</v>
      </c>
      <c r="C62">
        <v>0</v>
      </c>
      <c r="D62">
        <v>409272.95</v>
      </c>
      <c r="E62">
        <v>3659209.15</v>
      </c>
      <c r="F62">
        <v>80.3</v>
      </c>
      <c r="G62">
        <v>38.1</v>
      </c>
      <c r="H62">
        <v>2.04413</v>
      </c>
      <c r="I62">
        <v>-1.87418</v>
      </c>
    </row>
    <row r="63" spans="1:9" x14ac:dyDescent="0.25">
      <c r="A63">
        <v>62</v>
      </c>
      <c r="B63">
        <v>2</v>
      </c>
      <c r="C63">
        <v>0</v>
      </c>
      <c r="D63">
        <v>409273.05</v>
      </c>
      <c r="E63">
        <v>3659212.47</v>
      </c>
      <c r="F63">
        <v>77.900000000000006</v>
      </c>
      <c r="G63">
        <v>31.7</v>
      </c>
      <c r="H63">
        <v>0.20374</v>
      </c>
      <c r="I63">
        <v>0.10215</v>
      </c>
    </row>
    <row r="64" spans="1:9" x14ac:dyDescent="0.25">
      <c r="A64">
        <v>63</v>
      </c>
      <c r="B64">
        <v>2</v>
      </c>
      <c r="C64">
        <v>0</v>
      </c>
      <c r="D64">
        <v>409273.03</v>
      </c>
      <c r="E64">
        <v>3659215.86</v>
      </c>
      <c r="F64">
        <v>76.7</v>
      </c>
      <c r="G64">
        <v>32.5</v>
      </c>
      <c r="H64">
        <v>0.1535</v>
      </c>
      <c r="I64">
        <v>-0.73204000000000002</v>
      </c>
    </row>
    <row r="65" spans="1:9" x14ac:dyDescent="0.25">
      <c r="A65">
        <v>64</v>
      </c>
      <c r="B65">
        <v>2</v>
      </c>
      <c r="C65">
        <v>0</v>
      </c>
      <c r="D65">
        <v>409273.11</v>
      </c>
      <c r="E65">
        <v>3659219.24</v>
      </c>
      <c r="F65">
        <v>79.599999999999994</v>
      </c>
      <c r="G65">
        <v>32.700000000000003</v>
      </c>
      <c r="H65">
        <v>0.73889000000000005</v>
      </c>
      <c r="I65">
        <v>0.312</v>
      </c>
    </row>
    <row r="66" spans="1:9" x14ac:dyDescent="0.25">
      <c r="A66">
        <v>65</v>
      </c>
      <c r="B66">
        <v>2</v>
      </c>
      <c r="C66">
        <v>0</v>
      </c>
      <c r="D66">
        <v>409273.12</v>
      </c>
      <c r="E66">
        <v>3659222.6</v>
      </c>
      <c r="F66">
        <v>81</v>
      </c>
      <c r="G66">
        <v>33.4</v>
      </c>
      <c r="H66">
        <v>1.1527400000000001</v>
      </c>
      <c r="I66">
        <v>0.54110000000000003</v>
      </c>
    </row>
    <row r="67" spans="1:9" x14ac:dyDescent="0.25">
      <c r="A67">
        <v>66</v>
      </c>
      <c r="B67">
        <v>2</v>
      </c>
      <c r="C67">
        <v>0</v>
      </c>
      <c r="D67">
        <v>409273.08</v>
      </c>
      <c r="E67">
        <v>3659225.9</v>
      </c>
      <c r="F67">
        <v>82.7</v>
      </c>
      <c r="G67">
        <v>33.799999999999997</v>
      </c>
      <c r="H67">
        <v>1.5573999999999999</v>
      </c>
      <c r="I67">
        <v>1.0243</v>
      </c>
    </row>
    <row r="68" spans="1:9" x14ac:dyDescent="0.25">
      <c r="A68">
        <v>67</v>
      </c>
      <c r="B68">
        <v>2</v>
      </c>
      <c r="C68">
        <v>0</v>
      </c>
      <c r="D68">
        <v>409273.16</v>
      </c>
      <c r="E68">
        <v>3659229.25</v>
      </c>
      <c r="F68">
        <v>83.8</v>
      </c>
      <c r="G68">
        <v>35.1</v>
      </c>
      <c r="H68">
        <v>2.0456799999999999</v>
      </c>
      <c r="I68">
        <v>0.86260999999999999</v>
      </c>
    </row>
    <row r="69" spans="1:9" x14ac:dyDescent="0.25">
      <c r="A69">
        <v>68</v>
      </c>
      <c r="B69">
        <v>2</v>
      </c>
      <c r="C69">
        <v>7</v>
      </c>
      <c r="D69">
        <v>409273.26</v>
      </c>
      <c r="E69">
        <v>3659232.54</v>
      </c>
      <c r="F69">
        <v>84.4</v>
      </c>
      <c r="G69">
        <v>35.6</v>
      </c>
      <c r="H69">
        <v>2.26654</v>
      </c>
      <c r="I69">
        <v>0.86968000000000001</v>
      </c>
    </row>
    <row r="70" spans="1:9" x14ac:dyDescent="0.25">
      <c r="A70">
        <v>69</v>
      </c>
      <c r="B70">
        <v>2</v>
      </c>
      <c r="C70">
        <v>7</v>
      </c>
      <c r="D70">
        <v>409273.34</v>
      </c>
      <c r="E70">
        <v>3659235.14</v>
      </c>
      <c r="F70">
        <v>81.2</v>
      </c>
      <c r="G70">
        <v>33.700000000000003</v>
      </c>
      <c r="H70">
        <v>1.25536</v>
      </c>
      <c r="I70">
        <v>0.48270999999999997</v>
      </c>
    </row>
    <row r="71" spans="1:9" x14ac:dyDescent="0.25">
      <c r="A71">
        <v>70</v>
      </c>
      <c r="B71">
        <v>3</v>
      </c>
      <c r="C71">
        <v>7</v>
      </c>
      <c r="D71">
        <v>409277.33</v>
      </c>
      <c r="E71">
        <v>3659238</v>
      </c>
      <c r="F71">
        <v>82.6</v>
      </c>
      <c r="G71">
        <v>34.200000000000003</v>
      </c>
      <c r="H71">
        <v>1.62571</v>
      </c>
      <c r="I71">
        <v>0.80291999999999997</v>
      </c>
    </row>
    <row r="72" spans="1:9" x14ac:dyDescent="0.25">
      <c r="A72">
        <v>71</v>
      </c>
      <c r="B72">
        <v>3</v>
      </c>
      <c r="C72">
        <v>7</v>
      </c>
      <c r="D72">
        <v>409277.34</v>
      </c>
      <c r="E72">
        <v>3659236.71</v>
      </c>
      <c r="F72">
        <v>81.2</v>
      </c>
      <c r="G72">
        <v>32.799999999999997</v>
      </c>
      <c r="H72">
        <v>1.05962</v>
      </c>
      <c r="I72">
        <v>0.89273999999999998</v>
      </c>
    </row>
    <row r="73" spans="1:9" x14ac:dyDescent="0.25">
      <c r="A73">
        <v>72</v>
      </c>
      <c r="B73">
        <v>3</v>
      </c>
      <c r="C73">
        <v>7</v>
      </c>
      <c r="D73">
        <v>409277.15</v>
      </c>
      <c r="E73">
        <v>3659234.09</v>
      </c>
      <c r="F73">
        <v>79.900000000000006</v>
      </c>
      <c r="G73">
        <v>31.8</v>
      </c>
      <c r="H73">
        <v>0.59921000000000002</v>
      </c>
      <c r="I73">
        <v>0.83945999999999998</v>
      </c>
    </row>
    <row r="74" spans="1:9" x14ac:dyDescent="0.25">
      <c r="A74">
        <v>73</v>
      </c>
      <c r="B74">
        <v>3</v>
      </c>
      <c r="C74">
        <v>2</v>
      </c>
      <c r="D74">
        <v>409277.08</v>
      </c>
      <c r="E74">
        <v>3659231.24</v>
      </c>
      <c r="F74">
        <v>81</v>
      </c>
      <c r="G74">
        <v>35.1</v>
      </c>
      <c r="H74">
        <v>1.52247</v>
      </c>
      <c r="I74">
        <v>-0.23341000000000001</v>
      </c>
    </row>
    <row r="75" spans="1:9" x14ac:dyDescent="0.25">
      <c r="A75">
        <v>74</v>
      </c>
      <c r="B75">
        <v>3</v>
      </c>
      <c r="C75">
        <v>0</v>
      </c>
      <c r="D75">
        <v>409277.08</v>
      </c>
      <c r="E75">
        <v>3659228.33</v>
      </c>
      <c r="F75">
        <v>82.3</v>
      </c>
      <c r="G75">
        <v>34.200000000000003</v>
      </c>
      <c r="H75">
        <v>1.56965</v>
      </c>
      <c r="I75">
        <v>0.68549000000000004</v>
      </c>
    </row>
    <row r="76" spans="1:9" x14ac:dyDescent="0.25">
      <c r="A76">
        <v>75</v>
      </c>
      <c r="B76">
        <v>3</v>
      </c>
      <c r="C76">
        <v>0</v>
      </c>
      <c r="D76">
        <v>409277.08</v>
      </c>
      <c r="E76">
        <v>3659225.42</v>
      </c>
      <c r="F76">
        <v>82.1</v>
      </c>
      <c r="G76">
        <v>33.700000000000003</v>
      </c>
      <c r="H76">
        <v>1.42354</v>
      </c>
      <c r="I76">
        <v>0.83499999999999996</v>
      </c>
    </row>
    <row r="77" spans="1:9" x14ac:dyDescent="0.25">
      <c r="A77">
        <v>76</v>
      </c>
      <c r="B77">
        <v>3</v>
      </c>
      <c r="C77">
        <v>0</v>
      </c>
      <c r="D77">
        <v>409277.06</v>
      </c>
      <c r="E77">
        <v>3659221.68</v>
      </c>
      <c r="F77">
        <v>79.099999999999994</v>
      </c>
      <c r="G77">
        <v>31.6</v>
      </c>
      <c r="H77">
        <v>0.40622999999999998</v>
      </c>
      <c r="I77">
        <v>0.61743000000000003</v>
      </c>
    </row>
    <row r="78" spans="1:9" x14ac:dyDescent="0.25">
      <c r="A78">
        <v>77</v>
      </c>
      <c r="B78">
        <v>3</v>
      </c>
      <c r="C78">
        <v>0</v>
      </c>
      <c r="D78">
        <v>409277</v>
      </c>
      <c r="E78">
        <v>3659218.59</v>
      </c>
      <c r="F78">
        <v>75.7</v>
      </c>
      <c r="G78">
        <v>29.1</v>
      </c>
      <c r="H78">
        <v>-0.77281999999999995</v>
      </c>
      <c r="I78">
        <v>0.42553000000000002</v>
      </c>
    </row>
    <row r="79" spans="1:9" x14ac:dyDescent="0.25">
      <c r="A79">
        <v>78</v>
      </c>
      <c r="B79">
        <v>3</v>
      </c>
      <c r="C79">
        <v>0</v>
      </c>
      <c r="D79">
        <v>409276.94</v>
      </c>
      <c r="E79">
        <v>3659215.51</v>
      </c>
      <c r="F79">
        <v>76.599999999999994</v>
      </c>
      <c r="G79">
        <v>30.6</v>
      </c>
      <c r="H79">
        <v>-0.27842</v>
      </c>
      <c r="I79">
        <v>9.443E-2</v>
      </c>
    </row>
    <row r="80" spans="1:9" x14ac:dyDescent="0.25">
      <c r="A80">
        <v>79</v>
      </c>
      <c r="B80">
        <v>3</v>
      </c>
      <c r="C80">
        <v>0</v>
      </c>
      <c r="D80">
        <v>409277.03</v>
      </c>
      <c r="E80">
        <v>3659212.48</v>
      </c>
      <c r="F80">
        <v>73.7</v>
      </c>
      <c r="G80">
        <v>28.3</v>
      </c>
      <c r="H80">
        <v>-1.32054</v>
      </c>
      <c r="I80">
        <v>7.1300000000000001E-3</v>
      </c>
    </row>
    <row r="81" spans="1:9" x14ac:dyDescent="0.25">
      <c r="A81">
        <v>80</v>
      </c>
      <c r="B81">
        <v>3</v>
      </c>
      <c r="C81">
        <v>0</v>
      </c>
      <c r="D81">
        <v>409277</v>
      </c>
      <c r="E81">
        <v>3659209.27</v>
      </c>
      <c r="F81">
        <v>76.099999999999994</v>
      </c>
      <c r="G81">
        <v>29.4</v>
      </c>
      <c r="H81">
        <v>-0.63283</v>
      </c>
      <c r="I81">
        <v>0.44541999999999998</v>
      </c>
    </row>
    <row r="82" spans="1:9" x14ac:dyDescent="0.25">
      <c r="A82">
        <v>81</v>
      </c>
      <c r="B82">
        <v>3</v>
      </c>
      <c r="C82">
        <v>0</v>
      </c>
      <c r="D82">
        <v>409276.9</v>
      </c>
      <c r="E82">
        <v>3659205.49</v>
      </c>
      <c r="F82">
        <v>77.400000000000006</v>
      </c>
      <c r="G82">
        <v>31.7</v>
      </c>
      <c r="H82">
        <v>0.11031000000000001</v>
      </c>
      <c r="I82">
        <v>-9.357E-2</v>
      </c>
    </row>
    <row r="83" spans="1:9" x14ac:dyDescent="0.25">
      <c r="A83">
        <v>82</v>
      </c>
      <c r="B83">
        <v>3</v>
      </c>
      <c r="C83">
        <v>0</v>
      </c>
      <c r="D83">
        <v>409276.87</v>
      </c>
      <c r="E83">
        <v>3659202.4</v>
      </c>
      <c r="F83">
        <v>76.2</v>
      </c>
      <c r="G83">
        <v>31.7</v>
      </c>
      <c r="H83">
        <v>-0.11391999999999999</v>
      </c>
      <c r="I83">
        <v>-0.56328999999999996</v>
      </c>
    </row>
    <row r="84" spans="1:9" x14ac:dyDescent="0.25">
      <c r="A84">
        <v>83</v>
      </c>
      <c r="B84">
        <v>3</v>
      </c>
      <c r="C84">
        <v>0</v>
      </c>
      <c r="D84">
        <v>409276.87</v>
      </c>
      <c r="E84">
        <v>3659199.59</v>
      </c>
      <c r="F84">
        <v>78.099999999999994</v>
      </c>
      <c r="G84">
        <v>31.4</v>
      </c>
      <c r="H84">
        <v>0.17587</v>
      </c>
      <c r="I84">
        <v>0.31711</v>
      </c>
    </row>
    <row r="85" spans="1:9" x14ac:dyDescent="0.25">
      <c r="A85">
        <v>84</v>
      </c>
      <c r="B85">
        <v>3</v>
      </c>
      <c r="C85">
        <v>0</v>
      </c>
      <c r="D85">
        <v>409276.86</v>
      </c>
      <c r="E85">
        <v>3659196.32</v>
      </c>
      <c r="F85">
        <v>77.7</v>
      </c>
      <c r="G85">
        <v>31.7</v>
      </c>
      <c r="H85">
        <v>0.16636999999999999</v>
      </c>
      <c r="I85">
        <v>2.3859999999999999E-2</v>
      </c>
    </row>
    <row r="86" spans="1:9" x14ac:dyDescent="0.25">
      <c r="A86">
        <v>85</v>
      </c>
      <c r="B86">
        <v>3</v>
      </c>
      <c r="C86">
        <v>2</v>
      </c>
      <c r="D86">
        <v>409276.8</v>
      </c>
      <c r="E86">
        <v>3659193.26</v>
      </c>
      <c r="F86">
        <v>76.900000000000006</v>
      </c>
      <c r="G86">
        <v>30.7</v>
      </c>
      <c r="H86">
        <v>-0.20061000000000001</v>
      </c>
      <c r="I86">
        <v>0.16631000000000001</v>
      </c>
    </row>
    <row r="87" spans="1:9" x14ac:dyDescent="0.25">
      <c r="A87">
        <v>86</v>
      </c>
      <c r="B87">
        <v>3</v>
      </c>
      <c r="C87">
        <v>0</v>
      </c>
      <c r="D87">
        <v>409276.81</v>
      </c>
      <c r="E87">
        <v>3659190.21</v>
      </c>
      <c r="F87">
        <v>78.099999999999994</v>
      </c>
      <c r="G87">
        <v>30</v>
      </c>
      <c r="H87">
        <v>-0.12862000000000001</v>
      </c>
      <c r="I87">
        <v>0.95494000000000001</v>
      </c>
    </row>
    <row r="88" spans="1:9" x14ac:dyDescent="0.25">
      <c r="A88">
        <v>87</v>
      </c>
      <c r="B88">
        <v>3</v>
      </c>
      <c r="C88">
        <v>0</v>
      </c>
      <c r="D88">
        <v>409276.76</v>
      </c>
      <c r="E88">
        <v>3659187.16</v>
      </c>
      <c r="F88">
        <v>78.5</v>
      </c>
      <c r="G88">
        <v>31.3</v>
      </c>
      <c r="H88">
        <v>0.22886000000000001</v>
      </c>
      <c r="I88">
        <v>0.51924999999999999</v>
      </c>
    </row>
    <row r="89" spans="1:9" x14ac:dyDescent="0.25">
      <c r="A89">
        <v>88</v>
      </c>
      <c r="B89">
        <v>3</v>
      </c>
      <c r="C89">
        <v>0</v>
      </c>
      <c r="D89">
        <v>409276.79</v>
      </c>
      <c r="E89">
        <v>3659184.13</v>
      </c>
      <c r="F89">
        <v>78.400000000000006</v>
      </c>
      <c r="G89">
        <v>30.9</v>
      </c>
      <c r="H89">
        <v>0.12318</v>
      </c>
      <c r="I89">
        <v>0.66234000000000004</v>
      </c>
    </row>
    <row r="90" spans="1:9" x14ac:dyDescent="0.25">
      <c r="A90">
        <v>89</v>
      </c>
      <c r="B90">
        <v>3</v>
      </c>
      <c r="C90">
        <v>0</v>
      </c>
      <c r="D90">
        <v>409276.66</v>
      </c>
      <c r="E90">
        <v>3659181.18</v>
      </c>
      <c r="F90">
        <v>79</v>
      </c>
      <c r="G90">
        <v>33.9</v>
      </c>
      <c r="H90">
        <v>0.88775999999999999</v>
      </c>
      <c r="I90">
        <v>-0.46956999999999999</v>
      </c>
    </row>
    <row r="91" spans="1:9" x14ac:dyDescent="0.25">
      <c r="A91">
        <v>90</v>
      </c>
      <c r="B91">
        <v>3</v>
      </c>
      <c r="C91">
        <v>0</v>
      </c>
      <c r="D91">
        <v>409276.5</v>
      </c>
      <c r="E91">
        <v>3659178.23</v>
      </c>
      <c r="F91">
        <v>78.900000000000006</v>
      </c>
      <c r="G91">
        <v>34.299999999999997</v>
      </c>
      <c r="H91">
        <v>0.95606999999999998</v>
      </c>
      <c r="I91">
        <v>-0.69094999999999995</v>
      </c>
    </row>
    <row r="92" spans="1:9" x14ac:dyDescent="0.25">
      <c r="A92">
        <v>91</v>
      </c>
      <c r="B92">
        <v>3</v>
      </c>
      <c r="C92">
        <v>0</v>
      </c>
      <c r="D92">
        <v>409276.49</v>
      </c>
      <c r="E92">
        <v>3659175.19</v>
      </c>
      <c r="F92">
        <v>79.5</v>
      </c>
      <c r="G92">
        <v>35.5</v>
      </c>
      <c r="H92">
        <v>1.32917</v>
      </c>
      <c r="I92">
        <v>-1.0027900000000001</v>
      </c>
    </row>
    <row r="93" spans="1:9" x14ac:dyDescent="0.25">
      <c r="A93">
        <v>92</v>
      </c>
      <c r="B93">
        <v>3</v>
      </c>
      <c r="C93">
        <v>0</v>
      </c>
      <c r="D93">
        <v>409276.44</v>
      </c>
      <c r="E93">
        <v>3659172.12</v>
      </c>
      <c r="F93">
        <v>76.2</v>
      </c>
      <c r="G93">
        <v>32.200000000000003</v>
      </c>
      <c r="H93">
        <v>-5.1799999999999997E-3</v>
      </c>
      <c r="I93">
        <v>-0.79108000000000001</v>
      </c>
    </row>
    <row r="94" spans="1:9" x14ac:dyDescent="0.25">
      <c r="A94">
        <v>93</v>
      </c>
      <c r="B94">
        <v>3</v>
      </c>
      <c r="C94">
        <v>0</v>
      </c>
      <c r="D94">
        <v>409276.42</v>
      </c>
      <c r="E94">
        <v>3659168.96</v>
      </c>
      <c r="F94">
        <v>75.599999999999994</v>
      </c>
      <c r="G94">
        <v>34.299999999999997</v>
      </c>
      <c r="H94">
        <v>0.33943000000000001</v>
      </c>
      <c r="I94">
        <v>-1.98268</v>
      </c>
    </row>
    <row r="95" spans="1:9" x14ac:dyDescent="0.25">
      <c r="A95">
        <v>94</v>
      </c>
      <c r="B95">
        <v>3</v>
      </c>
      <c r="C95">
        <v>0</v>
      </c>
      <c r="D95">
        <v>409276.44</v>
      </c>
      <c r="E95">
        <v>3659165.78</v>
      </c>
      <c r="F95">
        <v>78.3</v>
      </c>
      <c r="G95">
        <v>34.4</v>
      </c>
      <c r="H95">
        <v>0.86570000000000003</v>
      </c>
      <c r="I95">
        <v>-0.97136</v>
      </c>
    </row>
    <row r="96" spans="1:9" x14ac:dyDescent="0.25">
      <c r="A96">
        <v>95</v>
      </c>
      <c r="B96">
        <v>3</v>
      </c>
      <c r="C96">
        <v>0</v>
      </c>
      <c r="D96">
        <v>409276.38</v>
      </c>
      <c r="E96">
        <v>3659162.56</v>
      </c>
      <c r="F96">
        <v>76.099999999999994</v>
      </c>
      <c r="G96">
        <v>33.200000000000003</v>
      </c>
      <c r="H96">
        <v>0.19361999999999999</v>
      </c>
      <c r="I96">
        <v>-1.2858099999999999</v>
      </c>
    </row>
    <row r="97" spans="1:9" x14ac:dyDescent="0.25">
      <c r="A97">
        <v>96</v>
      </c>
      <c r="B97">
        <v>3</v>
      </c>
      <c r="C97">
        <v>0</v>
      </c>
      <c r="D97">
        <v>409276.31</v>
      </c>
      <c r="E97">
        <v>3659159.36</v>
      </c>
      <c r="F97">
        <v>73.8</v>
      </c>
      <c r="G97">
        <v>31.7</v>
      </c>
      <c r="H97">
        <v>-0.56238999999999995</v>
      </c>
      <c r="I97">
        <v>-1.5027299999999999</v>
      </c>
    </row>
    <row r="98" spans="1:9" x14ac:dyDescent="0.25">
      <c r="A98">
        <v>97</v>
      </c>
      <c r="B98">
        <v>3</v>
      </c>
      <c r="C98">
        <v>0</v>
      </c>
      <c r="D98">
        <v>409276.22</v>
      </c>
      <c r="E98">
        <v>3659156.13</v>
      </c>
      <c r="F98">
        <v>74</v>
      </c>
      <c r="G98">
        <v>29.9</v>
      </c>
      <c r="H98">
        <v>-0.91649999999999998</v>
      </c>
      <c r="I98">
        <v>-0.60438000000000003</v>
      </c>
    </row>
    <row r="99" spans="1:9" x14ac:dyDescent="0.25">
      <c r="A99">
        <v>98</v>
      </c>
      <c r="B99">
        <v>3</v>
      </c>
      <c r="C99">
        <v>0</v>
      </c>
      <c r="D99">
        <v>409276.08</v>
      </c>
      <c r="E99">
        <v>3659152.83</v>
      </c>
      <c r="F99">
        <v>73.3</v>
      </c>
      <c r="G99">
        <v>32.6</v>
      </c>
      <c r="H99">
        <v>-0.46007999999999999</v>
      </c>
      <c r="I99">
        <v>-2.1084700000000001</v>
      </c>
    </row>
    <row r="100" spans="1:9" x14ac:dyDescent="0.25">
      <c r="A100">
        <v>99</v>
      </c>
      <c r="B100">
        <v>3</v>
      </c>
      <c r="C100">
        <v>0</v>
      </c>
      <c r="D100">
        <v>409276.11</v>
      </c>
      <c r="E100">
        <v>3659149.65</v>
      </c>
      <c r="F100">
        <v>71.5</v>
      </c>
      <c r="G100">
        <v>29</v>
      </c>
      <c r="H100">
        <v>-1.5793900000000001</v>
      </c>
      <c r="I100">
        <v>-1.1729400000000001</v>
      </c>
    </row>
    <row r="101" spans="1:9" x14ac:dyDescent="0.25">
      <c r="A101">
        <v>100</v>
      </c>
      <c r="B101">
        <v>3</v>
      </c>
      <c r="C101">
        <v>0</v>
      </c>
      <c r="D101">
        <v>409276.04</v>
      </c>
      <c r="E101">
        <v>3659146.43</v>
      </c>
      <c r="F101">
        <v>73.099999999999994</v>
      </c>
      <c r="G101">
        <v>27.9</v>
      </c>
      <c r="H101">
        <v>-1.5196499999999999</v>
      </c>
      <c r="I101">
        <v>-4.5490000000000003E-2</v>
      </c>
    </row>
    <row r="102" spans="1:9" x14ac:dyDescent="0.25">
      <c r="A102">
        <v>101</v>
      </c>
      <c r="B102">
        <v>3</v>
      </c>
      <c r="C102">
        <v>0</v>
      </c>
      <c r="D102">
        <v>409275.98</v>
      </c>
      <c r="E102">
        <v>3659143.19</v>
      </c>
      <c r="F102">
        <v>74.099999999999994</v>
      </c>
      <c r="G102">
        <v>27.7</v>
      </c>
      <c r="H102">
        <v>-1.3762799999999999</v>
      </c>
      <c r="I102">
        <v>0.43706</v>
      </c>
    </row>
    <row r="103" spans="1:9" x14ac:dyDescent="0.25">
      <c r="A103">
        <v>102</v>
      </c>
      <c r="B103">
        <v>3</v>
      </c>
      <c r="C103">
        <v>0</v>
      </c>
      <c r="D103">
        <v>409275.96</v>
      </c>
      <c r="E103">
        <v>3659139.95</v>
      </c>
      <c r="F103">
        <v>72.5</v>
      </c>
      <c r="G103">
        <v>27.6</v>
      </c>
      <c r="H103">
        <v>-1.6970099999999999</v>
      </c>
      <c r="I103">
        <v>-0.14368</v>
      </c>
    </row>
    <row r="104" spans="1:9" x14ac:dyDescent="0.25">
      <c r="A104">
        <v>103</v>
      </c>
      <c r="B104">
        <v>3</v>
      </c>
      <c r="C104">
        <v>0</v>
      </c>
      <c r="D104">
        <v>409275.86</v>
      </c>
      <c r="E104">
        <v>3659136.67</v>
      </c>
      <c r="F104">
        <v>73.7</v>
      </c>
      <c r="G104">
        <v>29</v>
      </c>
      <c r="H104">
        <v>-1.1682999999999999</v>
      </c>
      <c r="I104">
        <v>-0.31178</v>
      </c>
    </row>
    <row r="105" spans="1:9" x14ac:dyDescent="0.25">
      <c r="A105">
        <v>104</v>
      </c>
      <c r="B105">
        <v>3</v>
      </c>
      <c r="C105">
        <v>7</v>
      </c>
      <c r="D105">
        <v>409275.79</v>
      </c>
      <c r="E105">
        <v>3659133.37</v>
      </c>
      <c r="F105">
        <v>75.599999999999994</v>
      </c>
      <c r="G105">
        <v>29.3</v>
      </c>
      <c r="H105">
        <v>-0.74800999999999995</v>
      </c>
      <c r="I105">
        <v>0.29526999999999998</v>
      </c>
    </row>
    <row r="106" spans="1:9" x14ac:dyDescent="0.25">
      <c r="A106">
        <v>105</v>
      </c>
      <c r="B106">
        <v>3</v>
      </c>
      <c r="C106">
        <v>7</v>
      </c>
      <c r="D106">
        <v>409275.8</v>
      </c>
      <c r="E106">
        <v>3659130.13</v>
      </c>
      <c r="F106">
        <v>77.900000000000006</v>
      </c>
      <c r="G106">
        <v>29.4</v>
      </c>
      <c r="H106">
        <v>-0.29648000000000002</v>
      </c>
      <c r="I106">
        <v>1.15001</v>
      </c>
    </row>
    <row r="107" spans="1:9" x14ac:dyDescent="0.25">
      <c r="A107">
        <v>106</v>
      </c>
      <c r="B107">
        <v>4</v>
      </c>
      <c r="C107">
        <v>7</v>
      </c>
      <c r="D107">
        <v>409279.79</v>
      </c>
      <c r="E107">
        <v>3659128.53</v>
      </c>
      <c r="F107">
        <v>78.900000000000006</v>
      </c>
      <c r="G107">
        <v>32.200000000000003</v>
      </c>
      <c r="H107">
        <v>0.49935000000000002</v>
      </c>
      <c r="I107">
        <v>0.26579000000000003</v>
      </c>
    </row>
    <row r="108" spans="1:9" x14ac:dyDescent="0.25">
      <c r="A108">
        <v>107</v>
      </c>
      <c r="B108">
        <v>4</v>
      </c>
      <c r="C108">
        <v>7</v>
      </c>
      <c r="D108">
        <v>409279.82</v>
      </c>
      <c r="E108">
        <v>3659130.34</v>
      </c>
      <c r="F108">
        <v>78.099999999999994</v>
      </c>
      <c r="G108">
        <v>30</v>
      </c>
      <c r="H108">
        <v>-0.12862000000000001</v>
      </c>
      <c r="I108">
        <v>0.95494000000000001</v>
      </c>
    </row>
    <row r="109" spans="1:9" x14ac:dyDescent="0.25">
      <c r="A109">
        <v>108</v>
      </c>
      <c r="B109">
        <v>4</v>
      </c>
      <c r="C109">
        <v>0</v>
      </c>
      <c r="D109">
        <v>409279.9</v>
      </c>
      <c r="E109">
        <v>3659133.88</v>
      </c>
      <c r="F109">
        <v>77.099999999999994</v>
      </c>
      <c r="G109">
        <v>29.2</v>
      </c>
      <c r="H109">
        <v>-0.48947000000000002</v>
      </c>
      <c r="I109">
        <v>0.92798000000000003</v>
      </c>
    </row>
    <row r="110" spans="1:9" x14ac:dyDescent="0.25">
      <c r="A110">
        <v>109</v>
      </c>
      <c r="B110">
        <v>4</v>
      </c>
      <c r="C110">
        <v>0</v>
      </c>
      <c r="D110">
        <v>409279.95</v>
      </c>
      <c r="E110">
        <v>3659137.11</v>
      </c>
      <c r="F110">
        <v>75.8</v>
      </c>
      <c r="G110">
        <v>29.3</v>
      </c>
      <c r="H110">
        <v>-0.71064000000000005</v>
      </c>
      <c r="I110">
        <v>0.37354999999999999</v>
      </c>
    </row>
    <row r="111" spans="1:9" x14ac:dyDescent="0.25">
      <c r="A111">
        <v>110</v>
      </c>
      <c r="B111">
        <v>4</v>
      </c>
      <c r="C111">
        <v>0</v>
      </c>
      <c r="D111">
        <v>409280.01</v>
      </c>
      <c r="E111">
        <v>3659140.46</v>
      </c>
      <c r="F111">
        <v>75.3</v>
      </c>
      <c r="G111">
        <v>29.8</v>
      </c>
      <c r="H111">
        <v>-0.69533</v>
      </c>
      <c r="I111">
        <v>-4.9959999999999997E-2</v>
      </c>
    </row>
    <row r="112" spans="1:9" x14ac:dyDescent="0.25">
      <c r="A112">
        <v>111</v>
      </c>
      <c r="B112">
        <v>4</v>
      </c>
      <c r="C112">
        <v>0</v>
      </c>
      <c r="D112">
        <v>409280.06</v>
      </c>
      <c r="E112">
        <v>3659143.79</v>
      </c>
      <c r="F112">
        <v>74.8</v>
      </c>
      <c r="G112">
        <v>28.6</v>
      </c>
      <c r="H112">
        <v>-1.0497399999999999</v>
      </c>
      <c r="I112">
        <v>0.30103000000000002</v>
      </c>
    </row>
    <row r="113" spans="1:9" x14ac:dyDescent="0.25">
      <c r="A113">
        <v>112</v>
      </c>
      <c r="B113">
        <v>4</v>
      </c>
      <c r="C113">
        <v>0</v>
      </c>
      <c r="D113">
        <v>409280.16</v>
      </c>
      <c r="E113">
        <v>3659147.25</v>
      </c>
      <c r="F113">
        <v>73.5</v>
      </c>
      <c r="G113">
        <v>27.3</v>
      </c>
      <c r="H113">
        <v>-1.5753999999999999</v>
      </c>
      <c r="I113">
        <v>0.38442999999999999</v>
      </c>
    </row>
    <row r="114" spans="1:9" x14ac:dyDescent="0.25">
      <c r="A114">
        <v>113</v>
      </c>
      <c r="B114">
        <v>4</v>
      </c>
      <c r="C114">
        <v>0</v>
      </c>
      <c r="D114">
        <v>409280.12</v>
      </c>
      <c r="E114">
        <v>3659150.55</v>
      </c>
      <c r="F114">
        <v>73.3</v>
      </c>
      <c r="G114">
        <v>27.8</v>
      </c>
      <c r="H114">
        <v>-1.50403</v>
      </c>
      <c r="I114">
        <v>7.8350000000000003E-2</v>
      </c>
    </row>
    <row r="115" spans="1:9" x14ac:dyDescent="0.25">
      <c r="A115">
        <v>114</v>
      </c>
      <c r="B115">
        <v>4</v>
      </c>
      <c r="C115">
        <v>0</v>
      </c>
      <c r="D115">
        <v>409280.16</v>
      </c>
      <c r="E115">
        <v>3659153.85</v>
      </c>
      <c r="F115">
        <v>74.900000000000006</v>
      </c>
      <c r="G115">
        <v>29.4</v>
      </c>
      <c r="H115">
        <v>-0.85707</v>
      </c>
      <c r="I115">
        <v>-2.4299999999999999E-2</v>
      </c>
    </row>
    <row r="116" spans="1:9" x14ac:dyDescent="0.25">
      <c r="A116">
        <v>115</v>
      </c>
      <c r="B116">
        <v>4</v>
      </c>
      <c r="C116">
        <v>1</v>
      </c>
      <c r="D116">
        <v>409280.28</v>
      </c>
      <c r="E116">
        <v>3659157.13</v>
      </c>
      <c r="F116">
        <v>77.099999999999994</v>
      </c>
      <c r="G116">
        <v>30.9</v>
      </c>
      <c r="H116">
        <v>-0.11974</v>
      </c>
      <c r="I116">
        <v>0.15348000000000001</v>
      </c>
    </row>
    <row r="117" spans="1:9" x14ac:dyDescent="0.25">
      <c r="A117">
        <v>116</v>
      </c>
      <c r="B117">
        <v>4</v>
      </c>
      <c r="C117">
        <v>0</v>
      </c>
      <c r="D117">
        <v>409280.37</v>
      </c>
      <c r="E117">
        <v>3659160.41</v>
      </c>
      <c r="F117">
        <v>77.7</v>
      </c>
      <c r="G117">
        <v>30.6</v>
      </c>
      <c r="H117">
        <v>-7.2870000000000004E-2</v>
      </c>
      <c r="I117">
        <v>0.52500999999999998</v>
      </c>
    </row>
    <row r="118" spans="1:9" x14ac:dyDescent="0.25">
      <c r="A118">
        <v>117</v>
      </c>
      <c r="B118">
        <v>4</v>
      </c>
      <c r="C118">
        <v>0</v>
      </c>
      <c r="D118">
        <v>409280.48</v>
      </c>
      <c r="E118">
        <v>3659163.98</v>
      </c>
      <c r="F118">
        <v>78.599999999999994</v>
      </c>
      <c r="G118">
        <v>31.3</v>
      </c>
      <c r="H118">
        <v>0.24754999999999999</v>
      </c>
      <c r="I118">
        <v>0.55839000000000005</v>
      </c>
    </row>
    <row r="119" spans="1:9" x14ac:dyDescent="0.25">
      <c r="A119">
        <v>118</v>
      </c>
      <c r="B119">
        <v>4</v>
      </c>
      <c r="C119">
        <v>0</v>
      </c>
      <c r="D119">
        <v>409280.52</v>
      </c>
      <c r="E119">
        <v>3659167.24</v>
      </c>
      <c r="F119">
        <v>80.099999999999994</v>
      </c>
      <c r="G119">
        <v>32.6</v>
      </c>
      <c r="H119">
        <v>0.81057999999999997</v>
      </c>
      <c r="I119">
        <v>0.55327999999999999</v>
      </c>
    </row>
    <row r="120" spans="1:9" x14ac:dyDescent="0.25">
      <c r="A120">
        <v>119</v>
      </c>
      <c r="B120">
        <v>4</v>
      </c>
      <c r="C120">
        <v>0</v>
      </c>
      <c r="D120">
        <v>409280.58</v>
      </c>
      <c r="E120">
        <v>3659170.58</v>
      </c>
      <c r="F120">
        <v>79.5</v>
      </c>
      <c r="G120">
        <v>32.5</v>
      </c>
      <c r="H120">
        <v>0.67671000000000003</v>
      </c>
      <c r="I120">
        <v>0.36397000000000002</v>
      </c>
    </row>
    <row r="121" spans="1:9" x14ac:dyDescent="0.25">
      <c r="A121">
        <v>120</v>
      </c>
      <c r="B121">
        <v>4</v>
      </c>
      <c r="C121">
        <v>0</v>
      </c>
      <c r="D121">
        <v>409280.59</v>
      </c>
      <c r="E121">
        <v>3659173.9</v>
      </c>
      <c r="F121">
        <v>81.400000000000006</v>
      </c>
      <c r="G121">
        <v>33.700000000000003</v>
      </c>
      <c r="H121">
        <v>1.2927299999999999</v>
      </c>
      <c r="I121">
        <v>0.56098999999999999</v>
      </c>
    </row>
    <row r="122" spans="1:9" x14ac:dyDescent="0.25">
      <c r="A122">
        <v>121</v>
      </c>
      <c r="B122">
        <v>4</v>
      </c>
      <c r="C122">
        <v>0</v>
      </c>
      <c r="D122">
        <v>409280.63</v>
      </c>
      <c r="E122">
        <v>3659177.15</v>
      </c>
      <c r="F122">
        <v>82.2</v>
      </c>
      <c r="G122">
        <v>32.9</v>
      </c>
      <c r="H122">
        <v>1.26823</v>
      </c>
      <c r="I122">
        <v>1.23861</v>
      </c>
    </row>
    <row r="123" spans="1:9" x14ac:dyDescent="0.25">
      <c r="A123">
        <v>122</v>
      </c>
      <c r="B123">
        <v>4</v>
      </c>
      <c r="C123">
        <v>0</v>
      </c>
      <c r="D123">
        <v>409280.78</v>
      </c>
      <c r="E123">
        <v>3659180.46</v>
      </c>
      <c r="F123">
        <v>81.2</v>
      </c>
      <c r="G123">
        <v>34.200000000000003</v>
      </c>
      <c r="H123">
        <v>1.3641000000000001</v>
      </c>
      <c r="I123">
        <v>0.25491000000000003</v>
      </c>
    </row>
    <row r="124" spans="1:9" x14ac:dyDescent="0.25">
      <c r="A124">
        <v>123</v>
      </c>
      <c r="B124">
        <v>4</v>
      </c>
      <c r="C124">
        <v>0</v>
      </c>
      <c r="D124">
        <v>409280.79</v>
      </c>
      <c r="E124">
        <v>3659183.74</v>
      </c>
      <c r="F124">
        <v>80.900000000000006</v>
      </c>
      <c r="G124">
        <v>33.299999999999997</v>
      </c>
      <c r="H124">
        <v>1.1123099999999999</v>
      </c>
      <c r="I124">
        <v>0.54751000000000005</v>
      </c>
    </row>
    <row r="125" spans="1:9" x14ac:dyDescent="0.25">
      <c r="A125">
        <v>124</v>
      </c>
      <c r="B125">
        <v>4</v>
      </c>
      <c r="C125">
        <v>0</v>
      </c>
      <c r="D125">
        <v>409280.84</v>
      </c>
      <c r="E125">
        <v>3659187.03</v>
      </c>
      <c r="F125">
        <v>82.1</v>
      </c>
      <c r="G125">
        <v>33.299999999999997</v>
      </c>
      <c r="H125">
        <v>1.3365400000000001</v>
      </c>
      <c r="I125">
        <v>1.0172300000000001</v>
      </c>
    </row>
    <row r="126" spans="1:9" x14ac:dyDescent="0.25">
      <c r="A126">
        <v>125</v>
      </c>
      <c r="B126">
        <v>4</v>
      </c>
      <c r="C126">
        <v>0</v>
      </c>
      <c r="D126">
        <v>409280.86</v>
      </c>
      <c r="E126">
        <v>3659190.34</v>
      </c>
      <c r="F126">
        <v>80.8</v>
      </c>
      <c r="G126">
        <v>31.6</v>
      </c>
      <c r="H126">
        <v>0.72389000000000003</v>
      </c>
      <c r="I126">
        <v>1.28287</v>
      </c>
    </row>
    <row r="127" spans="1:9" x14ac:dyDescent="0.25">
      <c r="A127">
        <v>126</v>
      </c>
      <c r="B127">
        <v>4</v>
      </c>
      <c r="C127">
        <v>0</v>
      </c>
      <c r="D127">
        <v>409280.85</v>
      </c>
      <c r="E127">
        <v>3659193.61</v>
      </c>
      <c r="F127">
        <v>80.2</v>
      </c>
      <c r="G127">
        <v>31.6</v>
      </c>
      <c r="H127">
        <v>0.61177000000000004</v>
      </c>
      <c r="I127">
        <v>1.0480100000000001</v>
      </c>
    </row>
    <row r="128" spans="1:9" x14ac:dyDescent="0.25">
      <c r="A128">
        <v>127</v>
      </c>
      <c r="B128">
        <v>4</v>
      </c>
      <c r="C128">
        <v>0</v>
      </c>
      <c r="D128">
        <v>409280.95</v>
      </c>
      <c r="E128">
        <v>3659196.89</v>
      </c>
      <c r="F128">
        <v>80</v>
      </c>
      <c r="G128">
        <v>30.4</v>
      </c>
      <c r="H128">
        <v>0.31341999999999998</v>
      </c>
      <c r="I128">
        <v>1.5164299999999999</v>
      </c>
    </row>
    <row r="129" spans="1:9" x14ac:dyDescent="0.25">
      <c r="A129">
        <v>128</v>
      </c>
      <c r="B129">
        <v>4</v>
      </c>
      <c r="C129">
        <v>0</v>
      </c>
      <c r="D129">
        <v>409280.95</v>
      </c>
      <c r="E129">
        <v>3659200.16</v>
      </c>
      <c r="F129">
        <v>78</v>
      </c>
      <c r="G129">
        <v>30.1</v>
      </c>
      <c r="H129">
        <v>-0.12554999999999999</v>
      </c>
      <c r="I129">
        <v>0.87024000000000001</v>
      </c>
    </row>
    <row r="130" spans="1:9" x14ac:dyDescent="0.25">
      <c r="A130">
        <v>129</v>
      </c>
      <c r="B130">
        <v>4</v>
      </c>
      <c r="C130">
        <v>0</v>
      </c>
      <c r="D130">
        <v>409280.99</v>
      </c>
      <c r="E130">
        <v>3659203.47</v>
      </c>
      <c r="F130">
        <v>78.900000000000006</v>
      </c>
      <c r="G130">
        <v>30</v>
      </c>
      <c r="H130">
        <v>2.087E-2</v>
      </c>
      <c r="I130">
        <v>1.2680899999999999</v>
      </c>
    </row>
    <row r="131" spans="1:9" x14ac:dyDescent="0.25">
      <c r="A131">
        <v>130</v>
      </c>
      <c r="B131">
        <v>4</v>
      </c>
      <c r="C131">
        <v>0</v>
      </c>
      <c r="D131">
        <v>409281.09</v>
      </c>
      <c r="E131">
        <v>3659206.83</v>
      </c>
      <c r="F131">
        <v>76.900000000000006</v>
      </c>
      <c r="G131">
        <v>31.4</v>
      </c>
      <c r="H131">
        <v>-4.8370000000000003E-2</v>
      </c>
      <c r="I131">
        <v>-0.15261</v>
      </c>
    </row>
    <row r="132" spans="1:9" x14ac:dyDescent="0.25">
      <c r="A132">
        <v>131</v>
      </c>
      <c r="B132">
        <v>4</v>
      </c>
      <c r="C132">
        <v>0</v>
      </c>
      <c r="D132">
        <v>409281.08</v>
      </c>
      <c r="E132">
        <v>3659210.1</v>
      </c>
      <c r="F132">
        <v>75.5</v>
      </c>
      <c r="G132">
        <v>29</v>
      </c>
      <c r="H132">
        <v>-0.83194000000000001</v>
      </c>
      <c r="I132">
        <v>0.39279999999999998</v>
      </c>
    </row>
    <row r="133" spans="1:9" x14ac:dyDescent="0.25">
      <c r="A133">
        <v>132</v>
      </c>
      <c r="B133">
        <v>4</v>
      </c>
      <c r="C133">
        <v>0</v>
      </c>
      <c r="D133">
        <v>409281.1</v>
      </c>
      <c r="E133">
        <v>3659213.41</v>
      </c>
      <c r="F133">
        <v>75.099999999999994</v>
      </c>
      <c r="G133">
        <v>27</v>
      </c>
      <c r="H133">
        <v>-1.3416600000000001</v>
      </c>
      <c r="I133">
        <v>1.1474</v>
      </c>
    </row>
    <row r="134" spans="1:9" x14ac:dyDescent="0.25">
      <c r="A134">
        <v>133</v>
      </c>
      <c r="B134">
        <v>4</v>
      </c>
      <c r="C134">
        <v>0</v>
      </c>
      <c r="D134">
        <v>409281.13</v>
      </c>
      <c r="E134">
        <v>3659216.68</v>
      </c>
      <c r="F134">
        <v>75.400000000000006</v>
      </c>
      <c r="G134">
        <v>27.8</v>
      </c>
      <c r="H134">
        <v>-1.1116200000000001</v>
      </c>
      <c r="I134">
        <v>0.90036000000000005</v>
      </c>
    </row>
    <row r="135" spans="1:9" x14ac:dyDescent="0.25">
      <c r="A135">
        <v>134</v>
      </c>
      <c r="B135">
        <v>4</v>
      </c>
      <c r="C135">
        <v>0</v>
      </c>
      <c r="D135">
        <v>409281.16</v>
      </c>
      <c r="E135">
        <v>3659219.99</v>
      </c>
      <c r="F135">
        <v>76.3</v>
      </c>
      <c r="G135">
        <v>27.6</v>
      </c>
      <c r="H135">
        <v>-0.98694000000000004</v>
      </c>
      <c r="I135">
        <v>1.3437699999999999</v>
      </c>
    </row>
    <row r="136" spans="1:9" x14ac:dyDescent="0.25">
      <c r="A136">
        <v>135</v>
      </c>
      <c r="B136">
        <v>4</v>
      </c>
      <c r="C136">
        <v>0</v>
      </c>
      <c r="D136">
        <v>409281.22</v>
      </c>
      <c r="E136">
        <v>3659224.1</v>
      </c>
      <c r="F136">
        <v>80.2</v>
      </c>
      <c r="G136">
        <v>30.5</v>
      </c>
      <c r="H136">
        <v>0.37253999999999998</v>
      </c>
      <c r="I136">
        <v>1.5491600000000001</v>
      </c>
    </row>
    <row r="137" spans="1:9" x14ac:dyDescent="0.25">
      <c r="A137">
        <v>136</v>
      </c>
      <c r="B137">
        <v>4</v>
      </c>
      <c r="C137">
        <v>0</v>
      </c>
      <c r="D137">
        <v>409281.22</v>
      </c>
      <c r="E137">
        <v>3659226.52</v>
      </c>
      <c r="F137">
        <v>80.2</v>
      </c>
      <c r="G137">
        <v>31</v>
      </c>
      <c r="H137">
        <v>0.48127999999999999</v>
      </c>
      <c r="I137">
        <v>1.3213600000000001</v>
      </c>
    </row>
    <row r="138" spans="1:9" x14ac:dyDescent="0.25">
      <c r="A138">
        <v>137</v>
      </c>
      <c r="B138">
        <v>4</v>
      </c>
      <c r="C138">
        <v>0</v>
      </c>
      <c r="D138">
        <v>409281.26</v>
      </c>
      <c r="E138">
        <v>3659229.87</v>
      </c>
      <c r="F138">
        <v>81.099999999999994</v>
      </c>
      <c r="G138">
        <v>31.4</v>
      </c>
      <c r="H138">
        <v>0.73645000000000005</v>
      </c>
      <c r="I138">
        <v>1.49142</v>
      </c>
    </row>
    <row r="139" spans="1:9" x14ac:dyDescent="0.25">
      <c r="A139">
        <v>138</v>
      </c>
      <c r="B139">
        <v>4</v>
      </c>
      <c r="C139">
        <v>7</v>
      </c>
      <c r="D139">
        <v>409281.3</v>
      </c>
      <c r="E139">
        <v>3659233.24</v>
      </c>
      <c r="F139">
        <v>77.099999999999994</v>
      </c>
      <c r="G139">
        <v>33.700000000000003</v>
      </c>
      <c r="H139">
        <v>0.48923</v>
      </c>
      <c r="I139">
        <v>-1.1221699999999999</v>
      </c>
    </row>
    <row r="140" spans="1:9" x14ac:dyDescent="0.25">
      <c r="A140">
        <v>139</v>
      </c>
      <c r="B140">
        <v>4</v>
      </c>
      <c r="C140">
        <v>7</v>
      </c>
      <c r="D140">
        <v>409281.58</v>
      </c>
      <c r="E140">
        <v>3659237.19</v>
      </c>
      <c r="F140">
        <v>77.2</v>
      </c>
      <c r="G140">
        <v>31.5</v>
      </c>
      <c r="H140">
        <v>2.9440000000000001E-2</v>
      </c>
      <c r="I140">
        <v>-8.0729999999999996E-2</v>
      </c>
    </row>
    <row r="141" spans="1:9" x14ac:dyDescent="0.25">
      <c r="A141">
        <v>140</v>
      </c>
      <c r="B141">
        <v>5</v>
      </c>
      <c r="C141">
        <v>7</v>
      </c>
      <c r="D141">
        <v>409285.45</v>
      </c>
      <c r="E141">
        <v>3659236.67</v>
      </c>
      <c r="F141">
        <v>75.400000000000006</v>
      </c>
      <c r="G141">
        <v>31.1</v>
      </c>
      <c r="H141">
        <v>-0.39390999999999998</v>
      </c>
      <c r="I141">
        <v>-0.60307999999999995</v>
      </c>
    </row>
    <row r="142" spans="1:9" x14ac:dyDescent="0.25">
      <c r="A142">
        <v>141</v>
      </c>
      <c r="B142">
        <v>5</v>
      </c>
      <c r="C142">
        <v>7</v>
      </c>
      <c r="D142">
        <v>409285.44</v>
      </c>
      <c r="E142">
        <v>3659236.62</v>
      </c>
      <c r="F142">
        <v>74.400000000000006</v>
      </c>
      <c r="G142">
        <v>30.5</v>
      </c>
      <c r="H142">
        <v>-0.71126</v>
      </c>
      <c r="I142">
        <v>-0.72116000000000002</v>
      </c>
    </row>
    <row r="143" spans="1:9" x14ac:dyDescent="0.25">
      <c r="A143">
        <v>142</v>
      </c>
      <c r="B143">
        <v>5</v>
      </c>
      <c r="C143">
        <v>7</v>
      </c>
      <c r="D143">
        <v>409285.28</v>
      </c>
      <c r="E143">
        <v>3659232.76</v>
      </c>
      <c r="F143">
        <v>75.400000000000006</v>
      </c>
      <c r="G143">
        <v>27.7</v>
      </c>
      <c r="H143">
        <v>-1.1333599999999999</v>
      </c>
      <c r="I143">
        <v>0.94591999999999998</v>
      </c>
    </row>
    <row r="144" spans="1:9" x14ac:dyDescent="0.25">
      <c r="A144">
        <v>143</v>
      </c>
      <c r="B144">
        <v>5</v>
      </c>
      <c r="C144">
        <v>0</v>
      </c>
      <c r="D144">
        <v>409285.26</v>
      </c>
      <c r="E144">
        <v>3659229.92</v>
      </c>
      <c r="F144">
        <v>78.2</v>
      </c>
      <c r="G144">
        <v>30.7</v>
      </c>
      <c r="H144">
        <v>4.231E-2</v>
      </c>
      <c r="I144">
        <v>0.67517000000000005</v>
      </c>
    </row>
    <row r="145" spans="1:9" x14ac:dyDescent="0.25">
      <c r="A145">
        <v>144</v>
      </c>
      <c r="B145">
        <v>5</v>
      </c>
      <c r="C145">
        <v>0</v>
      </c>
      <c r="D145">
        <v>409285.2</v>
      </c>
      <c r="E145">
        <v>3659226.82</v>
      </c>
      <c r="F145">
        <v>77.5</v>
      </c>
      <c r="G145">
        <v>30.2</v>
      </c>
      <c r="H145">
        <v>-0.19724</v>
      </c>
      <c r="I145">
        <v>0.62895999999999996</v>
      </c>
    </row>
    <row r="146" spans="1:9" x14ac:dyDescent="0.25">
      <c r="A146">
        <v>145</v>
      </c>
      <c r="B146">
        <v>5</v>
      </c>
      <c r="C146">
        <v>0</v>
      </c>
      <c r="D146">
        <v>409285.19</v>
      </c>
      <c r="E146">
        <v>3659223.61</v>
      </c>
      <c r="F146">
        <v>77.8</v>
      </c>
      <c r="G146">
        <v>30.7</v>
      </c>
      <c r="H146">
        <v>-3.243E-2</v>
      </c>
      <c r="I146">
        <v>0.51859999999999995</v>
      </c>
    </row>
    <row r="147" spans="1:9" x14ac:dyDescent="0.25">
      <c r="A147">
        <v>146</v>
      </c>
      <c r="B147">
        <v>5</v>
      </c>
      <c r="C147">
        <v>0</v>
      </c>
      <c r="D147">
        <v>409285.08</v>
      </c>
      <c r="E147">
        <v>3659220.43</v>
      </c>
      <c r="F147">
        <v>77.8</v>
      </c>
      <c r="G147">
        <v>30.2</v>
      </c>
      <c r="H147">
        <v>-0.14118</v>
      </c>
      <c r="I147">
        <v>0.74639</v>
      </c>
    </row>
    <row r="148" spans="1:9" x14ac:dyDescent="0.25">
      <c r="A148">
        <v>147</v>
      </c>
      <c r="B148">
        <v>5</v>
      </c>
      <c r="C148">
        <v>0</v>
      </c>
      <c r="D148">
        <v>409285.04</v>
      </c>
      <c r="E148">
        <v>3659217.16</v>
      </c>
      <c r="F148">
        <v>73.900000000000006</v>
      </c>
      <c r="G148">
        <v>28</v>
      </c>
      <c r="H148">
        <v>-1.3484100000000001</v>
      </c>
      <c r="I148">
        <v>0.22209000000000001</v>
      </c>
    </row>
    <row r="149" spans="1:9" x14ac:dyDescent="0.25">
      <c r="A149">
        <v>148</v>
      </c>
      <c r="B149">
        <v>5</v>
      </c>
      <c r="C149">
        <v>0</v>
      </c>
      <c r="D149">
        <v>409284.99</v>
      </c>
      <c r="E149">
        <v>3659213.96</v>
      </c>
      <c r="F149">
        <v>72.3</v>
      </c>
      <c r="G149">
        <v>26.4</v>
      </c>
      <c r="H149">
        <v>-1.9953700000000001</v>
      </c>
      <c r="I149">
        <v>0.32473999999999997</v>
      </c>
    </row>
    <row r="150" spans="1:9" x14ac:dyDescent="0.25">
      <c r="A150">
        <v>149</v>
      </c>
      <c r="B150">
        <v>5</v>
      </c>
      <c r="C150">
        <v>0</v>
      </c>
      <c r="D150">
        <v>409284.92</v>
      </c>
      <c r="E150">
        <v>3659210.62</v>
      </c>
      <c r="F150">
        <v>74.599999999999994</v>
      </c>
      <c r="G150">
        <v>27.6</v>
      </c>
      <c r="H150">
        <v>-1.3046</v>
      </c>
      <c r="I150">
        <v>0.67832999999999999</v>
      </c>
    </row>
    <row r="151" spans="1:9" x14ac:dyDescent="0.25">
      <c r="A151">
        <v>150</v>
      </c>
      <c r="B151">
        <v>5</v>
      </c>
      <c r="C151">
        <v>0</v>
      </c>
      <c r="D151">
        <v>409284.9</v>
      </c>
      <c r="E151">
        <v>3659207.36</v>
      </c>
      <c r="F151">
        <v>74.900000000000006</v>
      </c>
      <c r="G151">
        <v>28.9</v>
      </c>
      <c r="H151">
        <v>-0.96580999999999995</v>
      </c>
      <c r="I151">
        <v>0.20349999999999999</v>
      </c>
    </row>
    <row r="152" spans="1:9" x14ac:dyDescent="0.25">
      <c r="A152">
        <v>151</v>
      </c>
      <c r="B152">
        <v>5</v>
      </c>
      <c r="C152">
        <v>0</v>
      </c>
      <c r="D152">
        <v>409284.85</v>
      </c>
      <c r="E152">
        <v>3659204.09</v>
      </c>
      <c r="F152">
        <v>76.099999999999994</v>
      </c>
      <c r="G152">
        <v>30.7</v>
      </c>
      <c r="H152">
        <v>-0.35010000000000002</v>
      </c>
      <c r="I152">
        <v>-0.14684</v>
      </c>
    </row>
    <row r="153" spans="1:9" x14ac:dyDescent="0.25">
      <c r="A153">
        <v>152</v>
      </c>
      <c r="B153">
        <v>5</v>
      </c>
      <c r="C153">
        <v>0</v>
      </c>
      <c r="D153">
        <v>409284.81</v>
      </c>
      <c r="E153">
        <v>3659200.79</v>
      </c>
      <c r="F153">
        <v>75.7</v>
      </c>
      <c r="G153">
        <v>30</v>
      </c>
      <c r="H153">
        <v>-0.57708000000000004</v>
      </c>
      <c r="I153">
        <v>1.55E-2</v>
      </c>
    </row>
    <row r="154" spans="1:9" x14ac:dyDescent="0.25">
      <c r="A154">
        <v>153</v>
      </c>
      <c r="B154">
        <v>5</v>
      </c>
      <c r="C154">
        <v>0</v>
      </c>
      <c r="D154">
        <v>409284.79</v>
      </c>
      <c r="E154">
        <v>3659197.45</v>
      </c>
      <c r="F154">
        <v>77.099999999999994</v>
      </c>
      <c r="G154">
        <v>30.2</v>
      </c>
      <c r="H154">
        <v>-0.27198</v>
      </c>
      <c r="I154">
        <v>0.47238999999999998</v>
      </c>
    </row>
    <row r="155" spans="1:9" x14ac:dyDescent="0.25">
      <c r="A155">
        <v>154</v>
      </c>
      <c r="B155">
        <v>5</v>
      </c>
      <c r="C155">
        <v>0</v>
      </c>
      <c r="D155">
        <v>409284.73</v>
      </c>
      <c r="E155">
        <v>3659194.22</v>
      </c>
      <c r="F155">
        <v>76.099999999999994</v>
      </c>
      <c r="G155">
        <v>30.4</v>
      </c>
      <c r="H155">
        <v>-0.41533999999999999</v>
      </c>
      <c r="I155">
        <v>-1.0160000000000001E-2</v>
      </c>
    </row>
    <row r="156" spans="1:9" x14ac:dyDescent="0.25">
      <c r="A156">
        <v>155</v>
      </c>
      <c r="B156">
        <v>5</v>
      </c>
      <c r="C156">
        <v>0</v>
      </c>
      <c r="D156">
        <v>409284.75</v>
      </c>
      <c r="E156">
        <v>3659190.96</v>
      </c>
      <c r="F156">
        <v>76.8</v>
      </c>
      <c r="G156">
        <v>31.8</v>
      </c>
      <c r="H156">
        <v>1.9939999999999999E-2</v>
      </c>
      <c r="I156">
        <v>-0.37397999999999998</v>
      </c>
    </row>
    <row r="157" spans="1:9" x14ac:dyDescent="0.25">
      <c r="A157">
        <v>156</v>
      </c>
      <c r="B157">
        <v>5</v>
      </c>
      <c r="C157">
        <v>0</v>
      </c>
      <c r="D157">
        <v>409284.67</v>
      </c>
      <c r="E157">
        <v>3659187.71</v>
      </c>
      <c r="F157">
        <v>75.400000000000006</v>
      </c>
      <c r="G157">
        <v>30.6</v>
      </c>
      <c r="H157">
        <v>-0.50265000000000004</v>
      </c>
      <c r="I157">
        <v>-0.37529000000000001</v>
      </c>
    </row>
    <row r="158" spans="1:9" x14ac:dyDescent="0.25">
      <c r="A158">
        <v>157</v>
      </c>
      <c r="B158">
        <v>5</v>
      </c>
      <c r="C158">
        <v>0</v>
      </c>
      <c r="D158">
        <v>409284.63</v>
      </c>
      <c r="E158">
        <v>3659184.42</v>
      </c>
      <c r="F158">
        <v>79.400000000000006</v>
      </c>
      <c r="G158">
        <v>31.7</v>
      </c>
      <c r="H158">
        <v>0.48403000000000002</v>
      </c>
      <c r="I158">
        <v>0.68930000000000002</v>
      </c>
    </row>
    <row r="159" spans="1:9" x14ac:dyDescent="0.25">
      <c r="A159">
        <v>158</v>
      </c>
      <c r="B159">
        <v>5</v>
      </c>
      <c r="C159">
        <v>0</v>
      </c>
      <c r="D159">
        <v>409284.64</v>
      </c>
      <c r="E159">
        <v>3659181.09</v>
      </c>
      <c r="F159">
        <v>78.599999999999994</v>
      </c>
      <c r="G159">
        <v>32.299999999999997</v>
      </c>
      <c r="H159">
        <v>0.46504000000000001</v>
      </c>
      <c r="I159">
        <v>0.1028</v>
      </c>
    </row>
    <row r="160" spans="1:9" x14ac:dyDescent="0.25">
      <c r="A160">
        <v>159</v>
      </c>
      <c r="B160">
        <v>5</v>
      </c>
      <c r="C160">
        <v>0</v>
      </c>
      <c r="D160">
        <v>409284.6</v>
      </c>
      <c r="E160">
        <v>3659177.14</v>
      </c>
      <c r="F160">
        <v>78.8</v>
      </c>
      <c r="G160">
        <v>33.799999999999997</v>
      </c>
      <c r="H160">
        <v>0.82864000000000004</v>
      </c>
      <c r="I160">
        <v>-0.50229000000000001</v>
      </c>
    </row>
    <row r="161" spans="1:9" x14ac:dyDescent="0.25">
      <c r="A161">
        <v>160</v>
      </c>
      <c r="B161">
        <v>5</v>
      </c>
      <c r="C161">
        <v>0</v>
      </c>
      <c r="D161">
        <v>409284.59</v>
      </c>
      <c r="E161">
        <v>3659174.53</v>
      </c>
      <c r="F161">
        <v>78.2</v>
      </c>
      <c r="G161">
        <v>35.4</v>
      </c>
      <c r="H161">
        <v>1.0645</v>
      </c>
      <c r="I161">
        <v>-1.4661</v>
      </c>
    </row>
    <row r="162" spans="1:9" x14ac:dyDescent="0.25">
      <c r="A162">
        <v>161</v>
      </c>
      <c r="B162">
        <v>5</v>
      </c>
      <c r="C162">
        <v>0</v>
      </c>
      <c r="D162">
        <v>409284.49</v>
      </c>
      <c r="E162">
        <v>3659170.61</v>
      </c>
      <c r="F162">
        <v>77.7</v>
      </c>
      <c r="G162">
        <v>32.700000000000003</v>
      </c>
      <c r="H162">
        <v>0.38385999999999998</v>
      </c>
      <c r="I162">
        <v>-0.43171999999999999</v>
      </c>
    </row>
    <row r="163" spans="1:9" x14ac:dyDescent="0.25">
      <c r="A163">
        <v>162</v>
      </c>
      <c r="B163">
        <v>5</v>
      </c>
      <c r="C163">
        <v>0</v>
      </c>
      <c r="D163">
        <v>409284.39</v>
      </c>
      <c r="E163">
        <v>3659168.07</v>
      </c>
      <c r="F163">
        <v>75.400000000000006</v>
      </c>
      <c r="G163">
        <v>31.7</v>
      </c>
      <c r="H163">
        <v>-0.26340999999999998</v>
      </c>
      <c r="I163">
        <v>-0.87643000000000004</v>
      </c>
    </row>
    <row r="164" spans="1:9" x14ac:dyDescent="0.25">
      <c r="A164">
        <v>163</v>
      </c>
      <c r="B164">
        <v>5</v>
      </c>
      <c r="C164">
        <v>0</v>
      </c>
      <c r="D164">
        <v>409284.39</v>
      </c>
      <c r="E164">
        <v>3659164.82</v>
      </c>
      <c r="F164">
        <v>79.7</v>
      </c>
      <c r="G164">
        <v>32.200000000000003</v>
      </c>
      <c r="H164">
        <v>0.64883999999999997</v>
      </c>
      <c r="I164">
        <v>0.57894000000000001</v>
      </c>
    </row>
    <row r="165" spans="1:9" x14ac:dyDescent="0.25">
      <c r="A165">
        <v>164</v>
      </c>
      <c r="B165">
        <v>5</v>
      </c>
      <c r="C165">
        <v>0</v>
      </c>
      <c r="D165">
        <v>409284.36</v>
      </c>
      <c r="E165">
        <v>3659161.62</v>
      </c>
      <c r="F165">
        <v>79</v>
      </c>
      <c r="G165">
        <v>33.299999999999997</v>
      </c>
      <c r="H165">
        <v>0.75727</v>
      </c>
      <c r="I165">
        <v>-0.19621</v>
      </c>
    </row>
    <row r="166" spans="1:9" x14ac:dyDescent="0.25">
      <c r="A166">
        <v>165</v>
      </c>
      <c r="B166">
        <v>5</v>
      </c>
      <c r="C166">
        <v>0</v>
      </c>
      <c r="D166">
        <v>409284.17</v>
      </c>
      <c r="E166">
        <v>3659154.35</v>
      </c>
      <c r="F166">
        <v>76.7</v>
      </c>
      <c r="G166">
        <v>30.3</v>
      </c>
      <c r="H166">
        <v>-0.32497999999999999</v>
      </c>
      <c r="I166">
        <v>0.27024999999999999</v>
      </c>
    </row>
    <row r="167" spans="1:9" x14ac:dyDescent="0.25">
      <c r="A167">
        <v>166</v>
      </c>
      <c r="B167">
        <v>5</v>
      </c>
      <c r="C167">
        <v>0</v>
      </c>
      <c r="D167">
        <v>409284.07</v>
      </c>
      <c r="E167">
        <v>3659151.01</v>
      </c>
      <c r="F167">
        <v>75.099999999999994</v>
      </c>
      <c r="G167">
        <v>30.8</v>
      </c>
      <c r="H167">
        <v>-0.51520999999999995</v>
      </c>
      <c r="I167">
        <v>-0.58382999999999996</v>
      </c>
    </row>
    <row r="168" spans="1:9" x14ac:dyDescent="0.25">
      <c r="A168">
        <v>167</v>
      </c>
      <c r="B168">
        <v>5</v>
      </c>
      <c r="C168">
        <v>0</v>
      </c>
      <c r="D168">
        <v>409284.03</v>
      </c>
      <c r="E168">
        <v>3659147.63</v>
      </c>
      <c r="F168">
        <v>74.8</v>
      </c>
      <c r="G168">
        <v>29.1</v>
      </c>
      <c r="H168">
        <v>-0.94099999999999995</v>
      </c>
      <c r="I168">
        <v>7.324E-2</v>
      </c>
    </row>
    <row r="169" spans="1:9" x14ac:dyDescent="0.25">
      <c r="A169">
        <v>168</v>
      </c>
      <c r="B169">
        <v>5</v>
      </c>
      <c r="C169">
        <v>0</v>
      </c>
      <c r="D169">
        <v>409284.02</v>
      </c>
      <c r="E169">
        <v>3659144.21</v>
      </c>
      <c r="F169">
        <v>76</v>
      </c>
      <c r="G169">
        <v>29.2</v>
      </c>
      <c r="H169">
        <v>-0.69501999999999997</v>
      </c>
      <c r="I169">
        <v>0.49740000000000001</v>
      </c>
    </row>
    <row r="170" spans="1:9" x14ac:dyDescent="0.25">
      <c r="A170">
        <v>169</v>
      </c>
      <c r="B170">
        <v>5</v>
      </c>
      <c r="C170">
        <v>0</v>
      </c>
      <c r="D170">
        <v>409283.97</v>
      </c>
      <c r="E170">
        <v>3659140.97</v>
      </c>
      <c r="F170">
        <v>76.400000000000006</v>
      </c>
      <c r="G170">
        <v>29.1</v>
      </c>
      <c r="H170">
        <v>-0.64202000000000004</v>
      </c>
      <c r="I170">
        <v>0.69952999999999999</v>
      </c>
    </row>
    <row r="171" spans="1:9" x14ac:dyDescent="0.25">
      <c r="A171">
        <v>170</v>
      </c>
      <c r="B171">
        <v>5</v>
      </c>
      <c r="C171">
        <v>0</v>
      </c>
      <c r="D171">
        <v>409284</v>
      </c>
      <c r="E171">
        <v>3659137.69</v>
      </c>
      <c r="F171">
        <v>77</v>
      </c>
      <c r="G171">
        <v>29.7</v>
      </c>
      <c r="H171">
        <v>-0.39940999999999999</v>
      </c>
      <c r="I171">
        <v>0.66103999999999996</v>
      </c>
    </row>
    <row r="172" spans="1:9" x14ac:dyDescent="0.25">
      <c r="A172">
        <v>171</v>
      </c>
      <c r="B172">
        <v>5</v>
      </c>
      <c r="C172">
        <v>7</v>
      </c>
      <c r="D172">
        <v>409283.91</v>
      </c>
      <c r="E172">
        <v>3659134.36</v>
      </c>
      <c r="F172">
        <v>75.099999999999994</v>
      </c>
      <c r="G172">
        <v>31.1</v>
      </c>
      <c r="H172">
        <v>-0.44996000000000003</v>
      </c>
      <c r="I172">
        <v>-0.72050999999999998</v>
      </c>
    </row>
    <row r="173" spans="1:9" x14ac:dyDescent="0.25">
      <c r="A173">
        <v>172</v>
      </c>
      <c r="B173">
        <v>5</v>
      </c>
      <c r="C173">
        <v>7</v>
      </c>
      <c r="D173">
        <v>409283.92</v>
      </c>
      <c r="E173">
        <v>3659131.01</v>
      </c>
      <c r="F173">
        <v>75.7</v>
      </c>
      <c r="G173">
        <v>31</v>
      </c>
      <c r="H173">
        <v>-0.35959999999999998</v>
      </c>
      <c r="I173">
        <v>-0.44008999999999998</v>
      </c>
    </row>
    <row r="174" spans="1:9" x14ac:dyDescent="0.25">
      <c r="A174">
        <v>173</v>
      </c>
      <c r="B174">
        <v>6</v>
      </c>
      <c r="C174">
        <v>7</v>
      </c>
      <c r="D174">
        <v>409287.89</v>
      </c>
      <c r="E174">
        <v>3659128.88</v>
      </c>
      <c r="F174">
        <v>73.400000000000006</v>
      </c>
      <c r="G174">
        <v>29.8</v>
      </c>
      <c r="H174">
        <v>-1.05036</v>
      </c>
      <c r="I174">
        <v>-0.79368000000000005</v>
      </c>
    </row>
    <row r="175" spans="1:9" x14ac:dyDescent="0.25">
      <c r="A175">
        <v>174</v>
      </c>
      <c r="B175">
        <v>6</v>
      </c>
      <c r="C175">
        <v>7</v>
      </c>
      <c r="D175">
        <v>409287.89</v>
      </c>
      <c r="E175">
        <v>3659129.09</v>
      </c>
      <c r="F175">
        <v>73.2</v>
      </c>
      <c r="G175">
        <v>30</v>
      </c>
      <c r="H175">
        <v>-1.0442400000000001</v>
      </c>
      <c r="I175">
        <v>-0.96309</v>
      </c>
    </row>
    <row r="176" spans="1:9" x14ac:dyDescent="0.25">
      <c r="A176">
        <v>175</v>
      </c>
      <c r="B176">
        <v>6</v>
      </c>
      <c r="C176">
        <v>7</v>
      </c>
      <c r="D176">
        <v>409287.99</v>
      </c>
      <c r="E176">
        <v>3659132.19</v>
      </c>
      <c r="F176">
        <v>75</v>
      </c>
      <c r="G176">
        <v>29.9</v>
      </c>
      <c r="H176">
        <v>-0.72963999999999996</v>
      </c>
      <c r="I176">
        <v>-0.21295</v>
      </c>
    </row>
    <row r="177" spans="1:9" x14ac:dyDescent="0.25">
      <c r="A177">
        <v>176</v>
      </c>
      <c r="B177">
        <v>6</v>
      </c>
      <c r="C177">
        <v>0</v>
      </c>
      <c r="D177">
        <v>409288.02</v>
      </c>
      <c r="E177">
        <v>3659135.29</v>
      </c>
      <c r="F177">
        <v>77.400000000000006</v>
      </c>
      <c r="G177">
        <v>29.2</v>
      </c>
      <c r="H177">
        <v>-0.43341000000000002</v>
      </c>
      <c r="I177">
        <v>1.04541</v>
      </c>
    </row>
    <row r="178" spans="1:9" x14ac:dyDescent="0.25">
      <c r="A178">
        <v>177</v>
      </c>
      <c r="B178">
        <v>6</v>
      </c>
      <c r="C178">
        <v>0</v>
      </c>
      <c r="D178">
        <v>409288.13</v>
      </c>
      <c r="E178">
        <v>3659138.48</v>
      </c>
      <c r="F178">
        <v>77.5</v>
      </c>
      <c r="G178">
        <v>31.1</v>
      </c>
      <c r="H178">
        <v>-1.5E-3</v>
      </c>
      <c r="I178">
        <v>0.21893000000000001</v>
      </c>
    </row>
    <row r="179" spans="1:9" x14ac:dyDescent="0.25">
      <c r="A179">
        <v>178</v>
      </c>
      <c r="B179">
        <v>6</v>
      </c>
      <c r="C179">
        <v>0</v>
      </c>
      <c r="D179">
        <v>409288.17</v>
      </c>
      <c r="E179">
        <v>3659141.67</v>
      </c>
      <c r="F179">
        <v>78.099999999999994</v>
      </c>
      <c r="G179">
        <v>30.9</v>
      </c>
      <c r="H179">
        <v>6.7119999999999999E-2</v>
      </c>
      <c r="I179">
        <v>0.54491000000000001</v>
      </c>
    </row>
    <row r="180" spans="1:9" x14ac:dyDescent="0.25">
      <c r="A180">
        <v>179</v>
      </c>
      <c r="B180">
        <v>6</v>
      </c>
      <c r="C180">
        <v>0</v>
      </c>
      <c r="D180">
        <v>409288.22</v>
      </c>
      <c r="E180">
        <v>3659144.9</v>
      </c>
      <c r="F180">
        <v>76.2</v>
      </c>
      <c r="G180">
        <v>30.8</v>
      </c>
      <c r="H180">
        <v>-0.30965999999999999</v>
      </c>
      <c r="I180">
        <v>-0.15326000000000001</v>
      </c>
    </row>
    <row r="181" spans="1:9" x14ac:dyDescent="0.25">
      <c r="A181">
        <v>180</v>
      </c>
      <c r="B181">
        <v>6</v>
      </c>
      <c r="C181">
        <v>0</v>
      </c>
      <c r="D181">
        <v>409288.33</v>
      </c>
      <c r="E181">
        <v>3659148.91</v>
      </c>
      <c r="F181">
        <v>76.599999999999994</v>
      </c>
      <c r="G181">
        <v>29.8</v>
      </c>
      <c r="H181">
        <v>-0.45240999999999998</v>
      </c>
      <c r="I181">
        <v>0.45890999999999998</v>
      </c>
    </row>
    <row r="182" spans="1:9" x14ac:dyDescent="0.25">
      <c r="A182">
        <v>181</v>
      </c>
      <c r="B182">
        <v>6</v>
      </c>
      <c r="C182">
        <v>0</v>
      </c>
      <c r="D182">
        <v>409288.26</v>
      </c>
      <c r="E182">
        <v>3659151.31</v>
      </c>
      <c r="F182">
        <v>77.900000000000006</v>
      </c>
      <c r="G182">
        <v>30.7</v>
      </c>
      <c r="H182">
        <v>-1.375E-2</v>
      </c>
      <c r="I182">
        <v>0.55774000000000001</v>
      </c>
    </row>
    <row r="183" spans="1:9" x14ac:dyDescent="0.25">
      <c r="A183">
        <v>182</v>
      </c>
      <c r="B183">
        <v>6</v>
      </c>
      <c r="C183">
        <v>0</v>
      </c>
      <c r="D183">
        <v>409288.32</v>
      </c>
      <c r="E183">
        <v>3659154.5</v>
      </c>
      <c r="F183">
        <v>77.7</v>
      </c>
      <c r="G183">
        <v>32.700000000000003</v>
      </c>
      <c r="H183">
        <v>0.38385999999999998</v>
      </c>
      <c r="I183">
        <v>-0.43171999999999999</v>
      </c>
    </row>
    <row r="184" spans="1:9" x14ac:dyDescent="0.25">
      <c r="A184">
        <v>183</v>
      </c>
      <c r="B184">
        <v>6</v>
      </c>
      <c r="C184">
        <v>0</v>
      </c>
      <c r="D184">
        <v>409288.45</v>
      </c>
      <c r="E184">
        <v>3659157.69</v>
      </c>
      <c r="F184">
        <v>77.3</v>
      </c>
      <c r="G184">
        <v>33.799999999999997</v>
      </c>
      <c r="H184">
        <v>0.54835</v>
      </c>
      <c r="I184">
        <v>-1.08945</v>
      </c>
    </row>
    <row r="185" spans="1:9" x14ac:dyDescent="0.25">
      <c r="A185">
        <v>184</v>
      </c>
      <c r="B185">
        <v>6</v>
      </c>
      <c r="C185">
        <v>0</v>
      </c>
      <c r="D185">
        <v>409288.51</v>
      </c>
      <c r="E185">
        <v>3659161.77</v>
      </c>
      <c r="F185">
        <v>82.1</v>
      </c>
      <c r="G185">
        <v>33.700000000000003</v>
      </c>
      <c r="H185">
        <v>1.42354</v>
      </c>
      <c r="I185">
        <v>0.83499999999999996</v>
      </c>
    </row>
    <row r="186" spans="1:9" x14ac:dyDescent="0.25">
      <c r="A186">
        <v>185</v>
      </c>
      <c r="B186">
        <v>6</v>
      </c>
      <c r="C186">
        <v>0</v>
      </c>
      <c r="D186">
        <v>409288.56</v>
      </c>
      <c r="E186">
        <v>3659165.11</v>
      </c>
      <c r="F186">
        <v>81.3</v>
      </c>
      <c r="G186">
        <v>33.6</v>
      </c>
      <c r="H186">
        <v>1.2523</v>
      </c>
      <c r="I186">
        <v>0.56740999999999997</v>
      </c>
    </row>
    <row r="187" spans="1:9" x14ac:dyDescent="0.25">
      <c r="A187">
        <v>186</v>
      </c>
      <c r="B187">
        <v>6</v>
      </c>
      <c r="C187">
        <v>0</v>
      </c>
      <c r="D187">
        <v>409288.61</v>
      </c>
      <c r="E187">
        <v>3659168.49</v>
      </c>
      <c r="F187">
        <v>81.599999999999994</v>
      </c>
      <c r="G187">
        <v>33.4</v>
      </c>
      <c r="H187">
        <v>1.2648600000000001</v>
      </c>
      <c r="I187">
        <v>0.77595999999999998</v>
      </c>
    </row>
    <row r="188" spans="1:9" x14ac:dyDescent="0.25">
      <c r="A188">
        <v>187</v>
      </c>
      <c r="B188">
        <v>6</v>
      </c>
      <c r="C188">
        <v>0</v>
      </c>
      <c r="D188">
        <v>409288.67</v>
      </c>
      <c r="E188">
        <v>3659171.8</v>
      </c>
      <c r="F188">
        <v>81.3</v>
      </c>
      <c r="G188">
        <v>31.9</v>
      </c>
      <c r="H188">
        <v>0.88256999999999997</v>
      </c>
      <c r="I188">
        <v>1.3419099999999999</v>
      </c>
    </row>
    <row r="189" spans="1:9" x14ac:dyDescent="0.25">
      <c r="A189">
        <v>188</v>
      </c>
      <c r="B189">
        <v>6</v>
      </c>
      <c r="C189">
        <v>0</v>
      </c>
      <c r="D189">
        <v>409288.66</v>
      </c>
      <c r="E189">
        <v>3659175.03</v>
      </c>
      <c r="F189">
        <v>80.099999999999994</v>
      </c>
      <c r="G189">
        <v>32.6</v>
      </c>
      <c r="H189">
        <v>0.81057999999999997</v>
      </c>
      <c r="I189">
        <v>0.55327999999999999</v>
      </c>
    </row>
    <row r="190" spans="1:9" x14ac:dyDescent="0.25">
      <c r="A190">
        <v>189</v>
      </c>
      <c r="B190">
        <v>6</v>
      </c>
      <c r="C190">
        <v>0</v>
      </c>
      <c r="D190">
        <v>409288.71</v>
      </c>
      <c r="E190">
        <v>3659178.55</v>
      </c>
      <c r="F190">
        <v>80.900000000000006</v>
      </c>
      <c r="G190">
        <v>34.6</v>
      </c>
      <c r="H190">
        <v>1.3950400000000001</v>
      </c>
      <c r="I190">
        <v>-4.4749999999999998E-2</v>
      </c>
    </row>
    <row r="191" spans="1:9" x14ac:dyDescent="0.25">
      <c r="A191">
        <v>190</v>
      </c>
      <c r="B191">
        <v>6</v>
      </c>
      <c r="C191">
        <v>0</v>
      </c>
      <c r="D191">
        <v>409288.78</v>
      </c>
      <c r="E191">
        <v>3659181.56</v>
      </c>
      <c r="F191">
        <v>77.900000000000006</v>
      </c>
      <c r="G191">
        <v>32.5</v>
      </c>
      <c r="H191">
        <v>0.37773000000000001</v>
      </c>
      <c r="I191">
        <v>-0.26232</v>
      </c>
    </row>
    <row r="192" spans="1:9" x14ac:dyDescent="0.25">
      <c r="A192">
        <v>191</v>
      </c>
      <c r="B192">
        <v>6</v>
      </c>
      <c r="C192">
        <v>0</v>
      </c>
      <c r="D192">
        <v>409288.83</v>
      </c>
      <c r="E192">
        <v>3659184.79</v>
      </c>
      <c r="F192">
        <v>78.5</v>
      </c>
      <c r="G192">
        <v>30.9</v>
      </c>
      <c r="H192">
        <v>0.14187</v>
      </c>
      <c r="I192">
        <v>0.70147999999999999</v>
      </c>
    </row>
    <row r="193" spans="1:9" x14ac:dyDescent="0.25">
      <c r="A193">
        <v>192</v>
      </c>
      <c r="B193">
        <v>6</v>
      </c>
      <c r="C193">
        <v>0</v>
      </c>
      <c r="D193">
        <v>409288.79</v>
      </c>
      <c r="E193">
        <v>3659188.59</v>
      </c>
      <c r="F193">
        <v>77.400000000000006</v>
      </c>
      <c r="G193">
        <v>30.5</v>
      </c>
      <c r="H193">
        <v>-0.15068000000000001</v>
      </c>
      <c r="I193">
        <v>0.45313999999999999</v>
      </c>
    </row>
    <row r="194" spans="1:9" x14ac:dyDescent="0.25">
      <c r="A194">
        <v>193</v>
      </c>
      <c r="B194">
        <v>6</v>
      </c>
      <c r="C194">
        <v>0</v>
      </c>
      <c r="D194">
        <v>409288.91</v>
      </c>
      <c r="E194">
        <v>3659191.78</v>
      </c>
      <c r="F194">
        <v>79.2</v>
      </c>
      <c r="G194">
        <v>29.3</v>
      </c>
      <c r="H194">
        <v>-7.5310000000000002E-2</v>
      </c>
      <c r="I194">
        <v>1.7044299999999999</v>
      </c>
    </row>
    <row r="195" spans="1:9" x14ac:dyDescent="0.25">
      <c r="A195">
        <v>194</v>
      </c>
      <c r="B195">
        <v>6</v>
      </c>
      <c r="C195">
        <v>0</v>
      </c>
      <c r="D195">
        <v>409288.96000000002</v>
      </c>
      <c r="E195">
        <v>3659195.08</v>
      </c>
      <c r="F195">
        <v>75.8</v>
      </c>
      <c r="G195">
        <v>29</v>
      </c>
      <c r="H195">
        <v>-0.77588999999999997</v>
      </c>
      <c r="I195">
        <v>0.51022999999999996</v>
      </c>
    </row>
    <row r="196" spans="1:9" x14ac:dyDescent="0.25">
      <c r="A196">
        <v>195</v>
      </c>
      <c r="B196">
        <v>6</v>
      </c>
      <c r="C196">
        <v>0</v>
      </c>
      <c r="D196">
        <v>409288.94</v>
      </c>
      <c r="E196">
        <v>3659198.4</v>
      </c>
      <c r="F196">
        <v>75</v>
      </c>
      <c r="G196">
        <v>28.3</v>
      </c>
      <c r="H196">
        <v>-1.07762</v>
      </c>
      <c r="I196">
        <v>0.51598999999999995</v>
      </c>
    </row>
    <row r="197" spans="1:9" x14ac:dyDescent="0.25">
      <c r="A197">
        <v>196</v>
      </c>
      <c r="B197">
        <v>6</v>
      </c>
      <c r="C197">
        <v>0</v>
      </c>
      <c r="D197">
        <v>409289.02</v>
      </c>
      <c r="E197">
        <v>3659201.68</v>
      </c>
      <c r="F197">
        <v>79</v>
      </c>
      <c r="G197">
        <v>30.6</v>
      </c>
      <c r="H197">
        <v>0.17005000000000001</v>
      </c>
      <c r="I197">
        <v>1.0338799999999999</v>
      </c>
    </row>
    <row r="198" spans="1:9" x14ac:dyDescent="0.25">
      <c r="A198">
        <v>197</v>
      </c>
      <c r="B198">
        <v>6</v>
      </c>
      <c r="C198">
        <v>0</v>
      </c>
      <c r="D198">
        <v>409289.07</v>
      </c>
      <c r="E198">
        <v>3659204.98</v>
      </c>
      <c r="F198">
        <v>78.099999999999994</v>
      </c>
      <c r="G198">
        <v>28.4</v>
      </c>
      <c r="H198">
        <v>-0.47660000000000002</v>
      </c>
      <c r="I198">
        <v>1.68388</v>
      </c>
    </row>
    <row r="199" spans="1:9" x14ac:dyDescent="0.25">
      <c r="A199">
        <v>198</v>
      </c>
      <c r="B199">
        <v>6</v>
      </c>
      <c r="C199">
        <v>0</v>
      </c>
      <c r="D199">
        <v>409289.08</v>
      </c>
      <c r="E199">
        <v>3659208.23</v>
      </c>
      <c r="F199">
        <v>75.5</v>
      </c>
      <c r="G199">
        <v>29.6</v>
      </c>
      <c r="H199">
        <v>-0.70145000000000002</v>
      </c>
      <c r="I199">
        <v>0.11945</v>
      </c>
    </row>
    <row r="200" spans="1:9" x14ac:dyDescent="0.25">
      <c r="A200">
        <v>199</v>
      </c>
      <c r="B200">
        <v>6</v>
      </c>
      <c r="C200">
        <v>0</v>
      </c>
      <c r="D200">
        <v>409289.13</v>
      </c>
      <c r="E200">
        <v>3659211.42</v>
      </c>
      <c r="F200">
        <v>76.5</v>
      </c>
      <c r="G200">
        <v>27.9</v>
      </c>
      <c r="H200">
        <v>-0.88431999999999999</v>
      </c>
      <c r="I200">
        <v>1.28538</v>
      </c>
    </row>
    <row r="201" spans="1:9" x14ac:dyDescent="0.25">
      <c r="A201">
        <v>200</v>
      </c>
      <c r="B201">
        <v>6</v>
      </c>
      <c r="C201">
        <v>2</v>
      </c>
      <c r="D201">
        <v>409289.19</v>
      </c>
      <c r="E201">
        <v>3659214.54</v>
      </c>
      <c r="F201">
        <v>76</v>
      </c>
      <c r="G201">
        <v>26.9</v>
      </c>
      <c r="H201">
        <v>-1.1952400000000001</v>
      </c>
      <c r="I201">
        <v>1.54525</v>
      </c>
    </row>
    <row r="202" spans="1:9" x14ac:dyDescent="0.25">
      <c r="A202">
        <v>201</v>
      </c>
      <c r="B202">
        <v>6</v>
      </c>
      <c r="C202">
        <v>0</v>
      </c>
      <c r="D202">
        <v>409289.21</v>
      </c>
      <c r="E202">
        <v>3659217.66</v>
      </c>
      <c r="F202">
        <v>75</v>
      </c>
      <c r="G202">
        <v>26.5</v>
      </c>
      <c r="H202">
        <v>-1.46909</v>
      </c>
      <c r="I202">
        <v>1.33605</v>
      </c>
    </row>
    <row r="203" spans="1:9" x14ac:dyDescent="0.25">
      <c r="A203">
        <v>202</v>
      </c>
      <c r="B203">
        <v>6</v>
      </c>
      <c r="C203">
        <v>0</v>
      </c>
      <c r="D203">
        <v>409289.28</v>
      </c>
      <c r="E203">
        <v>3659220.74</v>
      </c>
      <c r="F203">
        <v>76.3</v>
      </c>
      <c r="G203">
        <v>26.8</v>
      </c>
      <c r="H203">
        <v>-1.16093</v>
      </c>
      <c r="I203">
        <v>1.70824</v>
      </c>
    </row>
    <row r="204" spans="1:9" x14ac:dyDescent="0.25">
      <c r="A204">
        <v>203</v>
      </c>
      <c r="B204">
        <v>6</v>
      </c>
      <c r="C204">
        <v>0</v>
      </c>
      <c r="D204">
        <v>409289.25</v>
      </c>
      <c r="E204">
        <v>3659224.46</v>
      </c>
      <c r="F204">
        <v>76.2</v>
      </c>
      <c r="G204">
        <v>27.8</v>
      </c>
      <c r="H204">
        <v>-0.96213000000000004</v>
      </c>
      <c r="I204">
        <v>1.2135100000000001</v>
      </c>
    </row>
    <row r="205" spans="1:9" x14ac:dyDescent="0.25">
      <c r="A205">
        <v>204</v>
      </c>
      <c r="B205">
        <v>6</v>
      </c>
      <c r="C205">
        <v>0</v>
      </c>
      <c r="D205">
        <v>409289.28</v>
      </c>
      <c r="E205">
        <v>3659226.9</v>
      </c>
      <c r="F205">
        <v>78.099999999999994</v>
      </c>
      <c r="G205">
        <v>29.2</v>
      </c>
      <c r="H205">
        <v>-0.30260999999999999</v>
      </c>
      <c r="I205">
        <v>1.31941</v>
      </c>
    </row>
    <row r="206" spans="1:9" x14ac:dyDescent="0.25">
      <c r="A206">
        <v>205</v>
      </c>
      <c r="B206">
        <v>6</v>
      </c>
      <c r="C206">
        <v>0</v>
      </c>
      <c r="D206">
        <v>409289.19</v>
      </c>
      <c r="E206">
        <v>3659230.11</v>
      </c>
      <c r="F206">
        <v>78.900000000000006</v>
      </c>
      <c r="G206">
        <v>29.3</v>
      </c>
      <c r="H206">
        <v>-0.13136999999999999</v>
      </c>
      <c r="I206">
        <v>1.587</v>
      </c>
    </row>
    <row r="207" spans="1:9" x14ac:dyDescent="0.25">
      <c r="A207">
        <v>206</v>
      </c>
      <c r="B207">
        <v>6</v>
      </c>
      <c r="C207">
        <v>7</v>
      </c>
      <c r="D207">
        <v>409289.26</v>
      </c>
      <c r="E207">
        <v>3659233.97</v>
      </c>
      <c r="F207">
        <v>78.3</v>
      </c>
      <c r="G207">
        <v>30.5</v>
      </c>
      <c r="H207">
        <v>1.7500000000000002E-2</v>
      </c>
      <c r="I207">
        <v>0.80542999999999998</v>
      </c>
    </row>
    <row r="208" spans="1:9" x14ac:dyDescent="0.25">
      <c r="A208">
        <v>207</v>
      </c>
      <c r="B208">
        <v>6</v>
      </c>
      <c r="C208">
        <v>7</v>
      </c>
      <c r="D208">
        <v>409289.38</v>
      </c>
      <c r="E208">
        <v>3659235.62</v>
      </c>
      <c r="F208">
        <v>75.7</v>
      </c>
      <c r="G208">
        <v>27.8</v>
      </c>
      <c r="H208">
        <v>-1.0555600000000001</v>
      </c>
      <c r="I208">
        <v>1.01779</v>
      </c>
    </row>
    <row r="209" spans="1:9" x14ac:dyDescent="0.25">
      <c r="A209">
        <v>208</v>
      </c>
      <c r="B209">
        <v>7</v>
      </c>
      <c r="C209">
        <v>7</v>
      </c>
      <c r="D209">
        <v>409293.36</v>
      </c>
      <c r="E209">
        <v>3659238.06</v>
      </c>
      <c r="F209">
        <v>77.099999999999994</v>
      </c>
      <c r="G209">
        <v>29.9</v>
      </c>
      <c r="H209">
        <v>-0.33722999999999997</v>
      </c>
      <c r="I209">
        <v>0.60906000000000005</v>
      </c>
    </row>
    <row r="210" spans="1:9" x14ac:dyDescent="0.25">
      <c r="A210">
        <v>209</v>
      </c>
      <c r="B210">
        <v>7</v>
      </c>
      <c r="C210">
        <v>7</v>
      </c>
      <c r="D210">
        <v>409293.29</v>
      </c>
      <c r="E210">
        <v>3659235.67</v>
      </c>
      <c r="F210">
        <v>76.3</v>
      </c>
      <c r="G210">
        <v>29.6</v>
      </c>
      <c r="H210">
        <v>-0.55196000000000001</v>
      </c>
      <c r="I210">
        <v>0.43258999999999997</v>
      </c>
    </row>
    <row r="211" spans="1:9" x14ac:dyDescent="0.25">
      <c r="A211">
        <v>210</v>
      </c>
      <c r="B211">
        <v>7</v>
      </c>
      <c r="C211">
        <v>0</v>
      </c>
      <c r="D211">
        <v>409293.23</v>
      </c>
      <c r="E211">
        <v>3659233.11</v>
      </c>
      <c r="F211">
        <v>73.8</v>
      </c>
      <c r="G211">
        <v>29.3</v>
      </c>
      <c r="H211">
        <v>-1.08436</v>
      </c>
      <c r="I211">
        <v>-0.40931000000000001</v>
      </c>
    </row>
    <row r="212" spans="1:9" x14ac:dyDescent="0.25">
      <c r="A212">
        <v>211</v>
      </c>
      <c r="B212">
        <v>7</v>
      </c>
      <c r="C212">
        <v>0</v>
      </c>
      <c r="D212">
        <v>409293.12</v>
      </c>
      <c r="E212">
        <v>3659229.99</v>
      </c>
      <c r="F212">
        <v>76.400000000000006</v>
      </c>
      <c r="G212">
        <v>31.7</v>
      </c>
      <c r="H212">
        <v>-7.6550000000000007E-2</v>
      </c>
      <c r="I212">
        <v>-0.48499999999999999</v>
      </c>
    </row>
    <row r="213" spans="1:9" x14ac:dyDescent="0.25">
      <c r="A213">
        <v>212</v>
      </c>
      <c r="B213">
        <v>7</v>
      </c>
      <c r="C213">
        <v>0</v>
      </c>
      <c r="D213">
        <v>409293.14</v>
      </c>
      <c r="E213">
        <v>3659227.08</v>
      </c>
      <c r="F213">
        <v>73.8</v>
      </c>
      <c r="G213">
        <v>29.8</v>
      </c>
      <c r="H213">
        <v>-0.97562000000000004</v>
      </c>
      <c r="I213">
        <v>-0.63710999999999995</v>
      </c>
    </row>
    <row r="214" spans="1:9" x14ac:dyDescent="0.25">
      <c r="A214">
        <v>213</v>
      </c>
      <c r="B214">
        <v>7</v>
      </c>
      <c r="C214">
        <v>0</v>
      </c>
      <c r="D214">
        <v>409293.14</v>
      </c>
      <c r="E214">
        <v>3659224.14</v>
      </c>
      <c r="F214">
        <v>73.2</v>
      </c>
      <c r="G214">
        <v>27.2</v>
      </c>
      <c r="H214">
        <v>-1.6532</v>
      </c>
      <c r="I214">
        <v>0.31256</v>
      </c>
    </row>
    <row r="215" spans="1:9" x14ac:dyDescent="0.25">
      <c r="A215">
        <v>214</v>
      </c>
      <c r="B215">
        <v>7</v>
      </c>
      <c r="C215">
        <v>0</v>
      </c>
      <c r="D215">
        <v>409293.07</v>
      </c>
      <c r="E215">
        <v>3659221.28</v>
      </c>
      <c r="F215">
        <v>74.099999999999994</v>
      </c>
      <c r="G215">
        <v>25.5</v>
      </c>
      <c r="H215">
        <v>-1.85476</v>
      </c>
      <c r="I215">
        <v>1.4393499999999999</v>
      </c>
    </row>
    <row r="216" spans="1:9" x14ac:dyDescent="0.25">
      <c r="A216">
        <v>215</v>
      </c>
      <c r="B216">
        <v>7</v>
      </c>
      <c r="C216">
        <v>0</v>
      </c>
      <c r="D216">
        <v>409293</v>
      </c>
      <c r="E216">
        <v>3659218.44</v>
      </c>
      <c r="F216">
        <v>71.3</v>
      </c>
      <c r="G216">
        <v>25.5</v>
      </c>
      <c r="H216">
        <v>-2.3779699999999999</v>
      </c>
      <c r="I216">
        <v>0.34333999999999998</v>
      </c>
    </row>
    <row r="217" spans="1:9" x14ac:dyDescent="0.25">
      <c r="A217">
        <v>216</v>
      </c>
      <c r="B217">
        <v>7</v>
      </c>
      <c r="C217">
        <v>0</v>
      </c>
      <c r="D217">
        <v>409293</v>
      </c>
      <c r="E217">
        <v>3659215.54</v>
      </c>
      <c r="F217">
        <v>73.7</v>
      </c>
      <c r="G217">
        <v>26.4</v>
      </c>
      <c r="H217">
        <v>-1.73376</v>
      </c>
      <c r="I217">
        <v>0.87275000000000003</v>
      </c>
    </row>
    <row r="218" spans="1:9" x14ac:dyDescent="0.25">
      <c r="A218">
        <v>217</v>
      </c>
      <c r="B218">
        <v>7</v>
      </c>
      <c r="C218">
        <v>0</v>
      </c>
      <c r="D218">
        <v>409292.98</v>
      </c>
      <c r="E218">
        <v>3659212.64</v>
      </c>
      <c r="F218">
        <v>73.7</v>
      </c>
      <c r="G218">
        <v>27</v>
      </c>
      <c r="H218">
        <v>-1.60327</v>
      </c>
      <c r="I218">
        <v>0.59940000000000004</v>
      </c>
    </row>
    <row r="219" spans="1:9" x14ac:dyDescent="0.25">
      <c r="A219">
        <v>218</v>
      </c>
      <c r="B219">
        <v>7</v>
      </c>
      <c r="C219">
        <v>0</v>
      </c>
      <c r="D219">
        <v>409293.01</v>
      </c>
      <c r="E219">
        <v>3659209.71</v>
      </c>
      <c r="F219">
        <v>76</v>
      </c>
      <c r="G219">
        <v>28.4</v>
      </c>
      <c r="H219">
        <v>-0.86900999999999995</v>
      </c>
      <c r="I219">
        <v>0.86187000000000002</v>
      </c>
    </row>
    <row r="220" spans="1:9" x14ac:dyDescent="0.25">
      <c r="A220">
        <v>219</v>
      </c>
      <c r="B220">
        <v>7</v>
      </c>
      <c r="C220">
        <v>0</v>
      </c>
      <c r="D220">
        <v>409292.9</v>
      </c>
      <c r="E220">
        <v>3659206.79</v>
      </c>
      <c r="F220">
        <v>76.099999999999994</v>
      </c>
      <c r="G220">
        <v>30</v>
      </c>
      <c r="H220">
        <v>-0.50234000000000001</v>
      </c>
      <c r="I220">
        <v>0.17207</v>
      </c>
    </row>
    <row r="221" spans="1:9" x14ac:dyDescent="0.25">
      <c r="A221">
        <v>220</v>
      </c>
      <c r="B221">
        <v>7</v>
      </c>
      <c r="C221">
        <v>0</v>
      </c>
      <c r="D221">
        <v>409292.92</v>
      </c>
      <c r="E221">
        <v>3659203.82</v>
      </c>
      <c r="F221">
        <v>76.599999999999994</v>
      </c>
      <c r="G221">
        <v>29.2</v>
      </c>
      <c r="H221">
        <v>-0.58289999999999997</v>
      </c>
      <c r="I221">
        <v>0.73226000000000002</v>
      </c>
    </row>
    <row r="222" spans="1:9" x14ac:dyDescent="0.25">
      <c r="A222">
        <v>221</v>
      </c>
      <c r="B222">
        <v>7</v>
      </c>
      <c r="C222">
        <v>0</v>
      </c>
      <c r="D222">
        <v>409292.84</v>
      </c>
      <c r="E222">
        <v>3659200.89</v>
      </c>
      <c r="F222">
        <v>73.8</v>
      </c>
      <c r="G222">
        <v>26.6</v>
      </c>
      <c r="H222">
        <v>-1.6715800000000001</v>
      </c>
      <c r="I222">
        <v>0.82077</v>
      </c>
    </row>
    <row r="223" spans="1:9" x14ac:dyDescent="0.25">
      <c r="A223">
        <v>222</v>
      </c>
      <c r="B223">
        <v>7</v>
      </c>
      <c r="C223">
        <v>0</v>
      </c>
      <c r="D223">
        <v>409292.88</v>
      </c>
      <c r="E223">
        <v>3659198.01</v>
      </c>
      <c r="F223">
        <v>72.7</v>
      </c>
      <c r="G223">
        <v>26.2</v>
      </c>
      <c r="H223">
        <v>-1.9641200000000001</v>
      </c>
      <c r="I223">
        <v>0.57242999999999999</v>
      </c>
    </row>
    <row r="224" spans="1:9" x14ac:dyDescent="0.25">
      <c r="A224">
        <v>223</v>
      </c>
      <c r="B224">
        <v>7</v>
      </c>
      <c r="C224">
        <v>0</v>
      </c>
      <c r="D224">
        <v>409292.84</v>
      </c>
      <c r="E224">
        <v>3659195.12</v>
      </c>
      <c r="F224">
        <v>73.400000000000006</v>
      </c>
      <c r="G224">
        <v>27</v>
      </c>
      <c r="H224">
        <v>-1.65933</v>
      </c>
      <c r="I224">
        <v>0.48197000000000001</v>
      </c>
    </row>
    <row r="225" spans="1:9" x14ac:dyDescent="0.25">
      <c r="A225">
        <v>224</v>
      </c>
      <c r="B225">
        <v>7</v>
      </c>
      <c r="C225">
        <v>0</v>
      </c>
      <c r="D225">
        <v>409292.82</v>
      </c>
      <c r="E225">
        <v>3659192.18</v>
      </c>
      <c r="F225">
        <v>73</v>
      </c>
      <c r="G225">
        <v>27.9</v>
      </c>
      <c r="H225">
        <v>-1.53833</v>
      </c>
      <c r="I225">
        <v>-8.4640000000000007E-2</v>
      </c>
    </row>
    <row r="226" spans="1:9" x14ac:dyDescent="0.25">
      <c r="A226">
        <v>225</v>
      </c>
      <c r="B226">
        <v>7</v>
      </c>
      <c r="C226">
        <v>0</v>
      </c>
      <c r="D226">
        <v>409292.79999999999</v>
      </c>
      <c r="E226">
        <v>3659189.32</v>
      </c>
      <c r="F226">
        <v>72.5</v>
      </c>
      <c r="G226">
        <v>26.7</v>
      </c>
      <c r="H226">
        <v>-1.8927499999999999</v>
      </c>
      <c r="I226">
        <v>0.26634999999999998</v>
      </c>
    </row>
    <row r="227" spans="1:9" x14ac:dyDescent="0.25">
      <c r="A227">
        <v>226</v>
      </c>
      <c r="B227">
        <v>7</v>
      </c>
      <c r="C227">
        <v>0</v>
      </c>
      <c r="D227">
        <v>409292.79999999999</v>
      </c>
      <c r="E227">
        <v>3659186.46</v>
      </c>
      <c r="F227">
        <v>73</v>
      </c>
      <c r="G227">
        <v>26.7</v>
      </c>
      <c r="H227">
        <v>-1.79932</v>
      </c>
      <c r="I227">
        <v>0.46206999999999998</v>
      </c>
    </row>
    <row r="228" spans="1:9" x14ac:dyDescent="0.25">
      <c r="A228">
        <v>227</v>
      </c>
      <c r="B228">
        <v>7</v>
      </c>
      <c r="C228">
        <v>0</v>
      </c>
      <c r="D228">
        <v>409292.7</v>
      </c>
      <c r="E228">
        <v>3659183.53</v>
      </c>
      <c r="F228">
        <v>72.900000000000006</v>
      </c>
      <c r="G228">
        <v>27.1</v>
      </c>
      <c r="H228">
        <v>-1.7310099999999999</v>
      </c>
      <c r="I228">
        <v>0.24068999999999999</v>
      </c>
    </row>
    <row r="229" spans="1:9" x14ac:dyDescent="0.25">
      <c r="A229">
        <v>228</v>
      </c>
      <c r="B229">
        <v>7</v>
      </c>
      <c r="C229">
        <v>0</v>
      </c>
      <c r="D229">
        <v>409292.68</v>
      </c>
      <c r="E229">
        <v>3659180.51</v>
      </c>
      <c r="F229">
        <v>74.3</v>
      </c>
      <c r="G229">
        <v>28.7</v>
      </c>
      <c r="H229">
        <v>-1.1214200000000001</v>
      </c>
      <c r="I229">
        <v>5.9760000000000001E-2</v>
      </c>
    </row>
    <row r="230" spans="1:9" x14ac:dyDescent="0.25">
      <c r="A230">
        <v>229</v>
      </c>
      <c r="B230">
        <v>7</v>
      </c>
      <c r="C230">
        <v>0</v>
      </c>
      <c r="D230">
        <v>409292.66</v>
      </c>
      <c r="E230">
        <v>3659177.59</v>
      </c>
      <c r="F230">
        <v>74.8</v>
      </c>
      <c r="G230">
        <v>29.7</v>
      </c>
      <c r="H230">
        <v>-0.81050999999999995</v>
      </c>
      <c r="I230">
        <v>-0.20011999999999999</v>
      </c>
    </row>
    <row r="231" spans="1:9" x14ac:dyDescent="0.25">
      <c r="A231">
        <v>230</v>
      </c>
      <c r="B231">
        <v>7</v>
      </c>
      <c r="C231">
        <v>0</v>
      </c>
      <c r="D231">
        <v>409292.67</v>
      </c>
      <c r="E231">
        <v>3659174.71</v>
      </c>
      <c r="F231">
        <v>75.900000000000006</v>
      </c>
      <c r="G231">
        <v>31.5</v>
      </c>
      <c r="H231">
        <v>-0.21348</v>
      </c>
      <c r="I231">
        <v>-0.58960000000000001</v>
      </c>
    </row>
    <row r="232" spans="1:9" x14ac:dyDescent="0.25">
      <c r="A232">
        <v>231</v>
      </c>
      <c r="B232">
        <v>7</v>
      </c>
      <c r="C232">
        <v>0</v>
      </c>
      <c r="D232">
        <v>409292.56</v>
      </c>
      <c r="E232">
        <v>3659171.89</v>
      </c>
      <c r="F232">
        <v>75.400000000000006</v>
      </c>
      <c r="G232">
        <v>30.4</v>
      </c>
      <c r="H232">
        <v>-0.54615000000000002</v>
      </c>
      <c r="I232">
        <v>-0.28416999999999998</v>
      </c>
    </row>
    <row r="233" spans="1:9" x14ac:dyDescent="0.25">
      <c r="A233">
        <v>232</v>
      </c>
      <c r="B233">
        <v>7</v>
      </c>
      <c r="C233">
        <v>0</v>
      </c>
      <c r="D233">
        <v>409292.49</v>
      </c>
      <c r="E233">
        <v>3659168.9</v>
      </c>
      <c r="F233">
        <v>76.7</v>
      </c>
      <c r="G233">
        <v>30.5</v>
      </c>
      <c r="H233">
        <v>-0.28148000000000001</v>
      </c>
      <c r="I233">
        <v>0.17913999999999999</v>
      </c>
    </row>
    <row r="234" spans="1:9" x14ac:dyDescent="0.25">
      <c r="A234">
        <v>233</v>
      </c>
      <c r="B234">
        <v>7</v>
      </c>
      <c r="C234">
        <v>0</v>
      </c>
      <c r="D234">
        <v>409292.43</v>
      </c>
      <c r="E234">
        <v>3659165.92</v>
      </c>
      <c r="F234">
        <v>77.3</v>
      </c>
      <c r="G234">
        <v>30.8</v>
      </c>
      <c r="H234">
        <v>-0.10412</v>
      </c>
      <c r="I234">
        <v>0.27732000000000001</v>
      </c>
    </row>
    <row r="235" spans="1:9" x14ac:dyDescent="0.25">
      <c r="A235">
        <v>234</v>
      </c>
      <c r="B235">
        <v>7</v>
      </c>
      <c r="C235">
        <v>0</v>
      </c>
      <c r="D235">
        <v>409292.47</v>
      </c>
      <c r="E235">
        <v>3659162.97</v>
      </c>
      <c r="F235">
        <v>76.8</v>
      </c>
      <c r="G235">
        <v>32.5</v>
      </c>
      <c r="H235">
        <v>0.17218</v>
      </c>
      <c r="I235">
        <v>-0.69289999999999996</v>
      </c>
    </row>
    <row r="236" spans="1:9" x14ac:dyDescent="0.25">
      <c r="A236">
        <v>235</v>
      </c>
      <c r="B236">
        <v>7</v>
      </c>
      <c r="C236">
        <v>0</v>
      </c>
      <c r="D236">
        <v>409292.47</v>
      </c>
      <c r="E236">
        <v>3659160.04</v>
      </c>
      <c r="F236">
        <v>74</v>
      </c>
      <c r="G236">
        <v>34.1</v>
      </c>
      <c r="H236">
        <v>-3.0500000000000002E-3</v>
      </c>
      <c r="I236">
        <v>-2.5178500000000001</v>
      </c>
    </row>
    <row r="237" spans="1:9" x14ac:dyDescent="0.25">
      <c r="A237">
        <v>236</v>
      </c>
      <c r="B237">
        <v>7</v>
      </c>
      <c r="C237">
        <v>0</v>
      </c>
      <c r="D237">
        <v>409292.35</v>
      </c>
      <c r="E237">
        <v>3659157.03</v>
      </c>
      <c r="F237">
        <v>77.900000000000006</v>
      </c>
      <c r="G237">
        <v>34.1</v>
      </c>
      <c r="H237">
        <v>0.72570999999999997</v>
      </c>
      <c r="I237">
        <v>-0.99126000000000003</v>
      </c>
    </row>
    <row r="238" spans="1:9" x14ac:dyDescent="0.25">
      <c r="A238">
        <v>237</v>
      </c>
      <c r="B238">
        <v>7</v>
      </c>
      <c r="C238">
        <v>0</v>
      </c>
      <c r="D238">
        <v>409292.37</v>
      </c>
      <c r="E238">
        <v>3659154.14</v>
      </c>
      <c r="F238">
        <v>77.5</v>
      </c>
      <c r="G238">
        <v>34</v>
      </c>
      <c r="H238">
        <v>0.62922</v>
      </c>
      <c r="I238">
        <v>-1.1022799999999999</v>
      </c>
    </row>
    <row r="239" spans="1:9" x14ac:dyDescent="0.25">
      <c r="A239">
        <v>238</v>
      </c>
      <c r="B239">
        <v>7</v>
      </c>
      <c r="C239">
        <v>0</v>
      </c>
      <c r="D239">
        <v>409292.29</v>
      </c>
      <c r="E239">
        <v>3659150.38</v>
      </c>
      <c r="F239">
        <v>78.7</v>
      </c>
      <c r="G239">
        <v>32.799999999999997</v>
      </c>
      <c r="H239">
        <v>0.59247000000000005</v>
      </c>
      <c r="I239">
        <v>-8.5849999999999996E-2</v>
      </c>
    </row>
    <row r="240" spans="1:9" x14ac:dyDescent="0.25">
      <c r="A240">
        <v>239</v>
      </c>
      <c r="B240">
        <v>7</v>
      </c>
      <c r="C240">
        <v>0</v>
      </c>
      <c r="D240">
        <v>409292.24</v>
      </c>
      <c r="E240">
        <v>3659147.33</v>
      </c>
      <c r="F240">
        <v>77.3</v>
      </c>
      <c r="G240">
        <v>32.4</v>
      </c>
      <c r="H240">
        <v>0.24387</v>
      </c>
      <c r="I240">
        <v>-0.45162000000000002</v>
      </c>
    </row>
    <row r="241" spans="1:9" x14ac:dyDescent="0.25">
      <c r="A241">
        <v>240</v>
      </c>
      <c r="B241">
        <v>7</v>
      </c>
      <c r="C241">
        <v>0</v>
      </c>
      <c r="D241">
        <v>409292.2</v>
      </c>
      <c r="E241">
        <v>3659144.24</v>
      </c>
      <c r="F241">
        <v>77.2</v>
      </c>
      <c r="G241">
        <v>31.4</v>
      </c>
      <c r="H241">
        <v>7.6899999999999998E-3</v>
      </c>
      <c r="I241">
        <v>-3.5180000000000003E-2</v>
      </c>
    </row>
    <row r="242" spans="1:9" x14ac:dyDescent="0.25">
      <c r="A242">
        <v>241</v>
      </c>
      <c r="B242">
        <v>7</v>
      </c>
      <c r="C242">
        <v>0</v>
      </c>
      <c r="D242">
        <v>409292.12</v>
      </c>
      <c r="E242">
        <v>3659141.23</v>
      </c>
      <c r="F242">
        <v>76.5</v>
      </c>
      <c r="G242">
        <v>32.1</v>
      </c>
      <c r="H242">
        <v>2.913E-2</v>
      </c>
      <c r="I242">
        <v>-0.62809000000000004</v>
      </c>
    </row>
    <row r="243" spans="1:9" x14ac:dyDescent="0.25">
      <c r="A243">
        <v>242</v>
      </c>
      <c r="B243">
        <v>7</v>
      </c>
      <c r="C243">
        <v>0</v>
      </c>
      <c r="D243">
        <v>409292.09</v>
      </c>
      <c r="E243">
        <v>3659138.1</v>
      </c>
      <c r="F243">
        <v>75</v>
      </c>
      <c r="G243">
        <v>30.7</v>
      </c>
      <c r="H243">
        <v>-0.55564999999999998</v>
      </c>
      <c r="I243">
        <v>-0.57742000000000004</v>
      </c>
    </row>
    <row r="244" spans="1:9" x14ac:dyDescent="0.25">
      <c r="A244">
        <v>243</v>
      </c>
      <c r="B244">
        <v>7</v>
      </c>
      <c r="C244">
        <v>0</v>
      </c>
      <c r="D244">
        <v>409292.01</v>
      </c>
      <c r="E244">
        <v>3659134.79</v>
      </c>
      <c r="F244">
        <v>76</v>
      </c>
      <c r="G244">
        <v>31</v>
      </c>
      <c r="H244">
        <v>-0.30353999999999998</v>
      </c>
      <c r="I244">
        <v>-0.32266</v>
      </c>
    </row>
    <row r="245" spans="1:9" x14ac:dyDescent="0.25">
      <c r="A245">
        <v>244</v>
      </c>
      <c r="B245">
        <v>7</v>
      </c>
      <c r="C245">
        <v>7</v>
      </c>
      <c r="D245">
        <v>409291.91</v>
      </c>
      <c r="E245">
        <v>3659131.6</v>
      </c>
      <c r="F245">
        <v>72.900000000000006</v>
      </c>
      <c r="G245">
        <v>29.8</v>
      </c>
      <c r="H245">
        <v>-1.1437900000000001</v>
      </c>
      <c r="I245">
        <v>-0.98939999999999995</v>
      </c>
    </row>
    <row r="246" spans="1:9" x14ac:dyDescent="0.25">
      <c r="A246">
        <v>245</v>
      </c>
      <c r="B246">
        <v>7</v>
      </c>
      <c r="C246">
        <v>7</v>
      </c>
      <c r="D246">
        <v>409291.87</v>
      </c>
      <c r="E246">
        <v>3659128.47</v>
      </c>
      <c r="F246">
        <v>72.900000000000006</v>
      </c>
      <c r="G246">
        <v>27.5</v>
      </c>
      <c r="H246">
        <v>-1.64402</v>
      </c>
      <c r="I246">
        <v>5.8450000000000002E-2</v>
      </c>
    </row>
    <row r="247" spans="1:9" x14ac:dyDescent="0.25">
      <c r="A247">
        <v>246</v>
      </c>
      <c r="B247">
        <v>8</v>
      </c>
      <c r="C247">
        <v>7</v>
      </c>
      <c r="D247">
        <v>409295.91</v>
      </c>
      <c r="E247">
        <v>3659129.26</v>
      </c>
      <c r="F247">
        <v>71.599999999999994</v>
      </c>
      <c r="G247">
        <v>26.8</v>
      </c>
      <c r="H247">
        <v>-2.03918</v>
      </c>
      <c r="I247">
        <v>-0.13150000000000001</v>
      </c>
    </row>
    <row r="248" spans="1:9" x14ac:dyDescent="0.25">
      <c r="A248">
        <v>247</v>
      </c>
      <c r="B248">
        <v>8</v>
      </c>
      <c r="C248">
        <v>7</v>
      </c>
      <c r="D248">
        <v>409295.91</v>
      </c>
      <c r="E248">
        <v>3659129.26</v>
      </c>
      <c r="F248">
        <v>71.3</v>
      </c>
      <c r="G248">
        <v>26.7</v>
      </c>
      <c r="H248">
        <v>-2.1169899999999999</v>
      </c>
      <c r="I248">
        <v>-0.20337</v>
      </c>
    </row>
    <row r="249" spans="1:9" x14ac:dyDescent="0.25">
      <c r="A249">
        <v>248</v>
      </c>
      <c r="B249">
        <v>8</v>
      </c>
      <c r="C249">
        <v>7</v>
      </c>
      <c r="D249">
        <v>409295.98</v>
      </c>
      <c r="E249">
        <v>3659132.61</v>
      </c>
      <c r="F249">
        <v>73.7</v>
      </c>
      <c r="G249">
        <v>27.3</v>
      </c>
      <c r="H249">
        <v>-1.5380199999999999</v>
      </c>
      <c r="I249">
        <v>0.46272000000000002</v>
      </c>
    </row>
    <row r="250" spans="1:9" x14ac:dyDescent="0.25">
      <c r="A250">
        <v>249</v>
      </c>
      <c r="B250">
        <v>8</v>
      </c>
      <c r="C250">
        <v>0</v>
      </c>
      <c r="D250">
        <v>409295.95</v>
      </c>
      <c r="E250">
        <v>3659134.72</v>
      </c>
      <c r="F250">
        <v>75.5</v>
      </c>
      <c r="G250">
        <v>29.1</v>
      </c>
      <c r="H250">
        <v>-0.81020000000000003</v>
      </c>
      <c r="I250">
        <v>0.34723999999999999</v>
      </c>
    </row>
    <row r="251" spans="1:9" x14ac:dyDescent="0.25">
      <c r="A251">
        <v>250</v>
      </c>
      <c r="B251">
        <v>8</v>
      </c>
      <c r="C251">
        <v>0</v>
      </c>
      <c r="D251">
        <v>409296.08</v>
      </c>
      <c r="E251">
        <v>3659138.61</v>
      </c>
      <c r="F251">
        <v>74.900000000000006</v>
      </c>
      <c r="G251">
        <v>29.6</v>
      </c>
      <c r="H251">
        <v>-0.81357000000000002</v>
      </c>
      <c r="I251">
        <v>-0.11541</v>
      </c>
    </row>
    <row r="252" spans="1:9" x14ac:dyDescent="0.25">
      <c r="A252">
        <v>251</v>
      </c>
      <c r="B252">
        <v>8</v>
      </c>
      <c r="C252">
        <v>0</v>
      </c>
      <c r="D252">
        <v>409296.14</v>
      </c>
      <c r="E252">
        <v>3659141.84</v>
      </c>
      <c r="F252">
        <v>75.7</v>
      </c>
      <c r="G252">
        <v>30.9</v>
      </c>
      <c r="H252">
        <v>-0.38134000000000001</v>
      </c>
      <c r="I252">
        <v>-0.39452999999999999</v>
      </c>
    </row>
    <row r="253" spans="1:9" x14ac:dyDescent="0.25">
      <c r="A253">
        <v>252</v>
      </c>
      <c r="B253">
        <v>8</v>
      </c>
      <c r="C253">
        <v>0</v>
      </c>
      <c r="D253">
        <v>409296.14</v>
      </c>
      <c r="E253">
        <v>3659145.09</v>
      </c>
      <c r="F253">
        <v>77.3</v>
      </c>
      <c r="G253">
        <v>30.9</v>
      </c>
      <c r="H253">
        <v>-8.2369999999999999E-2</v>
      </c>
      <c r="I253">
        <v>0.23175999999999999</v>
      </c>
    </row>
    <row r="254" spans="1:9" x14ac:dyDescent="0.25">
      <c r="A254">
        <v>253</v>
      </c>
      <c r="B254">
        <v>8</v>
      </c>
      <c r="C254">
        <v>0</v>
      </c>
      <c r="D254">
        <v>409296.12</v>
      </c>
      <c r="E254">
        <v>3659148.54</v>
      </c>
      <c r="F254">
        <v>76.099999999999994</v>
      </c>
      <c r="G254">
        <v>30.4</v>
      </c>
      <c r="H254">
        <v>-0.41533999999999999</v>
      </c>
      <c r="I254">
        <v>-1.0160000000000001E-2</v>
      </c>
    </row>
    <row r="255" spans="1:9" x14ac:dyDescent="0.25">
      <c r="A255">
        <v>254</v>
      </c>
      <c r="B255">
        <v>8</v>
      </c>
      <c r="C255">
        <v>0</v>
      </c>
      <c r="D255">
        <v>409296.38</v>
      </c>
      <c r="E255">
        <v>3659151.73</v>
      </c>
      <c r="F255">
        <v>77.2</v>
      </c>
      <c r="G255">
        <v>31.8</v>
      </c>
      <c r="H255">
        <v>9.4689999999999996E-2</v>
      </c>
      <c r="I255">
        <v>-0.21740999999999999</v>
      </c>
    </row>
    <row r="256" spans="1:9" x14ac:dyDescent="0.25">
      <c r="A256">
        <v>255</v>
      </c>
      <c r="B256">
        <v>8</v>
      </c>
      <c r="C256">
        <v>0</v>
      </c>
      <c r="D256">
        <v>409296.33</v>
      </c>
      <c r="E256">
        <v>3659154.94</v>
      </c>
      <c r="F256">
        <v>79.900000000000006</v>
      </c>
      <c r="G256">
        <v>36</v>
      </c>
      <c r="H256">
        <v>1.5126599999999999</v>
      </c>
      <c r="I256">
        <v>-1.0740099999999999</v>
      </c>
    </row>
    <row r="257" spans="1:9" x14ac:dyDescent="0.25">
      <c r="A257">
        <v>256</v>
      </c>
      <c r="B257">
        <v>8</v>
      </c>
      <c r="C257">
        <v>0</v>
      </c>
      <c r="D257">
        <v>409296.35</v>
      </c>
      <c r="E257">
        <v>3659158.16</v>
      </c>
      <c r="F257">
        <v>78.5</v>
      </c>
      <c r="G257">
        <v>32.5</v>
      </c>
      <c r="H257">
        <v>0.48985000000000001</v>
      </c>
      <c r="I257">
        <v>-2.7459999999999998E-2</v>
      </c>
    </row>
    <row r="258" spans="1:9" x14ac:dyDescent="0.25">
      <c r="A258">
        <v>257</v>
      </c>
      <c r="B258">
        <v>8</v>
      </c>
      <c r="C258">
        <v>0</v>
      </c>
      <c r="D258">
        <v>409296.35</v>
      </c>
      <c r="E258">
        <v>3659161.42</v>
      </c>
      <c r="F258">
        <v>78.5</v>
      </c>
      <c r="G258">
        <v>31.7</v>
      </c>
      <c r="H258">
        <v>0.31585999999999997</v>
      </c>
      <c r="I258">
        <v>0.33700999999999998</v>
      </c>
    </row>
    <row r="259" spans="1:9" x14ac:dyDescent="0.25">
      <c r="A259">
        <v>258</v>
      </c>
      <c r="B259">
        <v>8</v>
      </c>
      <c r="C259">
        <v>0</v>
      </c>
      <c r="D259">
        <v>409296.39</v>
      </c>
      <c r="E259">
        <v>3659164.69</v>
      </c>
      <c r="F259">
        <v>77.8</v>
      </c>
      <c r="G259">
        <v>32.1</v>
      </c>
      <c r="H259">
        <v>0.27205000000000001</v>
      </c>
      <c r="I259">
        <v>-0.11923</v>
      </c>
    </row>
    <row r="260" spans="1:9" x14ac:dyDescent="0.25">
      <c r="A260">
        <v>259</v>
      </c>
      <c r="B260">
        <v>8</v>
      </c>
      <c r="C260">
        <v>0</v>
      </c>
      <c r="D260">
        <v>409296.41</v>
      </c>
      <c r="E260">
        <v>3659168.06</v>
      </c>
      <c r="F260">
        <v>79.099999999999994</v>
      </c>
      <c r="G260">
        <v>30.3</v>
      </c>
      <c r="H260">
        <v>0.12349</v>
      </c>
      <c r="I260">
        <v>1.2097</v>
      </c>
    </row>
    <row r="261" spans="1:9" x14ac:dyDescent="0.25">
      <c r="A261">
        <v>260</v>
      </c>
      <c r="B261">
        <v>8</v>
      </c>
      <c r="C261">
        <v>0</v>
      </c>
      <c r="D261">
        <v>409296.44</v>
      </c>
      <c r="E261">
        <v>3659171.24</v>
      </c>
      <c r="F261">
        <v>76.8</v>
      </c>
      <c r="G261">
        <v>30.5</v>
      </c>
      <c r="H261">
        <v>-0.26279000000000002</v>
      </c>
      <c r="I261">
        <v>0.21828</v>
      </c>
    </row>
    <row r="262" spans="1:9" x14ac:dyDescent="0.25">
      <c r="A262">
        <v>261</v>
      </c>
      <c r="B262">
        <v>8</v>
      </c>
      <c r="C262">
        <v>0</v>
      </c>
      <c r="D262">
        <v>409296.49</v>
      </c>
      <c r="E262">
        <v>3659174.62</v>
      </c>
      <c r="F262">
        <v>77.400000000000006</v>
      </c>
      <c r="G262">
        <v>29.8</v>
      </c>
      <c r="H262">
        <v>-0.30292000000000002</v>
      </c>
      <c r="I262">
        <v>0.77205000000000001</v>
      </c>
    </row>
    <row r="263" spans="1:9" x14ac:dyDescent="0.25">
      <c r="A263">
        <v>262</v>
      </c>
      <c r="B263">
        <v>8</v>
      </c>
      <c r="C263">
        <v>0</v>
      </c>
      <c r="D263">
        <v>409296.54</v>
      </c>
      <c r="E263">
        <v>3659177.91</v>
      </c>
      <c r="F263">
        <v>75.099999999999994</v>
      </c>
      <c r="G263">
        <v>29.7</v>
      </c>
      <c r="H263">
        <v>-0.75444999999999995</v>
      </c>
      <c r="I263">
        <v>-8.269E-2</v>
      </c>
    </row>
    <row r="264" spans="1:9" x14ac:dyDescent="0.25">
      <c r="A264">
        <v>263</v>
      </c>
      <c r="B264">
        <v>8</v>
      </c>
      <c r="C264">
        <v>0</v>
      </c>
      <c r="D264">
        <v>409296.63</v>
      </c>
      <c r="E264">
        <v>3659181.19</v>
      </c>
      <c r="F264">
        <v>72.8</v>
      </c>
      <c r="G264">
        <v>26.9</v>
      </c>
      <c r="H264">
        <v>-1.7931999999999999</v>
      </c>
      <c r="I264">
        <v>0.29265999999999998</v>
      </c>
    </row>
    <row r="265" spans="1:9" x14ac:dyDescent="0.25">
      <c r="A265">
        <v>264</v>
      </c>
      <c r="B265">
        <v>8</v>
      </c>
      <c r="C265">
        <v>0</v>
      </c>
      <c r="D265">
        <v>409296.65</v>
      </c>
      <c r="E265">
        <v>3659184.5</v>
      </c>
      <c r="F265">
        <v>74.2</v>
      </c>
      <c r="G265">
        <v>26.1</v>
      </c>
      <c r="H265">
        <v>-1.7055800000000001</v>
      </c>
      <c r="I265">
        <v>1.2051400000000001</v>
      </c>
    </row>
    <row r="266" spans="1:9" x14ac:dyDescent="0.25">
      <c r="A266">
        <v>265</v>
      </c>
      <c r="B266">
        <v>8</v>
      </c>
      <c r="C266">
        <v>0</v>
      </c>
      <c r="D266">
        <v>409296.67</v>
      </c>
      <c r="E266">
        <v>3659187.87</v>
      </c>
      <c r="F266">
        <v>72.5</v>
      </c>
      <c r="G266">
        <v>26.8</v>
      </c>
      <c r="H266">
        <v>-1.871</v>
      </c>
      <c r="I266">
        <v>0.22078999999999999</v>
      </c>
    </row>
    <row r="267" spans="1:9" x14ac:dyDescent="0.25">
      <c r="A267">
        <v>266</v>
      </c>
      <c r="B267">
        <v>8</v>
      </c>
      <c r="C267">
        <v>0</v>
      </c>
      <c r="D267">
        <v>409296.74</v>
      </c>
      <c r="E267">
        <v>3659191.14</v>
      </c>
      <c r="F267">
        <v>72.5</v>
      </c>
      <c r="G267">
        <v>24.7</v>
      </c>
      <c r="H267">
        <v>-2.3277299999999999</v>
      </c>
      <c r="I267">
        <v>1.17753</v>
      </c>
    </row>
    <row r="268" spans="1:9" x14ac:dyDescent="0.25">
      <c r="A268">
        <v>267</v>
      </c>
      <c r="B268">
        <v>8</v>
      </c>
      <c r="C268">
        <v>0</v>
      </c>
      <c r="D268">
        <v>409296.73</v>
      </c>
      <c r="E268">
        <v>3659194.44</v>
      </c>
      <c r="F268">
        <v>71.7</v>
      </c>
      <c r="G268">
        <v>26.1</v>
      </c>
      <c r="H268">
        <v>-2.1727300000000001</v>
      </c>
      <c r="I268">
        <v>0.22656000000000001</v>
      </c>
    </row>
    <row r="269" spans="1:9" x14ac:dyDescent="0.25">
      <c r="A269">
        <v>268</v>
      </c>
      <c r="B269">
        <v>8</v>
      </c>
      <c r="C269">
        <v>0</v>
      </c>
      <c r="D269">
        <v>409296.74</v>
      </c>
      <c r="E269">
        <v>3659197.61</v>
      </c>
      <c r="F269">
        <v>74.2</v>
      </c>
      <c r="G269">
        <v>25.4</v>
      </c>
      <c r="H269">
        <v>-1.85782</v>
      </c>
      <c r="I269">
        <v>1.52406</v>
      </c>
    </row>
    <row r="270" spans="1:9" x14ac:dyDescent="0.25">
      <c r="A270">
        <v>269</v>
      </c>
      <c r="B270">
        <v>8</v>
      </c>
      <c r="C270">
        <v>0</v>
      </c>
      <c r="D270">
        <v>409296.76</v>
      </c>
      <c r="E270">
        <v>3659200.92</v>
      </c>
      <c r="F270">
        <v>73.8</v>
      </c>
      <c r="G270">
        <v>25.7</v>
      </c>
      <c r="H270">
        <v>-1.8673200000000001</v>
      </c>
      <c r="I270">
        <v>1.2307999999999999</v>
      </c>
    </row>
    <row r="271" spans="1:9" x14ac:dyDescent="0.25">
      <c r="A271">
        <v>270</v>
      </c>
      <c r="B271">
        <v>8</v>
      </c>
      <c r="C271">
        <v>0</v>
      </c>
      <c r="D271">
        <v>409296.83</v>
      </c>
      <c r="E271">
        <v>3659204.29</v>
      </c>
      <c r="F271">
        <v>75</v>
      </c>
      <c r="G271">
        <v>26.8</v>
      </c>
      <c r="H271">
        <v>-1.40385</v>
      </c>
      <c r="I271">
        <v>1.1993799999999999</v>
      </c>
    </row>
    <row r="272" spans="1:9" x14ac:dyDescent="0.25">
      <c r="A272">
        <v>271</v>
      </c>
      <c r="B272">
        <v>8</v>
      </c>
      <c r="C272">
        <v>0</v>
      </c>
      <c r="D272">
        <v>409296.84</v>
      </c>
      <c r="E272">
        <v>3659207.62</v>
      </c>
      <c r="F272">
        <v>76.5</v>
      </c>
      <c r="G272">
        <v>30.9</v>
      </c>
      <c r="H272">
        <v>-0.23186000000000001</v>
      </c>
      <c r="I272">
        <v>-8.1390000000000004E-2</v>
      </c>
    </row>
    <row r="273" spans="1:9" x14ac:dyDescent="0.25">
      <c r="A273">
        <v>272</v>
      </c>
      <c r="B273">
        <v>8</v>
      </c>
      <c r="C273">
        <v>0</v>
      </c>
      <c r="D273">
        <v>409296.9</v>
      </c>
      <c r="E273">
        <v>3659211.65</v>
      </c>
      <c r="F273">
        <v>78.2</v>
      </c>
      <c r="G273">
        <v>28.6</v>
      </c>
      <c r="H273">
        <v>-0.41441</v>
      </c>
      <c r="I273">
        <v>1.63191</v>
      </c>
    </row>
    <row r="274" spans="1:9" x14ac:dyDescent="0.25">
      <c r="A274">
        <v>273</v>
      </c>
      <c r="B274">
        <v>8</v>
      </c>
      <c r="C274">
        <v>0</v>
      </c>
      <c r="D274">
        <v>409296.9</v>
      </c>
      <c r="E274">
        <v>3659214.12</v>
      </c>
      <c r="F274">
        <v>76.3</v>
      </c>
      <c r="G274">
        <v>27.6</v>
      </c>
      <c r="H274">
        <v>-0.98694000000000004</v>
      </c>
      <c r="I274">
        <v>1.3437699999999999</v>
      </c>
    </row>
    <row r="275" spans="1:9" x14ac:dyDescent="0.25">
      <c r="A275">
        <v>274</v>
      </c>
      <c r="B275">
        <v>8</v>
      </c>
      <c r="C275">
        <v>0</v>
      </c>
      <c r="D275">
        <v>409297</v>
      </c>
      <c r="E275">
        <v>3659217.22</v>
      </c>
      <c r="F275">
        <v>74.400000000000006</v>
      </c>
      <c r="G275">
        <v>26.8</v>
      </c>
      <c r="H275">
        <v>-1.51597</v>
      </c>
      <c r="I275">
        <v>0.96452000000000004</v>
      </c>
    </row>
    <row r="276" spans="1:9" x14ac:dyDescent="0.25">
      <c r="A276">
        <v>275</v>
      </c>
      <c r="B276">
        <v>8</v>
      </c>
      <c r="C276">
        <v>0</v>
      </c>
      <c r="D276">
        <v>409297.01</v>
      </c>
      <c r="E276">
        <v>3659220.32</v>
      </c>
      <c r="F276">
        <v>74.400000000000006</v>
      </c>
      <c r="G276">
        <v>24.3</v>
      </c>
      <c r="H276">
        <v>-2.0596800000000002</v>
      </c>
      <c r="I276">
        <v>2.1034899999999999</v>
      </c>
    </row>
    <row r="277" spans="1:9" x14ac:dyDescent="0.25">
      <c r="A277">
        <v>276</v>
      </c>
      <c r="B277">
        <v>8</v>
      </c>
      <c r="C277">
        <v>0</v>
      </c>
      <c r="D277">
        <v>409297.06</v>
      </c>
      <c r="E277">
        <v>3659224.19</v>
      </c>
      <c r="F277">
        <v>73.599999999999994</v>
      </c>
      <c r="G277">
        <v>26.1</v>
      </c>
      <c r="H277">
        <v>-1.8177000000000001</v>
      </c>
      <c r="I277">
        <v>0.97028000000000003</v>
      </c>
    </row>
    <row r="278" spans="1:9" x14ac:dyDescent="0.25">
      <c r="A278">
        <v>277</v>
      </c>
      <c r="B278">
        <v>8</v>
      </c>
      <c r="C278">
        <v>0</v>
      </c>
      <c r="D278">
        <v>409297.09</v>
      </c>
      <c r="E278">
        <v>3659227.32</v>
      </c>
      <c r="F278">
        <v>74.099999999999994</v>
      </c>
      <c r="G278">
        <v>26.7</v>
      </c>
      <c r="H278">
        <v>-1.5937699999999999</v>
      </c>
      <c r="I278">
        <v>0.89265000000000005</v>
      </c>
    </row>
    <row r="279" spans="1:9" x14ac:dyDescent="0.25">
      <c r="A279">
        <v>278</v>
      </c>
      <c r="B279">
        <v>8</v>
      </c>
      <c r="C279">
        <v>1</v>
      </c>
      <c r="D279">
        <v>409297.16</v>
      </c>
      <c r="E279">
        <v>3659230.49</v>
      </c>
      <c r="F279">
        <v>75.900000000000006</v>
      </c>
      <c r="G279">
        <v>26.4</v>
      </c>
      <c r="H279">
        <v>-1.32267</v>
      </c>
      <c r="I279">
        <v>1.7339</v>
      </c>
    </row>
    <row r="280" spans="1:9" x14ac:dyDescent="0.25">
      <c r="A280">
        <v>279</v>
      </c>
      <c r="B280">
        <v>8</v>
      </c>
      <c r="C280">
        <v>7</v>
      </c>
      <c r="D280">
        <v>409297.25</v>
      </c>
      <c r="E280">
        <v>3659233.68</v>
      </c>
      <c r="F280">
        <v>75.599999999999994</v>
      </c>
      <c r="G280">
        <v>30.2</v>
      </c>
      <c r="H280">
        <v>-0.55227000000000004</v>
      </c>
      <c r="I280">
        <v>-0.11476</v>
      </c>
    </row>
    <row r="281" spans="1:9" x14ac:dyDescent="0.25">
      <c r="A281">
        <v>280</v>
      </c>
      <c r="B281">
        <v>8</v>
      </c>
      <c r="C281">
        <v>7</v>
      </c>
      <c r="D281">
        <v>409297.48</v>
      </c>
      <c r="E281">
        <v>3659236.53</v>
      </c>
      <c r="F281">
        <v>75.400000000000006</v>
      </c>
      <c r="G281">
        <v>28.9</v>
      </c>
      <c r="H281">
        <v>-0.87238000000000004</v>
      </c>
      <c r="I281">
        <v>0.39922000000000002</v>
      </c>
    </row>
    <row r="282" spans="1:9" x14ac:dyDescent="0.25">
      <c r="A282">
        <v>281</v>
      </c>
      <c r="B282">
        <v>9</v>
      </c>
      <c r="C282">
        <v>7</v>
      </c>
      <c r="D282">
        <v>409301.41</v>
      </c>
      <c r="E282">
        <v>3659237.68</v>
      </c>
      <c r="F282">
        <v>72.099999999999994</v>
      </c>
      <c r="G282">
        <v>29.8</v>
      </c>
      <c r="H282">
        <v>-1.29328</v>
      </c>
      <c r="I282">
        <v>-1.3025500000000001</v>
      </c>
    </row>
    <row r="283" spans="1:9" x14ac:dyDescent="0.25">
      <c r="A283">
        <v>282</v>
      </c>
      <c r="B283">
        <v>9</v>
      </c>
      <c r="C283">
        <v>7</v>
      </c>
      <c r="D283">
        <v>409301.34</v>
      </c>
      <c r="E283">
        <v>3659234.95</v>
      </c>
      <c r="F283">
        <v>69.900000000000006</v>
      </c>
      <c r="G283">
        <v>23.9</v>
      </c>
      <c r="H283">
        <v>-2.9875600000000002</v>
      </c>
      <c r="I283">
        <v>0.52427000000000001</v>
      </c>
    </row>
    <row r="284" spans="1:9" x14ac:dyDescent="0.25">
      <c r="A284">
        <v>283</v>
      </c>
      <c r="B284">
        <v>9</v>
      </c>
      <c r="C284">
        <v>2</v>
      </c>
      <c r="D284">
        <v>409301.26</v>
      </c>
      <c r="E284">
        <v>3659232.28</v>
      </c>
      <c r="F284">
        <v>71.400000000000006</v>
      </c>
      <c r="G284">
        <v>26.1</v>
      </c>
      <c r="H284">
        <v>-2.22879</v>
      </c>
      <c r="I284">
        <v>0.10913</v>
      </c>
    </row>
    <row r="285" spans="1:9" x14ac:dyDescent="0.25">
      <c r="A285">
        <v>284</v>
      </c>
      <c r="B285">
        <v>9</v>
      </c>
      <c r="C285">
        <v>0</v>
      </c>
      <c r="D285">
        <v>409301.17</v>
      </c>
      <c r="E285">
        <v>3659229.43</v>
      </c>
      <c r="F285">
        <v>72.099999999999994</v>
      </c>
      <c r="G285">
        <v>27.3</v>
      </c>
      <c r="H285">
        <v>-1.837</v>
      </c>
      <c r="I285">
        <v>-0.16356999999999999</v>
      </c>
    </row>
    <row r="286" spans="1:9" x14ac:dyDescent="0.25">
      <c r="A286">
        <v>285</v>
      </c>
      <c r="B286">
        <v>9</v>
      </c>
      <c r="C286">
        <v>0</v>
      </c>
      <c r="D286">
        <v>409301.18</v>
      </c>
      <c r="E286">
        <v>3659226.45</v>
      </c>
      <c r="F286">
        <v>69.7</v>
      </c>
      <c r="G286">
        <v>26.9</v>
      </c>
      <c r="H286">
        <v>-2.3724699999999999</v>
      </c>
      <c r="I286">
        <v>-0.92078000000000004</v>
      </c>
    </row>
    <row r="287" spans="1:9" x14ac:dyDescent="0.25">
      <c r="A287">
        <v>286</v>
      </c>
      <c r="B287">
        <v>9</v>
      </c>
      <c r="C287">
        <v>0</v>
      </c>
      <c r="D287">
        <v>409301.16</v>
      </c>
      <c r="E287">
        <v>3659223.41</v>
      </c>
      <c r="F287">
        <v>72.3</v>
      </c>
      <c r="G287">
        <v>26.8</v>
      </c>
      <c r="H287">
        <v>-1.9083699999999999</v>
      </c>
      <c r="I287">
        <v>0.14251</v>
      </c>
    </row>
    <row r="288" spans="1:9" x14ac:dyDescent="0.25">
      <c r="A288">
        <v>287</v>
      </c>
      <c r="B288">
        <v>9</v>
      </c>
      <c r="C288">
        <v>0</v>
      </c>
      <c r="D288">
        <v>409301.13</v>
      </c>
      <c r="E288">
        <v>3659220.42</v>
      </c>
      <c r="F288">
        <v>72.5</v>
      </c>
      <c r="G288">
        <v>27.5</v>
      </c>
      <c r="H288">
        <v>-1.7187600000000001</v>
      </c>
      <c r="I288">
        <v>-9.8119999999999999E-2</v>
      </c>
    </row>
    <row r="289" spans="1:9" x14ac:dyDescent="0.25">
      <c r="A289">
        <v>288</v>
      </c>
      <c r="B289">
        <v>9</v>
      </c>
      <c r="C289">
        <v>0</v>
      </c>
      <c r="D289">
        <v>409301.05</v>
      </c>
      <c r="E289">
        <v>3659217.36</v>
      </c>
      <c r="F289">
        <v>73</v>
      </c>
      <c r="G289">
        <v>27.6</v>
      </c>
      <c r="H289">
        <v>-1.60358</v>
      </c>
      <c r="I289">
        <v>5.2040000000000003E-2</v>
      </c>
    </row>
    <row r="290" spans="1:9" x14ac:dyDescent="0.25">
      <c r="A290">
        <v>289</v>
      </c>
      <c r="B290">
        <v>9</v>
      </c>
      <c r="C290">
        <v>0</v>
      </c>
      <c r="D290">
        <v>409301.04</v>
      </c>
      <c r="E290">
        <v>3659214.37</v>
      </c>
      <c r="F290">
        <v>75.5</v>
      </c>
      <c r="G290">
        <v>28.1</v>
      </c>
      <c r="H290">
        <v>-1.0276799999999999</v>
      </c>
      <c r="I290">
        <v>0.80283000000000004</v>
      </c>
    </row>
    <row r="291" spans="1:9" x14ac:dyDescent="0.25">
      <c r="A291">
        <v>290</v>
      </c>
      <c r="B291">
        <v>9</v>
      </c>
      <c r="C291">
        <v>0</v>
      </c>
      <c r="D291">
        <v>409301.03</v>
      </c>
      <c r="E291">
        <v>3659211.32</v>
      </c>
      <c r="F291">
        <v>73.599999999999994</v>
      </c>
      <c r="G291">
        <v>28.7</v>
      </c>
      <c r="H291">
        <v>-1.25223</v>
      </c>
      <c r="I291">
        <v>-0.21425</v>
      </c>
    </row>
    <row r="292" spans="1:9" x14ac:dyDescent="0.25">
      <c r="A292">
        <v>291</v>
      </c>
      <c r="B292">
        <v>9</v>
      </c>
      <c r="C292">
        <v>0</v>
      </c>
      <c r="D292">
        <v>409301.07</v>
      </c>
      <c r="E292">
        <v>3659208.24</v>
      </c>
      <c r="F292">
        <v>75.900000000000006</v>
      </c>
      <c r="G292">
        <v>29.8</v>
      </c>
      <c r="H292">
        <v>-0.58321000000000001</v>
      </c>
      <c r="I292">
        <v>0.18490000000000001</v>
      </c>
    </row>
    <row r="293" spans="1:9" x14ac:dyDescent="0.25">
      <c r="A293">
        <v>292</v>
      </c>
      <c r="B293">
        <v>9</v>
      </c>
      <c r="C293">
        <v>2</v>
      </c>
      <c r="D293">
        <v>409300.57</v>
      </c>
      <c r="E293">
        <v>3659201.51</v>
      </c>
      <c r="F293">
        <v>73.400000000000006</v>
      </c>
      <c r="G293">
        <v>27.6</v>
      </c>
      <c r="H293">
        <v>-1.52884</v>
      </c>
      <c r="I293">
        <v>0.20860999999999999</v>
      </c>
    </row>
    <row r="294" spans="1:9" x14ac:dyDescent="0.25">
      <c r="A294">
        <v>293</v>
      </c>
      <c r="B294">
        <v>9</v>
      </c>
      <c r="C294">
        <v>0</v>
      </c>
      <c r="D294">
        <v>409300.69</v>
      </c>
      <c r="E294">
        <v>3659198.95</v>
      </c>
      <c r="F294">
        <v>73.7</v>
      </c>
      <c r="G294">
        <v>26.6</v>
      </c>
      <c r="H294">
        <v>-1.6902699999999999</v>
      </c>
      <c r="I294">
        <v>0.78163000000000005</v>
      </c>
    </row>
    <row r="295" spans="1:9" x14ac:dyDescent="0.25">
      <c r="A295">
        <v>294</v>
      </c>
      <c r="B295">
        <v>9</v>
      </c>
      <c r="C295">
        <v>0</v>
      </c>
      <c r="D295">
        <v>409300.71</v>
      </c>
      <c r="E295">
        <v>3659195.12</v>
      </c>
      <c r="F295">
        <v>73.099999999999994</v>
      </c>
      <c r="G295">
        <v>27.7</v>
      </c>
      <c r="H295">
        <v>-1.56315</v>
      </c>
      <c r="I295">
        <v>4.5620000000000001E-2</v>
      </c>
    </row>
    <row r="296" spans="1:9" x14ac:dyDescent="0.25">
      <c r="A296">
        <v>295</v>
      </c>
      <c r="B296">
        <v>9</v>
      </c>
      <c r="C296">
        <v>0</v>
      </c>
      <c r="D296">
        <v>409300.73</v>
      </c>
      <c r="E296">
        <v>3659191.88</v>
      </c>
      <c r="F296">
        <v>70.099999999999994</v>
      </c>
      <c r="G296">
        <v>28.1</v>
      </c>
      <c r="H296">
        <v>-2.03674</v>
      </c>
      <c r="I296">
        <v>-1.31091</v>
      </c>
    </row>
    <row r="297" spans="1:9" x14ac:dyDescent="0.25">
      <c r="A297">
        <v>296</v>
      </c>
      <c r="B297">
        <v>9</v>
      </c>
      <c r="C297">
        <v>0</v>
      </c>
      <c r="D297">
        <v>409300.68</v>
      </c>
      <c r="E297">
        <v>3659188.91</v>
      </c>
      <c r="F297">
        <v>74.2</v>
      </c>
      <c r="G297">
        <v>29.4</v>
      </c>
      <c r="H297">
        <v>-0.98787000000000003</v>
      </c>
      <c r="I297">
        <v>-0.29830000000000001</v>
      </c>
    </row>
    <row r="298" spans="1:9" x14ac:dyDescent="0.25">
      <c r="A298">
        <v>297</v>
      </c>
      <c r="B298">
        <v>9</v>
      </c>
      <c r="C298">
        <v>0</v>
      </c>
      <c r="D298">
        <v>409300.71</v>
      </c>
      <c r="E298">
        <v>3659185.79</v>
      </c>
      <c r="F298">
        <v>71.7</v>
      </c>
      <c r="G298">
        <v>27.2</v>
      </c>
      <c r="H298">
        <v>-1.9335</v>
      </c>
      <c r="I298">
        <v>-0.27459</v>
      </c>
    </row>
    <row r="299" spans="1:9" x14ac:dyDescent="0.25">
      <c r="A299">
        <v>298</v>
      </c>
      <c r="B299">
        <v>9</v>
      </c>
      <c r="C299">
        <v>0</v>
      </c>
      <c r="D299">
        <v>409300.69</v>
      </c>
      <c r="E299">
        <v>3659182.77</v>
      </c>
      <c r="F299">
        <v>71.5</v>
      </c>
      <c r="G299">
        <v>27.3</v>
      </c>
      <c r="H299">
        <v>-1.94912</v>
      </c>
      <c r="I299">
        <v>-0.39844000000000002</v>
      </c>
    </row>
    <row r="300" spans="1:9" x14ac:dyDescent="0.25">
      <c r="A300">
        <v>299</v>
      </c>
      <c r="B300">
        <v>9</v>
      </c>
      <c r="C300">
        <v>0</v>
      </c>
      <c r="D300">
        <v>409300.66</v>
      </c>
      <c r="E300">
        <v>3659179.59</v>
      </c>
      <c r="F300">
        <v>70.8</v>
      </c>
      <c r="G300">
        <v>27.6</v>
      </c>
      <c r="H300">
        <v>-2.0146799999999998</v>
      </c>
      <c r="I300">
        <v>-0.80911999999999995</v>
      </c>
    </row>
    <row r="301" spans="1:9" x14ac:dyDescent="0.25">
      <c r="A301">
        <v>300</v>
      </c>
      <c r="B301">
        <v>9</v>
      </c>
      <c r="C301">
        <v>2</v>
      </c>
      <c r="D301">
        <v>409300.65</v>
      </c>
      <c r="E301">
        <v>3659176.58</v>
      </c>
      <c r="F301">
        <v>73.900000000000006</v>
      </c>
      <c r="G301">
        <v>30.1</v>
      </c>
      <c r="H301">
        <v>-0.89168999999999998</v>
      </c>
      <c r="I301">
        <v>-0.73463999999999996</v>
      </c>
    </row>
    <row r="302" spans="1:9" x14ac:dyDescent="0.25">
      <c r="A302">
        <v>301</v>
      </c>
      <c r="B302">
        <v>9</v>
      </c>
      <c r="C302">
        <v>0</v>
      </c>
      <c r="D302">
        <v>409300.6</v>
      </c>
      <c r="E302">
        <v>3659173.37</v>
      </c>
      <c r="F302">
        <v>74.599999999999994</v>
      </c>
      <c r="G302">
        <v>29.4</v>
      </c>
      <c r="H302">
        <v>-0.91312000000000004</v>
      </c>
      <c r="I302">
        <v>-0.14172999999999999</v>
      </c>
    </row>
    <row r="303" spans="1:9" x14ac:dyDescent="0.25">
      <c r="A303">
        <v>302</v>
      </c>
      <c r="B303">
        <v>9</v>
      </c>
      <c r="C303">
        <v>0</v>
      </c>
      <c r="D303">
        <v>409300.56</v>
      </c>
      <c r="E303">
        <v>3659170.37</v>
      </c>
      <c r="F303">
        <v>74.900000000000006</v>
      </c>
      <c r="G303">
        <v>30.9</v>
      </c>
      <c r="H303">
        <v>-0.53083000000000002</v>
      </c>
      <c r="I303">
        <v>-0.70767999999999998</v>
      </c>
    </row>
    <row r="304" spans="1:9" x14ac:dyDescent="0.25">
      <c r="A304">
        <v>303</v>
      </c>
      <c r="B304">
        <v>9</v>
      </c>
      <c r="C304">
        <v>0</v>
      </c>
      <c r="D304">
        <v>409300.47</v>
      </c>
      <c r="E304">
        <v>3659167.28</v>
      </c>
      <c r="F304">
        <v>77.400000000000006</v>
      </c>
      <c r="G304">
        <v>31.9</v>
      </c>
      <c r="H304">
        <v>0.15381</v>
      </c>
      <c r="I304">
        <v>-0.18468000000000001</v>
      </c>
    </row>
    <row r="305" spans="1:9" x14ac:dyDescent="0.25">
      <c r="A305">
        <v>304</v>
      </c>
      <c r="B305">
        <v>9</v>
      </c>
      <c r="C305">
        <v>0</v>
      </c>
      <c r="D305">
        <v>409300.47999999998</v>
      </c>
      <c r="E305">
        <v>3659164.1</v>
      </c>
      <c r="F305">
        <v>78.099999999999994</v>
      </c>
      <c r="G305">
        <v>33.9</v>
      </c>
      <c r="H305">
        <v>0.71958999999999995</v>
      </c>
      <c r="I305">
        <v>-0.82186000000000003</v>
      </c>
    </row>
    <row r="306" spans="1:9" x14ac:dyDescent="0.25">
      <c r="A306">
        <v>305</v>
      </c>
      <c r="B306">
        <v>9</v>
      </c>
      <c r="C306">
        <v>0</v>
      </c>
      <c r="D306">
        <v>409300.44</v>
      </c>
      <c r="E306">
        <v>3659160.79</v>
      </c>
      <c r="F306">
        <v>77.5</v>
      </c>
      <c r="G306">
        <v>34.700000000000003</v>
      </c>
      <c r="H306">
        <v>0.78146000000000004</v>
      </c>
      <c r="I306">
        <v>-1.42119</v>
      </c>
    </row>
    <row r="307" spans="1:9" x14ac:dyDescent="0.25">
      <c r="A307">
        <v>306</v>
      </c>
      <c r="B307">
        <v>9</v>
      </c>
      <c r="C307">
        <v>0</v>
      </c>
      <c r="D307">
        <v>409300.41</v>
      </c>
      <c r="E307">
        <v>3659157.66</v>
      </c>
      <c r="F307">
        <v>77.900000000000006</v>
      </c>
      <c r="G307">
        <v>33.700000000000003</v>
      </c>
      <c r="H307">
        <v>0.63871999999999995</v>
      </c>
      <c r="I307">
        <v>-0.80903000000000003</v>
      </c>
    </row>
    <row r="308" spans="1:9" x14ac:dyDescent="0.25">
      <c r="A308">
        <v>307</v>
      </c>
      <c r="B308">
        <v>9</v>
      </c>
      <c r="C308">
        <v>0</v>
      </c>
      <c r="D308">
        <v>409300.2</v>
      </c>
      <c r="E308">
        <v>3659154.49</v>
      </c>
      <c r="F308">
        <v>75.3</v>
      </c>
      <c r="G308">
        <v>32.4</v>
      </c>
      <c r="H308">
        <v>-0.12986</v>
      </c>
      <c r="I308">
        <v>-1.2344900000000001</v>
      </c>
    </row>
    <row r="309" spans="1:9" x14ac:dyDescent="0.25">
      <c r="A309">
        <v>308</v>
      </c>
      <c r="B309">
        <v>9</v>
      </c>
      <c r="C309">
        <v>2</v>
      </c>
      <c r="D309">
        <v>409300.18</v>
      </c>
      <c r="E309">
        <v>3659151.31</v>
      </c>
      <c r="F309">
        <v>75.099999999999994</v>
      </c>
      <c r="G309">
        <v>35</v>
      </c>
      <c r="H309">
        <v>0.39823999999999998</v>
      </c>
      <c r="I309">
        <v>-2.4973100000000001</v>
      </c>
    </row>
    <row r="310" spans="1:9" x14ac:dyDescent="0.25">
      <c r="A310">
        <v>309</v>
      </c>
      <c r="B310">
        <v>9</v>
      </c>
      <c r="C310">
        <v>0</v>
      </c>
      <c r="D310">
        <v>409300.23</v>
      </c>
      <c r="E310">
        <v>3659148.21</v>
      </c>
      <c r="F310">
        <v>76.599999999999994</v>
      </c>
      <c r="G310">
        <v>33.700000000000003</v>
      </c>
      <c r="H310">
        <v>0.39579999999999999</v>
      </c>
      <c r="I310">
        <v>-1.31789</v>
      </c>
    </row>
    <row r="311" spans="1:9" x14ac:dyDescent="0.25">
      <c r="A311">
        <v>310</v>
      </c>
      <c r="B311">
        <v>9</v>
      </c>
      <c r="C311">
        <v>0</v>
      </c>
      <c r="D311">
        <v>409300.15</v>
      </c>
      <c r="E311">
        <v>3659145.05</v>
      </c>
      <c r="F311">
        <v>75.900000000000006</v>
      </c>
      <c r="G311">
        <v>32.299999999999997</v>
      </c>
      <c r="H311">
        <v>-3.9489999999999997E-2</v>
      </c>
      <c r="I311">
        <v>-0.95406999999999997</v>
      </c>
    </row>
    <row r="312" spans="1:9" x14ac:dyDescent="0.25">
      <c r="A312">
        <v>311</v>
      </c>
      <c r="B312">
        <v>9</v>
      </c>
      <c r="C312">
        <v>0</v>
      </c>
      <c r="D312">
        <v>409300.09</v>
      </c>
      <c r="E312">
        <v>3659141.92</v>
      </c>
      <c r="F312">
        <v>75.8</v>
      </c>
      <c r="G312">
        <v>31.5</v>
      </c>
      <c r="H312">
        <v>-0.23216999999999999</v>
      </c>
      <c r="I312">
        <v>-0.62873999999999997</v>
      </c>
    </row>
    <row r="313" spans="1:9" x14ac:dyDescent="0.25">
      <c r="A313">
        <v>312</v>
      </c>
      <c r="B313">
        <v>9</v>
      </c>
      <c r="C313">
        <v>0</v>
      </c>
      <c r="D313">
        <v>409300</v>
      </c>
      <c r="E313">
        <v>3659138.79</v>
      </c>
      <c r="F313">
        <v>72.900000000000006</v>
      </c>
      <c r="G313">
        <v>31.4</v>
      </c>
      <c r="H313">
        <v>-0.79581000000000002</v>
      </c>
      <c r="I313">
        <v>-1.71834</v>
      </c>
    </row>
    <row r="314" spans="1:9" x14ac:dyDescent="0.25">
      <c r="A314">
        <v>313</v>
      </c>
      <c r="B314">
        <v>9</v>
      </c>
      <c r="C314">
        <v>0</v>
      </c>
      <c r="D314">
        <v>409299.98</v>
      </c>
      <c r="E314">
        <v>3659135.64</v>
      </c>
      <c r="F314">
        <v>73.3</v>
      </c>
      <c r="G314">
        <v>29.9</v>
      </c>
      <c r="H314">
        <v>-1.0472999999999999</v>
      </c>
      <c r="I314">
        <v>-0.87839</v>
      </c>
    </row>
    <row r="315" spans="1:9" x14ac:dyDescent="0.25">
      <c r="A315">
        <v>315</v>
      </c>
      <c r="B315">
        <v>9</v>
      </c>
      <c r="C315">
        <v>7</v>
      </c>
      <c r="D315">
        <v>409299.96</v>
      </c>
      <c r="E315">
        <v>3659129.48</v>
      </c>
      <c r="F315">
        <v>73.400000000000006</v>
      </c>
      <c r="G315">
        <v>29.2</v>
      </c>
      <c r="H315">
        <v>-1.18086</v>
      </c>
      <c r="I315">
        <v>-0.52032999999999996</v>
      </c>
    </row>
    <row r="316" spans="1:9" x14ac:dyDescent="0.25">
      <c r="A316">
        <v>316</v>
      </c>
      <c r="B316">
        <v>10</v>
      </c>
      <c r="C316">
        <v>7</v>
      </c>
      <c r="D316">
        <v>409303.84</v>
      </c>
      <c r="E316">
        <v>3659128.2</v>
      </c>
      <c r="F316">
        <v>73.900000000000006</v>
      </c>
      <c r="G316">
        <v>28.3</v>
      </c>
      <c r="H316">
        <v>-1.2831600000000001</v>
      </c>
      <c r="I316">
        <v>8.5419999999999996E-2</v>
      </c>
    </row>
    <row r="317" spans="1:9" x14ac:dyDescent="0.25">
      <c r="A317">
        <v>317</v>
      </c>
      <c r="B317">
        <v>10</v>
      </c>
      <c r="C317">
        <v>7</v>
      </c>
      <c r="D317">
        <v>409303.84</v>
      </c>
      <c r="E317">
        <v>3659128.2</v>
      </c>
      <c r="F317">
        <v>74.2</v>
      </c>
      <c r="G317">
        <v>28.1</v>
      </c>
      <c r="H317">
        <v>-1.2706</v>
      </c>
      <c r="I317">
        <v>0.29397000000000001</v>
      </c>
    </row>
    <row r="318" spans="1:9" x14ac:dyDescent="0.25">
      <c r="A318">
        <v>318</v>
      </c>
      <c r="B318">
        <v>10</v>
      </c>
      <c r="C318">
        <v>7</v>
      </c>
      <c r="D318">
        <v>409303.98</v>
      </c>
      <c r="E318">
        <v>3659131.7</v>
      </c>
      <c r="F318">
        <v>74.5</v>
      </c>
      <c r="G318">
        <v>29.4</v>
      </c>
      <c r="H318">
        <v>-0.93181000000000003</v>
      </c>
      <c r="I318">
        <v>-0.18087</v>
      </c>
    </row>
    <row r="319" spans="1:9" x14ac:dyDescent="0.25">
      <c r="A319">
        <v>319</v>
      </c>
      <c r="B319">
        <v>10</v>
      </c>
      <c r="C319">
        <v>0</v>
      </c>
      <c r="D319">
        <v>409304.04</v>
      </c>
      <c r="E319">
        <v>3659134.66</v>
      </c>
      <c r="F319">
        <v>74.900000000000006</v>
      </c>
      <c r="G319">
        <v>30.3</v>
      </c>
      <c r="H319">
        <v>-0.66132999999999997</v>
      </c>
      <c r="I319">
        <v>-0.43432999999999999</v>
      </c>
    </row>
    <row r="320" spans="1:9" x14ac:dyDescent="0.25">
      <c r="A320">
        <v>320</v>
      </c>
      <c r="B320">
        <v>10</v>
      </c>
      <c r="C320">
        <v>0</v>
      </c>
      <c r="D320">
        <v>409304.11</v>
      </c>
      <c r="E320">
        <v>3659137.94</v>
      </c>
      <c r="F320">
        <v>76.400000000000006</v>
      </c>
      <c r="G320">
        <v>30.3</v>
      </c>
      <c r="H320">
        <v>-0.38102999999999998</v>
      </c>
      <c r="I320">
        <v>0.15282000000000001</v>
      </c>
    </row>
    <row r="321" spans="1:9" x14ac:dyDescent="0.25">
      <c r="A321">
        <v>321</v>
      </c>
      <c r="B321">
        <v>10</v>
      </c>
      <c r="C321">
        <v>0</v>
      </c>
      <c r="D321">
        <v>409304.15</v>
      </c>
      <c r="E321">
        <v>3659140.93</v>
      </c>
      <c r="F321">
        <v>76.7</v>
      </c>
      <c r="G321">
        <v>30.5</v>
      </c>
      <c r="H321">
        <v>-0.28148000000000001</v>
      </c>
      <c r="I321">
        <v>0.17913999999999999</v>
      </c>
    </row>
    <row r="322" spans="1:9" x14ac:dyDescent="0.25">
      <c r="A322">
        <v>322</v>
      </c>
      <c r="B322">
        <v>10</v>
      </c>
      <c r="C322">
        <v>0</v>
      </c>
      <c r="D322">
        <v>409304.24</v>
      </c>
      <c r="E322">
        <v>3659144.01</v>
      </c>
      <c r="F322">
        <v>73.8</v>
      </c>
      <c r="G322">
        <v>29.7</v>
      </c>
      <c r="H322">
        <v>-0.99736999999999998</v>
      </c>
      <c r="I322">
        <v>-0.59155000000000002</v>
      </c>
    </row>
    <row r="323" spans="1:9" x14ac:dyDescent="0.25">
      <c r="A323">
        <v>323</v>
      </c>
      <c r="B323">
        <v>10</v>
      </c>
      <c r="C323">
        <v>0</v>
      </c>
      <c r="D323">
        <v>409304.27</v>
      </c>
      <c r="E323">
        <v>3659147.18</v>
      </c>
      <c r="F323">
        <v>76.400000000000006</v>
      </c>
      <c r="G323">
        <v>29.8</v>
      </c>
      <c r="H323">
        <v>-0.48977999999999999</v>
      </c>
      <c r="I323">
        <v>0.38062000000000001</v>
      </c>
    </row>
    <row r="324" spans="1:9" x14ac:dyDescent="0.25">
      <c r="A324">
        <v>324</v>
      </c>
      <c r="B324">
        <v>10</v>
      </c>
      <c r="C324">
        <v>0</v>
      </c>
      <c r="D324">
        <v>409304.34</v>
      </c>
      <c r="E324">
        <v>3659150.32</v>
      </c>
      <c r="F324">
        <v>75.099999999999994</v>
      </c>
      <c r="G324">
        <v>30</v>
      </c>
      <c r="H324">
        <v>-0.68920000000000003</v>
      </c>
      <c r="I324">
        <v>-0.21936</v>
      </c>
    </row>
    <row r="325" spans="1:9" x14ac:dyDescent="0.25">
      <c r="A325">
        <v>325</v>
      </c>
      <c r="B325">
        <v>10</v>
      </c>
      <c r="C325">
        <v>0</v>
      </c>
      <c r="D325">
        <v>409304.36</v>
      </c>
      <c r="E325">
        <v>3659153.4</v>
      </c>
      <c r="F325">
        <v>76.099999999999994</v>
      </c>
      <c r="G325">
        <v>31.2</v>
      </c>
      <c r="H325">
        <v>-0.24135000000000001</v>
      </c>
      <c r="I325">
        <v>-0.37463999999999997</v>
      </c>
    </row>
    <row r="326" spans="1:9" x14ac:dyDescent="0.25">
      <c r="A326">
        <v>326</v>
      </c>
      <c r="B326">
        <v>10</v>
      </c>
      <c r="C326">
        <v>0</v>
      </c>
      <c r="D326">
        <v>409304.39</v>
      </c>
      <c r="E326">
        <v>3659156.46</v>
      </c>
      <c r="F326">
        <v>77.5</v>
      </c>
      <c r="G326">
        <v>30.5</v>
      </c>
      <c r="H326">
        <v>-0.13199</v>
      </c>
      <c r="I326">
        <v>0.49228</v>
      </c>
    </row>
    <row r="327" spans="1:9" x14ac:dyDescent="0.25">
      <c r="A327">
        <v>327</v>
      </c>
      <c r="B327">
        <v>10</v>
      </c>
      <c r="C327">
        <v>0</v>
      </c>
      <c r="D327">
        <v>409304.45</v>
      </c>
      <c r="E327">
        <v>3659159.56</v>
      </c>
      <c r="F327">
        <v>74.900000000000006</v>
      </c>
      <c r="G327">
        <v>29.7</v>
      </c>
      <c r="H327">
        <v>-0.79181999999999997</v>
      </c>
      <c r="I327">
        <v>-0.16097</v>
      </c>
    </row>
    <row r="328" spans="1:9" x14ac:dyDescent="0.25">
      <c r="A328">
        <v>328</v>
      </c>
      <c r="B328">
        <v>10</v>
      </c>
      <c r="C328">
        <v>0</v>
      </c>
      <c r="D328">
        <v>409304.54</v>
      </c>
      <c r="E328">
        <v>3659162.71</v>
      </c>
      <c r="F328">
        <v>78.599999999999994</v>
      </c>
      <c r="G328">
        <v>30.5</v>
      </c>
      <c r="H328">
        <v>7.356E-2</v>
      </c>
      <c r="I328">
        <v>0.92286000000000001</v>
      </c>
    </row>
    <row r="329" spans="1:9" x14ac:dyDescent="0.25">
      <c r="A329">
        <v>329</v>
      </c>
      <c r="B329">
        <v>10</v>
      </c>
      <c r="C329">
        <v>0</v>
      </c>
      <c r="D329">
        <v>409304.58</v>
      </c>
      <c r="E329">
        <v>3659165.82</v>
      </c>
      <c r="F329">
        <v>78.5</v>
      </c>
      <c r="G329">
        <v>30.4</v>
      </c>
      <c r="H329">
        <v>3.3119999999999997E-2</v>
      </c>
      <c r="I329">
        <v>0.92927999999999999</v>
      </c>
    </row>
    <row r="330" spans="1:9" x14ac:dyDescent="0.25">
      <c r="A330">
        <v>330</v>
      </c>
      <c r="B330">
        <v>10</v>
      </c>
      <c r="C330">
        <v>0</v>
      </c>
      <c r="D330">
        <v>409304.61</v>
      </c>
      <c r="E330">
        <v>3659168.92</v>
      </c>
      <c r="F330">
        <v>78.8</v>
      </c>
      <c r="G330">
        <v>30.9</v>
      </c>
      <c r="H330">
        <v>0.19792999999999999</v>
      </c>
      <c r="I330">
        <v>0.81891000000000003</v>
      </c>
    </row>
    <row r="331" spans="1:9" x14ac:dyDescent="0.25">
      <c r="A331">
        <v>331</v>
      </c>
      <c r="B331">
        <v>10</v>
      </c>
      <c r="C331">
        <v>0</v>
      </c>
      <c r="D331">
        <v>409304.64</v>
      </c>
      <c r="E331">
        <v>3659171.92</v>
      </c>
      <c r="F331">
        <v>77.5</v>
      </c>
      <c r="G331">
        <v>30.4</v>
      </c>
      <c r="H331">
        <v>-0.15373999999999999</v>
      </c>
      <c r="I331">
        <v>0.53783999999999998</v>
      </c>
    </row>
    <row r="332" spans="1:9" x14ac:dyDescent="0.25">
      <c r="A332">
        <v>332</v>
      </c>
      <c r="B332">
        <v>10</v>
      </c>
      <c r="C332">
        <v>0</v>
      </c>
      <c r="D332">
        <v>409304.69</v>
      </c>
      <c r="E332">
        <v>3659175.15</v>
      </c>
      <c r="F332">
        <v>76.599999999999994</v>
      </c>
      <c r="G332">
        <v>28.1</v>
      </c>
      <c r="H332">
        <v>-0.82213999999999998</v>
      </c>
      <c r="I332">
        <v>1.2334099999999999</v>
      </c>
    </row>
    <row r="333" spans="1:9" x14ac:dyDescent="0.25">
      <c r="A333">
        <v>333</v>
      </c>
      <c r="B333">
        <v>10</v>
      </c>
      <c r="C333">
        <v>0</v>
      </c>
      <c r="D333">
        <v>409304.7</v>
      </c>
      <c r="E333">
        <v>3659178.3</v>
      </c>
      <c r="F333">
        <v>72.8</v>
      </c>
      <c r="G333">
        <v>31.4</v>
      </c>
      <c r="H333">
        <v>-0.8145</v>
      </c>
      <c r="I333">
        <v>-1.75749</v>
      </c>
    </row>
    <row r="334" spans="1:9" x14ac:dyDescent="0.25">
      <c r="A334">
        <v>334</v>
      </c>
      <c r="B334">
        <v>10</v>
      </c>
      <c r="C334">
        <v>0</v>
      </c>
      <c r="D334">
        <v>409304.77</v>
      </c>
      <c r="E334">
        <v>3659182.41</v>
      </c>
      <c r="F334">
        <v>76.8</v>
      </c>
      <c r="G334">
        <v>29.7</v>
      </c>
      <c r="H334">
        <v>-0.43678</v>
      </c>
      <c r="I334">
        <v>0.58274999999999999</v>
      </c>
    </row>
    <row r="335" spans="1:9" x14ac:dyDescent="0.25">
      <c r="A335">
        <v>335</v>
      </c>
      <c r="B335">
        <v>10</v>
      </c>
      <c r="C335">
        <v>0</v>
      </c>
      <c r="D335">
        <v>409304.78</v>
      </c>
      <c r="E335">
        <v>3659185.42</v>
      </c>
      <c r="F335">
        <v>76.099999999999994</v>
      </c>
      <c r="G335">
        <v>29.5</v>
      </c>
      <c r="H335">
        <v>-0.61107999999999996</v>
      </c>
      <c r="I335">
        <v>0.39987</v>
      </c>
    </row>
    <row r="336" spans="1:9" x14ac:dyDescent="0.25">
      <c r="A336">
        <v>336</v>
      </c>
      <c r="B336">
        <v>10</v>
      </c>
      <c r="C336">
        <v>0</v>
      </c>
      <c r="D336">
        <v>409304.86</v>
      </c>
      <c r="E336">
        <v>3659188.53</v>
      </c>
      <c r="F336">
        <v>75.5</v>
      </c>
      <c r="G336">
        <v>29.5</v>
      </c>
      <c r="H336">
        <v>-0.72319999999999995</v>
      </c>
      <c r="I336">
        <v>0.16500999999999999</v>
      </c>
    </row>
    <row r="337" spans="1:9" x14ac:dyDescent="0.25">
      <c r="A337">
        <v>337</v>
      </c>
      <c r="B337">
        <v>10</v>
      </c>
      <c r="C337">
        <v>0</v>
      </c>
      <c r="D337">
        <v>409304.92</v>
      </c>
      <c r="E337">
        <v>3659191.73</v>
      </c>
      <c r="F337">
        <v>77</v>
      </c>
      <c r="G337">
        <v>30.1</v>
      </c>
      <c r="H337">
        <v>-0.31241000000000002</v>
      </c>
      <c r="I337">
        <v>0.4788</v>
      </c>
    </row>
    <row r="338" spans="1:9" x14ac:dyDescent="0.25">
      <c r="A338">
        <v>338</v>
      </c>
      <c r="B338">
        <v>10</v>
      </c>
      <c r="C338">
        <v>0</v>
      </c>
      <c r="D338">
        <v>409304.97</v>
      </c>
      <c r="E338">
        <v>3659194.96</v>
      </c>
      <c r="F338">
        <v>74.400000000000006</v>
      </c>
      <c r="G338">
        <v>29.2</v>
      </c>
      <c r="H338">
        <v>-0.99399000000000004</v>
      </c>
      <c r="I338">
        <v>-0.12889999999999999</v>
      </c>
    </row>
    <row r="339" spans="1:9" x14ac:dyDescent="0.25">
      <c r="A339">
        <v>339</v>
      </c>
      <c r="B339">
        <v>10</v>
      </c>
      <c r="C339">
        <v>0</v>
      </c>
      <c r="D339">
        <v>409305</v>
      </c>
      <c r="E339">
        <v>3659198.28</v>
      </c>
      <c r="F339">
        <v>74.3</v>
      </c>
      <c r="G339">
        <v>28.1</v>
      </c>
      <c r="H339">
        <v>-1.2519199999999999</v>
      </c>
      <c r="I339">
        <v>0.33311000000000002</v>
      </c>
    </row>
    <row r="340" spans="1:9" x14ac:dyDescent="0.25">
      <c r="A340">
        <v>340</v>
      </c>
      <c r="B340">
        <v>10</v>
      </c>
      <c r="C340">
        <v>0</v>
      </c>
      <c r="D340">
        <v>409304.95</v>
      </c>
      <c r="E340">
        <v>3659201.36</v>
      </c>
      <c r="F340">
        <v>72.7</v>
      </c>
      <c r="G340">
        <v>28</v>
      </c>
      <c r="H340">
        <v>-1.57264</v>
      </c>
      <c r="I340">
        <v>-0.24762999999999999</v>
      </c>
    </row>
    <row r="341" spans="1:9" x14ac:dyDescent="0.25">
      <c r="A341">
        <v>341</v>
      </c>
      <c r="B341">
        <v>10</v>
      </c>
      <c r="C341">
        <v>0</v>
      </c>
      <c r="D341">
        <v>409305.02</v>
      </c>
      <c r="E341">
        <v>3659204.6</v>
      </c>
      <c r="F341">
        <v>75.3</v>
      </c>
      <c r="G341">
        <v>27.4</v>
      </c>
      <c r="H341">
        <v>-1.2173</v>
      </c>
      <c r="I341">
        <v>1.04345</v>
      </c>
    </row>
    <row r="342" spans="1:9" x14ac:dyDescent="0.25">
      <c r="A342">
        <v>342</v>
      </c>
      <c r="B342">
        <v>10</v>
      </c>
      <c r="C342">
        <v>0</v>
      </c>
      <c r="D342">
        <v>409305.08</v>
      </c>
      <c r="E342">
        <v>3659207.86</v>
      </c>
      <c r="F342">
        <v>77</v>
      </c>
      <c r="G342">
        <v>32</v>
      </c>
      <c r="H342">
        <v>0.10081</v>
      </c>
      <c r="I342">
        <v>-0.38682</v>
      </c>
    </row>
    <row r="343" spans="1:9" x14ac:dyDescent="0.25">
      <c r="A343">
        <v>343</v>
      </c>
      <c r="B343">
        <v>10</v>
      </c>
      <c r="C343">
        <v>0</v>
      </c>
      <c r="D343">
        <v>409305.11</v>
      </c>
      <c r="E343">
        <v>3659211.17</v>
      </c>
      <c r="F343">
        <v>77.7</v>
      </c>
      <c r="G343">
        <v>29.7</v>
      </c>
      <c r="H343">
        <v>-0.26861000000000002</v>
      </c>
      <c r="I343">
        <v>0.93503999999999998</v>
      </c>
    </row>
    <row r="344" spans="1:9" x14ac:dyDescent="0.25">
      <c r="A344">
        <v>344</v>
      </c>
      <c r="B344">
        <v>10</v>
      </c>
      <c r="C344">
        <v>0</v>
      </c>
      <c r="D344">
        <v>409305.18</v>
      </c>
      <c r="E344">
        <v>3659214.58</v>
      </c>
      <c r="F344">
        <v>79.900000000000006</v>
      </c>
      <c r="G344">
        <v>29.2</v>
      </c>
      <c r="H344">
        <v>3.3750000000000002E-2</v>
      </c>
      <c r="I344">
        <v>2.02399</v>
      </c>
    </row>
    <row r="345" spans="1:9" x14ac:dyDescent="0.25">
      <c r="A345">
        <v>345</v>
      </c>
      <c r="B345">
        <v>10</v>
      </c>
      <c r="C345">
        <v>0</v>
      </c>
      <c r="D345">
        <v>409305.18</v>
      </c>
      <c r="E345">
        <v>3659217.75</v>
      </c>
      <c r="F345">
        <v>80.5</v>
      </c>
      <c r="G345">
        <v>28.9</v>
      </c>
      <c r="H345">
        <v>8.0619999999999997E-2</v>
      </c>
      <c r="I345">
        <v>2.3955299999999999</v>
      </c>
    </row>
    <row r="346" spans="1:9" x14ac:dyDescent="0.25">
      <c r="A346">
        <v>346</v>
      </c>
      <c r="B346">
        <v>10</v>
      </c>
      <c r="C346">
        <v>0</v>
      </c>
      <c r="D346">
        <v>409305.25</v>
      </c>
      <c r="E346">
        <v>3659220.94</v>
      </c>
      <c r="F346">
        <v>78.5</v>
      </c>
      <c r="G346">
        <v>27.3</v>
      </c>
      <c r="H346">
        <v>-0.64109000000000005</v>
      </c>
      <c r="I346">
        <v>2.3416000000000001</v>
      </c>
    </row>
    <row r="347" spans="1:9" x14ac:dyDescent="0.25">
      <c r="A347">
        <v>347</v>
      </c>
      <c r="B347">
        <v>10</v>
      </c>
      <c r="C347">
        <v>0</v>
      </c>
      <c r="D347">
        <v>409305.29</v>
      </c>
      <c r="E347">
        <v>3659224.26</v>
      </c>
      <c r="F347">
        <v>75.599999999999994</v>
      </c>
      <c r="G347">
        <v>26.7</v>
      </c>
      <c r="H347">
        <v>-1.31348</v>
      </c>
      <c r="I347">
        <v>1.4798</v>
      </c>
    </row>
    <row r="348" spans="1:9" x14ac:dyDescent="0.25">
      <c r="A348">
        <v>348</v>
      </c>
      <c r="B348">
        <v>10</v>
      </c>
      <c r="C348">
        <v>0</v>
      </c>
      <c r="D348">
        <v>409305.29</v>
      </c>
      <c r="E348">
        <v>3659227.35</v>
      </c>
      <c r="F348">
        <v>75.7</v>
      </c>
      <c r="G348">
        <v>27</v>
      </c>
      <c r="H348">
        <v>-1.2295499999999999</v>
      </c>
      <c r="I348">
        <v>1.38226</v>
      </c>
    </row>
    <row r="349" spans="1:9" x14ac:dyDescent="0.25">
      <c r="A349">
        <v>349</v>
      </c>
      <c r="B349">
        <v>10</v>
      </c>
      <c r="C349">
        <v>0</v>
      </c>
      <c r="D349">
        <v>409305.39</v>
      </c>
      <c r="E349">
        <v>3659230.61</v>
      </c>
      <c r="F349">
        <v>76.7</v>
      </c>
      <c r="G349">
        <v>26.2</v>
      </c>
      <c r="H349">
        <v>-1.21668</v>
      </c>
      <c r="I349">
        <v>2.1381700000000001</v>
      </c>
    </row>
    <row r="350" spans="1:9" x14ac:dyDescent="0.25">
      <c r="A350">
        <v>350</v>
      </c>
      <c r="B350">
        <v>10</v>
      </c>
      <c r="C350">
        <v>7</v>
      </c>
      <c r="D350">
        <v>409305.4</v>
      </c>
      <c r="E350">
        <v>3659233.89</v>
      </c>
      <c r="F350">
        <v>73.900000000000006</v>
      </c>
      <c r="G350">
        <v>27.6</v>
      </c>
      <c r="H350">
        <v>-1.4354100000000001</v>
      </c>
      <c r="I350">
        <v>0.40433000000000002</v>
      </c>
    </row>
    <row r="351" spans="1:9" x14ac:dyDescent="0.25">
      <c r="A351">
        <v>351</v>
      </c>
      <c r="B351">
        <v>10</v>
      </c>
      <c r="C351">
        <v>7</v>
      </c>
      <c r="D351">
        <v>409305.68</v>
      </c>
      <c r="E351">
        <v>3659236.54</v>
      </c>
      <c r="F351">
        <v>70.5</v>
      </c>
      <c r="G351">
        <v>25</v>
      </c>
      <c r="H351">
        <v>-2.6362000000000001</v>
      </c>
      <c r="I351">
        <v>0.25797999999999999</v>
      </c>
    </row>
    <row r="352" spans="1:9" x14ac:dyDescent="0.25">
      <c r="A352">
        <v>352</v>
      </c>
      <c r="B352">
        <v>11</v>
      </c>
      <c r="C352">
        <v>7</v>
      </c>
      <c r="D352">
        <v>409309.61</v>
      </c>
      <c r="E352">
        <v>3659238.03</v>
      </c>
      <c r="F352">
        <v>70.599999999999994</v>
      </c>
      <c r="G352">
        <v>30.7</v>
      </c>
      <c r="H352">
        <v>-1.37784</v>
      </c>
      <c r="I352">
        <v>-2.2997299999999998</v>
      </c>
    </row>
    <row r="353" spans="1:9" x14ac:dyDescent="0.25">
      <c r="A353">
        <v>353</v>
      </c>
      <c r="B353">
        <v>11</v>
      </c>
      <c r="C353">
        <v>7</v>
      </c>
      <c r="D353">
        <v>409309.59</v>
      </c>
      <c r="E353">
        <v>3659237.01</v>
      </c>
      <c r="F353">
        <v>70.900000000000006</v>
      </c>
      <c r="G353">
        <v>28.3</v>
      </c>
      <c r="H353">
        <v>-1.84375</v>
      </c>
      <c r="I353">
        <v>-1.0888800000000001</v>
      </c>
    </row>
    <row r="354" spans="1:9" x14ac:dyDescent="0.25">
      <c r="A354">
        <v>354</v>
      </c>
      <c r="B354">
        <v>11</v>
      </c>
      <c r="C354">
        <v>7</v>
      </c>
      <c r="D354">
        <v>409309.45</v>
      </c>
      <c r="E354">
        <v>3659234.41</v>
      </c>
      <c r="F354">
        <v>71</v>
      </c>
      <c r="G354">
        <v>25.4</v>
      </c>
      <c r="H354">
        <v>-2.4557799999999999</v>
      </c>
      <c r="I354">
        <v>0.27146999999999999</v>
      </c>
    </row>
    <row r="355" spans="1:9" x14ac:dyDescent="0.25">
      <c r="A355">
        <v>355</v>
      </c>
      <c r="B355">
        <v>11</v>
      </c>
      <c r="C355">
        <v>0</v>
      </c>
      <c r="D355">
        <v>409309.43</v>
      </c>
      <c r="E355">
        <v>3659231.6</v>
      </c>
      <c r="F355">
        <v>75.099999999999994</v>
      </c>
      <c r="G355">
        <v>27.4</v>
      </c>
      <c r="H355">
        <v>-1.25467</v>
      </c>
      <c r="I355">
        <v>0.96516999999999997</v>
      </c>
    </row>
    <row r="356" spans="1:9" x14ac:dyDescent="0.25">
      <c r="A356">
        <v>356</v>
      </c>
      <c r="B356">
        <v>11</v>
      </c>
      <c r="C356">
        <v>0</v>
      </c>
      <c r="D356">
        <v>409309.39</v>
      </c>
      <c r="E356">
        <v>3659228.67</v>
      </c>
      <c r="F356">
        <v>77.900000000000006</v>
      </c>
      <c r="G356">
        <v>29.2</v>
      </c>
      <c r="H356">
        <v>-0.33998</v>
      </c>
      <c r="I356">
        <v>1.24112</v>
      </c>
    </row>
    <row r="357" spans="1:9" x14ac:dyDescent="0.25">
      <c r="A357">
        <v>357</v>
      </c>
      <c r="B357">
        <v>11</v>
      </c>
      <c r="C357">
        <v>0</v>
      </c>
      <c r="D357">
        <v>409309.34</v>
      </c>
      <c r="E357">
        <v>3659225.76</v>
      </c>
      <c r="F357">
        <v>78.400000000000006</v>
      </c>
      <c r="G357">
        <v>29.8</v>
      </c>
      <c r="H357">
        <v>-0.11605</v>
      </c>
      <c r="I357">
        <v>1.1634899999999999</v>
      </c>
    </row>
    <row r="358" spans="1:9" x14ac:dyDescent="0.25">
      <c r="A358">
        <v>358</v>
      </c>
      <c r="B358">
        <v>11</v>
      </c>
      <c r="C358">
        <v>0</v>
      </c>
      <c r="D358">
        <v>409309.39</v>
      </c>
      <c r="E358">
        <v>3659222.79</v>
      </c>
      <c r="F358">
        <v>78.400000000000006</v>
      </c>
      <c r="G358">
        <v>31</v>
      </c>
      <c r="H358">
        <v>0.14493</v>
      </c>
      <c r="I358">
        <v>0.61677999999999999</v>
      </c>
    </row>
    <row r="359" spans="1:9" x14ac:dyDescent="0.25">
      <c r="A359">
        <v>359</v>
      </c>
      <c r="B359">
        <v>11</v>
      </c>
      <c r="C359">
        <v>0</v>
      </c>
      <c r="D359">
        <v>409309.3</v>
      </c>
      <c r="E359">
        <v>3659219.72</v>
      </c>
      <c r="F359">
        <v>78.400000000000006</v>
      </c>
      <c r="G359">
        <v>30.6</v>
      </c>
      <c r="H359">
        <v>5.7939999999999998E-2</v>
      </c>
      <c r="I359">
        <v>0.79901999999999995</v>
      </c>
    </row>
    <row r="360" spans="1:9" x14ac:dyDescent="0.25">
      <c r="A360">
        <v>360</v>
      </c>
      <c r="B360">
        <v>11</v>
      </c>
      <c r="C360">
        <v>0</v>
      </c>
      <c r="D360">
        <v>409309.26</v>
      </c>
      <c r="E360">
        <v>3659216.51</v>
      </c>
      <c r="F360">
        <v>79.099999999999994</v>
      </c>
      <c r="G360">
        <v>31.9</v>
      </c>
      <c r="H360">
        <v>0.47147</v>
      </c>
      <c r="I360">
        <v>0.48075000000000001</v>
      </c>
    </row>
    <row r="361" spans="1:9" x14ac:dyDescent="0.25">
      <c r="A361">
        <v>361</v>
      </c>
      <c r="B361">
        <v>11</v>
      </c>
      <c r="C361">
        <v>0</v>
      </c>
      <c r="D361">
        <v>409309.14</v>
      </c>
      <c r="E361">
        <v>3659212.52</v>
      </c>
      <c r="F361">
        <v>79.3</v>
      </c>
      <c r="G361">
        <v>31.6</v>
      </c>
      <c r="H361">
        <v>0.44359999999999999</v>
      </c>
      <c r="I361">
        <v>0.69572000000000001</v>
      </c>
    </row>
    <row r="362" spans="1:9" x14ac:dyDescent="0.25">
      <c r="A362">
        <v>362</v>
      </c>
      <c r="B362">
        <v>11</v>
      </c>
      <c r="C362">
        <v>0</v>
      </c>
      <c r="D362">
        <v>409309.15</v>
      </c>
      <c r="E362">
        <v>3659210.04</v>
      </c>
      <c r="F362">
        <v>77.2</v>
      </c>
      <c r="G362">
        <v>31</v>
      </c>
      <c r="H362">
        <v>-7.9299999999999995E-2</v>
      </c>
      <c r="I362">
        <v>0.14706</v>
      </c>
    </row>
    <row r="363" spans="1:9" x14ac:dyDescent="0.25">
      <c r="A363">
        <v>363</v>
      </c>
      <c r="B363">
        <v>11</v>
      </c>
      <c r="C363">
        <v>0</v>
      </c>
      <c r="D363">
        <v>409309.1</v>
      </c>
      <c r="E363">
        <v>3659205.86</v>
      </c>
      <c r="F363">
        <v>77.599999999999994</v>
      </c>
      <c r="G363">
        <v>30.5</v>
      </c>
      <c r="H363">
        <v>-0.1133</v>
      </c>
      <c r="I363">
        <v>0.53142999999999996</v>
      </c>
    </row>
    <row r="364" spans="1:9" x14ac:dyDescent="0.25">
      <c r="A364">
        <v>364</v>
      </c>
      <c r="B364">
        <v>11</v>
      </c>
      <c r="C364">
        <v>0</v>
      </c>
      <c r="D364">
        <v>409309</v>
      </c>
      <c r="E364">
        <v>3659202.59</v>
      </c>
      <c r="F364">
        <v>74.5</v>
      </c>
      <c r="G364">
        <v>28.3</v>
      </c>
      <c r="H364">
        <v>-1.1710499999999999</v>
      </c>
      <c r="I364">
        <v>0.32028000000000001</v>
      </c>
    </row>
    <row r="365" spans="1:9" x14ac:dyDescent="0.25">
      <c r="A365">
        <v>365</v>
      </c>
      <c r="B365">
        <v>11</v>
      </c>
      <c r="C365">
        <v>0</v>
      </c>
      <c r="D365">
        <v>409308.93</v>
      </c>
      <c r="E365">
        <v>3659199.22</v>
      </c>
      <c r="F365">
        <v>74.400000000000006</v>
      </c>
      <c r="G365">
        <v>27.5</v>
      </c>
      <c r="H365">
        <v>-1.36372</v>
      </c>
      <c r="I365">
        <v>0.64561000000000002</v>
      </c>
    </row>
    <row r="366" spans="1:9" x14ac:dyDescent="0.25">
      <c r="A366">
        <v>366</v>
      </c>
      <c r="B366">
        <v>11</v>
      </c>
      <c r="C366">
        <v>0</v>
      </c>
      <c r="D366">
        <v>409308.99</v>
      </c>
      <c r="E366">
        <v>3659196.09</v>
      </c>
      <c r="F366">
        <v>77.099999999999994</v>
      </c>
      <c r="G366">
        <v>29.1</v>
      </c>
      <c r="H366">
        <v>-0.51122000000000001</v>
      </c>
      <c r="I366">
        <v>0.97353000000000001</v>
      </c>
    </row>
    <row r="367" spans="1:9" x14ac:dyDescent="0.25">
      <c r="A367">
        <v>367</v>
      </c>
      <c r="B367">
        <v>11</v>
      </c>
      <c r="C367">
        <v>0</v>
      </c>
      <c r="D367">
        <v>409308.99</v>
      </c>
      <c r="E367">
        <v>3659192.83</v>
      </c>
      <c r="F367">
        <v>77.900000000000006</v>
      </c>
      <c r="G367">
        <v>31.5</v>
      </c>
      <c r="H367">
        <v>0.16023999999999999</v>
      </c>
      <c r="I367">
        <v>0.19327</v>
      </c>
    </row>
    <row r="368" spans="1:9" x14ac:dyDescent="0.25">
      <c r="A368">
        <v>368</v>
      </c>
      <c r="B368">
        <v>11</v>
      </c>
      <c r="C368">
        <v>0</v>
      </c>
      <c r="D368">
        <v>409308.86</v>
      </c>
      <c r="E368">
        <v>3659189.48</v>
      </c>
      <c r="F368">
        <v>80.400000000000006</v>
      </c>
      <c r="G368">
        <v>32.799999999999997</v>
      </c>
      <c r="H368">
        <v>0.91012999999999999</v>
      </c>
      <c r="I368">
        <v>0.57959000000000005</v>
      </c>
    </row>
    <row r="369" spans="1:9" x14ac:dyDescent="0.25">
      <c r="A369">
        <v>369</v>
      </c>
      <c r="B369">
        <v>11</v>
      </c>
      <c r="C369">
        <v>0</v>
      </c>
      <c r="D369">
        <v>409308.86</v>
      </c>
      <c r="E369">
        <v>3659186.26</v>
      </c>
      <c r="F369">
        <v>80.599999999999994</v>
      </c>
      <c r="G369">
        <v>33.5</v>
      </c>
      <c r="H369">
        <v>1.09975</v>
      </c>
      <c r="I369">
        <v>0.33895999999999998</v>
      </c>
    </row>
    <row r="370" spans="1:9" x14ac:dyDescent="0.25">
      <c r="A370">
        <v>370</v>
      </c>
      <c r="B370">
        <v>11</v>
      </c>
      <c r="C370">
        <v>0</v>
      </c>
      <c r="D370">
        <v>409308.76</v>
      </c>
      <c r="E370">
        <v>3659182.92</v>
      </c>
      <c r="F370">
        <v>79.400000000000006</v>
      </c>
      <c r="G370">
        <v>33.5</v>
      </c>
      <c r="H370">
        <v>0.87551000000000001</v>
      </c>
      <c r="I370">
        <v>-0.13075999999999999</v>
      </c>
    </row>
    <row r="371" spans="1:9" x14ac:dyDescent="0.25">
      <c r="A371">
        <v>371</v>
      </c>
      <c r="B371">
        <v>11</v>
      </c>
      <c r="C371">
        <v>0</v>
      </c>
      <c r="D371">
        <v>409308.75</v>
      </c>
      <c r="E371">
        <v>3659179.4</v>
      </c>
      <c r="F371">
        <v>80</v>
      </c>
      <c r="G371">
        <v>33</v>
      </c>
      <c r="H371">
        <v>0.87887999999999999</v>
      </c>
      <c r="I371">
        <v>0.33189999999999997</v>
      </c>
    </row>
    <row r="372" spans="1:9" x14ac:dyDescent="0.25">
      <c r="A372">
        <v>372</v>
      </c>
      <c r="B372">
        <v>11</v>
      </c>
      <c r="C372">
        <v>0</v>
      </c>
      <c r="D372">
        <v>409308.62</v>
      </c>
      <c r="E372">
        <v>3659176.12</v>
      </c>
      <c r="F372">
        <v>81.599999999999994</v>
      </c>
      <c r="G372">
        <v>35.6</v>
      </c>
      <c r="H372">
        <v>1.74333</v>
      </c>
      <c r="I372">
        <v>-0.22634000000000001</v>
      </c>
    </row>
    <row r="373" spans="1:9" x14ac:dyDescent="0.25">
      <c r="A373">
        <v>373</v>
      </c>
      <c r="B373">
        <v>11</v>
      </c>
      <c r="C373">
        <v>0</v>
      </c>
      <c r="D373">
        <v>409308.61</v>
      </c>
      <c r="E373">
        <v>3659172.83</v>
      </c>
      <c r="F373">
        <v>80.8</v>
      </c>
      <c r="G373">
        <v>34</v>
      </c>
      <c r="H373">
        <v>1.24586</v>
      </c>
      <c r="I373">
        <v>0.18945999999999999</v>
      </c>
    </row>
    <row r="374" spans="1:9" x14ac:dyDescent="0.25">
      <c r="A374">
        <v>374</v>
      </c>
      <c r="B374">
        <v>11</v>
      </c>
      <c r="C374">
        <v>0</v>
      </c>
      <c r="D374">
        <v>409308.6</v>
      </c>
      <c r="E374">
        <v>3659169.61</v>
      </c>
      <c r="F374">
        <v>78.5</v>
      </c>
      <c r="G374">
        <v>33.799999999999997</v>
      </c>
      <c r="H374">
        <v>0.77258000000000004</v>
      </c>
      <c r="I374">
        <v>-0.61972000000000005</v>
      </c>
    </row>
    <row r="375" spans="1:9" x14ac:dyDescent="0.25">
      <c r="A375">
        <v>375</v>
      </c>
      <c r="B375">
        <v>11</v>
      </c>
      <c r="C375">
        <v>0</v>
      </c>
      <c r="D375">
        <v>409308.53</v>
      </c>
      <c r="E375">
        <v>3659166.33</v>
      </c>
      <c r="F375">
        <v>79.5</v>
      </c>
      <c r="G375">
        <v>32.799999999999997</v>
      </c>
      <c r="H375">
        <v>0.74195999999999995</v>
      </c>
      <c r="I375">
        <v>0.2273</v>
      </c>
    </row>
    <row r="376" spans="1:9" x14ac:dyDescent="0.25">
      <c r="A376">
        <v>376</v>
      </c>
      <c r="B376">
        <v>11</v>
      </c>
      <c r="C376">
        <v>0</v>
      </c>
      <c r="D376">
        <v>409308.52</v>
      </c>
      <c r="E376">
        <v>3659163.11</v>
      </c>
      <c r="F376">
        <v>78.599999999999994</v>
      </c>
      <c r="G376">
        <v>34</v>
      </c>
      <c r="H376">
        <v>0.83477000000000001</v>
      </c>
      <c r="I376">
        <v>-0.67169999999999996</v>
      </c>
    </row>
    <row r="377" spans="1:9" x14ac:dyDescent="0.25">
      <c r="A377">
        <v>377</v>
      </c>
      <c r="B377">
        <v>11</v>
      </c>
      <c r="C377">
        <v>0</v>
      </c>
      <c r="D377">
        <v>409308.47</v>
      </c>
      <c r="E377">
        <v>3659159.87</v>
      </c>
      <c r="F377">
        <v>79.7</v>
      </c>
      <c r="G377">
        <v>33.1</v>
      </c>
      <c r="H377">
        <v>0.84458</v>
      </c>
      <c r="I377">
        <v>0.16891</v>
      </c>
    </row>
    <row r="378" spans="1:9" x14ac:dyDescent="0.25">
      <c r="A378">
        <v>378</v>
      </c>
      <c r="B378">
        <v>11</v>
      </c>
      <c r="C378">
        <v>0</v>
      </c>
      <c r="D378">
        <v>409308.4</v>
      </c>
      <c r="E378">
        <v>3659156.93</v>
      </c>
      <c r="F378">
        <v>78.2</v>
      </c>
      <c r="G378">
        <v>32</v>
      </c>
      <c r="H378">
        <v>0.32505000000000001</v>
      </c>
      <c r="I378">
        <v>8.2900000000000001E-2</v>
      </c>
    </row>
    <row r="379" spans="1:9" x14ac:dyDescent="0.25">
      <c r="A379">
        <v>379</v>
      </c>
      <c r="B379">
        <v>11</v>
      </c>
      <c r="C379">
        <v>0</v>
      </c>
      <c r="D379">
        <v>409308.65</v>
      </c>
      <c r="E379">
        <v>3659144.3</v>
      </c>
      <c r="F379">
        <v>77.8</v>
      </c>
      <c r="G379">
        <v>32</v>
      </c>
      <c r="H379">
        <v>0.25030000000000002</v>
      </c>
      <c r="I379">
        <v>-7.3669999999999999E-2</v>
      </c>
    </row>
    <row r="380" spans="1:9" x14ac:dyDescent="0.25">
      <c r="A380">
        <v>380</v>
      </c>
      <c r="B380">
        <v>11</v>
      </c>
      <c r="C380">
        <v>0</v>
      </c>
      <c r="D380">
        <v>409308.63</v>
      </c>
      <c r="E380">
        <v>3659141.05</v>
      </c>
      <c r="F380">
        <v>78.2</v>
      </c>
      <c r="G380">
        <v>32.1</v>
      </c>
      <c r="H380">
        <v>0.34678999999999999</v>
      </c>
      <c r="I380">
        <v>3.7350000000000001E-2</v>
      </c>
    </row>
    <row r="381" spans="1:9" x14ac:dyDescent="0.25">
      <c r="A381">
        <v>381</v>
      </c>
      <c r="B381">
        <v>11</v>
      </c>
      <c r="C381">
        <v>0</v>
      </c>
      <c r="D381">
        <v>409308.54</v>
      </c>
      <c r="E381">
        <v>3659137.77</v>
      </c>
      <c r="F381">
        <v>78.2</v>
      </c>
      <c r="G381">
        <v>33.9</v>
      </c>
      <c r="H381">
        <v>0.73826999999999998</v>
      </c>
      <c r="I381">
        <v>-0.78271000000000002</v>
      </c>
    </row>
    <row r="382" spans="1:9" x14ac:dyDescent="0.25">
      <c r="A382">
        <v>382</v>
      </c>
      <c r="B382">
        <v>11</v>
      </c>
      <c r="C382">
        <v>0</v>
      </c>
      <c r="D382">
        <v>409308.45</v>
      </c>
      <c r="E382">
        <v>3659134.62</v>
      </c>
      <c r="F382">
        <v>77.8</v>
      </c>
      <c r="G382">
        <v>32.799999999999997</v>
      </c>
      <c r="H382">
        <v>0.42429</v>
      </c>
      <c r="I382">
        <v>-0.43813999999999997</v>
      </c>
    </row>
    <row r="383" spans="1:9" x14ac:dyDescent="0.25">
      <c r="A383">
        <v>383</v>
      </c>
      <c r="B383">
        <v>11</v>
      </c>
      <c r="C383">
        <v>7</v>
      </c>
      <c r="D383">
        <v>409308.36</v>
      </c>
      <c r="E383">
        <v>3659131.47</v>
      </c>
      <c r="F383">
        <v>78.3</v>
      </c>
      <c r="G383">
        <v>32.4</v>
      </c>
      <c r="H383">
        <v>0.43073</v>
      </c>
      <c r="I383">
        <v>-6.019E-2</v>
      </c>
    </row>
    <row r="384" spans="1:9" x14ac:dyDescent="0.25">
      <c r="A384">
        <v>384</v>
      </c>
      <c r="B384">
        <v>11</v>
      </c>
      <c r="C384">
        <v>7</v>
      </c>
      <c r="D384">
        <v>409308.38</v>
      </c>
      <c r="E384">
        <v>3659128.24</v>
      </c>
      <c r="F384">
        <v>78.2</v>
      </c>
      <c r="G384">
        <v>31.6</v>
      </c>
      <c r="H384">
        <v>0.23805000000000001</v>
      </c>
      <c r="I384">
        <v>0.26513999999999999</v>
      </c>
    </row>
    <row r="385" spans="1:9" x14ac:dyDescent="0.25">
      <c r="A385">
        <v>385</v>
      </c>
      <c r="B385">
        <v>12</v>
      </c>
      <c r="C385">
        <v>7</v>
      </c>
      <c r="D385">
        <v>409312.42</v>
      </c>
      <c r="E385">
        <v>3659128.61</v>
      </c>
      <c r="F385">
        <v>79.8</v>
      </c>
      <c r="G385">
        <v>31.5</v>
      </c>
      <c r="H385">
        <v>0.51527999999999996</v>
      </c>
      <c r="I385">
        <v>0.93698999999999999</v>
      </c>
    </row>
    <row r="386" spans="1:9" x14ac:dyDescent="0.25">
      <c r="A386">
        <v>386</v>
      </c>
      <c r="B386">
        <v>12</v>
      </c>
      <c r="C386">
        <v>7</v>
      </c>
      <c r="D386">
        <v>409312.42</v>
      </c>
      <c r="E386">
        <v>3659128.61</v>
      </c>
      <c r="F386">
        <v>79</v>
      </c>
      <c r="G386">
        <v>31.6</v>
      </c>
      <c r="H386">
        <v>0.38754</v>
      </c>
      <c r="I386">
        <v>0.57828999999999997</v>
      </c>
    </row>
    <row r="387" spans="1:9" x14ac:dyDescent="0.25">
      <c r="A387">
        <v>387</v>
      </c>
      <c r="B387">
        <v>12</v>
      </c>
      <c r="C387">
        <v>7</v>
      </c>
      <c r="D387">
        <v>409312.47</v>
      </c>
      <c r="E387">
        <v>3659131.11</v>
      </c>
      <c r="F387">
        <v>78.599999999999994</v>
      </c>
      <c r="G387">
        <v>32.5</v>
      </c>
      <c r="H387">
        <v>0.50853000000000004</v>
      </c>
      <c r="I387">
        <v>1.1679999999999999E-2</v>
      </c>
    </row>
    <row r="388" spans="1:9" x14ac:dyDescent="0.25">
      <c r="A388">
        <v>388</v>
      </c>
      <c r="B388">
        <v>12</v>
      </c>
      <c r="C388">
        <v>2</v>
      </c>
      <c r="D388">
        <v>409312.55</v>
      </c>
      <c r="E388">
        <v>3659134.92</v>
      </c>
      <c r="F388">
        <v>78.7</v>
      </c>
      <c r="G388">
        <v>34.4</v>
      </c>
      <c r="H388">
        <v>0.94045000000000001</v>
      </c>
      <c r="I388">
        <v>-0.81479000000000001</v>
      </c>
    </row>
    <row r="389" spans="1:9" x14ac:dyDescent="0.25">
      <c r="A389">
        <v>389</v>
      </c>
      <c r="B389">
        <v>12</v>
      </c>
      <c r="C389">
        <v>0</v>
      </c>
      <c r="D389">
        <v>409312.63</v>
      </c>
      <c r="E389">
        <v>3659138.16</v>
      </c>
      <c r="F389">
        <v>81.3</v>
      </c>
      <c r="G389">
        <v>32.799999999999997</v>
      </c>
      <c r="H389">
        <v>1.0783100000000001</v>
      </c>
      <c r="I389">
        <v>0.93188000000000004</v>
      </c>
    </row>
    <row r="390" spans="1:9" x14ac:dyDescent="0.25">
      <c r="A390">
        <v>390</v>
      </c>
      <c r="B390">
        <v>12</v>
      </c>
      <c r="C390">
        <v>0</v>
      </c>
      <c r="D390">
        <v>409312.7</v>
      </c>
      <c r="E390">
        <v>3659141.27</v>
      </c>
      <c r="F390">
        <v>80</v>
      </c>
      <c r="G390">
        <v>31.5</v>
      </c>
      <c r="H390">
        <v>0.55264999999999997</v>
      </c>
      <c r="I390">
        <v>1.01528</v>
      </c>
    </row>
    <row r="391" spans="1:9" x14ac:dyDescent="0.25">
      <c r="A391">
        <v>391</v>
      </c>
      <c r="B391">
        <v>12</v>
      </c>
      <c r="C391">
        <v>0</v>
      </c>
      <c r="D391">
        <v>409312.78</v>
      </c>
      <c r="E391">
        <v>3659144.58</v>
      </c>
      <c r="F391">
        <v>78.3</v>
      </c>
      <c r="G391">
        <v>30.4</v>
      </c>
      <c r="H391">
        <v>-4.2500000000000003E-3</v>
      </c>
      <c r="I391">
        <v>0.85099000000000002</v>
      </c>
    </row>
    <row r="392" spans="1:9" x14ac:dyDescent="0.25">
      <c r="A392">
        <v>392</v>
      </c>
      <c r="B392">
        <v>12</v>
      </c>
      <c r="C392">
        <v>0</v>
      </c>
      <c r="D392">
        <v>409312.86</v>
      </c>
      <c r="E392">
        <v>3659147.78</v>
      </c>
      <c r="F392">
        <v>76.7</v>
      </c>
      <c r="G392">
        <v>29.1</v>
      </c>
      <c r="H392">
        <v>-0.58596000000000004</v>
      </c>
      <c r="I392">
        <v>0.81696000000000002</v>
      </c>
    </row>
    <row r="393" spans="1:9" x14ac:dyDescent="0.25">
      <c r="A393">
        <v>393</v>
      </c>
      <c r="B393">
        <v>12</v>
      </c>
      <c r="C393">
        <v>0</v>
      </c>
      <c r="D393">
        <v>409312.79</v>
      </c>
      <c r="E393">
        <v>3659151.02</v>
      </c>
      <c r="F393">
        <v>78.599999999999994</v>
      </c>
      <c r="G393">
        <v>29.6</v>
      </c>
      <c r="H393">
        <v>-0.12218</v>
      </c>
      <c r="I393">
        <v>1.3328899999999999</v>
      </c>
    </row>
    <row r="394" spans="1:9" x14ac:dyDescent="0.25">
      <c r="A394">
        <v>394</v>
      </c>
      <c r="B394">
        <v>12</v>
      </c>
      <c r="C394">
        <v>0</v>
      </c>
      <c r="D394">
        <v>409312.84</v>
      </c>
      <c r="E394">
        <v>3659154.34</v>
      </c>
      <c r="F394">
        <v>78.400000000000006</v>
      </c>
      <c r="G394">
        <v>29.3</v>
      </c>
      <c r="H394">
        <v>-0.2248</v>
      </c>
      <c r="I394">
        <v>1.3912800000000001</v>
      </c>
    </row>
    <row r="395" spans="1:9" x14ac:dyDescent="0.25">
      <c r="A395">
        <v>395</v>
      </c>
      <c r="B395">
        <v>12</v>
      </c>
      <c r="C395">
        <v>0</v>
      </c>
      <c r="D395">
        <v>409312.99</v>
      </c>
      <c r="E395">
        <v>3659157.66</v>
      </c>
      <c r="F395">
        <v>77.599999999999994</v>
      </c>
      <c r="G395">
        <v>31.1</v>
      </c>
      <c r="H395">
        <v>1.719E-2</v>
      </c>
      <c r="I395">
        <v>0.25807000000000002</v>
      </c>
    </row>
    <row r="396" spans="1:9" x14ac:dyDescent="0.25">
      <c r="A396">
        <v>396</v>
      </c>
      <c r="B396">
        <v>12</v>
      </c>
      <c r="C396">
        <v>0</v>
      </c>
      <c r="D396">
        <v>409313.04</v>
      </c>
      <c r="E396">
        <v>3659161.17</v>
      </c>
      <c r="F396">
        <v>78.5</v>
      </c>
      <c r="G396">
        <v>31</v>
      </c>
      <c r="H396">
        <v>0.16361999999999999</v>
      </c>
      <c r="I396">
        <v>0.65591999999999995</v>
      </c>
    </row>
    <row r="397" spans="1:9" x14ac:dyDescent="0.25">
      <c r="A397">
        <v>397</v>
      </c>
      <c r="B397">
        <v>12</v>
      </c>
      <c r="C397">
        <v>0</v>
      </c>
      <c r="D397">
        <v>409313.03</v>
      </c>
      <c r="E397">
        <v>3659164.38</v>
      </c>
      <c r="F397">
        <v>80</v>
      </c>
      <c r="G397">
        <v>32.299999999999997</v>
      </c>
      <c r="H397">
        <v>0.72663999999999995</v>
      </c>
      <c r="I397">
        <v>0.65081</v>
      </c>
    </row>
    <row r="398" spans="1:9" x14ac:dyDescent="0.25">
      <c r="A398">
        <v>398</v>
      </c>
      <c r="B398">
        <v>12</v>
      </c>
      <c r="C398">
        <v>0</v>
      </c>
      <c r="D398">
        <v>409313.06</v>
      </c>
      <c r="E398">
        <v>3659167.68</v>
      </c>
      <c r="F398">
        <v>78.7</v>
      </c>
      <c r="G398">
        <v>32.6</v>
      </c>
      <c r="H398">
        <v>0.54896999999999996</v>
      </c>
      <c r="I398">
        <v>5.2700000000000004E-3</v>
      </c>
    </row>
    <row r="399" spans="1:9" x14ac:dyDescent="0.25">
      <c r="A399">
        <v>399</v>
      </c>
      <c r="B399">
        <v>12</v>
      </c>
      <c r="C399">
        <v>0</v>
      </c>
      <c r="D399">
        <v>409313.11</v>
      </c>
      <c r="E399">
        <v>3659170.92</v>
      </c>
      <c r="F399">
        <v>81.5</v>
      </c>
      <c r="G399">
        <v>33.9</v>
      </c>
      <c r="H399">
        <v>1.3549199999999999</v>
      </c>
      <c r="I399">
        <v>0.50902000000000003</v>
      </c>
    </row>
    <row r="400" spans="1:9" x14ac:dyDescent="0.25">
      <c r="A400">
        <v>400</v>
      </c>
      <c r="B400">
        <v>12</v>
      </c>
      <c r="C400">
        <v>0</v>
      </c>
      <c r="D400">
        <v>409313.15</v>
      </c>
      <c r="E400">
        <v>3659174.19</v>
      </c>
      <c r="F400">
        <v>82.3</v>
      </c>
      <c r="G400">
        <v>33.799999999999997</v>
      </c>
      <c r="H400">
        <v>1.4826600000000001</v>
      </c>
      <c r="I400">
        <v>0.86772000000000005</v>
      </c>
    </row>
    <row r="401" spans="1:9" x14ac:dyDescent="0.25">
      <c r="A401">
        <v>401</v>
      </c>
      <c r="B401">
        <v>12</v>
      </c>
      <c r="C401">
        <v>0</v>
      </c>
      <c r="D401">
        <v>409313.21</v>
      </c>
      <c r="E401">
        <v>3659177.49</v>
      </c>
      <c r="F401">
        <v>82.5</v>
      </c>
      <c r="G401">
        <v>33.1</v>
      </c>
      <c r="H401">
        <v>1.3677900000000001</v>
      </c>
      <c r="I401">
        <v>1.26492</v>
      </c>
    </row>
    <row r="402" spans="1:9" x14ac:dyDescent="0.25">
      <c r="A402">
        <v>402</v>
      </c>
      <c r="B402">
        <v>12</v>
      </c>
      <c r="C402">
        <v>0</v>
      </c>
      <c r="D402">
        <v>409313.22</v>
      </c>
      <c r="E402">
        <v>3659180.65</v>
      </c>
      <c r="F402">
        <v>81.8</v>
      </c>
      <c r="G402">
        <v>34</v>
      </c>
      <c r="H402">
        <v>1.43272</v>
      </c>
      <c r="I402">
        <v>0.58089000000000002</v>
      </c>
    </row>
    <row r="403" spans="1:9" x14ac:dyDescent="0.25">
      <c r="A403">
        <v>403</v>
      </c>
      <c r="B403">
        <v>12</v>
      </c>
      <c r="C403">
        <v>0</v>
      </c>
      <c r="D403">
        <v>409313.26</v>
      </c>
      <c r="E403">
        <v>3659183.92</v>
      </c>
      <c r="F403">
        <v>80.2</v>
      </c>
      <c r="G403">
        <v>32.4</v>
      </c>
      <c r="H403">
        <v>0.78576000000000001</v>
      </c>
      <c r="I403">
        <v>0.68354000000000004</v>
      </c>
    </row>
    <row r="404" spans="1:9" x14ac:dyDescent="0.25">
      <c r="A404">
        <v>404</v>
      </c>
      <c r="B404">
        <v>12</v>
      </c>
      <c r="C404">
        <v>0</v>
      </c>
      <c r="D404">
        <v>409313.26</v>
      </c>
      <c r="E404">
        <v>3659187.22</v>
      </c>
      <c r="F404">
        <v>80.900000000000006</v>
      </c>
      <c r="G404">
        <v>33</v>
      </c>
      <c r="H404">
        <v>1.0470600000000001</v>
      </c>
      <c r="I404">
        <v>0.68418999999999996</v>
      </c>
    </row>
    <row r="405" spans="1:9" x14ac:dyDescent="0.25">
      <c r="A405">
        <v>405</v>
      </c>
      <c r="B405">
        <v>12</v>
      </c>
      <c r="C405">
        <v>0</v>
      </c>
      <c r="D405">
        <v>409313.29</v>
      </c>
      <c r="E405">
        <v>3659190.44</v>
      </c>
      <c r="F405">
        <v>81.599999999999994</v>
      </c>
      <c r="G405">
        <v>32.799999999999997</v>
      </c>
      <c r="H405">
        <v>1.1343700000000001</v>
      </c>
      <c r="I405">
        <v>1.04931</v>
      </c>
    </row>
    <row r="406" spans="1:9" x14ac:dyDescent="0.25">
      <c r="A406">
        <v>406</v>
      </c>
      <c r="B406">
        <v>12</v>
      </c>
      <c r="C406">
        <v>0</v>
      </c>
      <c r="D406">
        <v>409313.37</v>
      </c>
      <c r="E406">
        <v>3659193.74</v>
      </c>
      <c r="F406">
        <v>77.599999999999994</v>
      </c>
      <c r="G406">
        <v>32.700000000000003</v>
      </c>
      <c r="H406">
        <v>0.36516999999999999</v>
      </c>
      <c r="I406">
        <v>-0.47087000000000001</v>
      </c>
    </row>
    <row r="407" spans="1:9" x14ac:dyDescent="0.25">
      <c r="A407">
        <v>407</v>
      </c>
      <c r="B407">
        <v>12</v>
      </c>
      <c r="C407">
        <v>0</v>
      </c>
      <c r="D407">
        <v>409313.44</v>
      </c>
      <c r="E407">
        <v>3659196.98</v>
      </c>
      <c r="F407">
        <v>77</v>
      </c>
      <c r="G407">
        <v>30.7</v>
      </c>
      <c r="H407">
        <v>-0.18192</v>
      </c>
      <c r="I407">
        <v>0.20544999999999999</v>
      </c>
    </row>
    <row r="408" spans="1:9" x14ac:dyDescent="0.25">
      <c r="A408">
        <v>408</v>
      </c>
      <c r="B408">
        <v>12</v>
      </c>
      <c r="C408">
        <v>0</v>
      </c>
      <c r="D408">
        <v>409313.44</v>
      </c>
      <c r="E408">
        <v>3659200.24</v>
      </c>
      <c r="F408">
        <v>76.3</v>
      </c>
      <c r="G408">
        <v>28.2</v>
      </c>
      <c r="H408">
        <v>-0.85643999999999998</v>
      </c>
      <c r="I408">
        <v>1.0704199999999999</v>
      </c>
    </row>
    <row r="409" spans="1:9" x14ac:dyDescent="0.25">
      <c r="A409">
        <v>409</v>
      </c>
      <c r="B409">
        <v>12</v>
      </c>
      <c r="C409">
        <v>0</v>
      </c>
      <c r="D409">
        <v>409313.47</v>
      </c>
      <c r="E409">
        <v>3659203.54</v>
      </c>
      <c r="F409">
        <v>77.5</v>
      </c>
      <c r="G409">
        <v>27.5</v>
      </c>
      <c r="H409">
        <v>-0.78444999999999998</v>
      </c>
      <c r="I409">
        <v>1.8590500000000001</v>
      </c>
    </row>
    <row r="410" spans="1:9" x14ac:dyDescent="0.25">
      <c r="A410">
        <v>410</v>
      </c>
      <c r="B410">
        <v>12</v>
      </c>
      <c r="C410">
        <v>0</v>
      </c>
      <c r="D410">
        <v>409313.5</v>
      </c>
      <c r="E410">
        <v>3659206.77</v>
      </c>
      <c r="F410">
        <v>76.900000000000006</v>
      </c>
      <c r="G410">
        <v>28.6</v>
      </c>
      <c r="H410">
        <v>-0.65732999999999997</v>
      </c>
      <c r="I410">
        <v>1.12304</v>
      </c>
    </row>
    <row r="411" spans="1:9" x14ac:dyDescent="0.25">
      <c r="A411">
        <v>411</v>
      </c>
      <c r="B411">
        <v>12</v>
      </c>
      <c r="C411">
        <v>0</v>
      </c>
      <c r="D411">
        <v>409313.54</v>
      </c>
      <c r="E411">
        <v>3659210.07</v>
      </c>
      <c r="F411">
        <v>76.900000000000006</v>
      </c>
      <c r="G411">
        <v>30.2</v>
      </c>
      <c r="H411">
        <v>-0.30935000000000001</v>
      </c>
      <c r="I411">
        <v>0.39410000000000001</v>
      </c>
    </row>
    <row r="412" spans="1:9" x14ac:dyDescent="0.25">
      <c r="A412">
        <v>412</v>
      </c>
      <c r="B412">
        <v>12</v>
      </c>
      <c r="C412">
        <v>0</v>
      </c>
      <c r="D412">
        <v>409313.49</v>
      </c>
      <c r="E412">
        <v>3659213.33</v>
      </c>
      <c r="F412">
        <v>78.5</v>
      </c>
      <c r="G412">
        <v>30.7</v>
      </c>
      <c r="H412">
        <v>9.8369999999999999E-2</v>
      </c>
      <c r="I412">
        <v>0.79259999999999997</v>
      </c>
    </row>
    <row r="413" spans="1:9" x14ac:dyDescent="0.25">
      <c r="A413">
        <v>413</v>
      </c>
      <c r="B413">
        <v>12</v>
      </c>
      <c r="C413">
        <v>0</v>
      </c>
      <c r="D413">
        <v>409313.53</v>
      </c>
      <c r="E413">
        <v>3659216.57</v>
      </c>
      <c r="F413">
        <v>80.3</v>
      </c>
      <c r="G413">
        <v>29.8</v>
      </c>
      <c r="H413">
        <v>0.23898</v>
      </c>
      <c r="I413">
        <v>1.9072100000000001</v>
      </c>
    </row>
    <row r="414" spans="1:9" x14ac:dyDescent="0.25">
      <c r="A414">
        <v>414</v>
      </c>
      <c r="B414">
        <v>12</v>
      </c>
      <c r="C414">
        <v>0</v>
      </c>
      <c r="D414">
        <v>409313.59</v>
      </c>
      <c r="E414">
        <v>3659219.81</v>
      </c>
      <c r="F414">
        <v>82.5</v>
      </c>
      <c r="G414">
        <v>30.7</v>
      </c>
      <c r="H414">
        <v>0.84582000000000002</v>
      </c>
      <c r="I414">
        <v>2.3583400000000001</v>
      </c>
    </row>
    <row r="415" spans="1:9" x14ac:dyDescent="0.25">
      <c r="A415">
        <v>415</v>
      </c>
      <c r="B415">
        <v>12</v>
      </c>
      <c r="C415">
        <v>0</v>
      </c>
      <c r="D415">
        <v>409313.65</v>
      </c>
      <c r="E415">
        <v>3659223.03</v>
      </c>
      <c r="F415">
        <v>83.4</v>
      </c>
      <c r="G415">
        <v>30.2</v>
      </c>
      <c r="H415">
        <v>0.90525</v>
      </c>
      <c r="I415">
        <v>2.9384199999999998</v>
      </c>
    </row>
    <row r="416" spans="1:9" x14ac:dyDescent="0.25">
      <c r="A416">
        <v>416</v>
      </c>
      <c r="B416">
        <v>12</v>
      </c>
      <c r="C416">
        <v>0</v>
      </c>
      <c r="D416">
        <v>409313.66</v>
      </c>
      <c r="E416">
        <v>3659226.24</v>
      </c>
      <c r="F416">
        <v>81.7</v>
      </c>
      <c r="G416">
        <v>31.7</v>
      </c>
      <c r="H416">
        <v>0.91381999999999997</v>
      </c>
      <c r="I416">
        <v>1.5895999999999999</v>
      </c>
    </row>
    <row r="417" spans="1:9" x14ac:dyDescent="0.25">
      <c r="A417">
        <v>417</v>
      </c>
      <c r="B417">
        <v>12</v>
      </c>
      <c r="C417">
        <v>0</v>
      </c>
      <c r="D417">
        <v>409313.64</v>
      </c>
      <c r="E417">
        <v>3659229.49</v>
      </c>
      <c r="F417">
        <v>79</v>
      </c>
      <c r="G417">
        <v>31.2</v>
      </c>
      <c r="H417">
        <v>0.30054999999999998</v>
      </c>
      <c r="I417">
        <v>0.76051999999999997</v>
      </c>
    </row>
    <row r="418" spans="1:9" x14ac:dyDescent="0.25">
      <c r="A418">
        <v>418</v>
      </c>
      <c r="B418">
        <v>12</v>
      </c>
      <c r="C418">
        <v>7</v>
      </c>
      <c r="D418">
        <v>409313.78</v>
      </c>
      <c r="E418">
        <v>3659232.65</v>
      </c>
      <c r="F418">
        <v>77.7</v>
      </c>
      <c r="G418">
        <v>29.3</v>
      </c>
      <c r="H418">
        <v>-0.35560000000000003</v>
      </c>
      <c r="I418">
        <v>1.1172800000000001</v>
      </c>
    </row>
    <row r="419" spans="1:9" x14ac:dyDescent="0.25">
      <c r="A419">
        <v>419</v>
      </c>
      <c r="B419">
        <v>12</v>
      </c>
      <c r="C419">
        <v>7</v>
      </c>
      <c r="D419">
        <v>409313.81</v>
      </c>
      <c r="E419">
        <v>3659235.06</v>
      </c>
      <c r="F419">
        <v>72.900000000000006</v>
      </c>
      <c r="G419">
        <v>27.4</v>
      </c>
      <c r="H419">
        <v>-1.66577</v>
      </c>
      <c r="I419">
        <v>0.10401000000000001</v>
      </c>
    </row>
    <row r="420" spans="1:9" x14ac:dyDescent="0.25">
      <c r="A420">
        <v>420</v>
      </c>
      <c r="B420">
        <v>12</v>
      </c>
      <c r="C420">
        <v>7</v>
      </c>
      <c r="D420">
        <v>409313.87</v>
      </c>
      <c r="E420">
        <v>3659236.89</v>
      </c>
      <c r="F420">
        <v>73.8</v>
      </c>
      <c r="G420">
        <v>27.8</v>
      </c>
      <c r="H420">
        <v>-1.41059</v>
      </c>
      <c r="I420">
        <v>0.27406999999999998</v>
      </c>
    </row>
    <row r="421" spans="1:9" x14ac:dyDescent="0.25">
      <c r="A421">
        <v>421</v>
      </c>
      <c r="B421">
        <v>13</v>
      </c>
      <c r="C421">
        <v>7</v>
      </c>
      <c r="D421">
        <v>409318.06</v>
      </c>
      <c r="E421">
        <v>3659237.81</v>
      </c>
      <c r="F421">
        <v>73.400000000000006</v>
      </c>
      <c r="G421">
        <v>29.5</v>
      </c>
      <c r="H421">
        <v>-1.11561</v>
      </c>
      <c r="I421">
        <v>-0.65700999999999998</v>
      </c>
    </row>
    <row r="422" spans="1:9" x14ac:dyDescent="0.25">
      <c r="A422">
        <v>422</v>
      </c>
      <c r="B422">
        <v>13</v>
      </c>
      <c r="C422">
        <v>7</v>
      </c>
      <c r="D422">
        <v>409318.07</v>
      </c>
      <c r="E422">
        <v>3659236.53</v>
      </c>
      <c r="F422">
        <v>74.2</v>
      </c>
      <c r="G422">
        <v>27.8</v>
      </c>
      <c r="H422">
        <v>-1.33585</v>
      </c>
      <c r="I422">
        <v>0.43064000000000002</v>
      </c>
    </row>
    <row r="423" spans="1:9" x14ac:dyDescent="0.25">
      <c r="A423">
        <v>423</v>
      </c>
      <c r="B423">
        <v>13</v>
      </c>
      <c r="C423">
        <v>0</v>
      </c>
      <c r="D423">
        <v>409317.85</v>
      </c>
      <c r="E423">
        <v>3659232.83</v>
      </c>
      <c r="F423">
        <v>74.900000000000006</v>
      </c>
      <c r="G423">
        <v>27.7</v>
      </c>
      <c r="H423">
        <v>-1.2267999999999999</v>
      </c>
      <c r="I423">
        <v>0.75019999999999998</v>
      </c>
    </row>
    <row r="424" spans="1:9" x14ac:dyDescent="0.25">
      <c r="A424">
        <v>424</v>
      </c>
      <c r="B424">
        <v>13</v>
      </c>
      <c r="C424">
        <v>0</v>
      </c>
      <c r="D424">
        <v>409317.73</v>
      </c>
      <c r="E424">
        <v>3659229.97</v>
      </c>
      <c r="F424">
        <v>78</v>
      </c>
      <c r="G424">
        <v>31.4</v>
      </c>
      <c r="H424">
        <v>0.15717999999999999</v>
      </c>
      <c r="I424">
        <v>0.27796999999999999</v>
      </c>
    </row>
    <row r="425" spans="1:9" x14ac:dyDescent="0.25">
      <c r="A425">
        <v>425</v>
      </c>
      <c r="B425">
        <v>13</v>
      </c>
      <c r="C425">
        <v>0</v>
      </c>
      <c r="D425">
        <v>409317.67</v>
      </c>
      <c r="E425">
        <v>3659226.87</v>
      </c>
      <c r="F425">
        <v>77.5</v>
      </c>
      <c r="G425">
        <v>31.9</v>
      </c>
      <c r="H425">
        <v>0.17249</v>
      </c>
      <c r="I425">
        <v>-0.14554</v>
      </c>
    </row>
    <row r="426" spans="1:9" x14ac:dyDescent="0.25">
      <c r="A426">
        <v>426</v>
      </c>
      <c r="B426">
        <v>13</v>
      </c>
      <c r="C426">
        <v>0</v>
      </c>
      <c r="D426">
        <v>409317.63</v>
      </c>
      <c r="E426">
        <v>3659223.47</v>
      </c>
      <c r="F426">
        <v>78.900000000000006</v>
      </c>
      <c r="G426">
        <v>33.799999999999997</v>
      </c>
      <c r="H426">
        <v>0.84733000000000003</v>
      </c>
      <c r="I426">
        <v>-0.46315000000000001</v>
      </c>
    </row>
    <row r="427" spans="1:9" x14ac:dyDescent="0.25">
      <c r="A427">
        <v>427</v>
      </c>
      <c r="B427">
        <v>13</v>
      </c>
      <c r="C427">
        <v>0</v>
      </c>
      <c r="D427">
        <v>409317.6</v>
      </c>
      <c r="E427">
        <v>3659220.43</v>
      </c>
      <c r="F427">
        <v>80.900000000000006</v>
      </c>
      <c r="G427">
        <v>33.5</v>
      </c>
      <c r="H427">
        <v>1.1557999999999999</v>
      </c>
      <c r="I427">
        <v>0.45639000000000002</v>
      </c>
    </row>
    <row r="428" spans="1:9" x14ac:dyDescent="0.25">
      <c r="A428">
        <v>428</v>
      </c>
      <c r="B428">
        <v>13</v>
      </c>
      <c r="C428">
        <v>0</v>
      </c>
      <c r="D428">
        <v>409317.48</v>
      </c>
      <c r="E428">
        <v>3659217.31</v>
      </c>
      <c r="F428">
        <v>77.400000000000006</v>
      </c>
      <c r="G428">
        <v>32.299999999999997</v>
      </c>
      <c r="H428">
        <v>0.24079999999999999</v>
      </c>
      <c r="I428">
        <v>-0.36692000000000002</v>
      </c>
    </row>
    <row r="429" spans="1:9" x14ac:dyDescent="0.25">
      <c r="A429">
        <v>429</v>
      </c>
      <c r="B429">
        <v>13</v>
      </c>
      <c r="C429">
        <v>0</v>
      </c>
      <c r="D429">
        <v>409317.5</v>
      </c>
      <c r="E429">
        <v>3659214.32</v>
      </c>
      <c r="F429">
        <v>79.2</v>
      </c>
      <c r="G429">
        <v>34.5</v>
      </c>
      <c r="H429">
        <v>1.0556300000000001</v>
      </c>
      <c r="I429">
        <v>-0.66463000000000005</v>
      </c>
    </row>
    <row r="430" spans="1:9" x14ac:dyDescent="0.25">
      <c r="A430">
        <v>430</v>
      </c>
      <c r="B430">
        <v>13</v>
      </c>
      <c r="C430">
        <v>0</v>
      </c>
      <c r="D430">
        <v>409317.43</v>
      </c>
      <c r="E430">
        <v>3659211.3</v>
      </c>
      <c r="F430">
        <v>78.5</v>
      </c>
      <c r="G430">
        <v>33</v>
      </c>
      <c r="H430">
        <v>0.59858999999999996</v>
      </c>
      <c r="I430">
        <v>-0.25524999999999998</v>
      </c>
    </row>
    <row r="431" spans="1:9" x14ac:dyDescent="0.25">
      <c r="A431">
        <v>431</v>
      </c>
      <c r="B431">
        <v>13</v>
      </c>
      <c r="C431">
        <v>0</v>
      </c>
      <c r="D431">
        <v>409317.47</v>
      </c>
      <c r="E431">
        <v>3659208.21</v>
      </c>
      <c r="F431">
        <v>76.900000000000006</v>
      </c>
      <c r="G431">
        <v>33.1</v>
      </c>
      <c r="H431">
        <v>0.32135999999999998</v>
      </c>
      <c r="I431">
        <v>-0.92710999999999999</v>
      </c>
    </row>
    <row r="432" spans="1:9" x14ac:dyDescent="0.25">
      <c r="A432">
        <v>432</v>
      </c>
      <c r="B432">
        <v>13</v>
      </c>
      <c r="C432">
        <v>0</v>
      </c>
      <c r="D432">
        <v>409317.37</v>
      </c>
      <c r="E432">
        <v>3659205.14</v>
      </c>
      <c r="F432">
        <v>76.400000000000006</v>
      </c>
      <c r="G432">
        <v>31.9</v>
      </c>
      <c r="H432">
        <v>-3.3050000000000003E-2</v>
      </c>
      <c r="I432">
        <v>-0.57611999999999997</v>
      </c>
    </row>
    <row r="433" spans="1:9" x14ac:dyDescent="0.25">
      <c r="A433">
        <v>433</v>
      </c>
      <c r="B433">
        <v>13</v>
      </c>
      <c r="C433">
        <v>0</v>
      </c>
      <c r="D433">
        <v>409317.27</v>
      </c>
      <c r="E433">
        <v>3659202.07</v>
      </c>
      <c r="F433">
        <v>74.5</v>
      </c>
      <c r="G433">
        <v>27.4</v>
      </c>
      <c r="H433">
        <v>-1.3667899999999999</v>
      </c>
      <c r="I433">
        <v>0.73031000000000001</v>
      </c>
    </row>
    <row r="434" spans="1:9" x14ac:dyDescent="0.25">
      <c r="A434">
        <v>434</v>
      </c>
      <c r="B434">
        <v>13</v>
      </c>
      <c r="C434">
        <v>0</v>
      </c>
      <c r="D434">
        <v>409317.24</v>
      </c>
      <c r="E434">
        <v>3659198.98</v>
      </c>
      <c r="F434">
        <v>76</v>
      </c>
      <c r="G434">
        <v>28.4</v>
      </c>
      <c r="H434">
        <v>-0.86900999999999995</v>
      </c>
      <c r="I434">
        <v>0.86187000000000002</v>
      </c>
    </row>
    <row r="435" spans="1:9" x14ac:dyDescent="0.25">
      <c r="A435">
        <v>435</v>
      </c>
      <c r="B435">
        <v>13</v>
      </c>
      <c r="C435">
        <v>0</v>
      </c>
      <c r="D435">
        <v>409317.05</v>
      </c>
      <c r="E435">
        <v>3659195.97</v>
      </c>
      <c r="F435">
        <v>76.599999999999994</v>
      </c>
      <c r="G435">
        <v>31.3</v>
      </c>
      <c r="H435">
        <v>-0.12617</v>
      </c>
      <c r="I435">
        <v>-0.22448000000000001</v>
      </c>
    </row>
    <row r="436" spans="1:9" x14ac:dyDescent="0.25">
      <c r="A436">
        <v>436</v>
      </c>
      <c r="B436">
        <v>13</v>
      </c>
      <c r="C436">
        <v>0</v>
      </c>
      <c r="D436">
        <v>409317.01</v>
      </c>
      <c r="E436">
        <v>3659192.91</v>
      </c>
      <c r="F436">
        <v>77</v>
      </c>
      <c r="G436">
        <v>32.299999999999997</v>
      </c>
      <c r="H436">
        <v>0.16606000000000001</v>
      </c>
      <c r="I436">
        <v>-0.52349000000000001</v>
      </c>
    </row>
    <row r="437" spans="1:9" x14ac:dyDescent="0.25">
      <c r="A437">
        <v>437</v>
      </c>
      <c r="B437">
        <v>13</v>
      </c>
      <c r="C437">
        <v>0</v>
      </c>
      <c r="D437">
        <v>409317.06</v>
      </c>
      <c r="E437">
        <v>3659189.9</v>
      </c>
      <c r="F437">
        <v>79</v>
      </c>
      <c r="G437">
        <v>35</v>
      </c>
      <c r="H437">
        <v>1.127</v>
      </c>
      <c r="I437">
        <v>-0.97070999999999996</v>
      </c>
    </row>
    <row r="438" spans="1:9" x14ac:dyDescent="0.25">
      <c r="A438">
        <v>438</v>
      </c>
      <c r="B438">
        <v>13</v>
      </c>
      <c r="C438">
        <v>0</v>
      </c>
      <c r="D438">
        <v>409317.01</v>
      </c>
      <c r="E438">
        <v>3659186.87</v>
      </c>
      <c r="F438">
        <v>79.400000000000006</v>
      </c>
      <c r="G438">
        <v>34.200000000000003</v>
      </c>
      <c r="H438">
        <v>1.0277499999999999</v>
      </c>
      <c r="I438">
        <v>-0.44967000000000001</v>
      </c>
    </row>
    <row r="439" spans="1:9" x14ac:dyDescent="0.25">
      <c r="A439">
        <v>439</v>
      </c>
      <c r="B439">
        <v>13</v>
      </c>
      <c r="C439">
        <v>0</v>
      </c>
      <c r="D439">
        <v>409316.94</v>
      </c>
      <c r="E439">
        <v>3659183.8</v>
      </c>
      <c r="F439">
        <v>77.8</v>
      </c>
      <c r="G439">
        <v>32.5</v>
      </c>
      <c r="H439">
        <v>0.35904999999999998</v>
      </c>
      <c r="I439">
        <v>-0.30146000000000001</v>
      </c>
    </row>
    <row r="440" spans="1:9" x14ac:dyDescent="0.25">
      <c r="A440">
        <v>440</v>
      </c>
      <c r="B440">
        <v>13</v>
      </c>
      <c r="C440">
        <v>0</v>
      </c>
      <c r="D440">
        <v>409317.06</v>
      </c>
      <c r="E440">
        <v>3659179.99</v>
      </c>
      <c r="F440">
        <v>78</v>
      </c>
      <c r="G440">
        <v>31.9</v>
      </c>
      <c r="H440">
        <v>0.26591999999999999</v>
      </c>
      <c r="I440">
        <v>5.0180000000000002E-2</v>
      </c>
    </row>
    <row r="441" spans="1:9" x14ac:dyDescent="0.25">
      <c r="A441">
        <v>441</v>
      </c>
      <c r="B441">
        <v>13</v>
      </c>
      <c r="C441">
        <v>0</v>
      </c>
      <c r="D441">
        <v>409316.97</v>
      </c>
      <c r="E441">
        <v>3659177.61</v>
      </c>
      <c r="F441">
        <v>80.8</v>
      </c>
      <c r="G441">
        <v>35.6</v>
      </c>
      <c r="H441">
        <v>1.5938399999999999</v>
      </c>
      <c r="I441">
        <v>-0.53949000000000003</v>
      </c>
    </row>
    <row r="442" spans="1:9" x14ac:dyDescent="0.25">
      <c r="A442">
        <v>442</v>
      </c>
      <c r="B442">
        <v>13</v>
      </c>
      <c r="C442">
        <v>0</v>
      </c>
      <c r="D442">
        <v>409317</v>
      </c>
      <c r="E442">
        <v>3659173.67</v>
      </c>
      <c r="F442">
        <v>79.8</v>
      </c>
      <c r="G442">
        <v>34.4</v>
      </c>
      <c r="H442">
        <v>1.1459999999999999</v>
      </c>
      <c r="I442">
        <v>-0.38421</v>
      </c>
    </row>
    <row r="443" spans="1:9" x14ac:dyDescent="0.25">
      <c r="A443">
        <v>443</v>
      </c>
      <c r="B443">
        <v>13</v>
      </c>
      <c r="C443">
        <v>0</v>
      </c>
      <c r="D443">
        <v>409316.97</v>
      </c>
      <c r="E443">
        <v>3659170.52</v>
      </c>
      <c r="F443">
        <v>80.2</v>
      </c>
      <c r="G443">
        <v>33.799999999999997</v>
      </c>
      <c r="H443">
        <v>1.0902499999999999</v>
      </c>
      <c r="I443">
        <v>4.5710000000000001E-2</v>
      </c>
    </row>
    <row r="444" spans="1:9" x14ac:dyDescent="0.25">
      <c r="A444">
        <v>444</v>
      </c>
      <c r="B444">
        <v>13</v>
      </c>
      <c r="C444">
        <v>0</v>
      </c>
      <c r="D444">
        <v>409316.96</v>
      </c>
      <c r="E444">
        <v>3659167.45</v>
      </c>
      <c r="F444">
        <v>78.400000000000006</v>
      </c>
      <c r="G444">
        <v>33.700000000000003</v>
      </c>
      <c r="H444">
        <v>0.73214999999999997</v>
      </c>
      <c r="I444">
        <v>-0.61331000000000002</v>
      </c>
    </row>
    <row r="445" spans="1:9" x14ac:dyDescent="0.25">
      <c r="A445">
        <v>445</v>
      </c>
      <c r="B445">
        <v>13</v>
      </c>
      <c r="C445">
        <v>0</v>
      </c>
      <c r="D445">
        <v>409316.84</v>
      </c>
      <c r="E445">
        <v>3659164.11</v>
      </c>
      <c r="F445">
        <v>73.900000000000006</v>
      </c>
      <c r="G445">
        <v>31.9</v>
      </c>
      <c r="H445">
        <v>-0.50021000000000004</v>
      </c>
      <c r="I445">
        <v>-1.5547</v>
      </c>
    </row>
    <row r="446" spans="1:9" x14ac:dyDescent="0.25">
      <c r="A446">
        <v>446</v>
      </c>
      <c r="B446">
        <v>13</v>
      </c>
      <c r="C446">
        <v>0</v>
      </c>
      <c r="D446">
        <v>409316.82</v>
      </c>
      <c r="E446">
        <v>3659161.41</v>
      </c>
      <c r="F446">
        <v>76.900000000000006</v>
      </c>
      <c r="G446">
        <v>31.9</v>
      </c>
      <c r="H446">
        <v>6.0380000000000003E-2</v>
      </c>
      <c r="I446">
        <v>-0.38040000000000002</v>
      </c>
    </row>
    <row r="447" spans="1:9" x14ac:dyDescent="0.25">
      <c r="A447">
        <v>447</v>
      </c>
      <c r="B447">
        <v>13</v>
      </c>
      <c r="C447">
        <v>0</v>
      </c>
      <c r="D447">
        <v>409316.54</v>
      </c>
      <c r="E447">
        <v>3659148.14</v>
      </c>
      <c r="F447">
        <v>79.3</v>
      </c>
      <c r="G447">
        <v>31.6</v>
      </c>
      <c r="H447">
        <v>0.44359999999999999</v>
      </c>
      <c r="I447">
        <v>0.69572000000000001</v>
      </c>
    </row>
    <row r="448" spans="1:9" x14ac:dyDescent="0.25">
      <c r="A448">
        <v>448</v>
      </c>
      <c r="B448">
        <v>13</v>
      </c>
      <c r="C448">
        <v>0</v>
      </c>
      <c r="D448">
        <v>409316.47</v>
      </c>
      <c r="E448">
        <v>3659145.05</v>
      </c>
      <c r="F448">
        <v>78.3</v>
      </c>
      <c r="G448">
        <v>32.1</v>
      </c>
      <c r="H448">
        <v>0.36548000000000003</v>
      </c>
      <c r="I448">
        <v>7.6490000000000002E-2</v>
      </c>
    </row>
    <row r="449" spans="1:9" x14ac:dyDescent="0.25">
      <c r="A449">
        <v>449</v>
      </c>
      <c r="B449">
        <v>13</v>
      </c>
      <c r="C449">
        <v>0</v>
      </c>
      <c r="D449">
        <v>409316.37</v>
      </c>
      <c r="E449">
        <v>3659141.95</v>
      </c>
      <c r="F449">
        <v>79.8</v>
      </c>
      <c r="G449">
        <v>31.8</v>
      </c>
      <c r="H449">
        <v>0.58052999999999999</v>
      </c>
      <c r="I449">
        <v>0.80032000000000003</v>
      </c>
    </row>
    <row r="450" spans="1:9" x14ac:dyDescent="0.25">
      <c r="A450">
        <v>450</v>
      </c>
      <c r="B450">
        <v>13</v>
      </c>
      <c r="C450">
        <v>0</v>
      </c>
      <c r="D450">
        <v>409316.38</v>
      </c>
      <c r="E450">
        <v>3659138.85</v>
      </c>
      <c r="F450">
        <v>77.7</v>
      </c>
      <c r="G450">
        <v>31.1</v>
      </c>
      <c r="H450">
        <v>3.5880000000000002E-2</v>
      </c>
      <c r="I450">
        <v>0.29721999999999998</v>
      </c>
    </row>
    <row r="451" spans="1:9" x14ac:dyDescent="0.25">
      <c r="A451">
        <v>451</v>
      </c>
      <c r="B451">
        <v>13</v>
      </c>
      <c r="C451">
        <v>1</v>
      </c>
      <c r="D451">
        <v>409316.34</v>
      </c>
      <c r="E451">
        <v>3659135.84</v>
      </c>
      <c r="F451">
        <v>77.900000000000006</v>
      </c>
      <c r="G451">
        <v>31.8</v>
      </c>
      <c r="H451">
        <v>0.22549</v>
      </c>
      <c r="I451">
        <v>5.6590000000000001E-2</v>
      </c>
    </row>
    <row r="452" spans="1:9" x14ac:dyDescent="0.25">
      <c r="A452">
        <v>452</v>
      </c>
      <c r="B452">
        <v>13</v>
      </c>
      <c r="C452">
        <v>7</v>
      </c>
      <c r="D452">
        <v>409316.27</v>
      </c>
      <c r="E452">
        <v>3659132.76</v>
      </c>
      <c r="F452">
        <v>78.3</v>
      </c>
      <c r="G452">
        <v>33.200000000000003</v>
      </c>
      <c r="H452">
        <v>0.60472000000000004</v>
      </c>
      <c r="I452">
        <v>-0.42465999999999998</v>
      </c>
    </row>
    <row r="453" spans="1:9" x14ac:dyDescent="0.25">
      <c r="A453">
        <v>453</v>
      </c>
      <c r="B453">
        <v>13</v>
      </c>
      <c r="C453">
        <v>7</v>
      </c>
      <c r="D453">
        <v>409316.21</v>
      </c>
      <c r="E453">
        <v>3659129.83</v>
      </c>
      <c r="F453">
        <v>79.400000000000006</v>
      </c>
      <c r="G453">
        <v>34.1</v>
      </c>
      <c r="H453">
        <v>1.006</v>
      </c>
      <c r="I453">
        <v>-0.40411000000000002</v>
      </c>
    </row>
    <row r="454" spans="1:9" x14ac:dyDescent="0.25">
      <c r="A454">
        <v>454</v>
      </c>
      <c r="B454">
        <v>14</v>
      </c>
      <c r="C454">
        <v>7</v>
      </c>
      <c r="D454">
        <v>409320.2</v>
      </c>
      <c r="E454">
        <v>3659128.22</v>
      </c>
      <c r="F454">
        <v>80.599999999999994</v>
      </c>
      <c r="G454">
        <v>32.299999999999997</v>
      </c>
      <c r="H454">
        <v>0.83875999999999995</v>
      </c>
      <c r="I454">
        <v>0.88566999999999996</v>
      </c>
    </row>
    <row r="455" spans="1:9" x14ac:dyDescent="0.25">
      <c r="A455">
        <v>455</v>
      </c>
      <c r="B455">
        <v>14</v>
      </c>
      <c r="C455">
        <v>7</v>
      </c>
      <c r="D455">
        <v>409320.28</v>
      </c>
      <c r="E455">
        <v>3659129.79</v>
      </c>
      <c r="F455">
        <v>79.7</v>
      </c>
      <c r="G455">
        <v>32.4</v>
      </c>
      <c r="H455">
        <v>0.69233</v>
      </c>
      <c r="I455">
        <v>0.48781999999999998</v>
      </c>
    </row>
    <row r="456" spans="1:9" x14ac:dyDescent="0.25">
      <c r="A456">
        <v>456</v>
      </c>
      <c r="B456">
        <v>14</v>
      </c>
      <c r="C456">
        <v>0</v>
      </c>
      <c r="D456">
        <v>409320.33</v>
      </c>
      <c r="E456">
        <v>3659133.63</v>
      </c>
      <c r="F456">
        <v>79.3</v>
      </c>
      <c r="G456">
        <v>30.4</v>
      </c>
      <c r="H456">
        <v>0.18260999999999999</v>
      </c>
      <c r="I456">
        <v>1.2424200000000001</v>
      </c>
    </row>
    <row r="457" spans="1:9" x14ac:dyDescent="0.25">
      <c r="A457">
        <v>457</v>
      </c>
      <c r="B457">
        <v>14</v>
      </c>
      <c r="C457">
        <v>0</v>
      </c>
      <c r="D457">
        <v>409320.4</v>
      </c>
      <c r="E457">
        <v>3659136.63</v>
      </c>
      <c r="F457">
        <v>79.3</v>
      </c>
      <c r="G457">
        <v>31.1</v>
      </c>
      <c r="H457">
        <v>0.33484999999999998</v>
      </c>
      <c r="I457">
        <v>0.92351000000000005</v>
      </c>
    </row>
    <row r="458" spans="1:9" x14ac:dyDescent="0.25">
      <c r="A458">
        <v>458</v>
      </c>
      <c r="B458">
        <v>14</v>
      </c>
      <c r="C458">
        <v>0</v>
      </c>
      <c r="D458">
        <v>409320.49</v>
      </c>
      <c r="E458">
        <v>3659139.82</v>
      </c>
      <c r="F458">
        <v>78.599999999999994</v>
      </c>
      <c r="G458">
        <v>32.799999999999997</v>
      </c>
      <c r="H458">
        <v>0.57377999999999996</v>
      </c>
      <c r="I458">
        <v>-0.12499</v>
      </c>
    </row>
    <row r="459" spans="1:9" x14ac:dyDescent="0.25">
      <c r="A459">
        <v>459</v>
      </c>
      <c r="B459">
        <v>14</v>
      </c>
      <c r="C459">
        <v>0</v>
      </c>
      <c r="D459">
        <v>409320.54</v>
      </c>
      <c r="E459">
        <v>3659143.06</v>
      </c>
      <c r="F459">
        <v>78.8</v>
      </c>
      <c r="G459">
        <v>32.200000000000003</v>
      </c>
      <c r="H459">
        <v>0.48065999999999998</v>
      </c>
      <c r="I459">
        <v>0.22664999999999999</v>
      </c>
    </row>
    <row r="460" spans="1:9" x14ac:dyDescent="0.25">
      <c r="A460">
        <v>460</v>
      </c>
      <c r="B460">
        <v>14</v>
      </c>
      <c r="C460">
        <v>0</v>
      </c>
      <c r="D460">
        <v>409320.6</v>
      </c>
      <c r="E460">
        <v>3659146.23</v>
      </c>
      <c r="F460">
        <v>78.5</v>
      </c>
      <c r="G460">
        <v>31.9</v>
      </c>
      <c r="H460">
        <v>0.35936000000000001</v>
      </c>
      <c r="I460">
        <v>0.24589</v>
      </c>
    </row>
    <row r="461" spans="1:9" x14ac:dyDescent="0.25">
      <c r="A461">
        <v>461</v>
      </c>
      <c r="B461">
        <v>14</v>
      </c>
      <c r="C461">
        <v>0</v>
      </c>
      <c r="D461">
        <v>409320.7</v>
      </c>
      <c r="E461">
        <v>3659149.55</v>
      </c>
      <c r="F461">
        <v>80</v>
      </c>
      <c r="G461">
        <v>31.6</v>
      </c>
      <c r="H461">
        <v>0.57440000000000002</v>
      </c>
      <c r="I461">
        <v>0.96972000000000003</v>
      </c>
    </row>
    <row r="462" spans="1:9" x14ac:dyDescent="0.25">
      <c r="A462">
        <v>462</v>
      </c>
      <c r="B462">
        <v>14</v>
      </c>
      <c r="C462">
        <v>0</v>
      </c>
      <c r="D462">
        <v>409320.62</v>
      </c>
      <c r="E462">
        <v>3659152.83</v>
      </c>
      <c r="F462">
        <v>78.5</v>
      </c>
      <c r="G462">
        <v>32.1</v>
      </c>
      <c r="H462">
        <v>0.40284999999999999</v>
      </c>
      <c r="I462">
        <v>0.15478</v>
      </c>
    </row>
    <row r="463" spans="1:9" x14ac:dyDescent="0.25">
      <c r="A463">
        <v>463</v>
      </c>
      <c r="B463">
        <v>14</v>
      </c>
      <c r="C463">
        <v>0</v>
      </c>
      <c r="D463">
        <v>409320.76</v>
      </c>
      <c r="E463">
        <v>3659156.38</v>
      </c>
      <c r="F463">
        <v>79.400000000000006</v>
      </c>
      <c r="G463">
        <v>31.8</v>
      </c>
      <c r="H463">
        <v>0.50578000000000001</v>
      </c>
      <c r="I463">
        <v>0.64373999999999998</v>
      </c>
    </row>
    <row r="464" spans="1:9" x14ac:dyDescent="0.25">
      <c r="A464">
        <v>464</v>
      </c>
      <c r="B464">
        <v>14</v>
      </c>
      <c r="C464">
        <v>0</v>
      </c>
      <c r="D464">
        <v>409320.84</v>
      </c>
      <c r="E464">
        <v>3659159.57</v>
      </c>
      <c r="F464">
        <v>80</v>
      </c>
      <c r="G464">
        <v>31.7</v>
      </c>
      <c r="H464">
        <v>0.59614999999999996</v>
      </c>
      <c r="I464">
        <v>0.92415999999999998</v>
      </c>
    </row>
    <row r="465" spans="1:9" x14ac:dyDescent="0.25">
      <c r="A465">
        <v>465</v>
      </c>
      <c r="B465">
        <v>14</v>
      </c>
      <c r="C465">
        <v>0</v>
      </c>
      <c r="D465">
        <v>409320.88</v>
      </c>
      <c r="E465">
        <v>3659162.78</v>
      </c>
      <c r="F465">
        <v>78.5</v>
      </c>
      <c r="G465">
        <v>31.7</v>
      </c>
      <c r="H465">
        <v>0.31585999999999997</v>
      </c>
      <c r="I465">
        <v>0.33700999999999998</v>
      </c>
    </row>
    <row r="466" spans="1:9" x14ac:dyDescent="0.25">
      <c r="A466">
        <v>466</v>
      </c>
      <c r="B466">
        <v>14</v>
      </c>
      <c r="C466">
        <v>0</v>
      </c>
      <c r="D466">
        <v>409320.94</v>
      </c>
      <c r="E466">
        <v>3659166.1</v>
      </c>
      <c r="F466">
        <v>78.900000000000006</v>
      </c>
      <c r="G466">
        <v>32.700000000000003</v>
      </c>
      <c r="H466">
        <v>0.60809000000000002</v>
      </c>
      <c r="I466">
        <v>3.7999999999999999E-2</v>
      </c>
    </row>
    <row r="467" spans="1:9" x14ac:dyDescent="0.25">
      <c r="A467">
        <v>467</v>
      </c>
      <c r="B467">
        <v>14</v>
      </c>
      <c r="C467">
        <v>0</v>
      </c>
      <c r="D467">
        <v>409320.99</v>
      </c>
      <c r="E467">
        <v>3659169.32</v>
      </c>
      <c r="F467">
        <v>80.099999999999994</v>
      </c>
      <c r="G467">
        <v>33.1</v>
      </c>
      <c r="H467">
        <v>0.91932000000000003</v>
      </c>
      <c r="I467">
        <v>0.32547999999999999</v>
      </c>
    </row>
    <row r="468" spans="1:9" x14ac:dyDescent="0.25">
      <c r="A468">
        <v>468</v>
      </c>
      <c r="B468">
        <v>14</v>
      </c>
      <c r="C468">
        <v>0</v>
      </c>
      <c r="D468">
        <v>409320.99</v>
      </c>
      <c r="E468">
        <v>3659172.55</v>
      </c>
      <c r="F468">
        <v>75.900000000000006</v>
      </c>
      <c r="G468">
        <v>35.799999999999997</v>
      </c>
      <c r="H468">
        <v>0.72172000000000003</v>
      </c>
      <c r="I468">
        <v>-2.5486300000000002</v>
      </c>
    </row>
    <row r="469" spans="1:9" x14ac:dyDescent="0.25">
      <c r="A469">
        <v>469</v>
      </c>
      <c r="B469">
        <v>14</v>
      </c>
      <c r="C469">
        <v>0</v>
      </c>
      <c r="D469">
        <v>409320.93</v>
      </c>
      <c r="E469">
        <v>3659175.84</v>
      </c>
      <c r="F469">
        <v>81.599999999999994</v>
      </c>
      <c r="G469">
        <v>32.5</v>
      </c>
      <c r="H469">
        <v>1.0691200000000001</v>
      </c>
      <c r="I469">
        <v>1.1859900000000001</v>
      </c>
    </row>
    <row r="470" spans="1:9" x14ac:dyDescent="0.25">
      <c r="A470">
        <v>470</v>
      </c>
      <c r="B470">
        <v>14</v>
      </c>
      <c r="C470">
        <v>0</v>
      </c>
      <c r="D470">
        <v>409321</v>
      </c>
      <c r="E470">
        <v>3659179.01</v>
      </c>
      <c r="F470">
        <v>80.7</v>
      </c>
      <c r="G470">
        <v>33.5</v>
      </c>
      <c r="H470">
        <v>1.11843</v>
      </c>
      <c r="I470">
        <v>0.37811</v>
      </c>
    </row>
    <row r="471" spans="1:9" x14ac:dyDescent="0.25">
      <c r="A471">
        <v>471</v>
      </c>
      <c r="B471">
        <v>14</v>
      </c>
      <c r="C471">
        <v>2</v>
      </c>
      <c r="D471">
        <v>409321.06</v>
      </c>
      <c r="E471">
        <v>3659182.22</v>
      </c>
      <c r="F471">
        <v>81.3</v>
      </c>
      <c r="G471">
        <v>32.5</v>
      </c>
      <c r="H471">
        <v>1.0130600000000001</v>
      </c>
      <c r="I471">
        <v>1.06856</v>
      </c>
    </row>
    <row r="472" spans="1:9" x14ac:dyDescent="0.25">
      <c r="A472">
        <v>472</v>
      </c>
      <c r="B472">
        <v>14</v>
      </c>
      <c r="C472">
        <v>0</v>
      </c>
      <c r="D472">
        <v>409321.07</v>
      </c>
      <c r="E472">
        <v>3659185.41</v>
      </c>
      <c r="F472">
        <v>82.2</v>
      </c>
      <c r="G472">
        <v>33.5</v>
      </c>
      <c r="H472">
        <v>1.39872</v>
      </c>
      <c r="I472">
        <v>0.96526000000000001</v>
      </c>
    </row>
    <row r="473" spans="1:9" x14ac:dyDescent="0.25">
      <c r="A473">
        <v>473</v>
      </c>
      <c r="B473">
        <v>14</v>
      </c>
      <c r="C473">
        <v>0</v>
      </c>
      <c r="D473">
        <v>409321.11</v>
      </c>
      <c r="E473">
        <v>3659188.63</v>
      </c>
      <c r="F473">
        <v>82</v>
      </c>
      <c r="G473">
        <v>32.700000000000003</v>
      </c>
      <c r="H473">
        <v>1.18736</v>
      </c>
      <c r="I473">
        <v>1.2514400000000001</v>
      </c>
    </row>
    <row r="474" spans="1:9" x14ac:dyDescent="0.25">
      <c r="A474">
        <v>474</v>
      </c>
      <c r="B474">
        <v>14</v>
      </c>
      <c r="C474">
        <v>0</v>
      </c>
      <c r="D474">
        <v>409321.16</v>
      </c>
      <c r="E474">
        <v>3659191.85</v>
      </c>
      <c r="F474">
        <v>82.6</v>
      </c>
      <c r="G474">
        <v>33.4</v>
      </c>
      <c r="H474">
        <v>1.4517199999999999</v>
      </c>
      <c r="I474">
        <v>1.1673899999999999</v>
      </c>
    </row>
    <row r="475" spans="1:9" x14ac:dyDescent="0.25">
      <c r="A475">
        <v>475</v>
      </c>
      <c r="B475">
        <v>14</v>
      </c>
      <c r="C475">
        <v>0</v>
      </c>
      <c r="D475">
        <v>409321.2</v>
      </c>
      <c r="E475">
        <v>3659195.07</v>
      </c>
      <c r="F475">
        <v>81.8</v>
      </c>
      <c r="G475">
        <v>32.700000000000003</v>
      </c>
      <c r="H475">
        <v>1.1499900000000001</v>
      </c>
      <c r="I475">
        <v>1.1731499999999999</v>
      </c>
    </row>
    <row r="476" spans="1:9" x14ac:dyDescent="0.25">
      <c r="A476">
        <v>476</v>
      </c>
      <c r="B476">
        <v>14</v>
      </c>
      <c r="C476">
        <v>0</v>
      </c>
      <c r="D476">
        <v>409321.19</v>
      </c>
      <c r="E476">
        <v>3659198.37</v>
      </c>
      <c r="F476">
        <v>80.3</v>
      </c>
      <c r="G476">
        <v>30.7</v>
      </c>
      <c r="H476">
        <v>0.43472</v>
      </c>
      <c r="I476">
        <v>1.49718</v>
      </c>
    </row>
    <row r="477" spans="1:9" x14ac:dyDescent="0.25">
      <c r="A477">
        <v>477</v>
      </c>
      <c r="B477">
        <v>14</v>
      </c>
      <c r="C477">
        <v>0</v>
      </c>
      <c r="D477">
        <v>409321.12</v>
      </c>
      <c r="E477">
        <v>3659201.64</v>
      </c>
      <c r="F477">
        <v>78.400000000000006</v>
      </c>
      <c r="G477">
        <v>31</v>
      </c>
      <c r="H477">
        <v>0.14493</v>
      </c>
      <c r="I477">
        <v>0.61677999999999999</v>
      </c>
    </row>
    <row r="478" spans="1:9" x14ac:dyDescent="0.25">
      <c r="A478">
        <v>478</v>
      </c>
      <c r="B478">
        <v>14</v>
      </c>
      <c r="C478">
        <v>0</v>
      </c>
      <c r="D478">
        <v>409321.39</v>
      </c>
      <c r="E478">
        <v>3659204.76</v>
      </c>
      <c r="F478">
        <v>78.5</v>
      </c>
      <c r="G478">
        <v>30</v>
      </c>
      <c r="H478">
        <v>-5.3870000000000001E-2</v>
      </c>
      <c r="I478">
        <v>1.11151</v>
      </c>
    </row>
    <row r="479" spans="1:9" x14ac:dyDescent="0.25">
      <c r="A479">
        <v>479</v>
      </c>
      <c r="B479">
        <v>14</v>
      </c>
      <c r="C479">
        <v>0</v>
      </c>
      <c r="D479">
        <v>409321.25</v>
      </c>
      <c r="E479">
        <v>3659207.94</v>
      </c>
      <c r="F479">
        <v>80.3</v>
      </c>
      <c r="G479">
        <v>33.200000000000003</v>
      </c>
      <c r="H479">
        <v>0.97843999999999998</v>
      </c>
      <c r="I479">
        <v>0.35820999999999997</v>
      </c>
    </row>
    <row r="480" spans="1:9" x14ac:dyDescent="0.25">
      <c r="A480">
        <v>480</v>
      </c>
      <c r="B480">
        <v>14</v>
      </c>
      <c r="C480">
        <v>0</v>
      </c>
      <c r="D480">
        <v>409321.31</v>
      </c>
      <c r="E480">
        <v>3659211.13</v>
      </c>
      <c r="F480">
        <v>80</v>
      </c>
      <c r="G480">
        <v>32.9</v>
      </c>
      <c r="H480">
        <v>0.85714000000000001</v>
      </c>
      <c r="I480">
        <v>0.37746000000000002</v>
      </c>
    </row>
    <row r="481" spans="1:9" x14ac:dyDescent="0.25">
      <c r="A481">
        <v>481</v>
      </c>
      <c r="B481">
        <v>14</v>
      </c>
      <c r="C481">
        <v>0</v>
      </c>
      <c r="D481">
        <v>409321.4</v>
      </c>
      <c r="E481">
        <v>3659214.35</v>
      </c>
      <c r="F481">
        <v>80.099999999999994</v>
      </c>
      <c r="G481">
        <v>32.299999999999997</v>
      </c>
      <c r="H481">
        <v>0.74533000000000005</v>
      </c>
      <c r="I481">
        <v>0.68994999999999995</v>
      </c>
    </row>
    <row r="482" spans="1:9" x14ac:dyDescent="0.25">
      <c r="A482">
        <v>482</v>
      </c>
      <c r="B482">
        <v>14</v>
      </c>
      <c r="C482">
        <v>0</v>
      </c>
      <c r="D482">
        <v>409321.45</v>
      </c>
      <c r="E482">
        <v>3659217.6</v>
      </c>
      <c r="F482">
        <v>81.900000000000006</v>
      </c>
      <c r="G482">
        <v>33.4</v>
      </c>
      <c r="H482">
        <v>1.3209200000000001</v>
      </c>
      <c r="I482">
        <v>0.89339000000000002</v>
      </c>
    </row>
    <row r="483" spans="1:9" x14ac:dyDescent="0.25">
      <c r="A483">
        <v>483</v>
      </c>
      <c r="B483">
        <v>14</v>
      </c>
      <c r="C483">
        <v>0</v>
      </c>
      <c r="D483">
        <v>409321.49</v>
      </c>
      <c r="E483">
        <v>3659220.79</v>
      </c>
      <c r="F483">
        <v>81.8</v>
      </c>
      <c r="G483">
        <v>32.4</v>
      </c>
      <c r="H483">
        <v>1.08474</v>
      </c>
      <c r="I483">
        <v>1.30983</v>
      </c>
    </row>
    <row r="484" spans="1:9" x14ac:dyDescent="0.25">
      <c r="A484">
        <v>484</v>
      </c>
      <c r="B484">
        <v>14</v>
      </c>
      <c r="C484">
        <v>0</v>
      </c>
      <c r="D484">
        <v>409321.51</v>
      </c>
      <c r="E484">
        <v>3659224.06</v>
      </c>
      <c r="F484">
        <v>80</v>
      </c>
      <c r="G484">
        <v>33.4</v>
      </c>
      <c r="H484">
        <v>0.96587999999999996</v>
      </c>
      <c r="I484">
        <v>0.14965999999999999</v>
      </c>
    </row>
    <row r="485" spans="1:9" x14ac:dyDescent="0.25">
      <c r="A485">
        <v>485</v>
      </c>
      <c r="B485">
        <v>14</v>
      </c>
      <c r="C485">
        <v>0</v>
      </c>
      <c r="D485">
        <v>409321.46</v>
      </c>
      <c r="E485">
        <v>3659227.17</v>
      </c>
      <c r="F485">
        <v>78.7</v>
      </c>
      <c r="G485">
        <v>32</v>
      </c>
      <c r="H485">
        <v>0.41848000000000002</v>
      </c>
      <c r="I485">
        <v>0.27861999999999998</v>
      </c>
    </row>
    <row r="486" spans="1:9" x14ac:dyDescent="0.25">
      <c r="A486">
        <v>486</v>
      </c>
      <c r="B486">
        <v>14</v>
      </c>
      <c r="C486">
        <v>0</v>
      </c>
      <c r="D486">
        <v>409321.53</v>
      </c>
      <c r="E486">
        <v>3659230.46</v>
      </c>
      <c r="F486">
        <v>77.7</v>
      </c>
      <c r="G486">
        <v>30.8</v>
      </c>
      <c r="H486">
        <v>-2.937E-2</v>
      </c>
      <c r="I486">
        <v>0.43389</v>
      </c>
    </row>
    <row r="487" spans="1:9" x14ac:dyDescent="0.25">
      <c r="A487">
        <v>487</v>
      </c>
      <c r="B487">
        <v>14</v>
      </c>
      <c r="C487">
        <v>7</v>
      </c>
      <c r="D487">
        <v>409321.62</v>
      </c>
      <c r="E487">
        <v>3659233.68</v>
      </c>
      <c r="F487">
        <v>75.099999999999994</v>
      </c>
      <c r="G487">
        <v>31.1</v>
      </c>
      <c r="H487">
        <v>-0.44996000000000003</v>
      </c>
      <c r="I487">
        <v>-0.72050999999999998</v>
      </c>
    </row>
    <row r="488" spans="1:9" x14ac:dyDescent="0.25">
      <c r="A488">
        <v>488</v>
      </c>
      <c r="B488">
        <v>14</v>
      </c>
      <c r="C488">
        <v>7</v>
      </c>
      <c r="D488">
        <v>409321.85</v>
      </c>
      <c r="E488">
        <v>3659236.48</v>
      </c>
      <c r="F488">
        <v>69</v>
      </c>
      <c r="G488">
        <v>28.8</v>
      </c>
      <c r="H488">
        <v>-2.0900400000000001</v>
      </c>
      <c r="I488">
        <v>-2.0604</v>
      </c>
    </row>
    <row r="489" spans="1:9" x14ac:dyDescent="0.25">
      <c r="A489">
        <v>489</v>
      </c>
      <c r="B489">
        <v>15</v>
      </c>
      <c r="C489">
        <v>7</v>
      </c>
      <c r="D489">
        <v>409326.01</v>
      </c>
      <c r="E489">
        <v>3659237.76</v>
      </c>
      <c r="F489">
        <v>72.599999999999994</v>
      </c>
      <c r="G489">
        <v>28.4</v>
      </c>
      <c r="H489">
        <v>-1.50434</v>
      </c>
      <c r="I489">
        <v>-0.46900999999999998</v>
      </c>
    </row>
    <row r="490" spans="1:9" x14ac:dyDescent="0.25">
      <c r="A490">
        <v>490</v>
      </c>
      <c r="B490">
        <v>15</v>
      </c>
      <c r="C490">
        <v>7</v>
      </c>
      <c r="D490">
        <v>409325.87</v>
      </c>
      <c r="E490">
        <v>3659235.14</v>
      </c>
      <c r="F490">
        <v>71.8</v>
      </c>
      <c r="G490">
        <v>25.2</v>
      </c>
      <c r="H490">
        <v>-2.34979</v>
      </c>
      <c r="I490">
        <v>0.67573000000000005</v>
      </c>
    </row>
    <row r="491" spans="1:9" x14ac:dyDescent="0.25">
      <c r="A491">
        <v>491</v>
      </c>
      <c r="B491">
        <v>15</v>
      </c>
      <c r="C491">
        <v>0</v>
      </c>
      <c r="D491">
        <v>409325.78</v>
      </c>
      <c r="E491">
        <v>3659232.39</v>
      </c>
      <c r="F491">
        <v>73.7</v>
      </c>
      <c r="G491">
        <v>26</v>
      </c>
      <c r="H491">
        <v>-1.8207599999999999</v>
      </c>
      <c r="I491">
        <v>1.05498</v>
      </c>
    </row>
    <row r="492" spans="1:9" x14ac:dyDescent="0.25">
      <c r="A492">
        <v>492</v>
      </c>
      <c r="B492">
        <v>15</v>
      </c>
      <c r="C492">
        <v>2</v>
      </c>
      <c r="D492">
        <v>409325.69</v>
      </c>
      <c r="E492">
        <v>3659229.58</v>
      </c>
      <c r="F492">
        <v>75.8</v>
      </c>
      <c r="G492">
        <v>28.1</v>
      </c>
      <c r="H492">
        <v>-0.97162000000000004</v>
      </c>
      <c r="I492">
        <v>0.92025999999999997</v>
      </c>
    </row>
    <row r="493" spans="1:9" x14ac:dyDescent="0.25">
      <c r="A493">
        <v>493</v>
      </c>
      <c r="B493">
        <v>15</v>
      </c>
      <c r="C493">
        <v>0</v>
      </c>
      <c r="D493">
        <v>409325.67</v>
      </c>
      <c r="E493">
        <v>3659226.66</v>
      </c>
      <c r="F493">
        <v>79</v>
      </c>
      <c r="G493">
        <v>28.7</v>
      </c>
      <c r="H493">
        <v>-0.24317</v>
      </c>
      <c r="I493">
        <v>1.8995</v>
      </c>
    </row>
    <row r="494" spans="1:9" x14ac:dyDescent="0.25">
      <c r="A494">
        <v>494</v>
      </c>
      <c r="B494">
        <v>15</v>
      </c>
      <c r="C494">
        <v>0</v>
      </c>
      <c r="D494">
        <v>409325.64</v>
      </c>
      <c r="E494">
        <v>3659223.71</v>
      </c>
      <c r="F494">
        <v>78.900000000000006</v>
      </c>
      <c r="G494">
        <v>31.5</v>
      </c>
      <c r="H494">
        <v>0.34710999999999997</v>
      </c>
      <c r="I494">
        <v>0.5847</v>
      </c>
    </row>
    <row r="495" spans="1:9" x14ac:dyDescent="0.25">
      <c r="A495">
        <v>495</v>
      </c>
      <c r="B495">
        <v>15</v>
      </c>
      <c r="C495">
        <v>0</v>
      </c>
      <c r="D495">
        <v>409325.61</v>
      </c>
      <c r="E495">
        <v>3659220.71</v>
      </c>
      <c r="F495">
        <v>80</v>
      </c>
      <c r="G495">
        <v>32.4</v>
      </c>
      <c r="H495">
        <v>0.74839</v>
      </c>
      <c r="I495">
        <v>0.60524999999999995</v>
      </c>
    </row>
    <row r="496" spans="1:9" x14ac:dyDescent="0.25">
      <c r="A496">
        <v>496</v>
      </c>
      <c r="B496">
        <v>15</v>
      </c>
      <c r="C496">
        <v>0</v>
      </c>
      <c r="D496">
        <v>409325.57</v>
      </c>
      <c r="E496">
        <v>3659217.54</v>
      </c>
      <c r="F496">
        <v>80</v>
      </c>
      <c r="G496">
        <v>32.6</v>
      </c>
      <c r="H496">
        <v>0.79188999999999998</v>
      </c>
      <c r="I496">
        <v>0.51412999999999998</v>
      </c>
    </row>
    <row r="497" spans="1:9" x14ac:dyDescent="0.25">
      <c r="A497">
        <v>497</v>
      </c>
      <c r="B497">
        <v>15</v>
      </c>
      <c r="C497">
        <v>0</v>
      </c>
      <c r="D497">
        <v>409325.61</v>
      </c>
      <c r="E497">
        <v>3659214.29</v>
      </c>
      <c r="F497">
        <v>82</v>
      </c>
      <c r="G497">
        <v>32.9</v>
      </c>
      <c r="H497">
        <v>1.2308600000000001</v>
      </c>
      <c r="I497">
        <v>1.16032</v>
      </c>
    </row>
    <row r="498" spans="1:9" x14ac:dyDescent="0.25">
      <c r="A498">
        <v>498</v>
      </c>
      <c r="B498">
        <v>15</v>
      </c>
      <c r="C498">
        <v>0</v>
      </c>
      <c r="D498">
        <v>409325.55</v>
      </c>
      <c r="E498">
        <v>3659211.26</v>
      </c>
      <c r="F498">
        <v>81.7</v>
      </c>
      <c r="G498">
        <v>33.299999999999997</v>
      </c>
      <c r="H498">
        <v>1.2618</v>
      </c>
      <c r="I498">
        <v>0.86065999999999998</v>
      </c>
    </row>
    <row r="499" spans="1:9" x14ac:dyDescent="0.25">
      <c r="A499">
        <v>499</v>
      </c>
      <c r="B499">
        <v>15</v>
      </c>
      <c r="C499">
        <v>0</v>
      </c>
      <c r="D499">
        <v>409325.53</v>
      </c>
      <c r="E499">
        <v>3659208.45</v>
      </c>
      <c r="F499">
        <v>80.2</v>
      </c>
      <c r="G499">
        <v>33.1</v>
      </c>
      <c r="H499">
        <v>0.93801000000000001</v>
      </c>
      <c r="I499">
        <v>0.36463000000000001</v>
      </c>
    </row>
    <row r="500" spans="1:9" x14ac:dyDescent="0.25">
      <c r="A500">
        <v>500</v>
      </c>
      <c r="B500">
        <v>15</v>
      </c>
      <c r="C500">
        <v>0</v>
      </c>
      <c r="D500">
        <v>409325.43</v>
      </c>
      <c r="E500">
        <v>3659204.89</v>
      </c>
      <c r="F500">
        <v>82.4</v>
      </c>
      <c r="G500">
        <v>35.799999999999997</v>
      </c>
      <c r="H500">
        <v>1.93632</v>
      </c>
      <c r="I500">
        <v>-4.3099999999999996E-3</v>
      </c>
    </row>
    <row r="501" spans="1:9" x14ac:dyDescent="0.25">
      <c r="A501">
        <v>501</v>
      </c>
      <c r="B501">
        <v>15</v>
      </c>
      <c r="C501">
        <v>0</v>
      </c>
      <c r="D501">
        <v>409325.46</v>
      </c>
      <c r="E501">
        <v>3659202.77</v>
      </c>
      <c r="F501">
        <v>80.7</v>
      </c>
      <c r="G501">
        <v>32</v>
      </c>
      <c r="H501">
        <v>0.79220000000000002</v>
      </c>
      <c r="I501">
        <v>1.06149</v>
      </c>
    </row>
    <row r="502" spans="1:9" x14ac:dyDescent="0.25">
      <c r="A502">
        <v>502</v>
      </c>
      <c r="B502">
        <v>15</v>
      </c>
      <c r="C502">
        <v>0</v>
      </c>
      <c r="D502">
        <v>409325.45</v>
      </c>
      <c r="E502">
        <v>3659199.18</v>
      </c>
      <c r="F502">
        <v>80.900000000000006</v>
      </c>
      <c r="G502">
        <v>31.4</v>
      </c>
      <c r="H502">
        <v>0.69908000000000003</v>
      </c>
      <c r="I502">
        <v>1.41313</v>
      </c>
    </row>
    <row r="503" spans="1:9" x14ac:dyDescent="0.25">
      <c r="A503">
        <v>503</v>
      </c>
      <c r="B503">
        <v>15</v>
      </c>
      <c r="C503">
        <v>0</v>
      </c>
      <c r="D503">
        <v>409325.43</v>
      </c>
      <c r="E503">
        <v>3659196.24</v>
      </c>
      <c r="F503">
        <v>80</v>
      </c>
      <c r="G503">
        <v>32.4</v>
      </c>
      <c r="H503">
        <v>0.74839</v>
      </c>
      <c r="I503">
        <v>0.60524999999999995</v>
      </c>
    </row>
    <row r="504" spans="1:9" x14ac:dyDescent="0.25">
      <c r="A504">
        <v>504</v>
      </c>
      <c r="B504">
        <v>15</v>
      </c>
      <c r="C504">
        <v>0</v>
      </c>
      <c r="D504">
        <v>409325.39</v>
      </c>
      <c r="E504">
        <v>3659193.28</v>
      </c>
      <c r="F504">
        <v>81.400000000000006</v>
      </c>
      <c r="G504">
        <v>33</v>
      </c>
      <c r="H504">
        <v>1.14049</v>
      </c>
      <c r="I504">
        <v>0.87990000000000002</v>
      </c>
    </row>
    <row r="505" spans="1:9" x14ac:dyDescent="0.25">
      <c r="A505">
        <v>505</v>
      </c>
      <c r="B505">
        <v>15</v>
      </c>
      <c r="C505">
        <v>0</v>
      </c>
      <c r="D505">
        <v>409325.35</v>
      </c>
      <c r="E505">
        <v>3659190.35</v>
      </c>
      <c r="F505">
        <v>81.099999999999994</v>
      </c>
      <c r="G505">
        <v>32.5</v>
      </c>
      <c r="H505">
        <v>0.97568999999999995</v>
      </c>
      <c r="I505">
        <v>0.99026999999999998</v>
      </c>
    </row>
    <row r="506" spans="1:9" x14ac:dyDescent="0.25">
      <c r="A506">
        <v>506</v>
      </c>
      <c r="B506">
        <v>15</v>
      </c>
      <c r="C506">
        <v>0</v>
      </c>
      <c r="D506">
        <v>409325.36</v>
      </c>
      <c r="E506">
        <v>3659187.35</v>
      </c>
      <c r="F506">
        <v>77.7</v>
      </c>
      <c r="G506">
        <v>31.6</v>
      </c>
      <c r="H506">
        <v>0.14462</v>
      </c>
      <c r="I506">
        <v>6.9419999999999996E-2</v>
      </c>
    </row>
    <row r="507" spans="1:9" x14ac:dyDescent="0.25">
      <c r="A507">
        <v>507</v>
      </c>
      <c r="B507">
        <v>15</v>
      </c>
      <c r="C507">
        <v>0</v>
      </c>
      <c r="D507">
        <v>409325.31</v>
      </c>
      <c r="E507">
        <v>3659184.34</v>
      </c>
      <c r="F507">
        <v>79.8</v>
      </c>
      <c r="G507">
        <v>31.9</v>
      </c>
      <c r="H507">
        <v>0.60228000000000004</v>
      </c>
      <c r="I507">
        <v>0.75475999999999999</v>
      </c>
    </row>
    <row r="508" spans="1:9" x14ac:dyDescent="0.25">
      <c r="A508">
        <v>508</v>
      </c>
      <c r="B508">
        <v>15</v>
      </c>
      <c r="C508">
        <v>0</v>
      </c>
      <c r="D508">
        <v>409325.28</v>
      </c>
      <c r="E508">
        <v>3659181.15</v>
      </c>
      <c r="F508">
        <v>77</v>
      </c>
      <c r="G508">
        <v>31</v>
      </c>
      <c r="H508">
        <v>-0.11668000000000001</v>
      </c>
      <c r="I508">
        <v>6.8769999999999998E-2</v>
      </c>
    </row>
    <row r="509" spans="1:9" x14ac:dyDescent="0.25">
      <c r="A509">
        <v>509</v>
      </c>
      <c r="B509">
        <v>15</v>
      </c>
      <c r="C509">
        <v>0</v>
      </c>
      <c r="D509">
        <v>409325.24</v>
      </c>
      <c r="E509">
        <v>3659177.99</v>
      </c>
      <c r="F509">
        <v>77.3</v>
      </c>
      <c r="G509">
        <v>29.3</v>
      </c>
      <c r="H509">
        <v>-0.43035000000000001</v>
      </c>
      <c r="I509">
        <v>0.9607</v>
      </c>
    </row>
    <row r="510" spans="1:9" x14ac:dyDescent="0.25">
      <c r="A510">
        <v>510</v>
      </c>
      <c r="B510">
        <v>15</v>
      </c>
      <c r="C510">
        <v>0</v>
      </c>
      <c r="D510">
        <v>409325.25</v>
      </c>
      <c r="E510">
        <v>3659174.81</v>
      </c>
      <c r="F510">
        <v>78.2</v>
      </c>
      <c r="G510">
        <v>31.4</v>
      </c>
      <c r="H510">
        <v>0.19455</v>
      </c>
      <c r="I510">
        <v>0.35626000000000002</v>
      </c>
    </row>
    <row r="511" spans="1:9" x14ac:dyDescent="0.25">
      <c r="A511">
        <v>511</v>
      </c>
      <c r="B511">
        <v>15</v>
      </c>
      <c r="C511">
        <v>0</v>
      </c>
      <c r="D511">
        <v>409325.2</v>
      </c>
      <c r="E511">
        <v>3659171.79</v>
      </c>
      <c r="F511">
        <v>76.8</v>
      </c>
      <c r="G511">
        <v>29.1</v>
      </c>
      <c r="H511">
        <v>-0.56728000000000001</v>
      </c>
      <c r="I511">
        <v>0.85609999999999997</v>
      </c>
    </row>
    <row r="512" spans="1:9" x14ac:dyDescent="0.25">
      <c r="A512">
        <v>512</v>
      </c>
      <c r="B512">
        <v>15</v>
      </c>
      <c r="C512">
        <v>0</v>
      </c>
      <c r="D512">
        <v>409325.18</v>
      </c>
      <c r="E512">
        <v>3659168.84</v>
      </c>
      <c r="F512">
        <v>76.400000000000006</v>
      </c>
      <c r="G512">
        <v>29.8</v>
      </c>
      <c r="H512">
        <v>-0.48977999999999999</v>
      </c>
      <c r="I512">
        <v>0.38062000000000001</v>
      </c>
    </row>
    <row r="513" spans="1:9" x14ac:dyDescent="0.25">
      <c r="A513">
        <v>513</v>
      </c>
      <c r="B513">
        <v>15</v>
      </c>
      <c r="C513">
        <v>0</v>
      </c>
      <c r="D513">
        <v>409325.11</v>
      </c>
      <c r="E513">
        <v>3659165.72</v>
      </c>
      <c r="F513">
        <v>77.599999999999994</v>
      </c>
      <c r="G513">
        <v>31.1</v>
      </c>
      <c r="H513">
        <v>1.719E-2</v>
      </c>
      <c r="I513">
        <v>0.25807000000000002</v>
      </c>
    </row>
    <row r="514" spans="1:9" x14ac:dyDescent="0.25">
      <c r="A514">
        <v>514</v>
      </c>
      <c r="B514">
        <v>15</v>
      </c>
      <c r="C514">
        <v>0</v>
      </c>
      <c r="D514">
        <v>409325.05</v>
      </c>
      <c r="E514">
        <v>3659162.69</v>
      </c>
      <c r="F514">
        <v>80.2</v>
      </c>
      <c r="G514">
        <v>32.299999999999997</v>
      </c>
      <c r="H514">
        <v>0.76402000000000003</v>
      </c>
      <c r="I514">
        <v>0.72909999999999997</v>
      </c>
    </row>
    <row r="515" spans="1:9" x14ac:dyDescent="0.25">
      <c r="A515">
        <v>515</v>
      </c>
      <c r="B515">
        <v>15</v>
      </c>
      <c r="C515">
        <v>0</v>
      </c>
      <c r="D515">
        <v>409325.02</v>
      </c>
      <c r="E515">
        <v>3659159.69</v>
      </c>
      <c r="F515">
        <v>79.3</v>
      </c>
      <c r="G515">
        <v>32.4</v>
      </c>
      <c r="H515">
        <v>0.61758999999999997</v>
      </c>
      <c r="I515">
        <v>0.33124999999999999</v>
      </c>
    </row>
    <row r="516" spans="1:9" x14ac:dyDescent="0.25">
      <c r="A516">
        <v>516</v>
      </c>
      <c r="B516">
        <v>15</v>
      </c>
      <c r="C516">
        <v>0</v>
      </c>
      <c r="D516">
        <v>409324.94</v>
      </c>
      <c r="E516">
        <v>3659156.68</v>
      </c>
      <c r="F516">
        <v>80.599999999999994</v>
      </c>
      <c r="G516">
        <v>31.5</v>
      </c>
      <c r="H516">
        <v>0.66476999999999997</v>
      </c>
      <c r="I516">
        <v>1.25014</v>
      </c>
    </row>
    <row r="517" spans="1:9" x14ac:dyDescent="0.25">
      <c r="A517">
        <v>517</v>
      </c>
      <c r="B517">
        <v>15</v>
      </c>
      <c r="C517">
        <v>0</v>
      </c>
      <c r="D517">
        <v>409324.95</v>
      </c>
      <c r="E517">
        <v>3659153.69</v>
      </c>
      <c r="F517">
        <v>81.2</v>
      </c>
      <c r="G517">
        <v>33.5</v>
      </c>
      <c r="H517">
        <v>1.2118599999999999</v>
      </c>
      <c r="I517">
        <v>0.57382</v>
      </c>
    </row>
    <row r="518" spans="1:9" x14ac:dyDescent="0.25">
      <c r="A518">
        <v>518</v>
      </c>
      <c r="B518">
        <v>15</v>
      </c>
      <c r="C518">
        <v>0</v>
      </c>
      <c r="D518">
        <v>409324.91</v>
      </c>
      <c r="E518">
        <v>3659150.74</v>
      </c>
      <c r="F518">
        <v>78.8</v>
      </c>
      <c r="G518">
        <v>33.5</v>
      </c>
      <c r="H518">
        <v>0.76339000000000001</v>
      </c>
      <c r="I518">
        <v>-0.36562</v>
      </c>
    </row>
    <row r="519" spans="1:9" x14ac:dyDescent="0.25">
      <c r="A519">
        <v>519</v>
      </c>
      <c r="B519">
        <v>15</v>
      </c>
      <c r="C519">
        <v>0</v>
      </c>
      <c r="D519">
        <v>409324.84</v>
      </c>
      <c r="E519">
        <v>3659147.72</v>
      </c>
      <c r="F519">
        <v>78.099999999999994</v>
      </c>
      <c r="G519">
        <v>32.5</v>
      </c>
      <c r="H519">
        <v>0.41510000000000002</v>
      </c>
      <c r="I519">
        <v>-0.18403</v>
      </c>
    </row>
    <row r="520" spans="1:9" x14ac:dyDescent="0.25">
      <c r="A520">
        <v>520</v>
      </c>
      <c r="B520">
        <v>15</v>
      </c>
      <c r="C520">
        <v>0</v>
      </c>
      <c r="D520">
        <v>409324.83</v>
      </c>
      <c r="E520">
        <v>3659144.68</v>
      </c>
      <c r="F520">
        <v>79.3</v>
      </c>
      <c r="G520">
        <v>32.299999999999997</v>
      </c>
      <c r="H520">
        <v>0.59584000000000004</v>
      </c>
      <c r="I520">
        <v>0.37680999999999998</v>
      </c>
    </row>
    <row r="521" spans="1:9" x14ac:dyDescent="0.25">
      <c r="A521">
        <v>521</v>
      </c>
      <c r="B521">
        <v>15</v>
      </c>
      <c r="C521">
        <v>0</v>
      </c>
      <c r="D521">
        <v>409324.69</v>
      </c>
      <c r="E521">
        <v>3659141.69</v>
      </c>
      <c r="F521">
        <v>80.099999999999994</v>
      </c>
      <c r="G521">
        <v>33.799999999999997</v>
      </c>
      <c r="H521">
        <v>1.0715600000000001</v>
      </c>
      <c r="I521">
        <v>6.5700000000000003E-3</v>
      </c>
    </row>
    <row r="522" spans="1:9" x14ac:dyDescent="0.25">
      <c r="A522">
        <v>522</v>
      </c>
      <c r="B522">
        <v>15</v>
      </c>
      <c r="C522">
        <v>0</v>
      </c>
      <c r="D522">
        <v>409324.66</v>
      </c>
      <c r="E522">
        <v>3659138.64</v>
      </c>
      <c r="F522">
        <v>80.099999999999994</v>
      </c>
      <c r="G522">
        <v>32.299999999999997</v>
      </c>
      <c r="H522">
        <v>0.74533000000000005</v>
      </c>
      <c r="I522">
        <v>0.68994999999999995</v>
      </c>
    </row>
    <row r="523" spans="1:9" x14ac:dyDescent="0.25">
      <c r="A523">
        <v>523</v>
      </c>
      <c r="B523">
        <v>15</v>
      </c>
      <c r="C523">
        <v>7</v>
      </c>
      <c r="D523">
        <v>409324.59</v>
      </c>
      <c r="E523">
        <v>3659135.54</v>
      </c>
      <c r="F523">
        <v>77.599999999999994</v>
      </c>
      <c r="G523">
        <v>30.1</v>
      </c>
      <c r="H523">
        <v>-0.20030000000000001</v>
      </c>
      <c r="I523">
        <v>0.71365999999999996</v>
      </c>
    </row>
    <row r="524" spans="1:9" x14ac:dyDescent="0.25">
      <c r="A524">
        <v>524</v>
      </c>
      <c r="B524">
        <v>15</v>
      </c>
      <c r="C524">
        <v>7</v>
      </c>
      <c r="D524">
        <v>409324.56</v>
      </c>
      <c r="E524">
        <v>3659132.47</v>
      </c>
      <c r="F524">
        <v>77.099999999999994</v>
      </c>
      <c r="G524">
        <v>30.4</v>
      </c>
      <c r="H524">
        <v>-0.22847999999999999</v>
      </c>
      <c r="I524">
        <v>0.38127</v>
      </c>
    </row>
    <row r="525" spans="1:9" x14ac:dyDescent="0.25">
      <c r="A525">
        <v>525</v>
      </c>
      <c r="B525">
        <v>16</v>
      </c>
      <c r="C525">
        <v>7</v>
      </c>
      <c r="D525">
        <v>409328.6</v>
      </c>
      <c r="E525">
        <v>3659128.68</v>
      </c>
      <c r="F525">
        <v>80.3</v>
      </c>
      <c r="G525">
        <v>30.4</v>
      </c>
      <c r="H525">
        <v>0.36947999999999998</v>
      </c>
      <c r="I525">
        <v>1.6338600000000001</v>
      </c>
    </row>
    <row r="526" spans="1:9" x14ac:dyDescent="0.25">
      <c r="A526">
        <v>526</v>
      </c>
      <c r="B526">
        <v>16</v>
      </c>
      <c r="C526">
        <v>7</v>
      </c>
      <c r="D526">
        <v>409328.6</v>
      </c>
      <c r="E526">
        <v>3659128.73</v>
      </c>
      <c r="F526">
        <v>80.5</v>
      </c>
      <c r="G526">
        <v>31</v>
      </c>
      <c r="H526">
        <v>0.53734000000000004</v>
      </c>
      <c r="I526">
        <v>1.43879</v>
      </c>
    </row>
    <row r="527" spans="1:9" x14ac:dyDescent="0.25">
      <c r="A527">
        <v>527</v>
      </c>
      <c r="B527">
        <v>16</v>
      </c>
      <c r="C527">
        <v>7</v>
      </c>
      <c r="D527">
        <v>409328.68</v>
      </c>
      <c r="E527">
        <v>3659131.7</v>
      </c>
      <c r="F527">
        <v>80.5</v>
      </c>
      <c r="G527">
        <v>31.3</v>
      </c>
      <c r="H527">
        <v>0.60258999999999996</v>
      </c>
      <c r="I527">
        <v>1.3021199999999999</v>
      </c>
    </row>
    <row r="528" spans="1:9" x14ac:dyDescent="0.25">
      <c r="A528">
        <v>528</v>
      </c>
      <c r="B528">
        <v>16</v>
      </c>
      <c r="C528">
        <v>0</v>
      </c>
      <c r="D528">
        <v>409328.66</v>
      </c>
      <c r="E528">
        <v>3659134.87</v>
      </c>
      <c r="F528">
        <v>81.3</v>
      </c>
      <c r="G528">
        <v>30.6</v>
      </c>
      <c r="H528">
        <v>0.59982999999999997</v>
      </c>
      <c r="I528">
        <v>1.9341699999999999</v>
      </c>
    </row>
    <row r="529" spans="1:9" x14ac:dyDescent="0.25">
      <c r="A529">
        <v>529</v>
      </c>
      <c r="B529">
        <v>16</v>
      </c>
      <c r="C529">
        <v>0</v>
      </c>
      <c r="D529">
        <v>409328.69</v>
      </c>
      <c r="E529">
        <v>3659138.04</v>
      </c>
      <c r="F529">
        <v>78.8</v>
      </c>
      <c r="G529">
        <v>32.200000000000003</v>
      </c>
      <c r="H529">
        <v>0.48065999999999998</v>
      </c>
      <c r="I529">
        <v>0.22664999999999999</v>
      </c>
    </row>
    <row r="530" spans="1:9" x14ac:dyDescent="0.25">
      <c r="A530">
        <v>530</v>
      </c>
      <c r="B530">
        <v>16</v>
      </c>
      <c r="C530">
        <v>0</v>
      </c>
      <c r="D530">
        <v>409328.77</v>
      </c>
      <c r="E530">
        <v>3659142.17</v>
      </c>
      <c r="F530">
        <v>80.099999999999994</v>
      </c>
      <c r="G530">
        <v>31.3</v>
      </c>
      <c r="H530">
        <v>0.52783999999999998</v>
      </c>
      <c r="I530">
        <v>1.14554</v>
      </c>
    </row>
    <row r="531" spans="1:9" x14ac:dyDescent="0.25">
      <c r="A531">
        <v>531</v>
      </c>
      <c r="B531">
        <v>16</v>
      </c>
      <c r="C531">
        <v>0</v>
      </c>
      <c r="D531">
        <v>409328.87</v>
      </c>
      <c r="E531">
        <v>3659144.43</v>
      </c>
      <c r="F531">
        <v>80.3</v>
      </c>
      <c r="G531">
        <v>32.6</v>
      </c>
      <c r="H531">
        <v>0.84794999999999998</v>
      </c>
      <c r="I531">
        <v>0.63156000000000001</v>
      </c>
    </row>
    <row r="532" spans="1:9" x14ac:dyDescent="0.25">
      <c r="A532">
        <v>532</v>
      </c>
      <c r="B532">
        <v>16</v>
      </c>
      <c r="C532">
        <v>0</v>
      </c>
      <c r="D532">
        <v>409328.97</v>
      </c>
      <c r="E532">
        <v>3659147.61</v>
      </c>
      <c r="F532">
        <v>80.3</v>
      </c>
      <c r="G532">
        <v>32.799999999999997</v>
      </c>
      <c r="H532">
        <v>0.89144999999999996</v>
      </c>
      <c r="I532">
        <v>0.54044999999999999</v>
      </c>
    </row>
    <row r="533" spans="1:9" x14ac:dyDescent="0.25">
      <c r="A533">
        <v>533</v>
      </c>
      <c r="B533">
        <v>16</v>
      </c>
      <c r="C533">
        <v>0</v>
      </c>
      <c r="D533">
        <v>409328.99</v>
      </c>
      <c r="E533">
        <v>3659151.84</v>
      </c>
      <c r="F533">
        <v>80.5</v>
      </c>
      <c r="G533">
        <v>30.5</v>
      </c>
      <c r="H533">
        <v>0.42859999999999998</v>
      </c>
      <c r="I533">
        <v>1.66659</v>
      </c>
    </row>
    <row r="534" spans="1:9" x14ac:dyDescent="0.25">
      <c r="A534">
        <v>534</v>
      </c>
      <c r="B534">
        <v>16</v>
      </c>
      <c r="C534">
        <v>0</v>
      </c>
      <c r="D534">
        <v>409329.03</v>
      </c>
      <c r="E534">
        <v>3659155.05</v>
      </c>
      <c r="F534">
        <v>81.7</v>
      </c>
      <c r="G534">
        <v>33.700000000000003</v>
      </c>
      <c r="H534">
        <v>1.3487899999999999</v>
      </c>
      <c r="I534">
        <v>0.67842000000000002</v>
      </c>
    </row>
    <row r="535" spans="1:9" x14ac:dyDescent="0.25">
      <c r="A535">
        <v>535</v>
      </c>
      <c r="B535">
        <v>16</v>
      </c>
      <c r="C535">
        <v>0</v>
      </c>
      <c r="D535">
        <v>409329.08</v>
      </c>
      <c r="E535">
        <v>3659158.35</v>
      </c>
      <c r="F535">
        <v>81</v>
      </c>
      <c r="G535">
        <v>32.200000000000003</v>
      </c>
      <c r="H535">
        <v>0.89176</v>
      </c>
      <c r="I535">
        <v>1.0878000000000001</v>
      </c>
    </row>
    <row r="536" spans="1:9" x14ac:dyDescent="0.25">
      <c r="A536">
        <v>536</v>
      </c>
      <c r="B536">
        <v>16</v>
      </c>
      <c r="C536">
        <v>0</v>
      </c>
      <c r="D536">
        <v>409329.16</v>
      </c>
      <c r="E536">
        <v>3659161.65</v>
      </c>
      <c r="F536">
        <v>80.3</v>
      </c>
      <c r="G536">
        <v>30.7</v>
      </c>
      <c r="H536">
        <v>0.43472</v>
      </c>
      <c r="I536">
        <v>1.49718</v>
      </c>
    </row>
    <row r="537" spans="1:9" x14ac:dyDescent="0.25">
      <c r="A537">
        <v>537</v>
      </c>
      <c r="B537">
        <v>16</v>
      </c>
      <c r="C537">
        <v>0</v>
      </c>
      <c r="D537">
        <v>409329.16</v>
      </c>
      <c r="E537">
        <v>3659164.87</v>
      </c>
      <c r="F537">
        <v>80.400000000000006</v>
      </c>
      <c r="G537">
        <v>31.8</v>
      </c>
      <c r="H537">
        <v>0.69264000000000003</v>
      </c>
      <c r="I537">
        <v>1.03518</v>
      </c>
    </row>
    <row r="538" spans="1:9" x14ac:dyDescent="0.25">
      <c r="A538">
        <v>538</v>
      </c>
      <c r="B538">
        <v>16</v>
      </c>
      <c r="C538">
        <v>0</v>
      </c>
      <c r="D538">
        <v>409329.29</v>
      </c>
      <c r="E538">
        <v>3659168.2</v>
      </c>
      <c r="F538">
        <v>77.599999999999994</v>
      </c>
      <c r="G538">
        <v>29.3</v>
      </c>
      <c r="H538">
        <v>-0.37429000000000001</v>
      </c>
      <c r="I538">
        <v>1.07813</v>
      </c>
    </row>
    <row r="539" spans="1:9" x14ac:dyDescent="0.25">
      <c r="A539">
        <v>539</v>
      </c>
      <c r="B539">
        <v>16</v>
      </c>
      <c r="C539">
        <v>0</v>
      </c>
      <c r="D539">
        <v>409329.33</v>
      </c>
      <c r="E539">
        <v>3659171.7</v>
      </c>
      <c r="F539">
        <v>77</v>
      </c>
      <c r="G539">
        <v>28.5</v>
      </c>
      <c r="H539">
        <v>-0.66039999999999999</v>
      </c>
      <c r="I539">
        <v>1.20774</v>
      </c>
    </row>
    <row r="540" spans="1:9" x14ac:dyDescent="0.25">
      <c r="A540">
        <v>540</v>
      </c>
      <c r="B540">
        <v>16</v>
      </c>
      <c r="C540">
        <v>0</v>
      </c>
      <c r="D540">
        <v>409329.25</v>
      </c>
      <c r="E540">
        <v>3659175.08</v>
      </c>
      <c r="F540">
        <v>74.400000000000006</v>
      </c>
      <c r="G540">
        <v>27.2</v>
      </c>
      <c r="H540">
        <v>-1.4289700000000001</v>
      </c>
      <c r="I540">
        <v>0.78227999999999998</v>
      </c>
    </row>
    <row r="541" spans="1:9" x14ac:dyDescent="0.25">
      <c r="A541">
        <v>541</v>
      </c>
      <c r="B541">
        <v>16</v>
      </c>
      <c r="C541">
        <v>0</v>
      </c>
      <c r="D541">
        <v>409329.36</v>
      </c>
      <c r="E541">
        <v>3659178.31</v>
      </c>
      <c r="F541">
        <v>76.099999999999994</v>
      </c>
      <c r="G541">
        <v>30.2</v>
      </c>
      <c r="H541">
        <v>-0.45884000000000003</v>
      </c>
      <c r="I541">
        <v>8.0949999999999994E-2</v>
      </c>
    </row>
    <row r="542" spans="1:9" x14ac:dyDescent="0.25">
      <c r="A542">
        <v>542</v>
      </c>
      <c r="B542">
        <v>16</v>
      </c>
      <c r="C542">
        <v>0</v>
      </c>
      <c r="D542">
        <v>409329.41</v>
      </c>
      <c r="E542">
        <v>3659181.55</v>
      </c>
      <c r="F542">
        <v>76</v>
      </c>
      <c r="G542">
        <v>27.9</v>
      </c>
      <c r="H542">
        <v>-0.97775000000000001</v>
      </c>
      <c r="I542">
        <v>1.0896600000000001</v>
      </c>
    </row>
    <row r="543" spans="1:9" x14ac:dyDescent="0.25">
      <c r="A543">
        <v>543</v>
      </c>
      <c r="B543">
        <v>16</v>
      </c>
      <c r="C543">
        <v>0</v>
      </c>
      <c r="D543">
        <v>409329.39</v>
      </c>
      <c r="E543">
        <v>3659184.75</v>
      </c>
      <c r="F543">
        <v>76.8</v>
      </c>
      <c r="G543">
        <v>27.9</v>
      </c>
      <c r="H543">
        <v>-0.82826</v>
      </c>
      <c r="I543">
        <v>1.4028099999999999</v>
      </c>
    </row>
    <row r="544" spans="1:9" x14ac:dyDescent="0.25">
      <c r="A544">
        <v>544</v>
      </c>
      <c r="B544">
        <v>16</v>
      </c>
      <c r="C544">
        <v>0</v>
      </c>
      <c r="D544">
        <v>409329.37</v>
      </c>
      <c r="E544">
        <v>3659187.94</v>
      </c>
      <c r="F544">
        <v>79.2</v>
      </c>
      <c r="G544">
        <v>29.3</v>
      </c>
      <c r="H544">
        <v>-7.5310000000000002E-2</v>
      </c>
      <c r="I544">
        <v>1.7044299999999999</v>
      </c>
    </row>
    <row r="545" spans="1:9" x14ac:dyDescent="0.25">
      <c r="A545">
        <v>545</v>
      </c>
      <c r="B545">
        <v>16</v>
      </c>
      <c r="C545">
        <v>0</v>
      </c>
      <c r="D545">
        <v>409329.39</v>
      </c>
      <c r="E545">
        <v>3659191.15</v>
      </c>
      <c r="F545">
        <v>79.2</v>
      </c>
      <c r="G545">
        <v>30.7</v>
      </c>
      <c r="H545">
        <v>0.22917000000000001</v>
      </c>
      <c r="I545">
        <v>1.0666</v>
      </c>
    </row>
    <row r="546" spans="1:9" x14ac:dyDescent="0.25">
      <c r="A546">
        <v>546</v>
      </c>
      <c r="B546">
        <v>16</v>
      </c>
      <c r="C546">
        <v>0</v>
      </c>
      <c r="D546">
        <v>409329.39</v>
      </c>
      <c r="E546">
        <v>3659194.29</v>
      </c>
      <c r="F546">
        <v>81.5</v>
      </c>
      <c r="G546">
        <v>33.1</v>
      </c>
      <c r="H546">
        <v>1.18093</v>
      </c>
      <c r="I546">
        <v>0.87348999999999999</v>
      </c>
    </row>
    <row r="547" spans="1:9" x14ac:dyDescent="0.25">
      <c r="A547">
        <v>547</v>
      </c>
      <c r="B547">
        <v>16</v>
      </c>
      <c r="C547">
        <v>0</v>
      </c>
      <c r="D547">
        <v>409329.45</v>
      </c>
      <c r="E547">
        <v>3659197.46</v>
      </c>
      <c r="F547">
        <v>83</v>
      </c>
      <c r="G547">
        <v>34.200000000000003</v>
      </c>
      <c r="H547">
        <v>1.7004600000000001</v>
      </c>
      <c r="I547">
        <v>0.95948999999999995</v>
      </c>
    </row>
    <row r="548" spans="1:9" x14ac:dyDescent="0.25">
      <c r="A548">
        <v>548</v>
      </c>
      <c r="B548">
        <v>16</v>
      </c>
      <c r="C548">
        <v>2</v>
      </c>
      <c r="D548">
        <v>409329.57</v>
      </c>
      <c r="E548">
        <v>3659200.62</v>
      </c>
      <c r="F548">
        <v>84.6</v>
      </c>
      <c r="G548">
        <v>33.700000000000003</v>
      </c>
      <c r="H548">
        <v>1.89069</v>
      </c>
      <c r="I548">
        <v>1.81358</v>
      </c>
    </row>
    <row r="549" spans="1:9" x14ac:dyDescent="0.25">
      <c r="A549">
        <v>549</v>
      </c>
      <c r="B549">
        <v>16</v>
      </c>
      <c r="C549">
        <v>0</v>
      </c>
      <c r="D549">
        <v>409329.55</v>
      </c>
      <c r="E549">
        <v>3659203.83</v>
      </c>
      <c r="F549">
        <v>80.599999999999994</v>
      </c>
      <c r="G549">
        <v>33.5</v>
      </c>
      <c r="H549">
        <v>1.09975</v>
      </c>
      <c r="I549">
        <v>0.33895999999999998</v>
      </c>
    </row>
    <row r="550" spans="1:9" x14ac:dyDescent="0.25">
      <c r="A550">
        <v>550</v>
      </c>
      <c r="B550">
        <v>16</v>
      </c>
      <c r="C550">
        <v>0</v>
      </c>
      <c r="D550">
        <v>409329.56</v>
      </c>
      <c r="E550">
        <v>3659206.98</v>
      </c>
      <c r="F550">
        <v>82.6</v>
      </c>
      <c r="G550">
        <v>37.299999999999997</v>
      </c>
      <c r="H550">
        <v>2.2999200000000002</v>
      </c>
      <c r="I550">
        <v>-0.60941000000000001</v>
      </c>
    </row>
    <row r="551" spans="1:9" x14ac:dyDescent="0.25">
      <c r="A551">
        <v>551</v>
      </c>
      <c r="B551">
        <v>16</v>
      </c>
      <c r="C551">
        <v>0</v>
      </c>
      <c r="D551">
        <v>409329.57</v>
      </c>
      <c r="E551">
        <v>3659210.13</v>
      </c>
      <c r="F551">
        <v>83.5</v>
      </c>
      <c r="G551">
        <v>34.200000000000003</v>
      </c>
      <c r="H551">
        <v>1.79389</v>
      </c>
      <c r="I551">
        <v>1.1552100000000001</v>
      </c>
    </row>
    <row r="552" spans="1:9" x14ac:dyDescent="0.25">
      <c r="A552">
        <v>552</v>
      </c>
      <c r="B552">
        <v>16</v>
      </c>
      <c r="C552">
        <v>0</v>
      </c>
      <c r="D552">
        <v>409329.59</v>
      </c>
      <c r="E552">
        <v>3659213.43</v>
      </c>
      <c r="F552">
        <v>82.3</v>
      </c>
      <c r="G552">
        <v>33.5</v>
      </c>
      <c r="H552">
        <v>1.4174100000000001</v>
      </c>
      <c r="I552">
        <v>1.0044</v>
      </c>
    </row>
    <row r="553" spans="1:9" x14ac:dyDescent="0.25">
      <c r="A553">
        <v>553</v>
      </c>
      <c r="B553">
        <v>16</v>
      </c>
      <c r="C553">
        <v>0</v>
      </c>
      <c r="D553">
        <v>409329.63</v>
      </c>
      <c r="E553">
        <v>3659216.64</v>
      </c>
      <c r="F553">
        <v>81.5</v>
      </c>
      <c r="G553">
        <v>32.5</v>
      </c>
      <c r="H553">
        <v>1.05043</v>
      </c>
      <c r="I553">
        <v>1.1468400000000001</v>
      </c>
    </row>
    <row r="554" spans="1:9" x14ac:dyDescent="0.25">
      <c r="A554">
        <v>554</v>
      </c>
      <c r="B554">
        <v>16</v>
      </c>
      <c r="C554">
        <v>0</v>
      </c>
      <c r="D554">
        <v>409329.65</v>
      </c>
      <c r="E554">
        <v>3659219.88</v>
      </c>
      <c r="F554">
        <v>82.2</v>
      </c>
      <c r="G554">
        <v>32.4</v>
      </c>
      <c r="H554">
        <v>1.1594899999999999</v>
      </c>
      <c r="I554">
        <v>1.46641</v>
      </c>
    </row>
    <row r="555" spans="1:9" x14ac:dyDescent="0.25">
      <c r="A555">
        <v>555</v>
      </c>
      <c r="B555">
        <v>16</v>
      </c>
      <c r="C555">
        <v>0</v>
      </c>
      <c r="D555">
        <v>409329.74</v>
      </c>
      <c r="E555">
        <v>3659223.65</v>
      </c>
      <c r="F555">
        <v>82.3</v>
      </c>
      <c r="G555">
        <v>31.4</v>
      </c>
      <c r="H555">
        <v>0.96069000000000004</v>
      </c>
      <c r="I555">
        <v>1.9611400000000001</v>
      </c>
    </row>
    <row r="556" spans="1:9" x14ac:dyDescent="0.25">
      <c r="A556">
        <v>556</v>
      </c>
      <c r="B556">
        <v>16</v>
      </c>
      <c r="C556">
        <v>0</v>
      </c>
      <c r="D556">
        <v>409329.83</v>
      </c>
      <c r="E556">
        <v>3659226.27</v>
      </c>
      <c r="F556">
        <v>80.8</v>
      </c>
      <c r="G556">
        <v>29.6</v>
      </c>
      <c r="H556">
        <v>0.28892000000000001</v>
      </c>
      <c r="I556">
        <v>2.1940499999999998</v>
      </c>
    </row>
    <row r="557" spans="1:9" x14ac:dyDescent="0.25">
      <c r="A557">
        <v>557</v>
      </c>
      <c r="B557">
        <v>16</v>
      </c>
      <c r="C557">
        <v>0</v>
      </c>
      <c r="D557">
        <v>409329.73</v>
      </c>
      <c r="E557">
        <v>3659229.55</v>
      </c>
      <c r="F557">
        <v>78</v>
      </c>
      <c r="G557">
        <v>28.5</v>
      </c>
      <c r="H557">
        <v>-0.47353000000000001</v>
      </c>
      <c r="I557">
        <v>1.59918</v>
      </c>
    </row>
    <row r="558" spans="1:9" x14ac:dyDescent="0.25">
      <c r="A558">
        <v>558</v>
      </c>
      <c r="B558">
        <v>16</v>
      </c>
      <c r="C558">
        <v>7</v>
      </c>
      <c r="D558">
        <v>409329.78</v>
      </c>
      <c r="E558">
        <v>3659232.81</v>
      </c>
      <c r="F558">
        <v>75.3</v>
      </c>
      <c r="G558">
        <v>28.1</v>
      </c>
      <c r="H558">
        <v>-1.0650599999999999</v>
      </c>
      <c r="I558">
        <v>0.72453999999999996</v>
      </c>
    </row>
    <row r="559" spans="1:9" x14ac:dyDescent="0.25">
      <c r="A559">
        <v>559</v>
      </c>
      <c r="B559">
        <v>16</v>
      </c>
      <c r="C559">
        <v>7</v>
      </c>
      <c r="D559">
        <v>409329.99</v>
      </c>
      <c r="E559">
        <v>3659236.31</v>
      </c>
      <c r="F559">
        <v>73.5</v>
      </c>
      <c r="G559">
        <v>25</v>
      </c>
      <c r="H559">
        <v>-2.0756199999999998</v>
      </c>
      <c r="I559">
        <v>1.4322900000000001</v>
      </c>
    </row>
    <row r="560" spans="1:9" x14ac:dyDescent="0.25">
      <c r="A560">
        <v>560</v>
      </c>
      <c r="B560">
        <v>17</v>
      </c>
      <c r="C560">
        <v>7</v>
      </c>
      <c r="D560">
        <v>409333.99</v>
      </c>
      <c r="E560">
        <v>3659237.64</v>
      </c>
      <c r="F560">
        <v>79.900000000000006</v>
      </c>
      <c r="G560">
        <v>32</v>
      </c>
      <c r="H560">
        <v>0.64271</v>
      </c>
      <c r="I560">
        <v>0.74834000000000001</v>
      </c>
    </row>
    <row r="561" spans="1:9" x14ac:dyDescent="0.25">
      <c r="A561">
        <v>561</v>
      </c>
      <c r="B561">
        <v>17</v>
      </c>
      <c r="C561">
        <v>7</v>
      </c>
      <c r="D561">
        <v>409334</v>
      </c>
      <c r="E561">
        <v>3659236.15</v>
      </c>
      <c r="F561">
        <v>76.900000000000006</v>
      </c>
      <c r="G561">
        <v>30</v>
      </c>
      <c r="H561">
        <v>-0.35285</v>
      </c>
      <c r="I561">
        <v>0.48521999999999998</v>
      </c>
    </row>
    <row r="562" spans="1:9" x14ac:dyDescent="0.25">
      <c r="A562">
        <v>562</v>
      </c>
      <c r="B562">
        <v>17</v>
      </c>
      <c r="C562">
        <v>7</v>
      </c>
      <c r="D562">
        <v>409333.87</v>
      </c>
      <c r="E562">
        <v>3659233.53</v>
      </c>
      <c r="F562">
        <v>75.8</v>
      </c>
      <c r="G562">
        <v>26.7</v>
      </c>
      <c r="H562">
        <v>-1.2761100000000001</v>
      </c>
      <c r="I562">
        <v>1.5580799999999999</v>
      </c>
    </row>
    <row r="563" spans="1:9" x14ac:dyDescent="0.25">
      <c r="A563">
        <v>563</v>
      </c>
      <c r="B563">
        <v>17</v>
      </c>
      <c r="C563">
        <v>0</v>
      </c>
      <c r="D563">
        <v>409333.88</v>
      </c>
      <c r="E563">
        <v>3659230.77</v>
      </c>
      <c r="F563">
        <v>77.599999999999994</v>
      </c>
      <c r="G563">
        <v>29.9</v>
      </c>
      <c r="H563">
        <v>-0.24379999999999999</v>
      </c>
      <c r="I563">
        <v>0.80478000000000005</v>
      </c>
    </row>
    <row r="564" spans="1:9" x14ac:dyDescent="0.25">
      <c r="A564">
        <v>564</v>
      </c>
      <c r="B564">
        <v>17</v>
      </c>
      <c r="C564">
        <v>0</v>
      </c>
      <c r="D564">
        <v>409333.86</v>
      </c>
      <c r="E564">
        <v>3659227.69</v>
      </c>
      <c r="F564">
        <v>78.599999999999994</v>
      </c>
      <c r="G564">
        <v>30</v>
      </c>
      <c r="H564">
        <v>-3.5180000000000003E-2</v>
      </c>
      <c r="I564">
        <v>1.15066</v>
      </c>
    </row>
    <row r="565" spans="1:9" x14ac:dyDescent="0.25">
      <c r="A565">
        <v>565</v>
      </c>
      <c r="B565">
        <v>17</v>
      </c>
      <c r="C565">
        <v>0</v>
      </c>
      <c r="D565">
        <v>409333.78</v>
      </c>
      <c r="E565">
        <v>3659224.69</v>
      </c>
      <c r="F565">
        <v>80.099999999999994</v>
      </c>
      <c r="G565">
        <v>29.6</v>
      </c>
      <c r="H565">
        <v>0.15811</v>
      </c>
      <c r="I565">
        <v>1.92004</v>
      </c>
    </row>
    <row r="566" spans="1:9" x14ac:dyDescent="0.25">
      <c r="A566">
        <v>566</v>
      </c>
      <c r="B566">
        <v>17</v>
      </c>
      <c r="C566">
        <v>0</v>
      </c>
      <c r="D566">
        <v>409333.74</v>
      </c>
      <c r="E566">
        <v>3659223.2</v>
      </c>
      <c r="F566">
        <v>78.099999999999994</v>
      </c>
      <c r="G566">
        <v>28.7</v>
      </c>
      <c r="H566">
        <v>-0.41134999999999999</v>
      </c>
      <c r="I566">
        <v>1.5471999999999999</v>
      </c>
    </row>
    <row r="567" spans="1:9" x14ac:dyDescent="0.25">
      <c r="A567">
        <v>567</v>
      </c>
      <c r="B567">
        <v>17</v>
      </c>
      <c r="C567">
        <v>0</v>
      </c>
      <c r="D567">
        <v>409333.71</v>
      </c>
      <c r="E567">
        <v>3659218.99</v>
      </c>
      <c r="F567">
        <v>80.900000000000006</v>
      </c>
      <c r="G567">
        <v>30.6</v>
      </c>
      <c r="H567">
        <v>0.52508999999999995</v>
      </c>
      <c r="I567">
        <v>1.7776000000000001</v>
      </c>
    </row>
    <row r="568" spans="1:9" x14ac:dyDescent="0.25">
      <c r="A568">
        <v>568</v>
      </c>
      <c r="B568">
        <v>17</v>
      </c>
      <c r="C568">
        <v>0</v>
      </c>
      <c r="D568">
        <v>409333.7</v>
      </c>
      <c r="E568">
        <v>3659216.07</v>
      </c>
      <c r="F568">
        <v>80.5</v>
      </c>
      <c r="G568">
        <v>30.8</v>
      </c>
      <c r="H568">
        <v>0.49384</v>
      </c>
      <c r="I568">
        <v>1.5299100000000001</v>
      </c>
    </row>
    <row r="569" spans="1:9" x14ac:dyDescent="0.25">
      <c r="A569">
        <v>569</v>
      </c>
      <c r="B569">
        <v>17</v>
      </c>
      <c r="C569">
        <v>0</v>
      </c>
      <c r="D569">
        <v>409333.66</v>
      </c>
      <c r="E569">
        <v>3659213.16</v>
      </c>
      <c r="F569">
        <v>81.599999999999994</v>
      </c>
      <c r="G569">
        <v>31.5</v>
      </c>
      <c r="H569">
        <v>0.85163</v>
      </c>
      <c r="I569">
        <v>1.64157</v>
      </c>
    </row>
    <row r="570" spans="1:9" x14ac:dyDescent="0.25">
      <c r="A570">
        <v>570</v>
      </c>
      <c r="B570">
        <v>17</v>
      </c>
      <c r="C570">
        <v>0</v>
      </c>
      <c r="D570">
        <v>409333.54</v>
      </c>
      <c r="E570">
        <v>3659210.17</v>
      </c>
      <c r="F570">
        <v>83.3</v>
      </c>
      <c r="G570">
        <v>33.1</v>
      </c>
      <c r="H570">
        <v>1.51728</v>
      </c>
      <c r="I570">
        <v>1.5780700000000001</v>
      </c>
    </row>
    <row r="571" spans="1:9" x14ac:dyDescent="0.25">
      <c r="A571">
        <v>571</v>
      </c>
      <c r="B571">
        <v>17</v>
      </c>
      <c r="C571">
        <v>0</v>
      </c>
      <c r="D571">
        <v>409333.58</v>
      </c>
      <c r="E571">
        <v>3659207.25</v>
      </c>
      <c r="F571">
        <v>81</v>
      </c>
      <c r="G571">
        <v>34.299999999999997</v>
      </c>
      <c r="H571">
        <v>1.3484799999999999</v>
      </c>
      <c r="I571">
        <v>0.13106999999999999</v>
      </c>
    </row>
    <row r="572" spans="1:9" x14ac:dyDescent="0.25">
      <c r="A572">
        <v>572</v>
      </c>
      <c r="B572">
        <v>17</v>
      </c>
      <c r="C572">
        <v>0</v>
      </c>
      <c r="D572">
        <v>409333.54</v>
      </c>
      <c r="E572">
        <v>3659204.34</v>
      </c>
      <c r="F572">
        <v>84.1</v>
      </c>
      <c r="G572">
        <v>37.1</v>
      </c>
      <c r="H572">
        <v>2.5367199999999999</v>
      </c>
      <c r="I572">
        <v>6.8860000000000005E-2</v>
      </c>
    </row>
    <row r="573" spans="1:9" x14ac:dyDescent="0.25">
      <c r="A573">
        <v>573</v>
      </c>
      <c r="B573">
        <v>17</v>
      </c>
      <c r="C573">
        <v>0</v>
      </c>
      <c r="D573">
        <v>409333.56</v>
      </c>
      <c r="E573">
        <v>3659201.48</v>
      </c>
      <c r="F573">
        <v>81.599999999999994</v>
      </c>
      <c r="G573">
        <v>32.299999999999997</v>
      </c>
      <c r="H573">
        <v>1.02562</v>
      </c>
      <c r="I573">
        <v>1.2770999999999999</v>
      </c>
    </row>
    <row r="574" spans="1:9" x14ac:dyDescent="0.25">
      <c r="A574">
        <v>574</v>
      </c>
      <c r="B574">
        <v>17</v>
      </c>
      <c r="C574">
        <v>0</v>
      </c>
      <c r="D574">
        <v>409333.48</v>
      </c>
      <c r="E574">
        <v>3659198.61</v>
      </c>
      <c r="F574">
        <v>80</v>
      </c>
      <c r="G574">
        <v>32.799999999999997</v>
      </c>
      <c r="H574">
        <v>0.83538999999999997</v>
      </c>
      <c r="I574">
        <v>0.42301</v>
      </c>
    </row>
    <row r="575" spans="1:9" x14ac:dyDescent="0.25">
      <c r="A575">
        <v>575</v>
      </c>
      <c r="B575">
        <v>17</v>
      </c>
      <c r="C575">
        <v>0</v>
      </c>
      <c r="D575">
        <v>409333.43</v>
      </c>
      <c r="E575">
        <v>3659195.8</v>
      </c>
      <c r="F575">
        <v>80.5</v>
      </c>
      <c r="G575">
        <v>32.4</v>
      </c>
      <c r="H575">
        <v>0.84182000000000001</v>
      </c>
      <c r="I575">
        <v>0.80096999999999996</v>
      </c>
    </row>
    <row r="576" spans="1:9" x14ac:dyDescent="0.25">
      <c r="A576">
        <v>576</v>
      </c>
      <c r="B576">
        <v>17</v>
      </c>
      <c r="C576">
        <v>0</v>
      </c>
      <c r="D576">
        <v>409333.43</v>
      </c>
      <c r="E576">
        <v>3659192.87</v>
      </c>
      <c r="F576">
        <v>80.900000000000006</v>
      </c>
      <c r="G576">
        <v>33.4</v>
      </c>
      <c r="H576">
        <v>1.1340600000000001</v>
      </c>
      <c r="I576">
        <v>0.50195000000000001</v>
      </c>
    </row>
    <row r="577" spans="1:9" x14ac:dyDescent="0.25">
      <c r="A577">
        <v>577</v>
      </c>
      <c r="B577">
        <v>17</v>
      </c>
      <c r="C577">
        <v>0</v>
      </c>
      <c r="D577">
        <v>409333.37</v>
      </c>
      <c r="E577">
        <v>3659189.92</v>
      </c>
      <c r="F577">
        <v>78.2</v>
      </c>
      <c r="G577">
        <v>32.4</v>
      </c>
      <c r="H577">
        <v>0.41204000000000002</v>
      </c>
      <c r="I577">
        <v>-9.9330000000000002E-2</v>
      </c>
    </row>
    <row r="578" spans="1:9" x14ac:dyDescent="0.25">
      <c r="A578">
        <v>578</v>
      </c>
      <c r="B578">
        <v>17</v>
      </c>
      <c r="C578">
        <v>0</v>
      </c>
      <c r="D578">
        <v>409333.35</v>
      </c>
      <c r="E578">
        <v>3659187.03</v>
      </c>
      <c r="F578">
        <v>76.900000000000006</v>
      </c>
      <c r="G578">
        <v>29.2</v>
      </c>
      <c r="H578">
        <v>-0.52683999999999997</v>
      </c>
      <c r="I578">
        <v>0.84968999999999995</v>
      </c>
    </row>
    <row r="579" spans="1:9" x14ac:dyDescent="0.25">
      <c r="A579">
        <v>579</v>
      </c>
      <c r="B579">
        <v>17</v>
      </c>
      <c r="C579">
        <v>0</v>
      </c>
      <c r="D579">
        <v>409333.35</v>
      </c>
      <c r="E579">
        <v>3659184.09</v>
      </c>
      <c r="F579">
        <v>74.099999999999994</v>
      </c>
      <c r="G579">
        <v>27</v>
      </c>
      <c r="H579">
        <v>-1.5285299999999999</v>
      </c>
      <c r="I579">
        <v>0.75597000000000003</v>
      </c>
    </row>
    <row r="580" spans="1:9" x14ac:dyDescent="0.25">
      <c r="A580">
        <v>580</v>
      </c>
      <c r="B580">
        <v>17</v>
      </c>
      <c r="C580">
        <v>0</v>
      </c>
      <c r="D580">
        <v>409333.32</v>
      </c>
      <c r="E580">
        <v>3659181.07</v>
      </c>
      <c r="F580">
        <v>73.900000000000006</v>
      </c>
      <c r="G580">
        <v>26.7</v>
      </c>
      <c r="H580">
        <v>-1.63114</v>
      </c>
      <c r="I580">
        <v>0.81435999999999997</v>
      </c>
    </row>
    <row r="581" spans="1:9" x14ac:dyDescent="0.25">
      <c r="A581">
        <v>581</v>
      </c>
      <c r="B581">
        <v>17</v>
      </c>
      <c r="C581">
        <v>0</v>
      </c>
      <c r="D581">
        <v>409333.28</v>
      </c>
      <c r="E581">
        <v>3659178.07</v>
      </c>
      <c r="F581">
        <v>73.8</v>
      </c>
      <c r="G581">
        <v>27.5</v>
      </c>
      <c r="H581">
        <v>-1.47584</v>
      </c>
      <c r="I581">
        <v>0.41075</v>
      </c>
    </row>
    <row r="582" spans="1:9" x14ac:dyDescent="0.25">
      <c r="A582">
        <v>582</v>
      </c>
      <c r="B582">
        <v>17</v>
      </c>
      <c r="C582">
        <v>0</v>
      </c>
      <c r="D582">
        <v>409333.25</v>
      </c>
      <c r="E582">
        <v>3659175.21</v>
      </c>
      <c r="F582">
        <v>75.599999999999994</v>
      </c>
      <c r="G582">
        <v>29.8</v>
      </c>
      <c r="H582">
        <v>-0.63927</v>
      </c>
      <c r="I582">
        <v>6.7470000000000002E-2</v>
      </c>
    </row>
    <row r="583" spans="1:9" x14ac:dyDescent="0.25">
      <c r="A583">
        <v>583</v>
      </c>
      <c r="B583">
        <v>17</v>
      </c>
      <c r="C583">
        <v>0</v>
      </c>
      <c r="D583">
        <v>409333.22</v>
      </c>
      <c r="E583">
        <v>3659172.29</v>
      </c>
      <c r="F583">
        <v>73.400000000000006</v>
      </c>
      <c r="G583">
        <v>28</v>
      </c>
      <c r="H583">
        <v>-1.44184</v>
      </c>
      <c r="I583">
        <v>2.6380000000000001E-2</v>
      </c>
    </row>
    <row r="584" spans="1:9" x14ac:dyDescent="0.25">
      <c r="A584">
        <v>584</v>
      </c>
      <c r="B584">
        <v>17</v>
      </c>
      <c r="C584">
        <v>0</v>
      </c>
      <c r="D584">
        <v>409333.22</v>
      </c>
      <c r="E584">
        <v>3659169.47</v>
      </c>
      <c r="F584">
        <v>75.099999999999994</v>
      </c>
      <c r="G584">
        <v>28.5</v>
      </c>
      <c r="H584">
        <v>-1.0154300000000001</v>
      </c>
      <c r="I584">
        <v>0.46401999999999999</v>
      </c>
    </row>
    <row r="585" spans="1:9" x14ac:dyDescent="0.25">
      <c r="A585">
        <v>585</v>
      </c>
      <c r="B585">
        <v>17</v>
      </c>
      <c r="C585">
        <v>0</v>
      </c>
      <c r="D585">
        <v>409333.17</v>
      </c>
      <c r="E585">
        <v>3659166.63</v>
      </c>
      <c r="F585">
        <v>77.5</v>
      </c>
      <c r="G585">
        <v>29.4</v>
      </c>
      <c r="H585">
        <v>-0.37123</v>
      </c>
      <c r="I585">
        <v>0.99343000000000004</v>
      </c>
    </row>
    <row r="586" spans="1:9" x14ac:dyDescent="0.25">
      <c r="A586">
        <v>586</v>
      </c>
      <c r="B586">
        <v>17</v>
      </c>
      <c r="C586">
        <v>0</v>
      </c>
      <c r="D586">
        <v>409333.12</v>
      </c>
      <c r="E586">
        <v>3659163.84</v>
      </c>
      <c r="F586">
        <v>78.400000000000006</v>
      </c>
      <c r="G586">
        <v>31.2</v>
      </c>
      <c r="H586">
        <v>0.18842999999999999</v>
      </c>
      <c r="I586">
        <v>0.52566000000000002</v>
      </c>
    </row>
    <row r="587" spans="1:9" x14ac:dyDescent="0.25">
      <c r="A587">
        <v>587</v>
      </c>
      <c r="B587">
        <v>17</v>
      </c>
      <c r="C587">
        <v>0</v>
      </c>
      <c r="D587">
        <v>409333.04</v>
      </c>
      <c r="E587">
        <v>3659161.04</v>
      </c>
      <c r="F587">
        <v>77.900000000000006</v>
      </c>
      <c r="G587">
        <v>31.7</v>
      </c>
      <c r="H587">
        <v>0.20374</v>
      </c>
      <c r="I587">
        <v>0.10215</v>
      </c>
    </row>
    <row r="588" spans="1:9" x14ac:dyDescent="0.25">
      <c r="A588">
        <v>588</v>
      </c>
      <c r="B588">
        <v>17</v>
      </c>
      <c r="C588">
        <v>0</v>
      </c>
      <c r="D588">
        <v>409333.09</v>
      </c>
      <c r="E588">
        <v>3659158.19</v>
      </c>
      <c r="F588">
        <v>79.400000000000006</v>
      </c>
      <c r="G588">
        <v>33</v>
      </c>
      <c r="H588">
        <v>0.76676999999999995</v>
      </c>
      <c r="I588">
        <v>9.7040000000000001E-2</v>
      </c>
    </row>
    <row r="589" spans="1:9" x14ac:dyDescent="0.25">
      <c r="A589">
        <v>589</v>
      </c>
      <c r="B589">
        <v>17</v>
      </c>
      <c r="C589">
        <v>2</v>
      </c>
      <c r="D589">
        <v>409333.02</v>
      </c>
      <c r="E589">
        <v>3659155.38</v>
      </c>
      <c r="F589">
        <v>81</v>
      </c>
      <c r="G589">
        <v>35.1</v>
      </c>
      <c r="H589">
        <v>1.52247</v>
      </c>
      <c r="I589">
        <v>-0.23341000000000001</v>
      </c>
    </row>
    <row r="590" spans="1:9" x14ac:dyDescent="0.25">
      <c r="A590">
        <v>590</v>
      </c>
      <c r="B590">
        <v>17</v>
      </c>
      <c r="C590">
        <v>0</v>
      </c>
      <c r="D590">
        <v>409332.83</v>
      </c>
      <c r="E590">
        <v>3659152.36</v>
      </c>
      <c r="F590">
        <v>80.599999999999994</v>
      </c>
      <c r="G590">
        <v>36.1</v>
      </c>
      <c r="H590">
        <v>1.6652100000000001</v>
      </c>
      <c r="I590">
        <v>-0.84557000000000004</v>
      </c>
    </row>
    <row r="591" spans="1:9" x14ac:dyDescent="0.25">
      <c r="A591">
        <v>591</v>
      </c>
      <c r="B591">
        <v>17</v>
      </c>
      <c r="C591">
        <v>0</v>
      </c>
      <c r="D591">
        <v>409332.76</v>
      </c>
      <c r="E591">
        <v>3659149.42</v>
      </c>
      <c r="F591">
        <v>78.900000000000006</v>
      </c>
      <c r="G591">
        <v>34.1</v>
      </c>
      <c r="H591">
        <v>0.91256999999999999</v>
      </c>
      <c r="I591">
        <v>-0.59982999999999997</v>
      </c>
    </row>
    <row r="592" spans="1:9" x14ac:dyDescent="0.25">
      <c r="A592">
        <v>592</v>
      </c>
      <c r="B592">
        <v>17</v>
      </c>
      <c r="C592">
        <v>0</v>
      </c>
      <c r="D592">
        <v>409332.73</v>
      </c>
      <c r="E592">
        <v>3659146.47</v>
      </c>
      <c r="F592">
        <v>79.400000000000006</v>
      </c>
      <c r="G592">
        <v>33.9</v>
      </c>
      <c r="H592">
        <v>0.96250999999999998</v>
      </c>
      <c r="I592">
        <v>-0.31298999999999999</v>
      </c>
    </row>
    <row r="593" spans="1:9" x14ac:dyDescent="0.25">
      <c r="A593">
        <v>593</v>
      </c>
      <c r="B593">
        <v>17</v>
      </c>
      <c r="C593">
        <v>0</v>
      </c>
      <c r="D593">
        <v>409332.71</v>
      </c>
      <c r="E593">
        <v>3659143.52</v>
      </c>
      <c r="F593">
        <v>78.2</v>
      </c>
      <c r="G593">
        <v>33.5</v>
      </c>
      <c r="H593">
        <v>0.65127999999999997</v>
      </c>
      <c r="I593">
        <v>-0.60048000000000001</v>
      </c>
    </row>
    <row r="594" spans="1:9" x14ac:dyDescent="0.25">
      <c r="A594">
        <v>594</v>
      </c>
      <c r="B594">
        <v>17</v>
      </c>
      <c r="C594">
        <v>0</v>
      </c>
      <c r="D594">
        <v>409332.64</v>
      </c>
      <c r="E594">
        <v>3659140.45</v>
      </c>
      <c r="F594">
        <v>76.5</v>
      </c>
      <c r="G594">
        <v>32.1</v>
      </c>
      <c r="H594">
        <v>2.913E-2</v>
      </c>
      <c r="I594">
        <v>-0.62809000000000004</v>
      </c>
    </row>
    <row r="595" spans="1:9" x14ac:dyDescent="0.25">
      <c r="A595">
        <v>595</v>
      </c>
      <c r="B595">
        <v>17</v>
      </c>
      <c r="C595">
        <v>0</v>
      </c>
      <c r="D595">
        <v>409332.53</v>
      </c>
      <c r="E595">
        <v>3659136.49</v>
      </c>
      <c r="F595">
        <v>78.900000000000006</v>
      </c>
      <c r="G595">
        <v>32.700000000000003</v>
      </c>
      <c r="H595">
        <v>0.60809000000000002</v>
      </c>
      <c r="I595">
        <v>3.7999999999999999E-2</v>
      </c>
    </row>
    <row r="596" spans="1:9" x14ac:dyDescent="0.25">
      <c r="A596">
        <v>596</v>
      </c>
      <c r="B596">
        <v>17</v>
      </c>
      <c r="C596">
        <v>0</v>
      </c>
      <c r="D596">
        <v>409332.54</v>
      </c>
      <c r="E596">
        <v>3659133.42</v>
      </c>
      <c r="F596">
        <v>78.900000000000006</v>
      </c>
      <c r="G596">
        <v>32.799999999999997</v>
      </c>
      <c r="H596">
        <v>0.62983999999999996</v>
      </c>
      <c r="I596">
        <v>-7.5599999999999999E-3</v>
      </c>
    </row>
    <row r="597" spans="1:9" x14ac:dyDescent="0.25">
      <c r="A597">
        <v>597</v>
      </c>
      <c r="B597">
        <v>17</v>
      </c>
      <c r="C597">
        <v>7</v>
      </c>
      <c r="D597">
        <v>409332.51</v>
      </c>
      <c r="E597">
        <v>3659131.28</v>
      </c>
      <c r="F597">
        <v>79.3</v>
      </c>
      <c r="G597">
        <v>32.9</v>
      </c>
      <c r="H597">
        <v>0.72633000000000003</v>
      </c>
      <c r="I597">
        <v>0.10345</v>
      </c>
    </row>
    <row r="598" spans="1:9" x14ac:dyDescent="0.25">
      <c r="A598">
        <v>598</v>
      </c>
      <c r="B598">
        <v>17</v>
      </c>
      <c r="C598">
        <v>7</v>
      </c>
      <c r="D598">
        <v>409332.5</v>
      </c>
      <c r="E598">
        <v>3659127.64</v>
      </c>
      <c r="F598">
        <v>80.8</v>
      </c>
      <c r="G598">
        <v>35.5</v>
      </c>
      <c r="H598">
        <v>1.57209</v>
      </c>
      <c r="I598">
        <v>-0.49392999999999998</v>
      </c>
    </row>
    <row r="599" spans="1:9" x14ac:dyDescent="0.25">
      <c r="A599">
        <v>599</v>
      </c>
      <c r="B599">
        <v>18</v>
      </c>
      <c r="C599">
        <v>7</v>
      </c>
      <c r="D599">
        <v>409336.53</v>
      </c>
      <c r="E599">
        <v>3659127.08</v>
      </c>
      <c r="F599">
        <v>80.400000000000006</v>
      </c>
      <c r="G599">
        <v>32.200000000000003</v>
      </c>
      <c r="H599">
        <v>0.77964</v>
      </c>
      <c r="I599">
        <v>0.85294000000000003</v>
      </c>
    </row>
    <row r="600" spans="1:9" x14ac:dyDescent="0.25">
      <c r="A600">
        <v>600</v>
      </c>
      <c r="B600">
        <v>18</v>
      </c>
      <c r="C600">
        <v>7</v>
      </c>
      <c r="D600">
        <v>409336.57</v>
      </c>
      <c r="E600">
        <v>3659128.23</v>
      </c>
      <c r="F600">
        <v>78.900000000000006</v>
      </c>
      <c r="G600">
        <v>32.9</v>
      </c>
      <c r="H600">
        <v>0.65159</v>
      </c>
      <c r="I600">
        <v>-5.3120000000000001E-2</v>
      </c>
    </row>
    <row r="601" spans="1:9" x14ac:dyDescent="0.25">
      <c r="A601">
        <v>601</v>
      </c>
      <c r="B601">
        <v>18</v>
      </c>
      <c r="C601">
        <v>0</v>
      </c>
      <c r="D601">
        <v>409336.65</v>
      </c>
      <c r="E601">
        <v>3659131.89</v>
      </c>
      <c r="F601">
        <v>81</v>
      </c>
      <c r="G601">
        <v>35</v>
      </c>
      <c r="H601">
        <v>1.5007200000000001</v>
      </c>
      <c r="I601">
        <v>-0.18784999999999999</v>
      </c>
    </row>
    <row r="602" spans="1:9" x14ac:dyDescent="0.25">
      <c r="A602">
        <v>602</v>
      </c>
      <c r="B602">
        <v>18</v>
      </c>
      <c r="C602">
        <v>0</v>
      </c>
      <c r="D602">
        <v>409336.68</v>
      </c>
      <c r="E602">
        <v>3659135.14</v>
      </c>
      <c r="F602">
        <v>80.5</v>
      </c>
      <c r="G602">
        <v>33.700000000000003</v>
      </c>
      <c r="H602">
        <v>1.12456</v>
      </c>
      <c r="I602">
        <v>0.2087</v>
      </c>
    </row>
    <row r="603" spans="1:9" x14ac:dyDescent="0.25">
      <c r="A603">
        <v>603</v>
      </c>
      <c r="B603">
        <v>18</v>
      </c>
      <c r="C603">
        <v>0</v>
      </c>
      <c r="D603">
        <v>409336.74</v>
      </c>
      <c r="E603">
        <v>3659138.12</v>
      </c>
      <c r="F603">
        <v>80</v>
      </c>
      <c r="G603">
        <v>33.5</v>
      </c>
      <c r="H603">
        <v>0.98763000000000001</v>
      </c>
      <c r="I603">
        <v>0.1041</v>
      </c>
    </row>
    <row r="604" spans="1:9" x14ac:dyDescent="0.25">
      <c r="A604">
        <v>604</v>
      </c>
      <c r="B604">
        <v>18</v>
      </c>
      <c r="C604">
        <v>0</v>
      </c>
      <c r="D604">
        <v>409336.77</v>
      </c>
      <c r="E604">
        <v>3659141.08</v>
      </c>
      <c r="F604">
        <v>80.599999999999994</v>
      </c>
      <c r="G604">
        <v>33</v>
      </c>
      <c r="H604">
        <v>0.99099999999999999</v>
      </c>
      <c r="I604">
        <v>0.56676000000000004</v>
      </c>
    </row>
    <row r="605" spans="1:9" x14ac:dyDescent="0.25">
      <c r="A605">
        <v>605</v>
      </c>
      <c r="B605">
        <v>18</v>
      </c>
      <c r="C605">
        <v>0</v>
      </c>
      <c r="D605">
        <v>409336.8</v>
      </c>
      <c r="E605">
        <v>3659144.37</v>
      </c>
      <c r="F605">
        <v>80.7</v>
      </c>
      <c r="G605">
        <v>33.200000000000003</v>
      </c>
      <c r="H605">
        <v>1.0531900000000001</v>
      </c>
      <c r="I605">
        <v>0.51478000000000002</v>
      </c>
    </row>
    <row r="606" spans="1:9" x14ac:dyDescent="0.25">
      <c r="A606">
        <v>606</v>
      </c>
      <c r="B606">
        <v>18</v>
      </c>
      <c r="C606">
        <v>0</v>
      </c>
      <c r="D606">
        <v>409336.81</v>
      </c>
      <c r="E606">
        <v>3659147.55</v>
      </c>
      <c r="F606">
        <v>81.5</v>
      </c>
      <c r="G606">
        <v>33.299999999999997</v>
      </c>
      <c r="H606">
        <v>1.2244200000000001</v>
      </c>
      <c r="I606">
        <v>0.78237000000000001</v>
      </c>
    </row>
    <row r="607" spans="1:9" x14ac:dyDescent="0.25">
      <c r="A607">
        <v>607</v>
      </c>
      <c r="B607">
        <v>18</v>
      </c>
      <c r="C607">
        <v>0</v>
      </c>
      <c r="D607">
        <v>409336.91</v>
      </c>
      <c r="E607">
        <v>3659150.67</v>
      </c>
      <c r="F607">
        <v>80</v>
      </c>
      <c r="G607">
        <v>33.5</v>
      </c>
      <c r="H607">
        <v>0.98763000000000001</v>
      </c>
      <c r="I607">
        <v>0.1041</v>
      </c>
    </row>
    <row r="608" spans="1:9" x14ac:dyDescent="0.25">
      <c r="A608">
        <v>608</v>
      </c>
      <c r="B608">
        <v>18</v>
      </c>
      <c r="C608">
        <v>0</v>
      </c>
      <c r="D608">
        <v>409336.96</v>
      </c>
      <c r="E608">
        <v>3659153.86</v>
      </c>
      <c r="F608">
        <v>82</v>
      </c>
      <c r="G608">
        <v>34.5</v>
      </c>
      <c r="H608">
        <v>1.57884</v>
      </c>
      <c r="I608">
        <v>0.43137999999999999</v>
      </c>
    </row>
    <row r="609" spans="1:9" x14ac:dyDescent="0.25">
      <c r="A609">
        <v>609</v>
      </c>
      <c r="B609">
        <v>18</v>
      </c>
      <c r="C609">
        <v>0</v>
      </c>
      <c r="D609">
        <v>409337.02</v>
      </c>
      <c r="E609">
        <v>3659157.09</v>
      </c>
      <c r="F609">
        <v>78.900000000000006</v>
      </c>
      <c r="G609">
        <v>34</v>
      </c>
      <c r="H609">
        <v>0.89081999999999995</v>
      </c>
      <c r="I609">
        <v>-0.55427000000000004</v>
      </c>
    </row>
    <row r="610" spans="1:9" x14ac:dyDescent="0.25">
      <c r="A610">
        <v>610</v>
      </c>
      <c r="B610">
        <v>18</v>
      </c>
      <c r="C610">
        <v>0</v>
      </c>
      <c r="D610">
        <v>409337.03</v>
      </c>
      <c r="E610">
        <v>3659160.26</v>
      </c>
      <c r="F610">
        <v>75.599999999999994</v>
      </c>
      <c r="G610">
        <v>35.799999999999997</v>
      </c>
      <c r="H610">
        <v>0.66566000000000003</v>
      </c>
      <c r="I610">
        <v>-2.6660599999999999</v>
      </c>
    </row>
    <row r="611" spans="1:9" x14ac:dyDescent="0.25">
      <c r="A611">
        <v>611</v>
      </c>
      <c r="B611">
        <v>18</v>
      </c>
      <c r="C611">
        <v>0</v>
      </c>
      <c r="D611">
        <v>409337.1</v>
      </c>
      <c r="E611">
        <v>3659163.45</v>
      </c>
      <c r="F611">
        <v>80.3</v>
      </c>
      <c r="G611">
        <v>32.5</v>
      </c>
      <c r="H611">
        <v>0.82620000000000005</v>
      </c>
      <c r="I611">
        <v>0.67712000000000006</v>
      </c>
    </row>
    <row r="612" spans="1:9" x14ac:dyDescent="0.25">
      <c r="A612">
        <v>612</v>
      </c>
      <c r="B612">
        <v>18</v>
      </c>
      <c r="C612">
        <v>0</v>
      </c>
      <c r="D612">
        <v>409337.13</v>
      </c>
      <c r="E612">
        <v>3659166.59</v>
      </c>
      <c r="F612">
        <v>79.900000000000006</v>
      </c>
      <c r="G612">
        <v>31.1</v>
      </c>
      <c r="H612">
        <v>0.44696999999999998</v>
      </c>
      <c r="I612">
        <v>1.1583699999999999</v>
      </c>
    </row>
    <row r="613" spans="1:9" x14ac:dyDescent="0.25">
      <c r="A613">
        <v>613</v>
      </c>
      <c r="B613">
        <v>18</v>
      </c>
      <c r="C613">
        <v>0</v>
      </c>
      <c r="D613">
        <v>409337.14</v>
      </c>
      <c r="E613">
        <v>3659169.75</v>
      </c>
      <c r="F613">
        <v>78.5</v>
      </c>
      <c r="G613">
        <v>30.7</v>
      </c>
      <c r="H613">
        <v>9.8369999999999999E-2</v>
      </c>
      <c r="I613">
        <v>0.79259999999999997</v>
      </c>
    </row>
    <row r="614" spans="1:9" x14ac:dyDescent="0.25">
      <c r="A614">
        <v>614</v>
      </c>
      <c r="B614">
        <v>18</v>
      </c>
      <c r="C614">
        <v>0</v>
      </c>
      <c r="D614">
        <v>409337.13</v>
      </c>
      <c r="E614">
        <v>3659172.88</v>
      </c>
      <c r="F614">
        <v>78.400000000000006</v>
      </c>
      <c r="G614">
        <v>29.7</v>
      </c>
      <c r="H614">
        <v>-0.13780000000000001</v>
      </c>
      <c r="I614">
        <v>1.20905</v>
      </c>
    </row>
    <row r="615" spans="1:9" x14ac:dyDescent="0.25">
      <c r="A615">
        <v>615</v>
      </c>
      <c r="B615">
        <v>18</v>
      </c>
      <c r="C615">
        <v>0</v>
      </c>
      <c r="D615">
        <v>409337.15</v>
      </c>
      <c r="E615">
        <v>3659176.11</v>
      </c>
      <c r="F615">
        <v>78.3</v>
      </c>
      <c r="G615">
        <v>29.8</v>
      </c>
      <c r="H615">
        <v>-0.13474</v>
      </c>
      <c r="I615">
        <v>1.1243399999999999</v>
      </c>
    </row>
    <row r="616" spans="1:9" x14ac:dyDescent="0.25">
      <c r="A616">
        <v>616</v>
      </c>
      <c r="B616">
        <v>18</v>
      </c>
      <c r="C616">
        <v>0</v>
      </c>
      <c r="D616">
        <v>409337.26</v>
      </c>
      <c r="E616">
        <v>3659179.27</v>
      </c>
      <c r="F616">
        <v>77.400000000000006</v>
      </c>
      <c r="G616">
        <v>29.8</v>
      </c>
      <c r="H616">
        <v>-0.30292000000000002</v>
      </c>
      <c r="I616">
        <v>0.77205000000000001</v>
      </c>
    </row>
    <row r="617" spans="1:9" x14ac:dyDescent="0.25">
      <c r="A617">
        <v>617</v>
      </c>
      <c r="B617">
        <v>18</v>
      </c>
      <c r="C617">
        <v>0</v>
      </c>
      <c r="D617">
        <v>409337.26</v>
      </c>
      <c r="E617">
        <v>3659182.44</v>
      </c>
      <c r="F617">
        <v>76.2</v>
      </c>
      <c r="G617">
        <v>27.9</v>
      </c>
      <c r="H617">
        <v>-0.94037999999999999</v>
      </c>
      <c r="I617">
        <v>1.16795</v>
      </c>
    </row>
    <row r="618" spans="1:9" x14ac:dyDescent="0.25">
      <c r="A618">
        <v>618</v>
      </c>
      <c r="B618">
        <v>18</v>
      </c>
      <c r="C618">
        <v>0</v>
      </c>
      <c r="D618">
        <v>409337.28</v>
      </c>
      <c r="E618">
        <v>3659185.52</v>
      </c>
      <c r="F618">
        <v>75.5</v>
      </c>
      <c r="G618">
        <v>29.1</v>
      </c>
      <c r="H618">
        <v>-0.81020000000000003</v>
      </c>
      <c r="I618">
        <v>0.34723999999999999</v>
      </c>
    </row>
    <row r="619" spans="1:9" x14ac:dyDescent="0.25">
      <c r="A619">
        <v>619</v>
      </c>
      <c r="B619">
        <v>18</v>
      </c>
      <c r="C619">
        <v>0</v>
      </c>
      <c r="D619">
        <v>409337.35</v>
      </c>
      <c r="E619">
        <v>3659188.66</v>
      </c>
      <c r="F619">
        <v>78.900000000000006</v>
      </c>
      <c r="G619">
        <v>30.2</v>
      </c>
      <c r="H619">
        <v>6.4369999999999997E-2</v>
      </c>
      <c r="I619">
        <v>1.1769700000000001</v>
      </c>
    </row>
    <row r="620" spans="1:9" x14ac:dyDescent="0.25">
      <c r="A620">
        <v>620</v>
      </c>
      <c r="B620">
        <v>18</v>
      </c>
      <c r="C620">
        <v>0</v>
      </c>
      <c r="D620">
        <v>409337.34</v>
      </c>
      <c r="E620">
        <v>3659191.74</v>
      </c>
      <c r="F620">
        <v>79.8</v>
      </c>
      <c r="G620">
        <v>31.9</v>
      </c>
      <c r="H620">
        <v>0.60228000000000004</v>
      </c>
      <c r="I620">
        <v>0.75475999999999999</v>
      </c>
    </row>
    <row r="621" spans="1:9" x14ac:dyDescent="0.25">
      <c r="A621">
        <v>621</v>
      </c>
      <c r="B621">
        <v>18</v>
      </c>
      <c r="C621">
        <v>0</v>
      </c>
      <c r="D621">
        <v>409337.48</v>
      </c>
      <c r="E621">
        <v>3659194.96</v>
      </c>
      <c r="F621">
        <v>80.900000000000006</v>
      </c>
      <c r="G621">
        <v>32.9</v>
      </c>
      <c r="H621">
        <v>1.0253099999999999</v>
      </c>
      <c r="I621">
        <v>0.72975000000000001</v>
      </c>
    </row>
    <row r="622" spans="1:9" x14ac:dyDescent="0.25">
      <c r="A622">
        <v>622</v>
      </c>
      <c r="B622">
        <v>18</v>
      </c>
      <c r="C622">
        <v>0</v>
      </c>
      <c r="D622">
        <v>409337.51</v>
      </c>
      <c r="E622">
        <v>3659198.92</v>
      </c>
      <c r="F622">
        <v>82.6</v>
      </c>
      <c r="G622">
        <v>34</v>
      </c>
      <c r="H622">
        <v>1.5822099999999999</v>
      </c>
      <c r="I622">
        <v>0.89403999999999995</v>
      </c>
    </row>
    <row r="623" spans="1:9" x14ac:dyDescent="0.25">
      <c r="A623">
        <v>623</v>
      </c>
      <c r="B623">
        <v>18</v>
      </c>
      <c r="C623">
        <v>0</v>
      </c>
      <c r="D623">
        <v>409337.42</v>
      </c>
      <c r="E623">
        <v>3659202.07</v>
      </c>
      <c r="F623">
        <v>81.900000000000006</v>
      </c>
      <c r="G623">
        <v>33.200000000000003</v>
      </c>
      <c r="H623">
        <v>1.27742</v>
      </c>
      <c r="I623">
        <v>0.98450000000000004</v>
      </c>
    </row>
    <row r="624" spans="1:9" x14ac:dyDescent="0.25">
      <c r="A624">
        <v>624</v>
      </c>
      <c r="B624">
        <v>18</v>
      </c>
      <c r="C624">
        <v>0</v>
      </c>
      <c r="D624">
        <v>409337.55</v>
      </c>
      <c r="E624">
        <v>3659205.36</v>
      </c>
      <c r="F624">
        <v>82.6</v>
      </c>
      <c r="G624">
        <v>33.700000000000003</v>
      </c>
      <c r="H624">
        <v>1.5169699999999999</v>
      </c>
      <c r="I624">
        <v>1.03071</v>
      </c>
    </row>
    <row r="625" spans="1:9" x14ac:dyDescent="0.25">
      <c r="A625">
        <v>625</v>
      </c>
      <c r="B625">
        <v>18</v>
      </c>
      <c r="C625">
        <v>1</v>
      </c>
      <c r="D625">
        <v>409337.64</v>
      </c>
      <c r="E625">
        <v>3659208.59</v>
      </c>
      <c r="F625">
        <v>83.7</v>
      </c>
      <c r="G625">
        <v>34.200000000000003</v>
      </c>
      <c r="H625">
        <v>1.8312600000000001</v>
      </c>
      <c r="I625">
        <v>1.2335</v>
      </c>
    </row>
    <row r="626" spans="1:9" x14ac:dyDescent="0.25">
      <c r="A626">
        <v>626</v>
      </c>
      <c r="B626">
        <v>18</v>
      </c>
      <c r="C626">
        <v>0</v>
      </c>
      <c r="D626">
        <v>409337.66</v>
      </c>
      <c r="E626">
        <v>3659211.84</v>
      </c>
      <c r="F626">
        <v>80.5</v>
      </c>
      <c r="G626">
        <v>32.299999999999997</v>
      </c>
      <c r="H626">
        <v>0.82006999999999997</v>
      </c>
      <c r="I626">
        <v>0.84653</v>
      </c>
    </row>
    <row r="627" spans="1:9" x14ac:dyDescent="0.25">
      <c r="A627">
        <v>627</v>
      </c>
      <c r="B627">
        <v>18</v>
      </c>
      <c r="C627">
        <v>0</v>
      </c>
      <c r="D627">
        <v>409337.68</v>
      </c>
      <c r="E627">
        <v>3659215.25</v>
      </c>
      <c r="F627">
        <v>82.2</v>
      </c>
      <c r="G627">
        <v>32.200000000000003</v>
      </c>
      <c r="H627">
        <v>1.11599</v>
      </c>
      <c r="I627">
        <v>1.55752</v>
      </c>
    </row>
    <row r="628" spans="1:9" x14ac:dyDescent="0.25">
      <c r="A628">
        <v>628</v>
      </c>
      <c r="B628">
        <v>18</v>
      </c>
      <c r="C628">
        <v>0</v>
      </c>
      <c r="D628">
        <v>409337.66</v>
      </c>
      <c r="E628">
        <v>3659218.43</v>
      </c>
      <c r="F628">
        <v>82.2</v>
      </c>
      <c r="G628">
        <v>32.1</v>
      </c>
      <c r="H628">
        <v>1.0942400000000001</v>
      </c>
      <c r="I628">
        <v>1.6030800000000001</v>
      </c>
    </row>
    <row r="629" spans="1:9" x14ac:dyDescent="0.25">
      <c r="A629">
        <v>629</v>
      </c>
      <c r="B629">
        <v>18</v>
      </c>
      <c r="C629">
        <v>0</v>
      </c>
      <c r="D629">
        <v>409337.72</v>
      </c>
      <c r="E629">
        <v>3659221.59</v>
      </c>
      <c r="F629">
        <v>81.400000000000006</v>
      </c>
      <c r="G629">
        <v>31.3</v>
      </c>
      <c r="H629">
        <v>0.77076</v>
      </c>
      <c r="I629">
        <v>1.6544099999999999</v>
      </c>
    </row>
    <row r="630" spans="1:9" x14ac:dyDescent="0.25">
      <c r="A630">
        <v>630</v>
      </c>
      <c r="B630">
        <v>18</v>
      </c>
      <c r="C630">
        <v>0</v>
      </c>
      <c r="D630">
        <v>409337.79</v>
      </c>
      <c r="E630">
        <v>3659224.87</v>
      </c>
      <c r="F630">
        <v>81.099999999999994</v>
      </c>
      <c r="G630">
        <v>32</v>
      </c>
      <c r="H630">
        <v>0.86694000000000004</v>
      </c>
      <c r="I630">
        <v>1.2180599999999999</v>
      </c>
    </row>
    <row r="631" spans="1:9" x14ac:dyDescent="0.25">
      <c r="A631">
        <v>631</v>
      </c>
      <c r="B631">
        <v>18</v>
      </c>
      <c r="C631">
        <v>0</v>
      </c>
      <c r="D631">
        <v>409337.65</v>
      </c>
      <c r="E631">
        <v>3659228.05</v>
      </c>
      <c r="F631">
        <v>80.8</v>
      </c>
      <c r="G631">
        <v>31.2</v>
      </c>
      <c r="H631">
        <v>0.63690000000000002</v>
      </c>
      <c r="I631">
        <v>1.4651000000000001</v>
      </c>
    </row>
    <row r="632" spans="1:9" x14ac:dyDescent="0.25">
      <c r="A632">
        <v>632</v>
      </c>
      <c r="B632">
        <v>18</v>
      </c>
      <c r="C632">
        <v>0</v>
      </c>
      <c r="D632">
        <v>409337.81</v>
      </c>
      <c r="E632">
        <v>3659231.21</v>
      </c>
      <c r="F632">
        <v>80.900000000000006</v>
      </c>
      <c r="G632">
        <v>30.2</v>
      </c>
      <c r="H632">
        <v>0.43808999999999998</v>
      </c>
      <c r="I632">
        <v>1.95984</v>
      </c>
    </row>
    <row r="633" spans="1:9" x14ac:dyDescent="0.25">
      <c r="A633">
        <v>633</v>
      </c>
      <c r="B633">
        <v>18</v>
      </c>
      <c r="C633">
        <v>7</v>
      </c>
      <c r="D633">
        <v>409337.81</v>
      </c>
      <c r="E633">
        <v>3659234.37</v>
      </c>
      <c r="F633">
        <v>76.2</v>
      </c>
      <c r="G633">
        <v>29.6</v>
      </c>
      <c r="H633">
        <v>-0.57064999999999999</v>
      </c>
      <c r="I633">
        <v>0.39345000000000002</v>
      </c>
    </row>
    <row r="634" spans="1:9" x14ac:dyDescent="0.25">
      <c r="A634">
        <v>634</v>
      </c>
      <c r="B634">
        <v>18</v>
      </c>
      <c r="C634">
        <v>7</v>
      </c>
      <c r="D634">
        <v>409337.85</v>
      </c>
      <c r="E634">
        <v>3659236.52</v>
      </c>
      <c r="F634">
        <v>79</v>
      </c>
      <c r="G634">
        <v>29.6</v>
      </c>
      <c r="H634">
        <v>-4.7440000000000003E-2</v>
      </c>
      <c r="I634">
        <v>1.4894700000000001</v>
      </c>
    </row>
    <row r="635" spans="1:9" x14ac:dyDescent="0.25">
      <c r="A635">
        <v>635</v>
      </c>
      <c r="B635">
        <v>19</v>
      </c>
      <c r="C635">
        <v>7</v>
      </c>
      <c r="D635">
        <v>409341.75</v>
      </c>
      <c r="E635">
        <v>3659238.01</v>
      </c>
      <c r="F635">
        <v>78.5</v>
      </c>
      <c r="G635">
        <v>32.799999999999997</v>
      </c>
      <c r="H635">
        <v>0.55508999999999997</v>
      </c>
      <c r="I635">
        <v>-0.16414000000000001</v>
      </c>
    </row>
    <row r="636" spans="1:9" x14ac:dyDescent="0.25">
      <c r="A636">
        <v>636</v>
      </c>
      <c r="B636">
        <v>19</v>
      </c>
      <c r="C636">
        <v>7</v>
      </c>
      <c r="D636">
        <v>409341.76</v>
      </c>
      <c r="E636">
        <v>3659235.59</v>
      </c>
      <c r="F636">
        <v>76.5</v>
      </c>
      <c r="G636">
        <v>28.7</v>
      </c>
      <c r="H636">
        <v>-0.71033000000000002</v>
      </c>
      <c r="I636">
        <v>0.92091000000000001</v>
      </c>
    </row>
    <row r="637" spans="1:9" x14ac:dyDescent="0.25">
      <c r="A637">
        <v>637</v>
      </c>
      <c r="B637">
        <v>19</v>
      </c>
      <c r="C637">
        <v>0</v>
      </c>
      <c r="D637">
        <v>409341.69</v>
      </c>
      <c r="E637">
        <v>3659232.77</v>
      </c>
      <c r="F637">
        <v>77.599999999999994</v>
      </c>
      <c r="G637">
        <v>29.6</v>
      </c>
      <c r="H637">
        <v>-0.30903999999999998</v>
      </c>
      <c r="I637">
        <v>0.94145999999999996</v>
      </c>
    </row>
    <row r="638" spans="1:9" x14ac:dyDescent="0.25">
      <c r="A638">
        <v>638</v>
      </c>
      <c r="B638">
        <v>19</v>
      </c>
      <c r="C638">
        <v>0</v>
      </c>
      <c r="D638">
        <v>409341.6</v>
      </c>
      <c r="E638">
        <v>3659229.94</v>
      </c>
      <c r="F638">
        <v>81</v>
      </c>
      <c r="G638">
        <v>32.4</v>
      </c>
      <c r="H638">
        <v>0.93525000000000003</v>
      </c>
      <c r="I638">
        <v>0.99668000000000001</v>
      </c>
    </row>
    <row r="639" spans="1:9" x14ac:dyDescent="0.25">
      <c r="A639">
        <v>639</v>
      </c>
      <c r="B639">
        <v>19</v>
      </c>
      <c r="C639">
        <v>0</v>
      </c>
      <c r="D639">
        <v>409341.67</v>
      </c>
      <c r="E639">
        <v>3659227.01</v>
      </c>
      <c r="F639">
        <v>79.900000000000006</v>
      </c>
      <c r="G639">
        <v>32.1</v>
      </c>
      <c r="H639">
        <v>0.66446000000000005</v>
      </c>
      <c r="I639">
        <v>0.70277999999999996</v>
      </c>
    </row>
    <row r="640" spans="1:9" x14ac:dyDescent="0.25">
      <c r="A640">
        <v>640</v>
      </c>
      <c r="B640">
        <v>19</v>
      </c>
      <c r="C640">
        <v>0</v>
      </c>
      <c r="D640">
        <v>409341.54</v>
      </c>
      <c r="E640">
        <v>3659223.99</v>
      </c>
      <c r="F640">
        <v>80.2</v>
      </c>
      <c r="G640">
        <v>32</v>
      </c>
      <c r="H640">
        <v>0.69877</v>
      </c>
      <c r="I640">
        <v>0.86577000000000004</v>
      </c>
    </row>
    <row r="641" spans="1:9" x14ac:dyDescent="0.25">
      <c r="A641">
        <v>641</v>
      </c>
      <c r="B641">
        <v>19</v>
      </c>
      <c r="C641">
        <v>0</v>
      </c>
      <c r="D641">
        <v>409341.48</v>
      </c>
      <c r="E641">
        <v>3659220.91</v>
      </c>
      <c r="F641">
        <v>80.3</v>
      </c>
      <c r="G641">
        <v>32</v>
      </c>
      <c r="H641">
        <v>0.71745999999999999</v>
      </c>
      <c r="I641">
        <v>0.90491999999999995</v>
      </c>
    </row>
    <row r="642" spans="1:9" x14ac:dyDescent="0.25">
      <c r="A642">
        <v>642</v>
      </c>
      <c r="B642">
        <v>19</v>
      </c>
      <c r="C642">
        <v>0</v>
      </c>
      <c r="D642">
        <v>409341.48</v>
      </c>
      <c r="E642">
        <v>3659217.72</v>
      </c>
      <c r="F642">
        <v>81.3</v>
      </c>
      <c r="G642">
        <v>30.2</v>
      </c>
      <c r="H642">
        <v>0.51283999999999996</v>
      </c>
      <c r="I642">
        <v>2.1164100000000001</v>
      </c>
    </row>
    <row r="643" spans="1:9" x14ac:dyDescent="0.25">
      <c r="A643">
        <v>643</v>
      </c>
      <c r="B643">
        <v>19</v>
      </c>
      <c r="C643">
        <v>0</v>
      </c>
      <c r="D643">
        <v>409341.42</v>
      </c>
      <c r="E643">
        <v>3659214.6</v>
      </c>
      <c r="F643">
        <v>79.400000000000006</v>
      </c>
      <c r="G643">
        <v>31.2</v>
      </c>
      <c r="H643">
        <v>0.37529000000000001</v>
      </c>
      <c r="I643">
        <v>0.91710000000000003</v>
      </c>
    </row>
    <row r="644" spans="1:9" x14ac:dyDescent="0.25">
      <c r="A644">
        <v>644</v>
      </c>
      <c r="B644">
        <v>19</v>
      </c>
      <c r="C644">
        <v>0</v>
      </c>
      <c r="D644">
        <v>409341.33</v>
      </c>
      <c r="E644">
        <v>3659211.5</v>
      </c>
      <c r="F644">
        <v>80.400000000000006</v>
      </c>
      <c r="G644">
        <v>31.2</v>
      </c>
      <c r="H644">
        <v>0.56215000000000004</v>
      </c>
      <c r="I644">
        <v>1.30853</v>
      </c>
    </row>
    <row r="645" spans="1:9" x14ac:dyDescent="0.25">
      <c r="A645">
        <v>645</v>
      </c>
      <c r="B645">
        <v>19</v>
      </c>
      <c r="C645">
        <v>0</v>
      </c>
      <c r="D645">
        <v>409341.42</v>
      </c>
      <c r="E645">
        <v>3659207.33</v>
      </c>
      <c r="F645">
        <v>81.400000000000006</v>
      </c>
      <c r="G645">
        <v>32.299999999999997</v>
      </c>
      <c r="H645">
        <v>0.98824999999999996</v>
      </c>
      <c r="I645">
        <v>1.19882</v>
      </c>
    </row>
    <row r="646" spans="1:9" x14ac:dyDescent="0.25">
      <c r="A646">
        <v>646</v>
      </c>
      <c r="B646">
        <v>19</v>
      </c>
      <c r="C646">
        <v>0</v>
      </c>
      <c r="D646">
        <v>409341.45</v>
      </c>
      <c r="E646">
        <v>3659204.13</v>
      </c>
      <c r="F646">
        <v>83.3</v>
      </c>
      <c r="G646">
        <v>36.5</v>
      </c>
      <c r="H646">
        <v>2.2567400000000002</v>
      </c>
      <c r="I646">
        <v>2.9069999999999999E-2</v>
      </c>
    </row>
    <row r="647" spans="1:9" x14ac:dyDescent="0.25">
      <c r="A647">
        <v>647</v>
      </c>
      <c r="B647">
        <v>19</v>
      </c>
      <c r="C647">
        <v>0</v>
      </c>
      <c r="D647">
        <v>409341.44</v>
      </c>
      <c r="E647">
        <v>3659200.91</v>
      </c>
      <c r="F647">
        <v>81.3</v>
      </c>
      <c r="G647">
        <v>31.3</v>
      </c>
      <c r="H647">
        <v>0.75207999999999997</v>
      </c>
      <c r="I647">
        <v>1.6152599999999999</v>
      </c>
    </row>
    <row r="648" spans="1:9" x14ac:dyDescent="0.25">
      <c r="A648">
        <v>648</v>
      </c>
      <c r="B648">
        <v>19</v>
      </c>
      <c r="C648">
        <v>0</v>
      </c>
      <c r="D648">
        <v>409341.41</v>
      </c>
      <c r="E648">
        <v>3659197.81</v>
      </c>
      <c r="F648">
        <v>80.900000000000006</v>
      </c>
      <c r="G648">
        <v>31.4</v>
      </c>
      <c r="H648">
        <v>0.69908000000000003</v>
      </c>
      <c r="I648">
        <v>1.41313</v>
      </c>
    </row>
    <row r="649" spans="1:9" x14ac:dyDescent="0.25">
      <c r="A649">
        <v>649</v>
      </c>
      <c r="B649">
        <v>19</v>
      </c>
      <c r="C649">
        <v>0</v>
      </c>
      <c r="D649">
        <v>409341.32</v>
      </c>
      <c r="E649">
        <v>3659194.53</v>
      </c>
      <c r="F649">
        <v>79.400000000000006</v>
      </c>
      <c r="G649">
        <v>31.7</v>
      </c>
      <c r="H649">
        <v>0.48403000000000002</v>
      </c>
      <c r="I649">
        <v>0.68930000000000002</v>
      </c>
    </row>
    <row r="650" spans="1:9" x14ac:dyDescent="0.25">
      <c r="A650">
        <v>650</v>
      </c>
      <c r="B650">
        <v>19</v>
      </c>
      <c r="C650">
        <v>0</v>
      </c>
      <c r="D650">
        <v>409341.29</v>
      </c>
      <c r="E650">
        <v>3659191.07</v>
      </c>
      <c r="F650">
        <v>78.2</v>
      </c>
      <c r="G650">
        <v>30.5</v>
      </c>
      <c r="H650">
        <v>-1.1900000000000001E-3</v>
      </c>
      <c r="I650">
        <v>0.76629000000000003</v>
      </c>
    </row>
    <row r="651" spans="1:9" x14ac:dyDescent="0.25">
      <c r="A651">
        <v>651</v>
      </c>
      <c r="B651">
        <v>19</v>
      </c>
      <c r="C651">
        <v>0</v>
      </c>
      <c r="D651">
        <v>409341.23</v>
      </c>
      <c r="E651">
        <v>3659187.89</v>
      </c>
      <c r="F651">
        <v>80.099999999999994</v>
      </c>
      <c r="G651">
        <v>31.4</v>
      </c>
      <c r="H651">
        <v>0.54959000000000002</v>
      </c>
      <c r="I651">
        <v>1.09998</v>
      </c>
    </row>
    <row r="652" spans="1:9" x14ac:dyDescent="0.25">
      <c r="A652">
        <v>652</v>
      </c>
      <c r="B652">
        <v>19</v>
      </c>
      <c r="C652">
        <v>0</v>
      </c>
      <c r="D652">
        <v>409341.24</v>
      </c>
      <c r="E652">
        <v>3659184.79</v>
      </c>
      <c r="F652">
        <v>78.099999999999994</v>
      </c>
      <c r="G652">
        <v>30.9</v>
      </c>
      <c r="H652">
        <v>6.7119999999999999E-2</v>
      </c>
      <c r="I652">
        <v>0.54491000000000001</v>
      </c>
    </row>
    <row r="653" spans="1:9" x14ac:dyDescent="0.25">
      <c r="A653">
        <v>653</v>
      </c>
      <c r="B653">
        <v>19</v>
      </c>
      <c r="C653">
        <v>0</v>
      </c>
      <c r="D653">
        <v>409341.12</v>
      </c>
      <c r="E653">
        <v>3659181.68</v>
      </c>
      <c r="F653">
        <v>77.8</v>
      </c>
      <c r="G653">
        <v>28.6</v>
      </c>
      <c r="H653">
        <v>-0.48915999999999998</v>
      </c>
      <c r="I653">
        <v>1.47533</v>
      </c>
    </row>
    <row r="654" spans="1:9" x14ac:dyDescent="0.25">
      <c r="A654">
        <v>654</v>
      </c>
      <c r="B654">
        <v>19</v>
      </c>
      <c r="C654">
        <v>0</v>
      </c>
      <c r="D654">
        <v>409341.28</v>
      </c>
      <c r="E654">
        <v>3659178.56</v>
      </c>
      <c r="F654">
        <v>80.400000000000006</v>
      </c>
      <c r="G654">
        <v>32.200000000000003</v>
      </c>
      <c r="H654">
        <v>0.77964</v>
      </c>
      <c r="I654">
        <v>0.85294000000000003</v>
      </c>
    </row>
    <row r="655" spans="1:9" x14ac:dyDescent="0.25">
      <c r="A655">
        <v>655</v>
      </c>
      <c r="B655">
        <v>19</v>
      </c>
      <c r="C655">
        <v>0</v>
      </c>
      <c r="D655">
        <v>409341.12</v>
      </c>
      <c r="E655">
        <v>3659175.49</v>
      </c>
      <c r="F655">
        <v>83.2</v>
      </c>
      <c r="G655">
        <v>35.6</v>
      </c>
      <c r="H655">
        <v>2.0423100000000001</v>
      </c>
      <c r="I655">
        <v>0.39995000000000003</v>
      </c>
    </row>
    <row r="656" spans="1:9" x14ac:dyDescent="0.25">
      <c r="A656">
        <v>656</v>
      </c>
      <c r="B656">
        <v>19</v>
      </c>
      <c r="C656">
        <v>0</v>
      </c>
      <c r="D656">
        <v>409341.15</v>
      </c>
      <c r="E656">
        <v>3659172.38</v>
      </c>
      <c r="F656">
        <v>80.900000000000006</v>
      </c>
      <c r="G656">
        <v>33.299999999999997</v>
      </c>
      <c r="H656">
        <v>1.1123099999999999</v>
      </c>
      <c r="I656">
        <v>0.54751000000000005</v>
      </c>
    </row>
    <row r="657" spans="1:9" x14ac:dyDescent="0.25">
      <c r="A657">
        <v>657</v>
      </c>
      <c r="B657">
        <v>19</v>
      </c>
      <c r="C657">
        <v>0</v>
      </c>
      <c r="D657">
        <v>409341.07</v>
      </c>
      <c r="E657">
        <v>3659169.37</v>
      </c>
      <c r="F657">
        <v>79.599999999999994</v>
      </c>
      <c r="G657">
        <v>34</v>
      </c>
      <c r="H657">
        <v>1.02163</v>
      </c>
      <c r="I657">
        <v>-0.28027000000000002</v>
      </c>
    </row>
    <row r="658" spans="1:9" x14ac:dyDescent="0.25">
      <c r="A658">
        <v>658</v>
      </c>
      <c r="B658">
        <v>19</v>
      </c>
      <c r="C658">
        <v>0</v>
      </c>
      <c r="D658">
        <v>409341.04</v>
      </c>
      <c r="E658">
        <v>3659166.33</v>
      </c>
      <c r="F658">
        <v>83.3</v>
      </c>
      <c r="G658">
        <v>35</v>
      </c>
      <c r="H658">
        <v>1.9305000000000001</v>
      </c>
      <c r="I658">
        <v>0.71245000000000003</v>
      </c>
    </row>
    <row r="659" spans="1:9" x14ac:dyDescent="0.25">
      <c r="A659">
        <v>659</v>
      </c>
      <c r="B659">
        <v>19</v>
      </c>
      <c r="C659">
        <v>0</v>
      </c>
      <c r="D659">
        <v>409340.94</v>
      </c>
      <c r="E659">
        <v>3659163.31</v>
      </c>
      <c r="F659">
        <v>79.7</v>
      </c>
      <c r="G659">
        <v>33.200000000000003</v>
      </c>
      <c r="H659">
        <v>0.86631999999999998</v>
      </c>
      <c r="I659">
        <v>0.12335</v>
      </c>
    </row>
    <row r="660" spans="1:9" x14ac:dyDescent="0.25">
      <c r="A660">
        <v>660</v>
      </c>
      <c r="B660">
        <v>19</v>
      </c>
      <c r="C660">
        <v>0</v>
      </c>
      <c r="D660">
        <v>409341.02</v>
      </c>
      <c r="E660">
        <v>3659160.09</v>
      </c>
      <c r="F660">
        <v>80.7</v>
      </c>
      <c r="G660">
        <v>33.799999999999997</v>
      </c>
      <c r="H660">
        <v>1.1836800000000001</v>
      </c>
      <c r="I660">
        <v>0.24143000000000001</v>
      </c>
    </row>
    <row r="661" spans="1:9" x14ac:dyDescent="0.25">
      <c r="A661">
        <v>661</v>
      </c>
      <c r="B661">
        <v>19</v>
      </c>
      <c r="C661">
        <v>0</v>
      </c>
      <c r="D661">
        <v>409341.08</v>
      </c>
      <c r="E661">
        <v>3659157.21</v>
      </c>
      <c r="F661">
        <v>80.099999999999994</v>
      </c>
      <c r="G661">
        <v>33.1</v>
      </c>
      <c r="H661">
        <v>0.91932000000000003</v>
      </c>
      <c r="I661">
        <v>0.32547999999999999</v>
      </c>
    </row>
    <row r="662" spans="1:9" x14ac:dyDescent="0.25">
      <c r="A662">
        <v>662</v>
      </c>
      <c r="B662">
        <v>19</v>
      </c>
      <c r="C662">
        <v>0</v>
      </c>
      <c r="D662">
        <v>409340.96</v>
      </c>
      <c r="E662">
        <v>3659150.82</v>
      </c>
      <c r="F662">
        <v>81.2</v>
      </c>
      <c r="G662">
        <v>34.200000000000003</v>
      </c>
      <c r="H662">
        <v>1.3641000000000001</v>
      </c>
      <c r="I662">
        <v>0.25491000000000003</v>
      </c>
    </row>
    <row r="663" spans="1:9" x14ac:dyDescent="0.25">
      <c r="A663">
        <v>663</v>
      </c>
      <c r="B663">
        <v>19</v>
      </c>
      <c r="C663">
        <v>0</v>
      </c>
      <c r="D663">
        <v>409340.83</v>
      </c>
      <c r="E663">
        <v>3659147.96</v>
      </c>
      <c r="F663">
        <v>81.400000000000006</v>
      </c>
      <c r="G663">
        <v>34</v>
      </c>
      <c r="H663">
        <v>1.35798</v>
      </c>
      <c r="I663">
        <v>0.42431999999999997</v>
      </c>
    </row>
    <row r="664" spans="1:9" x14ac:dyDescent="0.25">
      <c r="A664">
        <v>664</v>
      </c>
      <c r="B664">
        <v>19</v>
      </c>
      <c r="C664">
        <v>0</v>
      </c>
      <c r="D664">
        <v>409340.83</v>
      </c>
      <c r="E664">
        <v>3659144.99</v>
      </c>
      <c r="F664">
        <v>81.400000000000006</v>
      </c>
      <c r="G664">
        <v>33.4</v>
      </c>
      <c r="H664">
        <v>1.22749</v>
      </c>
      <c r="I664">
        <v>0.69767000000000001</v>
      </c>
    </row>
    <row r="665" spans="1:9" x14ac:dyDescent="0.25">
      <c r="A665">
        <v>665</v>
      </c>
      <c r="B665">
        <v>19</v>
      </c>
      <c r="C665">
        <v>0</v>
      </c>
      <c r="D665">
        <v>409340.81</v>
      </c>
      <c r="E665">
        <v>3659142.03</v>
      </c>
      <c r="F665">
        <v>80.7</v>
      </c>
      <c r="G665">
        <v>34.5</v>
      </c>
      <c r="H665">
        <v>1.33592</v>
      </c>
      <c r="I665">
        <v>-7.7479999999999993E-2</v>
      </c>
    </row>
    <row r="666" spans="1:9" x14ac:dyDescent="0.25">
      <c r="A666">
        <v>666</v>
      </c>
      <c r="B666">
        <v>19</v>
      </c>
      <c r="C666">
        <v>0</v>
      </c>
      <c r="D666">
        <v>409340.77</v>
      </c>
      <c r="E666">
        <v>3659138.96</v>
      </c>
      <c r="F666">
        <v>80.8</v>
      </c>
      <c r="G666">
        <v>33.9</v>
      </c>
      <c r="H666">
        <v>1.22411</v>
      </c>
      <c r="I666">
        <v>0.23501</v>
      </c>
    </row>
    <row r="667" spans="1:9" x14ac:dyDescent="0.25">
      <c r="A667">
        <v>667</v>
      </c>
      <c r="B667">
        <v>19</v>
      </c>
      <c r="C667">
        <v>0</v>
      </c>
      <c r="D667">
        <v>409340.7</v>
      </c>
      <c r="E667">
        <v>3659135.86</v>
      </c>
      <c r="F667">
        <v>80.599999999999994</v>
      </c>
      <c r="G667">
        <v>33.299999999999997</v>
      </c>
      <c r="H667">
        <v>1.0562499999999999</v>
      </c>
      <c r="I667">
        <v>0.43008000000000002</v>
      </c>
    </row>
    <row r="668" spans="1:9" x14ac:dyDescent="0.25">
      <c r="A668">
        <v>668</v>
      </c>
      <c r="B668">
        <v>19</v>
      </c>
      <c r="C668">
        <v>7</v>
      </c>
      <c r="D668">
        <v>409340.59</v>
      </c>
      <c r="E668">
        <v>3659132.86</v>
      </c>
      <c r="F668">
        <v>80.5</v>
      </c>
      <c r="G668">
        <v>34.1</v>
      </c>
      <c r="H668">
        <v>1.2115499999999999</v>
      </c>
      <c r="I668">
        <v>2.647E-2</v>
      </c>
    </row>
    <row r="669" spans="1:9" x14ac:dyDescent="0.25">
      <c r="A669">
        <v>669</v>
      </c>
      <c r="B669">
        <v>19</v>
      </c>
      <c r="C669">
        <v>7</v>
      </c>
      <c r="D669">
        <v>409340.57</v>
      </c>
      <c r="E669">
        <v>3659130.03</v>
      </c>
      <c r="F669">
        <v>82.2</v>
      </c>
      <c r="G669">
        <v>34.5</v>
      </c>
      <c r="H669">
        <v>1.6162099999999999</v>
      </c>
      <c r="I669">
        <v>0.50966999999999996</v>
      </c>
    </row>
    <row r="670" spans="1:9" x14ac:dyDescent="0.25">
      <c r="A670">
        <v>670</v>
      </c>
      <c r="B670">
        <v>20</v>
      </c>
      <c r="C670">
        <v>7</v>
      </c>
      <c r="D670">
        <v>409344.56</v>
      </c>
      <c r="E670">
        <v>3659127.85</v>
      </c>
      <c r="F670">
        <v>82.1</v>
      </c>
      <c r="G670">
        <v>31.9</v>
      </c>
      <c r="H670">
        <v>1.03206</v>
      </c>
      <c r="I670">
        <v>1.65506</v>
      </c>
    </row>
    <row r="671" spans="1:9" x14ac:dyDescent="0.25">
      <c r="A671">
        <v>671</v>
      </c>
      <c r="B671">
        <v>20</v>
      </c>
      <c r="C671">
        <v>7</v>
      </c>
      <c r="D671">
        <v>409344.59</v>
      </c>
      <c r="E671">
        <v>3659129.09</v>
      </c>
      <c r="F671">
        <v>80.7</v>
      </c>
      <c r="G671">
        <v>32.4</v>
      </c>
      <c r="H671">
        <v>0.87919999999999998</v>
      </c>
      <c r="I671">
        <v>0.87924999999999998</v>
      </c>
    </row>
    <row r="672" spans="1:9" x14ac:dyDescent="0.25">
      <c r="A672">
        <v>672</v>
      </c>
      <c r="B672">
        <v>20</v>
      </c>
      <c r="C672">
        <v>0</v>
      </c>
      <c r="D672">
        <v>409344.67</v>
      </c>
      <c r="E672">
        <v>3659132.73</v>
      </c>
      <c r="F672">
        <v>80.599999999999994</v>
      </c>
      <c r="G672">
        <v>31.6</v>
      </c>
      <c r="H672">
        <v>0.68652000000000002</v>
      </c>
      <c r="I672">
        <v>1.20458</v>
      </c>
    </row>
    <row r="673" spans="1:9" x14ac:dyDescent="0.25">
      <c r="A673">
        <v>673</v>
      </c>
      <c r="B673">
        <v>20</v>
      </c>
      <c r="C673">
        <v>0</v>
      </c>
      <c r="D673">
        <v>409344.7</v>
      </c>
      <c r="E673">
        <v>3659135.64</v>
      </c>
      <c r="F673">
        <v>80.5</v>
      </c>
      <c r="G673">
        <v>32.9</v>
      </c>
      <c r="H673">
        <v>0.95057000000000003</v>
      </c>
      <c r="I673">
        <v>0.57316999999999996</v>
      </c>
    </row>
    <row r="674" spans="1:9" x14ac:dyDescent="0.25">
      <c r="A674">
        <v>674</v>
      </c>
      <c r="B674">
        <v>20</v>
      </c>
      <c r="C674">
        <v>0</v>
      </c>
      <c r="D674">
        <v>409344.71</v>
      </c>
      <c r="E674">
        <v>3659138.62</v>
      </c>
      <c r="F674">
        <v>80.7</v>
      </c>
      <c r="G674">
        <v>32.799999999999997</v>
      </c>
      <c r="H674">
        <v>0.96618999999999999</v>
      </c>
      <c r="I674">
        <v>0.69701999999999997</v>
      </c>
    </row>
    <row r="675" spans="1:9" x14ac:dyDescent="0.25">
      <c r="A675">
        <v>675</v>
      </c>
      <c r="B675">
        <v>20</v>
      </c>
      <c r="C675">
        <v>0</v>
      </c>
      <c r="D675">
        <v>409344.77</v>
      </c>
      <c r="E675">
        <v>3659141.78</v>
      </c>
      <c r="F675">
        <v>81.3</v>
      </c>
      <c r="G675">
        <v>32.6</v>
      </c>
      <c r="H675">
        <v>1.03481</v>
      </c>
      <c r="I675">
        <v>1.0229999999999999</v>
      </c>
    </row>
    <row r="676" spans="1:9" x14ac:dyDescent="0.25">
      <c r="A676">
        <v>676</v>
      </c>
      <c r="B676">
        <v>20</v>
      </c>
      <c r="C676">
        <v>0</v>
      </c>
      <c r="D676">
        <v>409344.84</v>
      </c>
      <c r="E676">
        <v>3659144.68</v>
      </c>
      <c r="F676">
        <v>82.1</v>
      </c>
      <c r="G676">
        <v>34.299999999999997</v>
      </c>
      <c r="H676">
        <v>1.55403</v>
      </c>
      <c r="I676">
        <v>0.56164000000000003</v>
      </c>
    </row>
    <row r="677" spans="1:9" x14ac:dyDescent="0.25">
      <c r="A677">
        <v>677</v>
      </c>
      <c r="B677">
        <v>20</v>
      </c>
      <c r="C677">
        <v>0</v>
      </c>
      <c r="D677">
        <v>409344.88</v>
      </c>
      <c r="E677">
        <v>3659147.64</v>
      </c>
      <c r="F677">
        <v>81.2</v>
      </c>
      <c r="G677">
        <v>33.700000000000003</v>
      </c>
      <c r="H677">
        <v>1.25536</v>
      </c>
      <c r="I677">
        <v>0.48270999999999997</v>
      </c>
    </row>
    <row r="678" spans="1:9" x14ac:dyDescent="0.25">
      <c r="A678">
        <v>678</v>
      </c>
      <c r="B678">
        <v>20</v>
      </c>
      <c r="C678">
        <v>0</v>
      </c>
      <c r="D678">
        <v>409344.91</v>
      </c>
      <c r="E678">
        <v>3659150.65</v>
      </c>
      <c r="F678">
        <v>80.7</v>
      </c>
      <c r="G678">
        <v>34.200000000000003</v>
      </c>
      <c r="H678">
        <v>1.27067</v>
      </c>
      <c r="I678">
        <v>5.919E-2</v>
      </c>
    </row>
    <row r="679" spans="1:9" x14ac:dyDescent="0.25">
      <c r="A679">
        <v>679</v>
      </c>
      <c r="B679">
        <v>20</v>
      </c>
      <c r="C679">
        <v>0</v>
      </c>
      <c r="D679">
        <v>409344.97</v>
      </c>
      <c r="E679">
        <v>3659153.59</v>
      </c>
      <c r="F679">
        <v>81.599999999999994</v>
      </c>
      <c r="G679">
        <v>36.299999999999997</v>
      </c>
      <c r="H679">
        <v>1.89557</v>
      </c>
      <c r="I679">
        <v>-0.54525000000000001</v>
      </c>
    </row>
    <row r="680" spans="1:9" x14ac:dyDescent="0.25">
      <c r="A680">
        <v>680</v>
      </c>
      <c r="B680">
        <v>20</v>
      </c>
      <c r="C680">
        <v>0</v>
      </c>
      <c r="D680">
        <v>409345.02</v>
      </c>
      <c r="E680">
        <v>3659156.56</v>
      </c>
      <c r="F680">
        <v>81</v>
      </c>
      <c r="G680">
        <v>35.6</v>
      </c>
      <c r="H680">
        <v>1.63121</v>
      </c>
      <c r="I680">
        <v>-0.4612</v>
      </c>
    </row>
    <row r="681" spans="1:9" x14ac:dyDescent="0.25">
      <c r="A681">
        <v>681</v>
      </c>
      <c r="B681">
        <v>20</v>
      </c>
      <c r="C681">
        <v>0</v>
      </c>
      <c r="D681">
        <v>409345.09</v>
      </c>
      <c r="E681">
        <v>3659159.53</v>
      </c>
      <c r="F681">
        <v>80.900000000000006</v>
      </c>
      <c r="G681">
        <v>32.5</v>
      </c>
      <c r="H681">
        <v>0.93832000000000004</v>
      </c>
      <c r="I681">
        <v>0.91198000000000001</v>
      </c>
    </row>
    <row r="682" spans="1:9" x14ac:dyDescent="0.25">
      <c r="A682">
        <v>682</v>
      </c>
      <c r="B682">
        <v>20</v>
      </c>
      <c r="C682">
        <v>0</v>
      </c>
      <c r="D682">
        <v>409345.14</v>
      </c>
      <c r="E682">
        <v>3659162.62</v>
      </c>
      <c r="F682">
        <v>81.400000000000006</v>
      </c>
      <c r="G682">
        <v>31.9</v>
      </c>
      <c r="H682">
        <v>0.90125</v>
      </c>
      <c r="I682">
        <v>1.3810500000000001</v>
      </c>
    </row>
    <row r="683" spans="1:9" x14ac:dyDescent="0.25">
      <c r="A683">
        <v>683</v>
      </c>
      <c r="B683">
        <v>20</v>
      </c>
      <c r="C683">
        <v>0</v>
      </c>
      <c r="D683">
        <v>409345.15</v>
      </c>
      <c r="E683">
        <v>3659165.62</v>
      </c>
      <c r="F683">
        <v>83.7</v>
      </c>
      <c r="G683">
        <v>33.799999999999997</v>
      </c>
      <c r="H683">
        <v>1.7442599999999999</v>
      </c>
      <c r="I683">
        <v>1.4157299999999999</v>
      </c>
    </row>
    <row r="684" spans="1:9" x14ac:dyDescent="0.25">
      <c r="A684">
        <v>684</v>
      </c>
      <c r="B684">
        <v>20</v>
      </c>
      <c r="C684">
        <v>0</v>
      </c>
      <c r="D684">
        <v>409345.16</v>
      </c>
      <c r="E684">
        <v>3659168.61</v>
      </c>
      <c r="F684">
        <v>82.2</v>
      </c>
      <c r="G684">
        <v>33.5</v>
      </c>
      <c r="H684">
        <v>1.39872</v>
      </c>
      <c r="I684">
        <v>0.96526000000000001</v>
      </c>
    </row>
    <row r="685" spans="1:9" x14ac:dyDescent="0.25">
      <c r="A685">
        <v>685</v>
      </c>
      <c r="B685">
        <v>20</v>
      </c>
      <c r="C685">
        <v>0</v>
      </c>
      <c r="D685">
        <v>409345.32</v>
      </c>
      <c r="E685">
        <v>3659171.62</v>
      </c>
      <c r="F685">
        <v>81.599999999999994</v>
      </c>
      <c r="G685">
        <v>32.9</v>
      </c>
      <c r="H685">
        <v>1.15611</v>
      </c>
      <c r="I685">
        <v>1.0037499999999999</v>
      </c>
    </row>
    <row r="686" spans="1:9" x14ac:dyDescent="0.25">
      <c r="A686">
        <v>686</v>
      </c>
      <c r="B686">
        <v>20</v>
      </c>
      <c r="C686">
        <v>0</v>
      </c>
      <c r="D686">
        <v>409345.2</v>
      </c>
      <c r="E686">
        <v>3659174.71</v>
      </c>
      <c r="F686">
        <v>82.6</v>
      </c>
      <c r="G686">
        <v>32.6</v>
      </c>
      <c r="H686">
        <v>1.27773</v>
      </c>
      <c r="I686">
        <v>1.53186</v>
      </c>
    </row>
    <row r="687" spans="1:9" x14ac:dyDescent="0.25">
      <c r="A687">
        <v>687</v>
      </c>
      <c r="B687">
        <v>20</v>
      </c>
      <c r="C687">
        <v>0</v>
      </c>
      <c r="D687">
        <v>409345.3</v>
      </c>
      <c r="E687">
        <v>3659177.74</v>
      </c>
      <c r="F687">
        <v>83</v>
      </c>
      <c r="G687">
        <v>37</v>
      </c>
      <c r="H687">
        <v>2.3094199999999998</v>
      </c>
      <c r="I687">
        <v>-0.31616</v>
      </c>
    </row>
    <row r="688" spans="1:9" x14ac:dyDescent="0.25">
      <c r="A688">
        <v>688</v>
      </c>
      <c r="B688">
        <v>20</v>
      </c>
      <c r="C688">
        <v>2</v>
      </c>
      <c r="D688">
        <v>409345.35</v>
      </c>
      <c r="E688">
        <v>3659180.73</v>
      </c>
      <c r="F688">
        <v>79.7</v>
      </c>
      <c r="G688">
        <v>30</v>
      </c>
      <c r="H688">
        <v>0.17036000000000001</v>
      </c>
      <c r="I688">
        <v>1.5812299999999999</v>
      </c>
    </row>
    <row r="689" spans="1:9" x14ac:dyDescent="0.25">
      <c r="A689">
        <v>689</v>
      </c>
      <c r="B689">
        <v>20</v>
      </c>
      <c r="C689">
        <v>0</v>
      </c>
      <c r="D689">
        <v>409345.38</v>
      </c>
      <c r="E689">
        <v>3659183.72</v>
      </c>
      <c r="F689">
        <v>80</v>
      </c>
      <c r="G689">
        <v>32.4</v>
      </c>
      <c r="H689">
        <v>0.74839</v>
      </c>
      <c r="I689">
        <v>0.60524999999999995</v>
      </c>
    </row>
    <row r="690" spans="1:9" x14ac:dyDescent="0.25">
      <c r="A690">
        <v>690</v>
      </c>
      <c r="B690">
        <v>20</v>
      </c>
      <c r="C690">
        <v>0</v>
      </c>
      <c r="D690">
        <v>409345.4</v>
      </c>
      <c r="E690">
        <v>3659187.76</v>
      </c>
      <c r="F690">
        <v>80.900000000000006</v>
      </c>
      <c r="G690">
        <v>31</v>
      </c>
      <c r="H690">
        <v>0.61207999999999996</v>
      </c>
      <c r="I690">
        <v>1.59537</v>
      </c>
    </row>
    <row r="691" spans="1:9" x14ac:dyDescent="0.25">
      <c r="A691">
        <v>691</v>
      </c>
      <c r="B691">
        <v>20</v>
      </c>
      <c r="C691">
        <v>0</v>
      </c>
      <c r="D691">
        <v>409345.46</v>
      </c>
      <c r="E691">
        <v>3659190.65</v>
      </c>
      <c r="F691">
        <v>80.3</v>
      </c>
      <c r="G691">
        <v>30</v>
      </c>
      <c r="H691">
        <v>0.28248000000000001</v>
      </c>
      <c r="I691">
        <v>1.81609</v>
      </c>
    </row>
    <row r="692" spans="1:9" x14ac:dyDescent="0.25">
      <c r="A692">
        <v>692</v>
      </c>
      <c r="B692">
        <v>20</v>
      </c>
      <c r="C692">
        <v>0</v>
      </c>
      <c r="D692">
        <v>409345.5</v>
      </c>
      <c r="E692">
        <v>3659192.79</v>
      </c>
      <c r="F692">
        <v>79.7</v>
      </c>
      <c r="G692">
        <v>30</v>
      </c>
      <c r="H692">
        <v>0.17036000000000001</v>
      </c>
      <c r="I692">
        <v>1.5812299999999999</v>
      </c>
    </row>
    <row r="693" spans="1:9" x14ac:dyDescent="0.25">
      <c r="A693">
        <v>693</v>
      </c>
      <c r="B693">
        <v>20</v>
      </c>
      <c r="C693">
        <v>0</v>
      </c>
      <c r="D693">
        <v>409345.51</v>
      </c>
      <c r="E693">
        <v>3659196.61</v>
      </c>
      <c r="F693">
        <v>79.400000000000006</v>
      </c>
      <c r="G693">
        <v>29</v>
      </c>
      <c r="H693">
        <v>-0.10317999999999999</v>
      </c>
      <c r="I693">
        <v>1.9193899999999999</v>
      </c>
    </row>
    <row r="694" spans="1:9" x14ac:dyDescent="0.25">
      <c r="A694">
        <v>694</v>
      </c>
      <c r="B694">
        <v>20</v>
      </c>
      <c r="C694">
        <v>0</v>
      </c>
      <c r="D694">
        <v>409345.52</v>
      </c>
      <c r="E694">
        <v>3659199.59</v>
      </c>
      <c r="F694">
        <v>80.900000000000006</v>
      </c>
      <c r="G694">
        <v>29.4</v>
      </c>
      <c r="H694">
        <v>0.2641</v>
      </c>
      <c r="I694">
        <v>2.3243100000000001</v>
      </c>
    </row>
    <row r="695" spans="1:9" x14ac:dyDescent="0.25">
      <c r="A695">
        <v>695</v>
      </c>
      <c r="B695">
        <v>20</v>
      </c>
      <c r="C695">
        <v>0</v>
      </c>
      <c r="D695">
        <v>409345.44</v>
      </c>
      <c r="E695">
        <v>3659202.63</v>
      </c>
      <c r="F695">
        <v>79.3</v>
      </c>
      <c r="G695">
        <v>30.6</v>
      </c>
      <c r="H695">
        <v>0.22611000000000001</v>
      </c>
      <c r="I695">
        <v>1.1513100000000001</v>
      </c>
    </row>
    <row r="696" spans="1:9" x14ac:dyDescent="0.25">
      <c r="A696">
        <v>696</v>
      </c>
      <c r="B696">
        <v>20</v>
      </c>
      <c r="C696">
        <v>0</v>
      </c>
      <c r="D696">
        <v>409345.6</v>
      </c>
      <c r="E696">
        <v>3659205.9</v>
      </c>
      <c r="F696">
        <v>83</v>
      </c>
      <c r="G696">
        <v>32.5</v>
      </c>
      <c r="H696">
        <v>1.33073</v>
      </c>
      <c r="I696">
        <v>1.7339899999999999</v>
      </c>
    </row>
    <row r="697" spans="1:9" x14ac:dyDescent="0.25">
      <c r="A697">
        <v>697</v>
      </c>
      <c r="B697">
        <v>20</v>
      </c>
      <c r="C697">
        <v>0</v>
      </c>
      <c r="D697">
        <v>409345.7</v>
      </c>
      <c r="E697">
        <v>3659209.11</v>
      </c>
      <c r="F697">
        <v>80.599999999999994</v>
      </c>
      <c r="G697">
        <v>33.299999999999997</v>
      </c>
      <c r="H697">
        <v>1.0562499999999999</v>
      </c>
      <c r="I697">
        <v>0.43008000000000002</v>
      </c>
    </row>
    <row r="698" spans="1:9" x14ac:dyDescent="0.25">
      <c r="A698">
        <v>698</v>
      </c>
      <c r="B698">
        <v>20</v>
      </c>
      <c r="C698">
        <v>0</v>
      </c>
      <c r="D698">
        <v>409345.74</v>
      </c>
      <c r="E698">
        <v>3659212.14</v>
      </c>
      <c r="F698">
        <v>77</v>
      </c>
      <c r="G698">
        <v>29.9</v>
      </c>
      <c r="H698">
        <v>-0.35591</v>
      </c>
      <c r="I698">
        <v>0.56991999999999998</v>
      </c>
    </row>
    <row r="699" spans="1:9" x14ac:dyDescent="0.25">
      <c r="A699">
        <v>699</v>
      </c>
      <c r="B699">
        <v>20</v>
      </c>
      <c r="C699">
        <v>0</v>
      </c>
      <c r="D699">
        <v>409345.84</v>
      </c>
      <c r="E699">
        <v>3659215.24</v>
      </c>
      <c r="F699">
        <v>79.7</v>
      </c>
      <c r="G699">
        <v>28.8</v>
      </c>
      <c r="H699">
        <v>-9.0620000000000006E-2</v>
      </c>
      <c r="I699">
        <v>2.1279400000000002</v>
      </c>
    </row>
    <row r="700" spans="1:9" x14ac:dyDescent="0.25">
      <c r="A700">
        <v>700</v>
      </c>
      <c r="B700">
        <v>20</v>
      </c>
      <c r="C700">
        <v>0</v>
      </c>
      <c r="D700">
        <v>409345.83</v>
      </c>
      <c r="E700">
        <v>3659218.33</v>
      </c>
      <c r="F700">
        <v>79.3</v>
      </c>
      <c r="G700">
        <v>31</v>
      </c>
      <c r="H700">
        <v>0.31311</v>
      </c>
      <c r="I700">
        <v>0.96906999999999999</v>
      </c>
    </row>
    <row r="701" spans="1:9" x14ac:dyDescent="0.25">
      <c r="A701">
        <v>701</v>
      </c>
      <c r="B701">
        <v>20</v>
      </c>
      <c r="C701">
        <v>0</v>
      </c>
      <c r="D701">
        <v>409345.82</v>
      </c>
      <c r="E701">
        <v>3659221.36</v>
      </c>
      <c r="F701">
        <v>80.099999999999994</v>
      </c>
      <c r="G701">
        <v>30.4</v>
      </c>
      <c r="H701">
        <v>0.33210000000000001</v>
      </c>
      <c r="I701">
        <v>1.5555699999999999</v>
      </c>
    </row>
    <row r="702" spans="1:9" x14ac:dyDescent="0.25">
      <c r="A702">
        <v>702</v>
      </c>
      <c r="B702">
        <v>20</v>
      </c>
      <c r="C702">
        <v>2</v>
      </c>
      <c r="D702">
        <v>409345.86</v>
      </c>
      <c r="E702">
        <v>3659224.41</v>
      </c>
      <c r="F702">
        <v>81.099999999999994</v>
      </c>
      <c r="G702">
        <v>29.5</v>
      </c>
      <c r="H702">
        <v>0.32323000000000002</v>
      </c>
      <c r="I702">
        <v>2.35704</v>
      </c>
    </row>
    <row r="703" spans="1:9" x14ac:dyDescent="0.25">
      <c r="A703">
        <v>703</v>
      </c>
      <c r="B703">
        <v>20</v>
      </c>
      <c r="C703">
        <v>0</v>
      </c>
      <c r="D703">
        <v>409345.79</v>
      </c>
      <c r="E703">
        <v>3659227.35</v>
      </c>
      <c r="F703">
        <v>79</v>
      </c>
      <c r="G703">
        <v>30.5</v>
      </c>
      <c r="H703">
        <v>0.14829999999999999</v>
      </c>
      <c r="I703">
        <v>1.07944</v>
      </c>
    </row>
    <row r="704" spans="1:9" x14ac:dyDescent="0.25">
      <c r="A704">
        <v>704</v>
      </c>
      <c r="B704">
        <v>20</v>
      </c>
      <c r="C704">
        <v>0</v>
      </c>
      <c r="D704">
        <v>409345.83</v>
      </c>
      <c r="E704">
        <v>3659230.4</v>
      </c>
      <c r="F704">
        <v>82.3</v>
      </c>
      <c r="G704">
        <v>31</v>
      </c>
      <c r="H704">
        <v>0.87368999999999997</v>
      </c>
      <c r="I704">
        <v>2.14337</v>
      </c>
    </row>
    <row r="705" spans="1:9" x14ac:dyDescent="0.25">
      <c r="A705">
        <v>705</v>
      </c>
      <c r="B705">
        <v>20</v>
      </c>
      <c r="C705">
        <v>7</v>
      </c>
      <c r="D705">
        <v>409345.8</v>
      </c>
      <c r="E705">
        <v>3659233.56</v>
      </c>
      <c r="F705">
        <v>78.8</v>
      </c>
      <c r="G705">
        <v>31.6</v>
      </c>
      <c r="H705">
        <v>0.35016999999999998</v>
      </c>
      <c r="I705">
        <v>0.5</v>
      </c>
    </row>
    <row r="706" spans="1:9" x14ac:dyDescent="0.25">
      <c r="A706">
        <v>706</v>
      </c>
      <c r="B706">
        <v>20</v>
      </c>
      <c r="C706">
        <v>7</v>
      </c>
      <c r="D706">
        <v>409345.89</v>
      </c>
      <c r="E706">
        <v>3659236.1</v>
      </c>
      <c r="F706">
        <v>78.400000000000006</v>
      </c>
      <c r="G706">
        <v>29.9</v>
      </c>
      <c r="H706">
        <v>-9.4310000000000005E-2</v>
      </c>
      <c r="I706">
        <v>1.1179300000000001</v>
      </c>
    </row>
    <row r="707" spans="1:9" x14ac:dyDescent="0.25">
      <c r="A707">
        <v>707</v>
      </c>
      <c r="B707">
        <v>21</v>
      </c>
      <c r="C707">
        <v>7</v>
      </c>
      <c r="D707">
        <v>409349.85</v>
      </c>
      <c r="E707">
        <v>3659236.62</v>
      </c>
      <c r="F707">
        <v>76.099999999999994</v>
      </c>
      <c r="G707">
        <v>32.200000000000003</v>
      </c>
      <c r="H707">
        <v>-2.3869999999999999E-2</v>
      </c>
      <c r="I707">
        <v>-0.83021999999999996</v>
      </c>
    </row>
    <row r="708" spans="1:9" x14ac:dyDescent="0.25">
      <c r="A708">
        <v>708</v>
      </c>
      <c r="B708">
        <v>21</v>
      </c>
      <c r="C708">
        <v>7</v>
      </c>
      <c r="D708">
        <v>409349.86</v>
      </c>
      <c r="E708">
        <v>3659236.51</v>
      </c>
      <c r="F708">
        <v>76.400000000000006</v>
      </c>
      <c r="G708">
        <v>31.1</v>
      </c>
      <c r="H708">
        <v>-0.20704</v>
      </c>
      <c r="I708">
        <v>-0.21165</v>
      </c>
    </row>
    <row r="709" spans="1:9" x14ac:dyDescent="0.25">
      <c r="A709">
        <v>709</v>
      </c>
      <c r="B709">
        <v>21</v>
      </c>
      <c r="C709">
        <v>7</v>
      </c>
      <c r="D709">
        <v>409349.65</v>
      </c>
      <c r="E709">
        <v>3659233.56</v>
      </c>
      <c r="F709">
        <v>74.7</v>
      </c>
      <c r="G709">
        <v>28.2</v>
      </c>
      <c r="H709">
        <v>-1.1554199999999999</v>
      </c>
      <c r="I709">
        <v>0.44412000000000001</v>
      </c>
    </row>
    <row r="710" spans="1:9" x14ac:dyDescent="0.25">
      <c r="A710">
        <v>710</v>
      </c>
      <c r="B710">
        <v>21</v>
      </c>
      <c r="C710">
        <v>0</v>
      </c>
      <c r="D710">
        <v>409349.64</v>
      </c>
      <c r="E710">
        <v>3659230.54</v>
      </c>
      <c r="F710">
        <v>76.400000000000006</v>
      </c>
      <c r="G710">
        <v>31.1</v>
      </c>
      <c r="H710">
        <v>-0.20704</v>
      </c>
      <c r="I710">
        <v>-0.21165</v>
      </c>
    </row>
    <row r="711" spans="1:9" x14ac:dyDescent="0.25">
      <c r="A711">
        <v>711</v>
      </c>
      <c r="B711">
        <v>21</v>
      </c>
      <c r="C711">
        <v>0</v>
      </c>
      <c r="D711">
        <v>409349.64</v>
      </c>
      <c r="E711">
        <v>3659226.65</v>
      </c>
      <c r="F711">
        <v>76.3</v>
      </c>
      <c r="G711">
        <v>28.7</v>
      </c>
      <c r="H711">
        <v>-0.74770000000000003</v>
      </c>
      <c r="I711">
        <v>0.84262000000000004</v>
      </c>
    </row>
    <row r="712" spans="1:9" x14ac:dyDescent="0.25">
      <c r="A712">
        <v>712</v>
      </c>
      <c r="B712">
        <v>21</v>
      </c>
      <c r="C712">
        <v>0</v>
      </c>
      <c r="D712">
        <v>409349.59</v>
      </c>
      <c r="E712">
        <v>3659223.57</v>
      </c>
      <c r="F712">
        <v>74.400000000000006</v>
      </c>
      <c r="G712">
        <v>27.9</v>
      </c>
      <c r="H712">
        <v>-1.2767299999999999</v>
      </c>
      <c r="I712">
        <v>0.46337</v>
      </c>
    </row>
    <row r="713" spans="1:9" x14ac:dyDescent="0.25">
      <c r="A713">
        <v>713</v>
      </c>
      <c r="B713">
        <v>21</v>
      </c>
      <c r="C713">
        <v>0</v>
      </c>
      <c r="D713">
        <v>409349.6</v>
      </c>
      <c r="E713">
        <v>3659220.46</v>
      </c>
      <c r="F713">
        <v>74.3</v>
      </c>
      <c r="G713">
        <v>27.7</v>
      </c>
      <c r="H713">
        <v>-1.33891</v>
      </c>
      <c r="I713">
        <v>0.51534000000000002</v>
      </c>
    </row>
    <row r="714" spans="1:9" x14ac:dyDescent="0.25">
      <c r="A714">
        <v>714</v>
      </c>
      <c r="B714">
        <v>21</v>
      </c>
      <c r="C714">
        <v>0</v>
      </c>
      <c r="D714">
        <v>409349.6</v>
      </c>
      <c r="E714">
        <v>3659217.52</v>
      </c>
      <c r="F714">
        <v>74</v>
      </c>
      <c r="G714">
        <v>28.5</v>
      </c>
      <c r="H714">
        <v>-1.22098</v>
      </c>
      <c r="I714">
        <v>3.3439999999999998E-2</v>
      </c>
    </row>
    <row r="715" spans="1:9" x14ac:dyDescent="0.25">
      <c r="A715">
        <v>715</v>
      </c>
      <c r="B715">
        <v>21</v>
      </c>
      <c r="C715">
        <v>0</v>
      </c>
      <c r="D715">
        <v>409349.54</v>
      </c>
      <c r="E715">
        <v>3659214.44</v>
      </c>
      <c r="F715">
        <v>74.2</v>
      </c>
      <c r="G715">
        <v>29.9</v>
      </c>
      <c r="H715">
        <v>-0.87912999999999997</v>
      </c>
      <c r="I715">
        <v>-0.52608999999999995</v>
      </c>
    </row>
    <row r="716" spans="1:9" x14ac:dyDescent="0.25">
      <c r="A716">
        <v>716</v>
      </c>
      <c r="B716">
        <v>21</v>
      </c>
      <c r="C716">
        <v>0</v>
      </c>
      <c r="D716">
        <v>409349.55</v>
      </c>
      <c r="E716">
        <v>3659211.47</v>
      </c>
      <c r="F716">
        <v>76.8</v>
      </c>
      <c r="G716">
        <v>30.6</v>
      </c>
      <c r="H716">
        <v>-0.24104</v>
      </c>
      <c r="I716">
        <v>0.17272000000000001</v>
      </c>
    </row>
    <row r="717" spans="1:9" x14ac:dyDescent="0.25">
      <c r="A717">
        <v>717</v>
      </c>
      <c r="B717">
        <v>21</v>
      </c>
      <c r="C717">
        <v>0</v>
      </c>
      <c r="D717">
        <v>409349.33</v>
      </c>
      <c r="E717">
        <v>3659208.21</v>
      </c>
      <c r="F717">
        <v>78.2</v>
      </c>
      <c r="G717">
        <v>32.299999999999997</v>
      </c>
      <c r="H717">
        <v>0.39029000000000003</v>
      </c>
      <c r="I717">
        <v>-5.3769999999999998E-2</v>
      </c>
    </row>
    <row r="718" spans="1:9" x14ac:dyDescent="0.25">
      <c r="A718">
        <v>718</v>
      </c>
      <c r="B718">
        <v>21</v>
      </c>
      <c r="C718">
        <v>0</v>
      </c>
      <c r="D718">
        <v>409349.42</v>
      </c>
      <c r="E718">
        <v>3659205.21</v>
      </c>
      <c r="F718">
        <v>79.2</v>
      </c>
      <c r="G718">
        <v>34.6</v>
      </c>
      <c r="H718">
        <v>1.07738</v>
      </c>
      <c r="I718">
        <v>-0.71018999999999999</v>
      </c>
    </row>
    <row r="719" spans="1:9" x14ac:dyDescent="0.25">
      <c r="A719">
        <v>719</v>
      </c>
      <c r="B719">
        <v>21</v>
      </c>
      <c r="C719">
        <v>0</v>
      </c>
      <c r="D719">
        <v>409349.43</v>
      </c>
      <c r="E719">
        <v>3659202.28</v>
      </c>
      <c r="F719">
        <v>77.400000000000006</v>
      </c>
      <c r="G719">
        <v>32.4</v>
      </c>
      <c r="H719">
        <v>0.26255000000000001</v>
      </c>
      <c r="I719">
        <v>-0.41248000000000001</v>
      </c>
    </row>
    <row r="720" spans="1:9" x14ac:dyDescent="0.25">
      <c r="A720">
        <v>720</v>
      </c>
      <c r="B720">
        <v>21</v>
      </c>
      <c r="C720">
        <v>0</v>
      </c>
      <c r="D720">
        <v>409349.39</v>
      </c>
      <c r="E720">
        <v>3659199.25</v>
      </c>
      <c r="F720">
        <v>76.400000000000006</v>
      </c>
      <c r="G720">
        <v>29.5</v>
      </c>
      <c r="H720">
        <v>-0.55501999999999996</v>
      </c>
      <c r="I720">
        <v>0.51729999999999998</v>
      </c>
    </row>
    <row r="721" spans="1:9" x14ac:dyDescent="0.25">
      <c r="A721">
        <v>721</v>
      </c>
      <c r="B721">
        <v>21</v>
      </c>
      <c r="C721">
        <v>0</v>
      </c>
      <c r="D721">
        <v>409349.31</v>
      </c>
      <c r="E721">
        <v>3659196.38</v>
      </c>
      <c r="F721">
        <v>74.599999999999994</v>
      </c>
      <c r="G721">
        <v>28.4</v>
      </c>
      <c r="H721">
        <v>-1.1306099999999999</v>
      </c>
      <c r="I721">
        <v>0.31385999999999997</v>
      </c>
    </row>
    <row r="722" spans="1:9" x14ac:dyDescent="0.25">
      <c r="A722">
        <v>722</v>
      </c>
      <c r="B722">
        <v>21</v>
      </c>
      <c r="C722">
        <v>0</v>
      </c>
      <c r="D722">
        <v>409349.34</v>
      </c>
      <c r="E722">
        <v>3659193.25</v>
      </c>
      <c r="F722">
        <v>72.8</v>
      </c>
      <c r="G722">
        <v>29.3</v>
      </c>
      <c r="H722">
        <v>-1.27122</v>
      </c>
      <c r="I722">
        <v>-0.80074999999999996</v>
      </c>
    </row>
    <row r="723" spans="1:9" x14ac:dyDescent="0.25">
      <c r="A723">
        <v>723</v>
      </c>
      <c r="B723">
        <v>21</v>
      </c>
      <c r="C723">
        <v>0</v>
      </c>
      <c r="D723">
        <v>409349.29</v>
      </c>
      <c r="E723">
        <v>3659190.32</v>
      </c>
      <c r="F723">
        <v>75.099999999999994</v>
      </c>
      <c r="G723">
        <v>30</v>
      </c>
      <c r="H723">
        <v>-0.68920000000000003</v>
      </c>
      <c r="I723">
        <v>-0.21936</v>
      </c>
    </row>
    <row r="724" spans="1:9" x14ac:dyDescent="0.25">
      <c r="A724">
        <v>724</v>
      </c>
      <c r="B724">
        <v>21</v>
      </c>
      <c r="C724">
        <v>0</v>
      </c>
      <c r="D724">
        <v>409349.33</v>
      </c>
      <c r="E724">
        <v>3659187.47</v>
      </c>
      <c r="F724">
        <v>76.5</v>
      </c>
      <c r="G724">
        <v>33.200000000000003</v>
      </c>
      <c r="H724">
        <v>0.26837</v>
      </c>
      <c r="I724">
        <v>-1.12924</v>
      </c>
    </row>
    <row r="725" spans="1:9" x14ac:dyDescent="0.25">
      <c r="A725">
        <v>725</v>
      </c>
      <c r="B725">
        <v>21</v>
      </c>
      <c r="C725">
        <v>0</v>
      </c>
      <c r="D725">
        <v>409349.35</v>
      </c>
      <c r="E725">
        <v>3659184.56</v>
      </c>
      <c r="F725">
        <v>76.900000000000006</v>
      </c>
      <c r="G725">
        <v>32.4</v>
      </c>
      <c r="H725">
        <v>0.16911999999999999</v>
      </c>
      <c r="I725">
        <v>-0.60819000000000001</v>
      </c>
    </row>
    <row r="726" spans="1:9" x14ac:dyDescent="0.25">
      <c r="A726">
        <v>726</v>
      </c>
      <c r="B726">
        <v>21</v>
      </c>
      <c r="C726">
        <v>0</v>
      </c>
      <c r="D726">
        <v>409349.38</v>
      </c>
      <c r="E726">
        <v>3659181.72</v>
      </c>
      <c r="F726">
        <v>76.2</v>
      </c>
      <c r="G726">
        <v>32.1</v>
      </c>
      <c r="H726">
        <v>-2.6929999999999999E-2</v>
      </c>
      <c r="I726">
        <v>-0.74551999999999996</v>
      </c>
    </row>
    <row r="727" spans="1:9" x14ac:dyDescent="0.25">
      <c r="A727">
        <v>727</v>
      </c>
      <c r="B727">
        <v>21</v>
      </c>
      <c r="C727">
        <v>0</v>
      </c>
      <c r="D727">
        <v>409349.35</v>
      </c>
      <c r="E727">
        <v>3659178.8</v>
      </c>
      <c r="F727">
        <v>76.099999999999994</v>
      </c>
      <c r="G727">
        <v>32</v>
      </c>
      <c r="H727">
        <v>-6.7360000000000003E-2</v>
      </c>
      <c r="I727">
        <v>-0.73911000000000004</v>
      </c>
    </row>
    <row r="728" spans="1:9" x14ac:dyDescent="0.25">
      <c r="A728">
        <v>728</v>
      </c>
      <c r="B728">
        <v>21</v>
      </c>
      <c r="C728">
        <v>0</v>
      </c>
      <c r="D728">
        <v>409349.23</v>
      </c>
      <c r="E728">
        <v>3659175.99</v>
      </c>
      <c r="F728">
        <v>78.400000000000006</v>
      </c>
      <c r="G728">
        <v>35.700000000000003</v>
      </c>
      <c r="H728">
        <v>1.1671199999999999</v>
      </c>
      <c r="I728">
        <v>-1.5244899999999999</v>
      </c>
    </row>
    <row r="729" spans="1:9" x14ac:dyDescent="0.25">
      <c r="A729">
        <v>729</v>
      </c>
      <c r="B729">
        <v>21</v>
      </c>
      <c r="C729">
        <v>0</v>
      </c>
      <c r="D729">
        <v>409349.15</v>
      </c>
      <c r="E729">
        <v>3659173.17</v>
      </c>
      <c r="F729">
        <v>76.5</v>
      </c>
      <c r="G729">
        <v>34</v>
      </c>
      <c r="H729">
        <v>0.44235999999999998</v>
      </c>
      <c r="I729">
        <v>-1.4937100000000001</v>
      </c>
    </row>
    <row r="730" spans="1:9" x14ac:dyDescent="0.25">
      <c r="A730">
        <v>730</v>
      </c>
      <c r="B730">
        <v>21</v>
      </c>
      <c r="C730">
        <v>0</v>
      </c>
      <c r="D730">
        <v>409349.18</v>
      </c>
      <c r="E730">
        <v>3659170.35</v>
      </c>
      <c r="F730">
        <v>75.3</v>
      </c>
      <c r="G730">
        <v>32.700000000000003</v>
      </c>
      <c r="H730">
        <v>-6.4610000000000001E-2</v>
      </c>
      <c r="I730">
        <v>-1.37117</v>
      </c>
    </row>
    <row r="731" spans="1:9" x14ac:dyDescent="0.25">
      <c r="A731">
        <v>731</v>
      </c>
      <c r="B731">
        <v>21</v>
      </c>
      <c r="C731">
        <v>0</v>
      </c>
      <c r="D731">
        <v>409349.08</v>
      </c>
      <c r="E731">
        <v>3659167.52</v>
      </c>
      <c r="F731">
        <v>76.2</v>
      </c>
      <c r="G731">
        <v>32.5</v>
      </c>
      <c r="H731">
        <v>6.0069999999999998E-2</v>
      </c>
      <c r="I731">
        <v>-0.92776000000000003</v>
      </c>
    </row>
    <row r="732" spans="1:9" x14ac:dyDescent="0.25">
      <c r="A732">
        <v>732</v>
      </c>
      <c r="B732">
        <v>21</v>
      </c>
      <c r="C732">
        <v>0</v>
      </c>
      <c r="D732">
        <v>409349.06</v>
      </c>
      <c r="E732">
        <v>3659164.64</v>
      </c>
      <c r="F732">
        <v>76.099999999999994</v>
      </c>
      <c r="G732">
        <v>32.9</v>
      </c>
      <c r="H732">
        <v>0.12837999999999999</v>
      </c>
      <c r="I732">
        <v>-1.1491400000000001</v>
      </c>
    </row>
    <row r="733" spans="1:9" x14ac:dyDescent="0.25">
      <c r="A733">
        <v>733</v>
      </c>
      <c r="B733">
        <v>21</v>
      </c>
      <c r="C733">
        <v>0</v>
      </c>
      <c r="D733">
        <v>409349.05</v>
      </c>
      <c r="E733">
        <v>3659161.82</v>
      </c>
      <c r="F733">
        <v>78.3</v>
      </c>
      <c r="G733">
        <v>33.1</v>
      </c>
      <c r="H733">
        <v>0.58296999999999999</v>
      </c>
      <c r="I733">
        <v>-0.37909999999999999</v>
      </c>
    </row>
    <row r="734" spans="1:9" x14ac:dyDescent="0.25">
      <c r="A734">
        <v>734</v>
      </c>
      <c r="B734">
        <v>21</v>
      </c>
      <c r="C734">
        <v>0</v>
      </c>
      <c r="D734">
        <v>409348.99</v>
      </c>
      <c r="E734">
        <v>3659159.04</v>
      </c>
      <c r="F734">
        <v>75.5</v>
      </c>
      <c r="G734">
        <v>31.4</v>
      </c>
      <c r="H734">
        <v>-0.30997000000000002</v>
      </c>
      <c r="I734">
        <v>-0.70060999999999996</v>
      </c>
    </row>
    <row r="735" spans="1:9" x14ac:dyDescent="0.25">
      <c r="A735">
        <v>735</v>
      </c>
      <c r="B735">
        <v>21</v>
      </c>
      <c r="C735">
        <v>0</v>
      </c>
      <c r="D735">
        <v>409348.94</v>
      </c>
      <c r="E735">
        <v>3659156.26</v>
      </c>
      <c r="F735">
        <v>75</v>
      </c>
      <c r="G735">
        <v>31</v>
      </c>
      <c r="H735">
        <v>-0.4904</v>
      </c>
      <c r="I735">
        <v>-0.71409999999999996</v>
      </c>
    </row>
    <row r="736" spans="1:9" x14ac:dyDescent="0.25">
      <c r="A736">
        <v>736</v>
      </c>
      <c r="B736">
        <v>21</v>
      </c>
      <c r="C736">
        <v>0</v>
      </c>
      <c r="D736">
        <v>409348.94</v>
      </c>
      <c r="E736">
        <v>3659153.28</v>
      </c>
      <c r="F736">
        <v>76.5</v>
      </c>
      <c r="G736">
        <v>33.700000000000003</v>
      </c>
      <c r="H736">
        <v>0.37711</v>
      </c>
      <c r="I736">
        <v>-1.35703</v>
      </c>
    </row>
    <row r="737" spans="1:9" x14ac:dyDescent="0.25">
      <c r="A737">
        <v>737</v>
      </c>
      <c r="B737">
        <v>21</v>
      </c>
      <c r="C737">
        <v>0</v>
      </c>
      <c r="D737">
        <v>409348.92</v>
      </c>
      <c r="E737">
        <v>3659150.4</v>
      </c>
      <c r="F737">
        <v>75.599999999999994</v>
      </c>
      <c r="G737">
        <v>34.299999999999997</v>
      </c>
      <c r="H737">
        <v>0.33943000000000001</v>
      </c>
      <c r="I737">
        <v>-1.98268</v>
      </c>
    </row>
    <row r="738" spans="1:9" x14ac:dyDescent="0.25">
      <c r="A738">
        <v>738</v>
      </c>
      <c r="B738">
        <v>21</v>
      </c>
      <c r="C738">
        <v>0</v>
      </c>
      <c r="D738">
        <v>409348.87</v>
      </c>
      <c r="E738">
        <v>3659147.53</v>
      </c>
      <c r="F738">
        <v>76.400000000000006</v>
      </c>
      <c r="G738">
        <v>33.5</v>
      </c>
      <c r="H738">
        <v>0.31492999999999999</v>
      </c>
      <c r="I738">
        <v>-1.3050600000000001</v>
      </c>
    </row>
    <row r="739" spans="1:9" x14ac:dyDescent="0.25">
      <c r="A739">
        <v>739</v>
      </c>
      <c r="B739">
        <v>21</v>
      </c>
      <c r="C739">
        <v>0</v>
      </c>
      <c r="D739">
        <v>409348.77</v>
      </c>
      <c r="E739">
        <v>3659144.64</v>
      </c>
      <c r="F739">
        <v>77.3</v>
      </c>
      <c r="G739">
        <v>34</v>
      </c>
      <c r="H739">
        <v>0.59184999999999999</v>
      </c>
      <c r="I739">
        <v>-1.1805600000000001</v>
      </c>
    </row>
    <row r="740" spans="1:9" x14ac:dyDescent="0.25">
      <c r="A740">
        <v>740</v>
      </c>
      <c r="B740">
        <v>21</v>
      </c>
      <c r="C740">
        <v>0</v>
      </c>
      <c r="D740">
        <v>409348.8</v>
      </c>
      <c r="E740">
        <v>3659141.63</v>
      </c>
      <c r="F740">
        <v>78.2</v>
      </c>
      <c r="G740">
        <v>33.299999999999997</v>
      </c>
      <c r="H740">
        <v>0.60777999999999999</v>
      </c>
      <c r="I740">
        <v>-0.50936000000000003</v>
      </c>
    </row>
    <row r="741" spans="1:9" x14ac:dyDescent="0.25">
      <c r="A741">
        <v>741</v>
      </c>
      <c r="B741">
        <v>21</v>
      </c>
      <c r="C741">
        <v>0</v>
      </c>
      <c r="D741">
        <v>409348.76</v>
      </c>
      <c r="E741">
        <v>3659138.71</v>
      </c>
      <c r="F741">
        <v>76.599999999999994</v>
      </c>
      <c r="G741">
        <v>32.6</v>
      </c>
      <c r="H741">
        <v>0.15656</v>
      </c>
      <c r="I741">
        <v>-0.81674000000000002</v>
      </c>
    </row>
    <row r="742" spans="1:9" x14ac:dyDescent="0.25">
      <c r="A742">
        <v>742</v>
      </c>
      <c r="B742">
        <v>21</v>
      </c>
      <c r="C742">
        <v>0</v>
      </c>
      <c r="D742">
        <v>409348.7</v>
      </c>
      <c r="E742">
        <v>3659135.77</v>
      </c>
      <c r="F742">
        <v>74.400000000000006</v>
      </c>
      <c r="G742">
        <v>32.1</v>
      </c>
      <c r="H742">
        <v>-0.36327999999999999</v>
      </c>
      <c r="I742">
        <v>-1.4500999999999999</v>
      </c>
    </row>
    <row r="743" spans="1:9" x14ac:dyDescent="0.25">
      <c r="A743">
        <v>743</v>
      </c>
      <c r="B743">
        <v>21</v>
      </c>
      <c r="C743">
        <v>7</v>
      </c>
      <c r="D743">
        <v>409348.63</v>
      </c>
      <c r="E743">
        <v>3659132.95</v>
      </c>
      <c r="F743">
        <v>74.099999999999994</v>
      </c>
      <c r="G743">
        <v>31.7</v>
      </c>
      <c r="H743">
        <v>-0.50632999999999995</v>
      </c>
      <c r="I743">
        <v>-1.3853</v>
      </c>
    </row>
    <row r="744" spans="1:9" x14ac:dyDescent="0.25">
      <c r="A744">
        <v>744</v>
      </c>
      <c r="B744">
        <v>21</v>
      </c>
      <c r="C744">
        <v>7</v>
      </c>
      <c r="D744">
        <v>409348.63</v>
      </c>
      <c r="E744">
        <v>3659130.25</v>
      </c>
      <c r="F744">
        <v>75.3</v>
      </c>
      <c r="G744">
        <v>31.6</v>
      </c>
      <c r="H744">
        <v>-0.30385000000000001</v>
      </c>
      <c r="I744">
        <v>-0.87002000000000002</v>
      </c>
    </row>
    <row r="745" spans="1:9" x14ac:dyDescent="0.25">
      <c r="A745">
        <v>745</v>
      </c>
      <c r="B745">
        <v>22</v>
      </c>
      <c r="C745">
        <v>7</v>
      </c>
      <c r="D745">
        <v>409352.73</v>
      </c>
      <c r="E745">
        <v>3659127.63</v>
      </c>
      <c r="F745">
        <v>75.3</v>
      </c>
      <c r="G745">
        <v>29.7</v>
      </c>
      <c r="H745">
        <v>-0.71708000000000005</v>
      </c>
      <c r="I745">
        <v>-4.4000000000000003E-3</v>
      </c>
    </row>
    <row r="746" spans="1:9" x14ac:dyDescent="0.25">
      <c r="A746">
        <v>746</v>
      </c>
      <c r="B746">
        <v>22</v>
      </c>
      <c r="C746">
        <v>7</v>
      </c>
      <c r="D746">
        <v>409352.73</v>
      </c>
      <c r="E746">
        <v>3659127.63</v>
      </c>
      <c r="F746">
        <v>75</v>
      </c>
      <c r="G746">
        <v>30</v>
      </c>
      <c r="H746">
        <v>-0.70789000000000002</v>
      </c>
      <c r="I746">
        <v>-0.25851000000000002</v>
      </c>
    </row>
    <row r="747" spans="1:9" x14ac:dyDescent="0.25">
      <c r="A747">
        <v>747</v>
      </c>
      <c r="B747">
        <v>22</v>
      </c>
      <c r="C747">
        <v>7</v>
      </c>
      <c r="D747">
        <v>409352.8</v>
      </c>
      <c r="E747">
        <v>3659131.13</v>
      </c>
      <c r="F747">
        <v>74.400000000000006</v>
      </c>
      <c r="G747">
        <v>30.7</v>
      </c>
      <c r="H747">
        <v>-0.66776000000000002</v>
      </c>
      <c r="I747">
        <v>-0.81228</v>
      </c>
    </row>
    <row r="748" spans="1:9" x14ac:dyDescent="0.25">
      <c r="A748">
        <v>748</v>
      </c>
      <c r="B748">
        <v>22</v>
      </c>
      <c r="C748">
        <v>0</v>
      </c>
      <c r="D748">
        <v>409352.86</v>
      </c>
      <c r="E748">
        <v>3659134.26</v>
      </c>
      <c r="F748">
        <v>74.3</v>
      </c>
      <c r="G748">
        <v>29</v>
      </c>
      <c r="H748">
        <v>-1.0561799999999999</v>
      </c>
      <c r="I748">
        <v>-7.6920000000000002E-2</v>
      </c>
    </row>
    <row r="749" spans="1:9" x14ac:dyDescent="0.25">
      <c r="A749">
        <v>749</v>
      </c>
      <c r="B749">
        <v>22</v>
      </c>
      <c r="C749">
        <v>0</v>
      </c>
      <c r="D749">
        <v>409352.89</v>
      </c>
      <c r="E749">
        <v>3659137.61</v>
      </c>
      <c r="F749">
        <v>75.3</v>
      </c>
      <c r="G749">
        <v>30.9</v>
      </c>
      <c r="H749">
        <v>-0.45609</v>
      </c>
      <c r="I749">
        <v>-0.55110999999999999</v>
      </c>
    </row>
    <row r="750" spans="1:9" x14ac:dyDescent="0.25">
      <c r="A750">
        <v>750</v>
      </c>
      <c r="B750">
        <v>22</v>
      </c>
      <c r="C750">
        <v>0</v>
      </c>
      <c r="D750">
        <v>409352.94</v>
      </c>
      <c r="E750">
        <v>3659140.7</v>
      </c>
      <c r="F750">
        <v>76.599999999999994</v>
      </c>
      <c r="G750">
        <v>32.9</v>
      </c>
      <c r="H750">
        <v>0.22181000000000001</v>
      </c>
      <c r="I750">
        <v>-0.95342000000000005</v>
      </c>
    </row>
    <row r="751" spans="1:9" x14ac:dyDescent="0.25">
      <c r="A751">
        <v>751</v>
      </c>
      <c r="B751">
        <v>22</v>
      </c>
      <c r="C751">
        <v>0</v>
      </c>
      <c r="D751">
        <v>409352.95</v>
      </c>
      <c r="E751">
        <v>3659143.94</v>
      </c>
      <c r="F751">
        <v>76.599999999999994</v>
      </c>
      <c r="G751">
        <v>33.4</v>
      </c>
      <c r="H751">
        <v>0.33055000000000001</v>
      </c>
      <c r="I751">
        <v>-1.1812100000000001</v>
      </c>
    </row>
    <row r="752" spans="1:9" x14ac:dyDescent="0.25">
      <c r="A752">
        <v>752</v>
      </c>
      <c r="B752">
        <v>22</v>
      </c>
      <c r="C752">
        <v>0</v>
      </c>
      <c r="D752">
        <v>409352.98</v>
      </c>
      <c r="E752">
        <v>3659147.25</v>
      </c>
      <c r="F752">
        <v>77.7</v>
      </c>
      <c r="G752">
        <v>33.200000000000003</v>
      </c>
      <c r="H752">
        <v>0.49259999999999998</v>
      </c>
      <c r="I752">
        <v>-0.65952</v>
      </c>
    </row>
    <row r="753" spans="1:9" x14ac:dyDescent="0.25">
      <c r="A753">
        <v>753</v>
      </c>
      <c r="B753">
        <v>22</v>
      </c>
      <c r="C753">
        <v>0</v>
      </c>
      <c r="D753">
        <v>409352.96000000002</v>
      </c>
      <c r="E753">
        <v>3659150.69</v>
      </c>
      <c r="F753">
        <v>75.400000000000006</v>
      </c>
      <c r="G753">
        <v>31.6</v>
      </c>
      <c r="H753">
        <v>-0.28516000000000002</v>
      </c>
      <c r="I753">
        <v>-0.83087</v>
      </c>
    </row>
    <row r="754" spans="1:9" x14ac:dyDescent="0.25">
      <c r="A754">
        <v>754</v>
      </c>
      <c r="B754">
        <v>22</v>
      </c>
      <c r="C754">
        <v>0</v>
      </c>
      <c r="D754">
        <v>409353.04</v>
      </c>
      <c r="E754">
        <v>3659153.86</v>
      </c>
      <c r="F754">
        <v>75</v>
      </c>
      <c r="G754">
        <v>34.1</v>
      </c>
      <c r="H754">
        <v>0.18381</v>
      </c>
      <c r="I754">
        <v>-2.12642</v>
      </c>
    </row>
    <row r="755" spans="1:9" x14ac:dyDescent="0.25">
      <c r="A755">
        <v>755</v>
      </c>
      <c r="B755">
        <v>22</v>
      </c>
      <c r="C755">
        <v>0</v>
      </c>
      <c r="D755">
        <v>409353.1</v>
      </c>
      <c r="E755">
        <v>3659157.09</v>
      </c>
      <c r="F755">
        <v>71.8</v>
      </c>
      <c r="G755">
        <v>30.5</v>
      </c>
      <c r="H755">
        <v>-1.1971000000000001</v>
      </c>
      <c r="I755">
        <v>-1.73889</v>
      </c>
    </row>
    <row r="756" spans="1:9" x14ac:dyDescent="0.25">
      <c r="A756">
        <v>756</v>
      </c>
      <c r="B756">
        <v>22</v>
      </c>
      <c r="C756">
        <v>0</v>
      </c>
      <c r="D756">
        <v>409353.11</v>
      </c>
      <c r="E756">
        <v>3659160.29</v>
      </c>
      <c r="F756">
        <v>73.3</v>
      </c>
      <c r="G756">
        <v>28.5</v>
      </c>
      <c r="H756">
        <v>-1.35178</v>
      </c>
      <c r="I756">
        <v>-0.24056</v>
      </c>
    </row>
    <row r="757" spans="1:9" x14ac:dyDescent="0.25">
      <c r="A757">
        <v>757</v>
      </c>
      <c r="B757">
        <v>22</v>
      </c>
      <c r="C757">
        <v>0</v>
      </c>
      <c r="D757">
        <v>409353.19</v>
      </c>
      <c r="E757">
        <v>3659163.54</v>
      </c>
      <c r="F757">
        <v>75.099999999999994</v>
      </c>
      <c r="G757">
        <v>30.2</v>
      </c>
      <c r="H757">
        <v>-0.64570000000000005</v>
      </c>
      <c r="I757">
        <v>-0.31047999999999998</v>
      </c>
    </row>
    <row r="758" spans="1:9" x14ac:dyDescent="0.25">
      <c r="A758">
        <v>758</v>
      </c>
      <c r="B758">
        <v>22</v>
      </c>
      <c r="C758">
        <v>0</v>
      </c>
      <c r="D758">
        <v>409353.19</v>
      </c>
      <c r="E758">
        <v>3659166.76</v>
      </c>
      <c r="F758">
        <v>75.099999999999994</v>
      </c>
      <c r="G758">
        <v>31.2</v>
      </c>
      <c r="H758">
        <v>-0.42821999999999999</v>
      </c>
      <c r="I758">
        <v>-0.76607000000000003</v>
      </c>
    </row>
    <row r="759" spans="1:9" x14ac:dyDescent="0.25">
      <c r="A759">
        <v>759</v>
      </c>
      <c r="B759">
        <v>22</v>
      </c>
      <c r="C759">
        <v>0</v>
      </c>
      <c r="D759">
        <v>409353.21</v>
      </c>
      <c r="E759">
        <v>3659169.98</v>
      </c>
      <c r="F759">
        <v>74.2</v>
      </c>
      <c r="G759">
        <v>31.2</v>
      </c>
      <c r="H759">
        <v>-0.59638999999999998</v>
      </c>
      <c r="I759">
        <v>-1.11836</v>
      </c>
    </row>
    <row r="760" spans="1:9" x14ac:dyDescent="0.25">
      <c r="A760">
        <v>760</v>
      </c>
      <c r="B760">
        <v>22</v>
      </c>
      <c r="C760">
        <v>0</v>
      </c>
      <c r="D760">
        <v>409353.22</v>
      </c>
      <c r="E760">
        <v>3659173.24</v>
      </c>
      <c r="F760">
        <v>74.5</v>
      </c>
      <c r="G760">
        <v>31.3</v>
      </c>
      <c r="H760">
        <v>-0.51858000000000004</v>
      </c>
      <c r="I760">
        <v>-1.0464899999999999</v>
      </c>
    </row>
    <row r="761" spans="1:9" x14ac:dyDescent="0.25">
      <c r="A761">
        <v>761</v>
      </c>
      <c r="B761">
        <v>22</v>
      </c>
      <c r="C761">
        <v>0</v>
      </c>
      <c r="D761">
        <v>409353.23</v>
      </c>
      <c r="E761">
        <v>3659176.46</v>
      </c>
      <c r="F761">
        <v>74.599999999999994</v>
      </c>
      <c r="G761">
        <v>30.2</v>
      </c>
      <c r="H761">
        <v>-0.73912999999999995</v>
      </c>
      <c r="I761">
        <v>-0.50619999999999998</v>
      </c>
    </row>
    <row r="762" spans="1:9" x14ac:dyDescent="0.25">
      <c r="A762">
        <v>762</v>
      </c>
      <c r="B762">
        <v>22</v>
      </c>
      <c r="C762">
        <v>0</v>
      </c>
      <c r="D762">
        <v>409353.31</v>
      </c>
      <c r="E762">
        <v>3659179.66</v>
      </c>
      <c r="F762">
        <v>75.7</v>
      </c>
      <c r="G762">
        <v>31.5</v>
      </c>
      <c r="H762">
        <v>-0.25085000000000002</v>
      </c>
      <c r="I762">
        <v>-0.66788999999999998</v>
      </c>
    </row>
    <row r="763" spans="1:9" x14ac:dyDescent="0.25">
      <c r="A763">
        <v>763</v>
      </c>
      <c r="B763">
        <v>22</v>
      </c>
      <c r="C763">
        <v>0</v>
      </c>
      <c r="D763">
        <v>409353.32</v>
      </c>
      <c r="E763">
        <v>3659182.88</v>
      </c>
      <c r="F763">
        <v>77.599999999999994</v>
      </c>
      <c r="G763">
        <v>29</v>
      </c>
      <c r="H763">
        <v>-0.43952999999999998</v>
      </c>
      <c r="I763">
        <v>1.2148099999999999</v>
      </c>
    </row>
    <row r="764" spans="1:9" x14ac:dyDescent="0.25">
      <c r="A764">
        <v>764</v>
      </c>
      <c r="B764">
        <v>22</v>
      </c>
      <c r="C764">
        <v>0</v>
      </c>
      <c r="D764">
        <v>409353.43</v>
      </c>
      <c r="E764">
        <v>3659186.13</v>
      </c>
      <c r="F764">
        <v>76</v>
      </c>
      <c r="G764">
        <v>32</v>
      </c>
      <c r="H764">
        <v>-8.6050000000000001E-2</v>
      </c>
      <c r="I764">
        <v>-0.77825</v>
      </c>
    </row>
    <row r="765" spans="1:9" x14ac:dyDescent="0.25">
      <c r="A765">
        <v>765</v>
      </c>
      <c r="B765">
        <v>22</v>
      </c>
      <c r="C765">
        <v>0</v>
      </c>
      <c r="D765">
        <v>409353.4</v>
      </c>
      <c r="E765">
        <v>3659189.32</v>
      </c>
      <c r="F765">
        <v>76.5</v>
      </c>
      <c r="G765">
        <v>33.299999999999997</v>
      </c>
      <c r="H765">
        <v>0.29011999999999999</v>
      </c>
      <c r="I765">
        <v>-1.1748000000000001</v>
      </c>
    </row>
    <row r="766" spans="1:9" x14ac:dyDescent="0.25">
      <c r="A766">
        <v>766</v>
      </c>
      <c r="B766">
        <v>22</v>
      </c>
      <c r="C766">
        <v>0</v>
      </c>
      <c r="D766">
        <v>409353.42</v>
      </c>
      <c r="E766">
        <v>3659192.51</v>
      </c>
      <c r="F766">
        <v>76.099999999999994</v>
      </c>
      <c r="G766">
        <v>31.1</v>
      </c>
      <c r="H766">
        <v>-0.2631</v>
      </c>
      <c r="I766">
        <v>-0.32907999999999998</v>
      </c>
    </row>
    <row r="767" spans="1:9" x14ac:dyDescent="0.25">
      <c r="A767">
        <v>767</v>
      </c>
      <c r="B767">
        <v>22</v>
      </c>
      <c r="C767">
        <v>0</v>
      </c>
      <c r="D767">
        <v>409353.44</v>
      </c>
      <c r="E767">
        <v>3659195.7</v>
      </c>
      <c r="F767">
        <v>76.400000000000006</v>
      </c>
      <c r="G767">
        <v>30.2</v>
      </c>
      <c r="H767">
        <v>-0.40278000000000003</v>
      </c>
      <c r="I767">
        <v>0.19838</v>
      </c>
    </row>
    <row r="768" spans="1:9" x14ac:dyDescent="0.25">
      <c r="A768">
        <v>768</v>
      </c>
      <c r="B768">
        <v>22</v>
      </c>
      <c r="C768">
        <v>0</v>
      </c>
      <c r="D768">
        <v>409353.49</v>
      </c>
      <c r="E768">
        <v>3659198.66</v>
      </c>
      <c r="F768">
        <v>75.599999999999994</v>
      </c>
      <c r="G768">
        <v>30.4</v>
      </c>
      <c r="H768">
        <v>-0.50878000000000001</v>
      </c>
      <c r="I768">
        <v>-0.20588000000000001</v>
      </c>
    </row>
    <row r="769" spans="1:9" x14ac:dyDescent="0.25">
      <c r="A769">
        <v>769</v>
      </c>
      <c r="B769">
        <v>22</v>
      </c>
      <c r="C769">
        <v>0</v>
      </c>
      <c r="D769">
        <v>409353.44</v>
      </c>
      <c r="E769">
        <v>3659201.46</v>
      </c>
      <c r="F769">
        <v>74.3</v>
      </c>
      <c r="G769">
        <v>31.1</v>
      </c>
      <c r="H769">
        <v>-0.59945000000000004</v>
      </c>
      <c r="I769">
        <v>-1.03366</v>
      </c>
    </row>
    <row r="770" spans="1:9" x14ac:dyDescent="0.25">
      <c r="A770">
        <v>770</v>
      </c>
      <c r="B770">
        <v>22</v>
      </c>
      <c r="C770">
        <v>2</v>
      </c>
      <c r="D770">
        <v>409353.5</v>
      </c>
      <c r="E770">
        <v>3659204.4</v>
      </c>
      <c r="F770">
        <v>76.900000000000006</v>
      </c>
      <c r="G770">
        <v>31.1</v>
      </c>
      <c r="H770">
        <v>-0.11361</v>
      </c>
      <c r="I770">
        <v>-1.593E-2</v>
      </c>
    </row>
    <row r="771" spans="1:9" x14ac:dyDescent="0.25">
      <c r="A771">
        <v>771</v>
      </c>
      <c r="B771">
        <v>22</v>
      </c>
      <c r="C771">
        <v>0</v>
      </c>
      <c r="D771">
        <v>409353.59</v>
      </c>
      <c r="E771">
        <v>3659207.23</v>
      </c>
      <c r="F771">
        <v>75.099999999999994</v>
      </c>
      <c r="G771">
        <v>36.1</v>
      </c>
      <c r="H771">
        <v>0.63746999999999998</v>
      </c>
      <c r="I771">
        <v>-2.9984500000000001</v>
      </c>
    </row>
    <row r="772" spans="1:9" x14ac:dyDescent="0.25">
      <c r="A772">
        <v>772</v>
      </c>
      <c r="B772">
        <v>22</v>
      </c>
      <c r="C772">
        <v>0</v>
      </c>
      <c r="D772">
        <v>409353.55</v>
      </c>
      <c r="E772">
        <v>3659210.08</v>
      </c>
      <c r="F772">
        <v>78.900000000000006</v>
      </c>
      <c r="G772">
        <v>32</v>
      </c>
      <c r="H772">
        <v>0.45584999999999998</v>
      </c>
      <c r="I772">
        <v>0.35691000000000001</v>
      </c>
    </row>
    <row r="773" spans="1:9" x14ac:dyDescent="0.25">
      <c r="A773">
        <v>773</v>
      </c>
      <c r="B773">
        <v>22</v>
      </c>
      <c r="C773">
        <v>0</v>
      </c>
      <c r="D773">
        <v>409353.56</v>
      </c>
      <c r="E773">
        <v>3659212.97</v>
      </c>
      <c r="F773">
        <v>77.400000000000006</v>
      </c>
      <c r="G773">
        <v>33.700000000000003</v>
      </c>
      <c r="H773">
        <v>0.54529000000000005</v>
      </c>
      <c r="I773">
        <v>-1.00474</v>
      </c>
    </row>
    <row r="774" spans="1:9" x14ac:dyDescent="0.25">
      <c r="A774">
        <v>774</v>
      </c>
      <c r="B774">
        <v>22</v>
      </c>
      <c r="C774">
        <v>0</v>
      </c>
      <c r="D774">
        <v>409353.65</v>
      </c>
      <c r="E774">
        <v>3659215.84</v>
      </c>
      <c r="F774">
        <v>74.7</v>
      </c>
      <c r="G774">
        <v>29.9</v>
      </c>
      <c r="H774">
        <v>-0.78569</v>
      </c>
      <c r="I774">
        <v>-0.33038000000000001</v>
      </c>
    </row>
    <row r="775" spans="1:9" x14ac:dyDescent="0.25">
      <c r="A775">
        <v>775</v>
      </c>
      <c r="B775">
        <v>22</v>
      </c>
      <c r="C775">
        <v>0</v>
      </c>
      <c r="D775">
        <v>409353.69</v>
      </c>
      <c r="E775">
        <v>3659219.26</v>
      </c>
      <c r="F775">
        <v>71.7</v>
      </c>
      <c r="G775">
        <v>28</v>
      </c>
      <c r="H775">
        <v>-1.7595099999999999</v>
      </c>
      <c r="I775">
        <v>-0.63905999999999996</v>
      </c>
    </row>
    <row r="776" spans="1:9" x14ac:dyDescent="0.25">
      <c r="A776">
        <v>776</v>
      </c>
      <c r="B776">
        <v>22</v>
      </c>
      <c r="C776">
        <v>0</v>
      </c>
      <c r="D776">
        <v>409353.68</v>
      </c>
      <c r="E776">
        <v>3659221.55</v>
      </c>
      <c r="F776">
        <v>71.599999999999994</v>
      </c>
      <c r="G776">
        <v>27.7</v>
      </c>
      <c r="H776">
        <v>-1.84344</v>
      </c>
      <c r="I776">
        <v>-0.54152999999999996</v>
      </c>
    </row>
    <row r="777" spans="1:9" x14ac:dyDescent="0.25">
      <c r="A777">
        <v>777</v>
      </c>
      <c r="B777">
        <v>22</v>
      </c>
      <c r="C777">
        <v>0</v>
      </c>
      <c r="D777">
        <v>409353.66</v>
      </c>
      <c r="E777">
        <v>3659225.04</v>
      </c>
      <c r="F777">
        <v>72.5</v>
      </c>
      <c r="G777">
        <v>27.4</v>
      </c>
      <c r="H777">
        <v>-1.74051</v>
      </c>
      <c r="I777">
        <v>-5.2560000000000003E-2</v>
      </c>
    </row>
    <row r="778" spans="1:9" x14ac:dyDescent="0.25">
      <c r="A778">
        <v>778</v>
      </c>
      <c r="B778">
        <v>22</v>
      </c>
      <c r="C778">
        <v>0</v>
      </c>
      <c r="D778">
        <v>409353.64</v>
      </c>
      <c r="E778">
        <v>3659227.25</v>
      </c>
      <c r="F778">
        <v>73.7</v>
      </c>
      <c r="G778">
        <v>27</v>
      </c>
      <c r="H778">
        <v>-1.60327</v>
      </c>
      <c r="I778">
        <v>0.59940000000000004</v>
      </c>
    </row>
    <row r="779" spans="1:9" x14ac:dyDescent="0.25">
      <c r="A779">
        <v>779</v>
      </c>
      <c r="B779">
        <v>22</v>
      </c>
      <c r="C779">
        <v>0</v>
      </c>
      <c r="D779">
        <v>409353.67</v>
      </c>
      <c r="E779">
        <v>3659230.9</v>
      </c>
      <c r="F779">
        <v>74.8</v>
      </c>
      <c r="G779">
        <v>28.2</v>
      </c>
      <c r="H779">
        <v>-1.1367400000000001</v>
      </c>
      <c r="I779">
        <v>0.48326999999999998</v>
      </c>
    </row>
    <row r="780" spans="1:9" x14ac:dyDescent="0.25">
      <c r="A780">
        <v>780</v>
      </c>
      <c r="B780">
        <v>22</v>
      </c>
      <c r="C780">
        <v>7</v>
      </c>
      <c r="D780">
        <v>409353.77</v>
      </c>
      <c r="E780">
        <v>3659233.93</v>
      </c>
      <c r="F780">
        <v>71.5</v>
      </c>
      <c r="G780">
        <v>28.3</v>
      </c>
      <c r="H780">
        <v>-1.73163</v>
      </c>
      <c r="I780">
        <v>-0.85402</v>
      </c>
    </row>
    <row r="781" spans="1:9" x14ac:dyDescent="0.25">
      <c r="A781">
        <v>781</v>
      </c>
      <c r="B781">
        <v>22</v>
      </c>
      <c r="C781">
        <v>7</v>
      </c>
      <c r="D781">
        <v>409353.95</v>
      </c>
      <c r="E781">
        <v>3659235.74</v>
      </c>
      <c r="F781">
        <v>72.2</v>
      </c>
      <c r="G781">
        <v>28.7</v>
      </c>
      <c r="H781">
        <v>-1.51383</v>
      </c>
      <c r="I781">
        <v>-0.76226000000000005</v>
      </c>
    </row>
    <row r="782" spans="1:9" x14ac:dyDescent="0.25">
      <c r="A782">
        <v>782</v>
      </c>
      <c r="B782">
        <v>23</v>
      </c>
      <c r="C782">
        <v>7</v>
      </c>
      <c r="D782">
        <v>409357.96</v>
      </c>
      <c r="E782">
        <v>3659237.38</v>
      </c>
      <c r="F782">
        <v>77.099999999999994</v>
      </c>
      <c r="G782">
        <v>32.1</v>
      </c>
      <c r="H782">
        <v>0.14124999999999999</v>
      </c>
      <c r="I782">
        <v>-0.39323000000000002</v>
      </c>
    </row>
    <row r="783" spans="1:9" x14ac:dyDescent="0.25">
      <c r="A783">
        <v>783</v>
      </c>
      <c r="B783">
        <v>23</v>
      </c>
      <c r="C783">
        <v>7</v>
      </c>
      <c r="D783">
        <v>409357.92</v>
      </c>
      <c r="E783">
        <v>3659235.14</v>
      </c>
      <c r="F783">
        <v>73.7</v>
      </c>
      <c r="G783">
        <v>29.6</v>
      </c>
      <c r="H783">
        <v>-1.0378000000000001</v>
      </c>
      <c r="I783">
        <v>-0.58513000000000004</v>
      </c>
    </row>
    <row r="784" spans="1:9" x14ac:dyDescent="0.25">
      <c r="A784">
        <v>784</v>
      </c>
      <c r="B784">
        <v>23</v>
      </c>
      <c r="C784">
        <v>0</v>
      </c>
      <c r="D784">
        <v>409357.8</v>
      </c>
      <c r="E784">
        <v>3659232.75</v>
      </c>
      <c r="F784">
        <v>71.099999999999994</v>
      </c>
      <c r="G784">
        <v>27.5</v>
      </c>
      <c r="H784">
        <v>-1.98037</v>
      </c>
      <c r="I784">
        <v>-0.64612999999999998</v>
      </c>
    </row>
    <row r="785" spans="1:9" x14ac:dyDescent="0.25">
      <c r="A785">
        <v>785</v>
      </c>
      <c r="B785">
        <v>23</v>
      </c>
      <c r="C785">
        <v>0</v>
      </c>
      <c r="D785">
        <v>409357.83</v>
      </c>
      <c r="E785">
        <v>3659230</v>
      </c>
      <c r="F785">
        <v>73</v>
      </c>
      <c r="G785">
        <v>28.9</v>
      </c>
      <c r="H785">
        <v>-1.3208500000000001</v>
      </c>
      <c r="I785">
        <v>-0.54022999999999999</v>
      </c>
    </row>
    <row r="786" spans="1:9" x14ac:dyDescent="0.25">
      <c r="A786">
        <v>786</v>
      </c>
      <c r="B786">
        <v>23</v>
      </c>
      <c r="C786">
        <v>0</v>
      </c>
      <c r="D786">
        <v>409357.79</v>
      </c>
      <c r="E786">
        <v>3659227.03</v>
      </c>
      <c r="F786">
        <v>71.900000000000006</v>
      </c>
      <c r="G786">
        <v>26.7</v>
      </c>
      <c r="H786">
        <v>-2.0048699999999999</v>
      </c>
      <c r="I786">
        <v>3.1489999999999997E-2</v>
      </c>
    </row>
    <row r="787" spans="1:9" x14ac:dyDescent="0.25">
      <c r="A787">
        <v>787</v>
      </c>
      <c r="B787">
        <v>23</v>
      </c>
      <c r="C787">
        <v>0</v>
      </c>
      <c r="D787">
        <v>409357.74</v>
      </c>
      <c r="E787">
        <v>3659224.04</v>
      </c>
      <c r="F787">
        <v>72.2</v>
      </c>
      <c r="G787">
        <v>27</v>
      </c>
      <c r="H787">
        <v>-1.8835599999999999</v>
      </c>
      <c r="I787">
        <v>1.225E-2</v>
      </c>
    </row>
    <row r="788" spans="1:9" x14ac:dyDescent="0.25">
      <c r="A788">
        <v>788</v>
      </c>
      <c r="B788">
        <v>23</v>
      </c>
      <c r="C788">
        <v>0</v>
      </c>
      <c r="D788">
        <v>409357.73</v>
      </c>
      <c r="E788">
        <v>3659221.03</v>
      </c>
      <c r="F788">
        <v>72.599999999999994</v>
      </c>
      <c r="G788">
        <v>27.4</v>
      </c>
      <c r="H788">
        <v>-1.7218199999999999</v>
      </c>
      <c r="I788">
        <v>-1.342E-2</v>
      </c>
    </row>
    <row r="789" spans="1:9" x14ac:dyDescent="0.25">
      <c r="A789">
        <v>789</v>
      </c>
      <c r="B789">
        <v>23</v>
      </c>
      <c r="C789">
        <v>0</v>
      </c>
      <c r="D789">
        <v>409357.71</v>
      </c>
      <c r="E789">
        <v>3659217.91</v>
      </c>
      <c r="F789">
        <v>74.900000000000006</v>
      </c>
      <c r="G789">
        <v>28.6</v>
      </c>
      <c r="H789">
        <v>-1.0310600000000001</v>
      </c>
      <c r="I789">
        <v>0.34016999999999997</v>
      </c>
    </row>
    <row r="790" spans="1:9" x14ac:dyDescent="0.25">
      <c r="A790">
        <v>790</v>
      </c>
      <c r="B790">
        <v>23</v>
      </c>
      <c r="C790">
        <v>0</v>
      </c>
      <c r="D790">
        <v>409357.65</v>
      </c>
      <c r="E790">
        <v>3659214.94</v>
      </c>
      <c r="F790">
        <v>76</v>
      </c>
      <c r="G790">
        <v>30.3</v>
      </c>
      <c r="H790">
        <v>-0.45578000000000002</v>
      </c>
      <c r="I790">
        <v>-3.7499999999999999E-3</v>
      </c>
    </row>
    <row r="791" spans="1:9" x14ac:dyDescent="0.25">
      <c r="A791">
        <v>791</v>
      </c>
      <c r="B791">
        <v>23</v>
      </c>
      <c r="C791">
        <v>0</v>
      </c>
      <c r="D791">
        <v>409357.65</v>
      </c>
      <c r="E791">
        <v>3659211.88</v>
      </c>
      <c r="F791">
        <v>76.900000000000006</v>
      </c>
      <c r="G791">
        <v>31.3</v>
      </c>
      <c r="H791">
        <v>-7.0120000000000002E-2</v>
      </c>
      <c r="I791">
        <v>-0.10705000000000001</v>
      </c>
    </row>
    <row r="792" spans="1:9" x14ac:dyDescent="0.25">
      <c r="A792">
        <v>792</v>
      </c>
      <c r="B792">
        <v>23</v>
      </c>
      <c r="C792">
        <v>0</v>
      </c>
      <c r="D792">
        <v>409357.59</v>
      </c>
      <c r="E792">
        <v>3659208.78</v>
      </c>
      <c r="F792">
        <v>77.3</v>
      </c>
      <c r="G792">
        <v>31.3</v>
      </c>
      <c r="H792">
        <v>4.6299999999999996E-3</v>
      </c>
      <c r="I792">
        <v>4.9529999999999998E-2</v>
      </c>
    </row>
    <row r="793" spans="1:9" x14ac:dyDescent="0.25">
      <c r="A793">
        <v>793</v>
      </c>
      <c r="B793">
        <v>23</v>
      </c>
      <c r="C793">
        <v>0</v>
      </c>
      <c r="D793">
        <v>409357.63</v>
      </c>
      <c r="E793">
        <v>3659205.75</v>
      </c>
      <c r="F793">
        <v>78.599999999999994</v>
      </c>
      <c r="G793">
        <v>33.4</v>
      </c>
      <c r="H793">
        <v>0.70426999999999995</v>
      </c>
      <c r="I793">
        <v>-0.39834999999999998</v>
      </c>
    </row>
    <row r="794" spans="1:9" x14ac:dyDescent="0.25">
      <c r="A794">
        <v>794</v>
      </c>
      <c r="B794">
        <v>23</v>
      </c>
      <c r="C794">
        <v>0</v>
      </c>
      <c r="D794">
        <v>409357.55</v>
      </c>
      <c r="E794">
        <v>3659202.73</v>
      </c>
      <c r="F794">
        <v>76.900000000000006</v>
      </c>
      <c r="G794">
        <v>32.700000000000003</v>
      </c>
      <c r="H794">
        <v>0.23436999999999999</v>
      </c>
      <c r="I794">
        <v>-0.74487000000000003</v>
      </c>
    </row>
    <row r="795" spans="1:9" x14ac:dyDescent="0.25">
      <c r="A795">
        <v>795</v>
      </c>
      <c r="B795">
        <v>23</v>
      </c>
      <c r="C795">
        <v>0</v>
      </c>
      <c r="D795">
        <v>409357.57</v>
      </c>
      <c r="E795">
        <v>3659199.74</v>
      </c>
      <c r="F795">
        <v>76.3</v>
      </c>
      <c r="G795">
        <v>31.8</v>
      </c>
      <c r="H795">
        <v>-7.349E-2</v>
      </c>
      <c r="I795">
        <v>-0.56969999999999998</v>
      </c>
    </row>
    <row r="796" spans="1:9" x14ac:dyDescent="0.25">
      <c r="A796">
        <v>796</v>
      </c>
      <c r="B796">
        <v>23</v>
      </c>
      <c r="C796">
        <v>0</v>
      </c>
      <c r="D796">
        <v>409357.49</v>
      </c>
      <c r="E796">
        <v>3659196.86</v>
      </c>
      <c r="F796">
        <v>73.7</v>
      </c>
      <c r="G796">
        <v>32.200000000000003</v>
      </c>
      <c r="H796">
        <v>-0.47233000000000003</v>
      </c>
      <c r="I796">
        <v>-1.7696700000000001</v>
      </c>
    </row>
    <row r="797" spans="1:9" x14ac:dyDescent="0.25">
      <c r="A797">
        <v>797</v>
      </c>
      <c r="B797">
        <v>23</v>
      </c>
      <c r="C797">
        <v>0</v>
      </c>
      <c r="D797">
        <v>409357.48</v>
      </c>
      <c r="E797">
        <v>3659193.89</v>
      </c>
      <c r="F797">
        <v>76.7</v>
      </c>
      <c r="G797">
        <v>31.7</v>
      </c>
      <c r="H797">
        <v>-2.0490000000000001E-2</v>
      </c>
      <c r="I797">
        <v>-0.36757000000000001</v>
      </c>
    </row>
    <row r="798" spans="1:9" x14ac:dyDescent="0.25">
      <c r="A798">
        <v>798</v>
      </c>
      <c r="B798">
        <v>23</v>
      </c>
      <c r="C798">
        <v>0</v>
      </c>
      <c r="D798">
        <v>409357.47</v>
      </c>
      <c r="E798">
        <v>3659190.96</v>
      </c>
      <c r="F798">
        <v>73.8</v>
      </c>
      <c r="G798">
        <v>30.6</v>
      </c>
      <c r="H798">
        <v>-0.80162999999999995</v>
      </c>
      <c r="I798">
        <v>-1.0015799999999999</v>
      </c>
    </row>
    <row r="799" spans="1:9" x14ac:dyDescent="0.25">
      <c r="A799">
        <v>799</v>
      </c>
      <c r="B799">
        <v>23</v>
      </c>
      <c r="C799">
        <v>0</v>
      </c>
      <c r="D799">
        <v>409357.44</v>
      </c>
      <c r="E799">
        <v>3659188</v>
      </c>
      <c r="F799">
        <v>75.2</v>
      </c>
      <c r="G799">
        <v>31.3</v>
      </c>
      <c r="H799">
        <v>-0.38778000000000001</v>
      </c>
      <c r="I799">
        <v>-0.77248000000000006</v>
      </c>
    </row>
    <row r="800" spans="1:9" x14ac:dyDescent="0.25">
      <c r="A800">
        <v>800</v>
      </c>
      <c r="B800">
        <v>23</v>
      </c>
      <c r="C800">
        <v>0</v>
      </c>
      <c r="D800">
        <v>409357.42</v>
      </c>
      <c r="E800">
        <v>3659185.04</v>
      </c>
      <c r="F800">
        <v>75.5</v>
      </c>
      <c r="G800">
        <v>30.2</v>
      </c>
      <c r="H800">
        <v>-0.57096000000000002</v>
      </c>
      <c r="I800">
        <v>-0.15390999999999999</v>
      </c>
    </row>
    <row r="801" spans="1:9" x14ac:dyDescent="0.25">
      <c r="A801">
        <v>801</v>
      </c>
      <c r="B801">
        <v>23</v>
      </c>
      <c r="C801">
        <v>0</v>
      </c>
      <c r="D801">
        <v>409357.4</v>
      </c>
      <c r="E801">
        <v>3659182.04</v>
      </c>
      <c r="F801">
        <v>75.099999999999994</v>
      </c>
      <c r="G801">
        <v>30.4</v>
      </c>
      <c r="H801">
        <v>-0.60221000000000002</v>
      </c>
      <c r="I801">
        <v>-0.40160000000000001</v>
      </c>
    </row>
    <row r="802" spans="1:9" x14ac:dyDescent="0.25">
      <c r="A802">
        <v>802</v>
      </c>
      <c r="B802">
        <v>23</v>
      </c>
      <c r="C802">
        <v>0</v>
      </c>
      <c r="D802">
        <v>409357.32</v>
      </c>
      <c r="E802">
        <v>3659178.98</v>
      </c>
      <c r="F802">
        <v>73</v>
      </c>
      <c r="G802">
        <v>31.2</v>
      </c>
      <c r="H802">
        <v>-0.82062999999999997</v>
      </c>
      <c r="I802">
        <v>-1.5880799999999999</v>
      </c>
    </row>
    <row r="803" spans="1:9" x14ac:dyDescent="0.25">
      <c r="A803">
        <v>803</v>
      </c>
      <c r="B803">
        <v>23</v>
      </c>
      <c r="C803">
        <v>0</v>
      </c>
      <c r="D803">
        <v>409357.25</v>
      </c>
      <c r="E803">
        <v>3659176.04</v>
      </c>
      <c r="F803">
        <v>76.8</v>
      </c>
      <c r="G803">
        <v>33.799999999999997</v>
      </c>
      <c r="H803">
        <v>0.45491999999999999</v>
      </c>
      <c r="I803">
        <v>-1.2851600000000001</v>
      </c>
    </row>
    <row r="804" spans="1:9" x14ac:dyDescent="0.25">
      <c r="A804">
        <v>804</v>
      </c>
      <c r="B804">
        <v>23</v>
      </c>
      <c r="C804">
        <v>0</v>
      </c>
      <c r="D804">
        <v>409357.25</v>
      </c>
      <c r="E804">
        <v>3659173.05</v>
      </c>
      <c r="F804">
        <v>74.400000000000006</v>
      </c>
      <c r="G804">
        <v>31</v>
      </c>
      <c r="H804">
        <v>-0.60251999999999994</v>
      </c>
      <c r="I804">
        <v>-0.94896000000000003</v>
      </c>
    </row>
    <row r="805" spans="1:9" x14ac:dyDescent="0.25">
      <c r="A805">
        <v>805</v>
      </c>
      <c r="B805">
        <v>23</v>
      </c>
      <c r="C805">
        <v>0</v>
      </c>
      <c r="D805">
        <v>409357.28</v>
      </c>
      <c r="E805">
        <v>3659170.05</v>
      </c>
      <c r="F805">
        <v>73.7</v>
      </c>
      <c r="G805">
        <v>31</v>
      </c>
      <c r="H805">
        <v>-0.73331999999999997</v>
      </c>
      <c r="I805">
        <v>-1.22296</v>
      </c>
    </row>
    <row r="806" spans="1:9" x14ac:dyDescent="0.25">
      <c r="A806">
        <v>806</v>
      </c>
      <c r="B806">
        <v>23</v>
      </c>
      <c r="C806">
        <v>0</v>
      </c>
      <c r="D806">
        <v>409357.22</v>
      </c>
      <c r="E806">
        <v>3659167.03</v>
      </c>
      <c r="F806">
        <v>72.8</v>
      </c>
      <c r="G806">
        <v>29.4</v>
      </c>
      <c r="H806">
        <v>-1.2494799999999999</v>
      </c>
      <c r="I806">
        <v>-0.84631000000000001</v>
      </c>
    </row>
    <row r="807" spans="1:9" x14ac:dyDescent="0.25">
      <c r="A807">
        <v>807</v>
      </c>
      <c r="B807">
        <v>23</v>
      </c>
      <c r="C807">
        <v>0</v>
      </c>
      <c r="D807">
        <v>409357.15</v>
      </c>
      <c r="E807">
        <v>3659163.99</v>
      </c>
      <c r="F807">
        <v>71.900000000000006</v>
      </c>
      <c r="G807">
        <v>28.4</v>
      </c>
      <c r="H807">
        <v>-1.63514</v>
      </c>
      <c r="I807">
        <v>-0.74300999999999995</v>
      </c>
    </row>
    <row r="808" spans="1:9" x14ac:dyDescent="0.25">
      <c r="A808">
        <v>808</v>
      </c>
      <c r="B808">
        <v>23</v>
      </c>
      <c r="C808">
        <v>0</v>
      </c>
      <c r="D808">
        <v>409357.14</v>
      </c>
      <c r="E808">
        <v>3659160.98</v>
      </c>
      <c r="F808">
        <v>71.099999999999994</v>
      </c>
      <c r="G808">
        <v>26.7</v>
      </c>
      <c r="H808">
        <v>-2.1543600000000001</v>
      </c>
      <c r="I808">
        <v>-0.28166000000000002</v>
      </c>
    </row>
    <row r="809" spans="1:9" x14ac:dyDescent="0.25">
      <c r="A809">
        <v>809</v>
      </c>
      <c r="B809">
        <v>23</v>
      </c>
      <c r="C809">
        <v>1</v>
      </c>
      <c r="D809">
        <v>409357.12</v>
      </c>
      <c r="E809">
        <v>3659157.99</v>
      </c>
      <c r="F809">
        <v>69.900000000000006</v>
      </c>
      <c r="G809">
        <v>27.8</v>
      </c>
      <c r="H809">
        <v>-2.1393599999999999</v>
      </c>
      <c r="I809">
        <v>-1.2525200000000001</v>
      </c>
    </row>
    <row r="810" spans="1:9" x14ac:dyDescent="0.25">
      <c r="A810">
        <v>810</v>
      </c>
      <c r="B810">
        <v>23</v>
      </c>
      <c r="C810">
        <v>0</v>
      </c>
      <c r="D810">
        <v>409357.05</v>
      </c>
      <c r="E810">
        <v>3659155.15</v>
      </c>
      <c r="F810">
        <v>70.8</v>
      </c>
      <c r="G810">
        <v>28.6</v>
      </c>
      <c r="H810">
        <v>-1.7971900000000001</v>
      </c>
      <c r="I810">
        <v>-1.2646999999999999</v>
      </c>
    </row>
    <row r="811" spans="1:9" x14ac:dyDescent="0.25">
      <c r="A811">
        <v>811</v>
      </c>
      <c r="B811">
        <v>23</v>
      </c>
      <c r="C811">
        <v>0</v>
      </c>
      <c r="D811">
        <v>409356.96</v>
      </c>
      <c r="E811">
        <v>3659152.19</v>
      </c>
      <c r="F811">
        <v>73.599999999999994</v>
      </c>
      <c r="G811">
        <v>33.299999999999997</v>
      </c>
      <c r="H811">
        <v>-0.25178</v>
      </c>
      <c r="I811">
        <v>-2.3099599999999998</v>
      </c>
    </row>
    <row r="812" spans="1:9" x14ac:dyDescent="0.25">
      <c r="A812">
        <v>812</v>
      </c>
      <c r="B812">
        <v>23</v>
      </c>
      <c r="C812">
        <v>0</v>
      </c>
      <c r="D812">
        <v>409356.98</v>
      </c>
      <c r="E812">
        <v>3659149.25</v>
      </c>
      <c r="F812">
        <v>75</v>
      </c>
      <c r="G812">
        <v>32.5</v>
      </c>
      <c r="H812">
        <v>-0.16417000000000001</v>
      </c>
      <c r="I812">
        <v>-1.3974800000000001</v>
      </c>
    </row>
    <row r="813" spans="1:9" x14ac:dyDescent="0.25">
      <c r="A813">
        <v>813</v>
      </c>
      <c r="B813">
        <v>23</v>
      </c>
      <c r="C813">
        <v>0</v>
      </c>
      <c r="D813">
        <v>409356.97</v>
      </c>
      <c r="E813">
        <v>3659146.34</v>
      </c>
      <c r="F813">
        <v>74.2</v>
      </c>
      <c r="G813">
        <v>33.200000000000003</v>
      </c>
      <c r="H813">
        <v>-0.16142000000000001</v>
      </c>
      <c r="I813">
        <v>-2.0295399999999999</v>
      </c>
    </row>
    <row r="814" spans="1:9" x14ac:dyDescent="0.25">
      <c r="A814">
        <v>814</v>
      </c>
      <c r="B814">
        <v>23</v>
      </c>
      <c r="C814">
        <v>0</v>
      </c>
      <c r="D814">
        <v>409356.94</v>
      </c>
      <c r="E814">
        <v>3659143.41</v>
      </c>
      <c r="F814">
        <v>74.900000000000006</v>
      </c>
      <c r="G814">
        <v>33</v>
      </c>
      <c r="H814">
        <v>-7.4109999999999995E-2</v>
      </c>
      <c r="I814">
        <v>-1.66442</v>
      </c>
    </row>
    <row r="815" spans="1:9" x14ac:dyDescent="0.25">
      <c r="A815">
        <v>815</v>
      </c>
      <c r="B815">
        <v>23</v>
      </c>
      <c r="C815">
        <v>0</v>
      </c>
      <c r="D815">
        <v>409356.94</v>
      </c>
      <c r="E815">
        <v>3659140.47</v>
      </c>
      <c r="F815">
        <v>75</v>
      </c>
      <c r="G815">
        <v>32.799999999999997</v>
      </c>
      <c r="H815">
        <v>-9.8919999999999994E-2</v>
      </c>
      <c r="I815">
        <v>-1.5341499999999999</v>
      </c>
    </row>
    <row r="816" spans="1:9" x14ac:dyDescent="0.25">
      <c r="A816">
        <v>816</v>
      </c>
      <c r="B816">
        <v>23</v>
      </c>
      <c r="C816">
        <v>0</v>
      </c>
      <c r="D816">
        <v>409356.85</v>
      </c>
      <c r="E816">
        <v>3659137.52</v>
      </c>
      <c r="F816">
        <v>73.400000000000006</v>
      </c>
      <c r="G816">
        <v>32.6</v>
      </c>
      <c r="H816">
        <v>-0.44140000000000001</v>
      </c>
      <c r="I816">
        <v>-2.0693299999999999</v>
      </c>
    </row>
    <row r="817" spans="1:9" x14ac:dyDescent="0.25">
      <c r="A817">
        <v>817</v>
      </c>
      <c r="B817">
        <v>23</v>
      </c>
      <c r="C817">
        <v>0</v>
      </c>
      <c r="D817">
        <v>409356.81</v>
      </c>
      <c r="E817">
        <v>3659134.55</v>
      </c>
      <c r="F817">
        <v>73.400000000000006</v>
      </c>
      <c r="G817">
        <v>31.9</v>
      </c>
      <c r="H817">
        <v>-0.59363999999999995</v>
      </c>
      <c r="I817">
        <v>-1.7504200000000001</v>
      </c>
    </row>
    <row r="818" spans="1:9" x14ac:dyDescent="0.25">
      <c r="A818">
        <v>818</v>
      </c>
      <c r="B818">
        <v>23</v>
      </c>
      <c r="C818">
        <v>7</v>
      </c>
      <c r="D818">
        <v>409356.7</v>
      </c>
      <c r="E818">
        <v>3659131.64</v>
      </c>
      <c r="F818">
        <v>71.599999999999994</v>
      </c>
      <c r="G818">
        <v>30.8</v>
      </c>
      <c r="H818">
        <v>-1.16923</v>
      </c>
      <c r="I818">
        <v>-1.9538500000000001</v>
      </c>
    </row>
    <row r="819" spans="1:9" x14ac:dyDescent="0.25">
      <c r="A819">
        <v>819</v>
      </c>
      <c r="B819">
        <v>23</v>
      </c>
      <c r="C819">
        <v>7</v>
      </c>
      <c r="D819">
        <v>409356.79999999999</v>
      </c>
      <c r="E819">
        <v>3659128.91</v>
      </c>
      <c r="F819">
        <v>74.8</v>
      </c>
      <c r="G819">
        <v>31.4</v>
      </c>
      <c r="H819">
        <v>-0.44078000000000001</v>
      </c>
      <c r="I819">
        <v>-0.97462000000000004</v>
      </c>
    </row>
    <row r="820" spans="1:9" x14ac:dyDescent="0.25">
      <c r="A820">
        <v>820</v>
      </c>
      <c r="B820">
        <v>24</v>
      </c>
      <c r="C820">
        <v>7</v>
      </c>
      <c r="D820">
        <v>409360.72</v>
      </c>
      <c r="E820">
        <v>3659127.01</v>
      </c>
      <c r="F820">
        <v>75.8</v>
      </c>
      <c r="G820">
        <v>31.1</v>
      </c>
      <c r="H820">
        <v>-0.31916</v>
      </c>
      <c r="I820">
        <v>-0.44651000000000002</v>
      </c>
    </row>
    <row r="821" spans="1:9" x14ac:dyDescent="0.25">
      <c r="A821">
        <v>821</v>
      </c>
      <c r="B821">
        <v>24</v>
      </c>
      <c r="C821">
        <v>7</v>
      </c>
      <c r="D821">
        <v>409360.71</v>
      </c>
      <c r="E821">
        <v>3659128.32</v>
      </c>
      <c r="F821">
        <v>76.5</v>
      </c>
      <c r="G821">
        <v>31.5</v>
      </c>
      <c r="H821">
        <v>-0.10136000000000001</v>
      </c>
      <c r="I821">
        <v>-0.35474</v>
      </c>
    </row>
    <row r="822" spans="1:9" x14ac:dyDescent="0.25">
      <c r="A822">
        <v>822</v>
      </c>
      <c r="B822">
        <v>24</v>
      </c>
      <c r="C822">
        <v>7</v>
      </c>
      <c r="D822">
        <v>409360.75</v>
      </c>
      <c r="E822">
        <v>3659131.11</v>
      </c>
      <c r="F822">
        <v>73.900000000000006</v>
      </c>
      <c r="G822">
        <v>31.2</v>
      </c>
      <c r="H822">
        <v>-0.65244999999999997</v>
      </c>
      <c r="I822">
        <v>-1.2357899999999999</v>
      </c>
    </row>
    <row r="823" spans="1:9" x14ac:dyDescent="0.25">
      <c r="A823">
        <v>823</v>
      </c>
      <c r="B823">
        <v>24</v>
      </c>
      <c r="C823">
        <v>0</v>
      </c>
      <c r="D823">
        <v>409360.78</v>
      </c>
      <c r="E823">
        <v>3659134.28</v>
      </c>
      <c r="F823">
        <v>73.2</v>
      </c>
      <c r="G823">
        <v>30</v>
      </c>
      <c r="H823">
        <v>-1.0442400000000001</v>
      </c>
      <c r="I823">
        <v>-0.96309</v>
      </c>
    </row>
    <row r="824" spans="1:9" x14ac:dyDescent="0.25">
      <c r="A824">
        <v>824</v>
      </c>
      <c r="B824">
        <v>24</v>
      </c>
      <c r="C824">
        <v>0</v>
      </c>
      <c r="D824">
        <v>409360.82</v>
      </c>
      <c r="E824">
        <v>3659137.56</v>
      </c>
      <c r="F824">
        <v>75.900000000000006</v>
      </c>
      <c r="G824">
        <v>29.7</v>
      </c>
      <c r="H824">
        <v>-0.60496000000000005</v>
      </c>
      <c r="I824">
        <v>0.23046</v>
      </c>
    </row>
    <row r="825" spans="1:9" x14ac:dyDescent="0.25">
      <c r="A825">
        <v>825</v>
      </c>
      <c r="B825">
        <v>24</v>
      </c>
      <c r="C825">
        <v>0</v>
      </c>
      <c r="D825">
        <v>409360.9</v>
      </c>
      <c r="E825">
        <v>3659140.73</v>
      </c>
      <c r="F825">
        <v>74.8</v>
      </c>
      <c r="G825">
        <v>32.4</v>
      </c>
      <c r="H825">
        <v>-0.22328999999999999</v>
      </c>
      <c r="I825">
        <v>-1.43021</v>
      </c>
    </row>
    <row r="826" spans="1:9" x14ac:dyDescent="0.25">
      <c r="A826">
        <v>826</v>
      </c>
      <c r="B826">
        <v>24</v>
      </c>
      <c r="C826">
        <v>0</v>
      </c>
      <c r="D826">
        <v>409360.89</v>
      </c>
      <c r="E826">
        <v>3659143.99</v>
      </c>
      <c r="F826">
        <v>75.900000000000006</v>
      </c>
      <c r="G826">
        <v>31</v>
      </c>
      <c r="H826">
        <v>-0.32222000000000001</v>
      </c>
      <c r="I826">
        <v>-0.36180000000000001</v>
      </c>
    </row>
    <row r="827" spans="1:9" x14ac:dyDescent="0.25">
      <c r="A827">
        <v>827</v>
      </c>
      <c r="B827">
        <v>24</v>
      </c>
      <c r="C827">
        <v>0</v>
      </c>
      <c r="D827">
        <v>409360.93</v>
      </c>
      <c r="E827">
        <v>3659147.25</v>
      </c>
      <c r="F827">
        <v>74.3</v>
      </c>
      <c r="G827">
        <v>32.6</v>
      </c>
      <c r="H827">
        <v>-0.27322000000000002</v>
      </c>
      <c r="I827">
        <v>-1.7170399999999999</v>
      </c>
    </row>
    <row r="828" spans="1:9" x14ac:dyDescent="0.25">
      <c r="A828">
        <v>828</v>
      </c>
      <c r="B828">
        <v>24</v>
      </c>
      <c r="C828">
        <v>0</v>
      </c>
      <c r="D828">
        <v>409360.92</v>
      </c>
      <c r="E828">
        <v>3659150.54</v>
      </c>
      <c r="F828">
        <v>77.2</v>
      </c>
      <c r="G828">
        <v>32.5</v>
      </c>
      <c r="H828">
        <v>0.24693000000000001</v>
      </c>
      <c r="I828">
        <v>-0.53632000000000002</v>
      </c>
    </row>
    <row r="829" spans="1:9" x14ac:dyDescent="0.25">
      <c r="A829">
        <v>829</v>
      </c>
      <c r="B829">
        <v>24</v>
      </c>
      <c r="C829">
        <v>0</v>
      </c>
      <c r="D829">
        <v>409360.93</v>
      </c>
      <c r="E829">
        <v>3659153.81</v>
      </c>
      <c r="F829">
        <v>75.8</v>
      </c>
      <c r="G829">
        <v>34.799999999999997</v>
      </c>
      <c r="H829">
        <v>0.48554000000000003</v>
      </c>
      <c r="I829">
        <v>-2.13219</v>
      </c>
    </row>
    <row r="830" spans="1:9" x14ac:dyDescent="0.25">
      <c r="A830">
        <v>830</v>
      </c>
      <c r="B830">
        <v>24</v>
      </c>
      <c r="C830">
        <v>0</v>
      </c>
      <c r="D830">
        <v>409361.02</v>
      </c>
      <c r="E830">
        <v>3659157.03</v>
      </c>
      <c r="F830">
        <v>73</v>
      </c>
      <c r="G830">
        <v>29.5</v>
      </c>
      <c r="H830">
        <v>-1.19035</v>
      </c>
      <c r="I830">
        <v>-0.81357999999999997</v>
      </c>
    </row>
    <row r="831" spans="1:9" x14ac:dyDescent="0.25">
      <c r="A831">
        <v>831</v>
      </c>
      <c r="B831">
        <v>24</v>
      </c>
      <c r="C831">
        <v>0</v>
      </c>
      <c r="D831">
        <v>409361.08</v>
      </c>
      <c r="E831">
        <v>3659160.07</v>
      </c>
      <c r="F831">
        <v>69.400000000000006</v>
      </c>
      <c r="G831">
        <v>28.1</v>
      </c>
      <c r="H831">
        <v>-2.1675399999999998</v>
      </c>
      <c r="I831">
        <v>-1.5849200000000001</v>
      </c>
    </row>
    <row r="832" spans="1:9" x14ac:dyDescent="0.25">
      <c r="A832">
        <v>832</v>
      </c>
      <c r="B832">
        <v>24</v>
      </c>
      <c r="C832">
        <v>0</v>
      </c>
      <c r="D832">
        <v>409361.14</v>
      </c>
      <c r="E832">
        <v>3659163.09</v>
      </c>
      <c r="F832">
        <v>68.3</v>
      </c>
      <c r="G832">
        <v>25.9</v>
      </c>
      <c r="H832">
        <v>-2.8515600000000001</v>
      </c>
      <c r="I832">
        <v>-1.0132000000000001</v>
      </c>
    </row>
    <row r="833" spans="1:9" x14ac:dyDescent="0.25">
      <c r="A833">
        <v>833</v>
      </c>
      <c r="B833">
        <v>24</v>
      </c>
      <c r="C833">
        <v>0</v>
      </c>
      <c r="D833">
        <v>409361.13</v>
      </c>
      <c r="E833">
        <v>3659166.08</v>
      </c>
      <c r="F833">
        <v>69.599999999999994</v>
      </c>
      <c r="G833">
        <v>27.6</v>
      </c>
      <c r="H833">
        <v>-2.2389100000000002</v>
      </c>
      <c r="I833">
        <v>-1.27884</v>
      </c>
    </row>
    <row r="834" spans="1:9" x14ac:dyDescent="0.25">
      <c r="A834">
        <v>834</v>
      </c>
      <c r="B834">
        <v>24</v>
      </c>
      <c r="C834">
        <v>0</v>
      </c>
      <c r="D834">
        <v>409361.18</v>
      </c>
      <c r="E834">
        <v>3659169.07</v>
      </c>
      <c r="F834">
        <v>71.8</v>
      </c>
      <c r="G834">
        <v>29.5</v>
      </c>
      <c r="H834">
        <v>-1.41459</v>
      </c>
      <c r="I834">
        <v>-1.2833000000000001</v>
      </c>
    </row>
    <row r="835" spans="1:9" x14ac:dyDescent="0.25">
      <c r="A835">
        <v>835</v>
      </c>
      <c r="B835">
        <v>24</v>
      </c>
      <c r="C835">
        <v>0</v>
      </c>
      <c r="D835">
        <v>409361.22</v>
      </c>
      <c r="E835">
        <v>3659172.9</v>
      </c>
      <c r="F835">
        <v>74.2</v>
      </c>
      <c r="G835">
        <v>29.9</v>
      </c>
      <c r="H835">
        <v>-0.87912999999999997</v>
      </c>
      <c r="I835">
        <v>-0.52608999999999995</v>
      </c>
    </row>
    <row r="836" spans="1:9" x14ac:dyDescent="0.25">
      <c r="A836">
        <v>836</v>
      </c>
      <c r="B836">
        <v>24</v>
      </c>
      <c r="C836">
        <v>0</v>
      </c>
      <c r="D836">
        <v>409361.18</v>
      </c>
      <c r="E836">
        <v>3659175.99</v>
      </c>
      <c r="F836">
        <v>74.900000000000006</v>
      </c>
      <c r="G836">
        <v>30.5</v>
      </c>
      <c r="H836">
        <v>-0.61782999999999999</v>
      </c>
      <c r="I836">
        <v>-0.52544000000000002</v>
      </c>
    </row>
    <row r="837" spans="1:9" x14ac:dyDescent="0.25">
      <c r="A837">
        <v>837</v>
      </c>
      <c r="B837">
        <v>24</v>
      </c>
      <c r="C837">
        <v>0</v>
      </c>
      <c r="D837">
        <v>409361.27</v>
      </c>
      <c r="E837">
        <v>3659179.07</v>
      </c>
      <c r="F837">
        <v>75.099999999999994</v>
      </c>
      <c r="G837">
        <v>30.8</v>
      </c>
      <c r="H837">
        <v>-0.51520999999999995</v>
      </c>
      <c r="I837">
        <v>-0.58382999999999996</v>
      </c>
    </row>
    <row r="838" spans="1:9" x14ac:dyDescent="0.25">
      <c r="A838">
        <v>838</v>
      </c>
      <c r="B838">
        <v>24</v>
      </c>
      <c r="C838">
        <v>0</v>
      </c>
      <c r="D838">
        <v>409361.31</v>
      </c>
      <c r="E838">
        <v>3659182.2</v>
      </c>
      <c r="F838">
        <v>75.2</v>
      </c>
      <c r="G838">
        <v>31.7</v>
      </c>
      <c r="H838">
        <v>-0.30079</v>
      </c>
      <c r="I838">
        <v>-0.95472000000000001</v>
      </c>
    </row>
    <row r="839" spans="1:9" x14ac:dyDescent="0.25">
      <c r="A839">
        <v>839</v>
      </c>
      <c r="B839">
        <v>24</v>
      </c>
      <c r="C839">
        <v>0</v>
      </c>
      <c r="D839">
        <v>409361.33</v>
      </c>
      <c r="E839">
        <v>3659185.24</v>
      </c>
      <c r="F839">
        <v>75</v>
      </c>
      <c r="G839">
        <v>31.5</v>
      </c>
      <c r="H839">
        <v>-0.38166</v>
      </c>
      <c r="I839">
        <v>-0.94189000000000001</v>
      </c>
    </row>
    <row r="840" spans="1:9" x14ac:dyDescent="0.25">
      <c r="A840">
        <v>840</v>
      </c>
      <c r="B840">
        <v>24</v>
      </c>
      <c r="C840">
        <v>0</v>
      </c>
      <c r="D840">
        <v>409361.45</v>
      </c>
      <c r="E840">
        <v>3659188.42</v>
      </c>
      <c r="F840">
        <v>75.7</v>
      </c>
      <c r="G840">
        <v>32</v>
      </c>
      <c r="H840">
        <v>-0.14210999999999999</v>
      </c>
      <c r="I840">
        <v>-0.89568000000000003</v>
      </c>
    </row>
    <row r="841" spans="1:9" x14ac:dyDescent="0.25">
      <c r="A841">
        <v>841</v>
      </c>
      <c r="B841">
        <v>24</v>
      </c>
      <c r="C841">
        <v>0</v>
      </c>
      <c r="D841">
        <v>409361.45</v>
      </c>
      <c r="E841">
        <v>3659191.35</v>
      </c>
      <c r="F841">
        <v>74.900000000000006</v>
      </c>
      <c r="G841">
        <v>32.6</v>
      </c>
      <c r="H841">
        <v>-0.16111</v>
      </c>
      <c r="I841">
        <v>-1.4821800000000001</v>
      </c>
    </row>
    <row r="842" spans="1:9" x14ac:dyDescent="0.25">
      <c r="A842">
        <v>842</v>
      </c>
      <c r="B842">
        <v>24</v>
      </c>
      <c r="C842">
        <v>0</v>
      </c>
      <c r="D842">
        <v>409361.44</v>
      </c>
      <c r="E842">
        <v>3659194.25</v>
      </c>
      <c r="F842">
        <v>75.7</v>
      </c>
      <c r="G842">
        <v>32.9</v>
      </c>
      <c r="H842">
        <v>5.3629999999999997E-2</v>
      </c>
      <c r="I842">
        <v>-1.3057099999999999</v>
      </c>
    </row>
    <row r="843" spans="1:9" x14ac:dyDescent="0.25">
      <c r="A843">
        <v>843</v>
      </c>
      <c r="B843">
        <v>24</v>
      </c>
      <c r="C843">
        <v>0</v>
      </c>
      <c r="D843">
        <v>409361.57</v>
      </c>
      <c r="E843">
        <v>3659197.14</v>
      </c>
      <c r="F843">
        <v>76.599999999999994</v>
      </c>
      <c r="G843">
        <v>32.299999999999997</v>
      </c>
      <c r="H843">
        <v>9.1310000000000002E-2</v>
      </c>
      <c r="I843">
        <v>-0.68006999999999995</v>
      </c>
    </row>
    <row r="844" spans="1:9" x14ac:dyDescent="0.25">
      <c r="A844">
        <v>844</v>
      </c>
      <c r="B844">
        <v>24</v>
      </c>
      <c r="C844">
        <v>0</v>
      </c>
      <c r="D844">
        <v>409361.56</v>
      </c>
      <c r="E844">
        <v>3659199.97</v>
      </c>
      <c r="F844">
        <v>74.900000000000006</v>
      </c>
      <c r="G844">
        <v>31.4</v>
      </c>
      <c r="H844">
        <v>-0.42209000000000002</v>
      </c>
      <c r="I844">
        <v>-0.93547000000000002</v>
      </c>
    </row>
    <row r="845" spans="1:9" x14ac:dyDescent="0.25">
      <c r="A845">
        <v>845</v>
      </c>
      <c r="B845">
        <v>24</v>
      </c>
      <c r="C845">
        <v>0</v>
      </c>
      <c r="D845">
        <v>409361.61</v>
      </c>
      <c r="E845">
        <v>3659202.89</v>
      </c>
      <c r="F845">
        <v>76.2</v>
      </c>
      <c r="G845">
        <v>33</v>
      </c>
      <c r="H845">
        <v>0.16880999999999999</v>
      </c>
      <c r="I845">
        <v>-1.1555500000000001</v>
      </c>
    </row>
    <row r="846" spans="1:9" x14ac:dyDescent="0.25">
      <c r="A846">
        <v>846</v>
      </c>
      <c r="B846">
        <v>24</v>
      </c>
      <c r="C846">
        <v>0</v>
      </c>
      <c r="D846">
        <v>409361.64</v>
      </c>
      <c r="E846">
        <v>3659205.65</v>
      </c>
      <c r="F846">
        <v>78.099999999999994</v>
      </c>
      <c r="G846">
        <v>34.5</v>
      </c>
      <c r="H846">
        <v>0.85007999999999995</v>
      </c>
      <c r="I846">
        <v>-1.09521</v>
      </c>
    </row>
    <row r="847" spans="1:9" x14ac:dyDescent="0.25">
      <c r="A847">
        <v>847</v>
      </c>
      <c r="B847">
        <v>24</v>
      </c>
      <c r="C847">
        <v>0</v>
      </c>
      <c r="D847">
        <v>409361.71</v>
      </c>
      <c r="E847">
        <v>3659208.53</v>
      </c>
      <c r="F847">
        <v>78.400000000000006</v>
      </c>
      <c r="G847">
        <v>33.200000000000003</v>
      </c>
      <c r="H847">
        <v>0.62339999999999995</v>
      </c>
      <c r="I847">
        <v>-0.38551000000000002</v>
      </c>
    </row>
    <row r="848" spans="1:9" x14ac:dyDescent="0.25">
      <c r="A848">
        <v>848</v>
      </c>
      <c r="B848">
        <v>24</v>
      </c>
      <c r="C848">
        <v>0</v>
      </c>
      <c r="D848">
        <v>409361.69</v>
      </c>
      <c r="E848">
        <v>3659211.47</v>
      </c>
      <c r="F848">
        <v>78.7</v>
      </c>
      <c r="G848">
        <v>33.799999999999997</v>
      </c>
      <c r="H848">
        <v>0.80994999999999995</v>
      </c>
      <c r="I848">
        <v>-0.54144000000000003</v>
      </c>
    </row>
    <row r="849" spans="1:9" x14ac:dyDescent="0.25">
      <c r="A849">
        <v>849</v>
      </c>
      <c r="B849">
        <v>24</v>
      </c>
      <c r="C849">
        <v>0</v>
      </c>
      <c r="D849">
        <v>409361.7</v>
      </c>
      <c r="E849">
        <v>3659214.41</v>
      </c>
      <c r="F849">
        <v>79.400000000000006</v>
      </c>
      <c r="G849">
        <v>33.9</v>
      </c>
      <c r="H849">
        <v>0.96250999999999998</v>
      </c>
      <c r="I849">
        <v>-0.31298999999999999</v>
      </c>
    </row>
    <row r="850" spans="1:9" x14ac:dyDescent="0.25">
      <c r="A850">
        <v>850</v>
      </c>
      <c r="B850">
        <v>24</v>
      </c>
      <c r="C850">
        <v>0</v>
      </c>
      <c r="D850">
        <v>409361.71</v>
      </c>
      <c r="E850">
        <v>3659217.32</v>
      </c>
      <c r="F850">
        <v>78.900000000000006</v>
      </c>
      <c r="G850">
        <v>32.9</v>
      </c>
      <c r="H850">
        <v>0.65159</v>
      </c>
      <c r="I850">
        <v>-5.3120000000000001E-2</v>
      </c>
    </row>
    <row r="851" spans="1:9" x14ac:dyDescent="0.25">
      <c r="A851">
        <v>851</v>
      </c>
      <c r="B851">
        <v>24</v>
      </c>
      <c r="C851">
        <v>0</v>
      </c>
      <c r="D851">
        <v>409361.75</v>
      </c>
      <c r="E851">
        <v>3659220.22</v>
      </c>
      <c r="F851">
        <v>77.2</v>
      </c>
      <c r="G851">
        <v>29.5</v>
      </c>
      <c r="H851">
        <v>-0.40554000000000001</v>
      </c>
      <c r="I851">
        <v>0.83043999999999996</v>
      </c>
    </row>
    <row r="852" spans="1:9" x14ac:dyDescent="0.25">
      <c r="A852">
        <v>852</v>
      </c>
      <c r="B852">
        <v>24</v>
      </c>
      <c r="C852">
        <v>0</v>
      </c>
      <c r="D852">
        <v>409361.75</v>
      </c>
      <c r="E852">
        <v>3659223.16</v>
      </c>
      <c r="F852">
        <v>76.7</v>
      </c>
      <c r="G852">
        <v>30.1</v>
      </c>
      <c r="H852">
        <v>-0.36847000000000002</v>
      </c>
      <c r="I852">
        <v>0.36137000000000002</v>
      </c>
    </row>
    <row r="853" spans="1:9" x14ac:dyDescent="0.25">
      <c r="A853">
        <v>853</v>
      </c>
      <c r="B853">
        <v>24</v>
      </c>
      <c r="C853">
        <v>0</v>
      </c>
      <c r="D853">
        <v>409361.82</v>
      </c>
      <c r="E853">
        <v>3659226.02</v>
      </c>
      <c r="F853">
        <v>74.400000000000006</v>
      </c>
      <c r="G853">
        <v>28.2</v>
      </c>
      <c r="H853">
        <v>-1.2114799999999999</v>
      </c>
      <c r="I853">
        <v>0.32668999999999998</v>
      </c>
    </row>
    <row r="854" spans="1:9" x14ac:dyDescent="0.25">
      <c r="A854">
        <v>854</v>
      </c>
      <c r="B854">
        <v>24</v>
      </c>
      <c r="C854">
        <v>7</v>
      </c>
      <c r="D854">
        <v>409361.73</v>
      </c>
      <c r="E854">
        <v>3659230.47</v>
      </c>
      <c r="F854">
        <v>75.7</v>
      </c>
      <c r="G854">
        <v>28</v>
      </c>
      <c r="H854">
        <v>-1.01206</v>
      </c>
      <c r="I854">
        <v>0.92667999999999995</v>
      </c>
    </row>
    <row r="855" spans="1:9" x14ac:dyDescent="0.25">
      <c r="A855">
        <v>855</v>
      </c>
      <c r="B855">
        <v>24</v>
      </c>
      <c r="C855">
        <v>7</v>
      </c>
      <c r="D855">
        <v>409361.84</v>
      </c>
      <c r="E855">
        <v>3659231.93</v>
      </c>
      <c r="F855">
        <v>72.8</v>
      </c>
      <c r="G855">
        <v>28.1</v>
      </c>
      <c r="H855">
        <v>-1.5322100000000001</v>
      </c>
      <c r="I855">
        <v>-0.25403999999999999</v>
      </c>
    </row>
    <row r="856" spans="1:9" x14ac:dyDescent="0.25">
      <c r="A856">
        <v>856</v>
      </c>
      <c r="B856">
        <v>24</v>
      </c>
      <c r="C856">
        <v>7</v>
      </c>
      <c r="D856">
        <v>409361.84</v>
      </c>
      <c r="E856">
        <v>3659234.74</v>
      </c>
      <c r="F856">
        <v>71.400000000000006</v>
      </c>
      <c r="G856">
        <v>27.3</v>
      </c>
      <c r="H856">
        <v>-1.9678100000000001</v>
      </c>
      <c r="I856">
        <v>-0.43758000000000002</v>
      </c>
    </row>
    <row r="857" spans="1:9" x14ac:dyDescent="0.25">
      <c r="A857">
        <v>857</v>
      </c>
      <c r="B857">
        <v>25</v>
      </c>
      <c r="C857">
        <v>7</v>
      </c>
      <c r="D857">
        <v>409365.82</v>
      </c>
      <c r="E857">
        <v>3659236.9</v>
      </c>
      <c r="F857">
        <v>74.5</v>
      </c>
      <c r="G857">
        <v>30.1</v>
      </c>
      <c r="H857">
        <v>-0.77956999999999999</v>
      </c>
      <c r="I857">
        <v>-0.49978</v>
      </c>
    </row>
    <row r="858" spans="1:9" x14ac:dyDescent="0.25">
      <c r="A858">
        <v>858</v>
      </c>
      <c r="B858">
        <v>25</v>
      </c>
      <c r="C858">
        <v>7</v>
      </c>
      <c r="D858">
        <v>409365.8</v>
      </c>
      <c r="E858">
        <v>3659235.6</v>
      </c>
      <c r="F858">
        <v>72.8</v>
      </c>
      <c r="G858">
        <v>29.3</v>
      </c>
      <c r="H858">
        <v>-1.27122</v>
      </c>
      <c r="I858">
        <v>-0.80074999999999996</v>
      </c>
    </row>
    <row r="859" spans="1:9" x14ac:dyDescent="0.25">
      <c r="A859">
        <v>859</v>
      </c>
      <c r="B859">
        <v>25</v>
      </c>
      <c r="C859">
        <v>0</v>
      </c>
      <c r="D859">
        <v>409365.7</v>
      </c>
      <c r="E859">
        <v>3659231.87</v>
      </c>
      <c r="F859">
        <v>72.400000000000006</v>
      </c>
      <c r="G859">
        <v>27.2</v>
      </c>
      <c r="H859">
        <v>-1.8026899999999999</v>
      </c>
      <c r="I859">
        <v>-5.9000000000000003E-4</v>
      </c>
    </row>
    <row r="860" spans="1:9" x14ac:dyDescent="0.25">
      <c r="A860">
        <v>860</v>
      </c>
      <c r="B860">
        <v>25</v>
      </c>
      <c r="C860">
        <v>0</v>
      </c>
      <c r="D860">
        <v>409365.72</v>
      </c>
      <c r="E860">
        <v>3659228.22</v>
      </c>
      <c r="F860">
        <v>75</v>
      </c>
      <c r="G860">
        <v>30.3</v>
      </c>
      <c r="H860">
        <v>-0.64263999999999999</v>
      </c>
      <c r="I860">
        <v>-0.39517999999999998</v>
      </c>
    </row>
    <row r="861" spans="1:9" x14ac:dyDescent="0.25">
      <c r="A861">
        <v>861</v>
      </c>
      <c r="B861">
        <v>25</v>
      </c>
      <c r="C861">
        <v>0</v>
      </c>
      <c r="D861">
        <v>409365.67</v>
      </c>
      <c r="E861">
        <v>3659226.57</v>
      </c>
      <c r="F861">
        <v>76.7</v>
      </c>
      <c r="G861">
        <v>30</v>
      </c>
      <c r="H861">
        <v>-0.39022000000000001</v>
      </c>
      <c r="I861">
        <v>0.40693000000000001</v>
      </c>
    </row>
    <row r="862" spans="1:9" x14ac:dyDescent="0.25">
      <c r="A862">
        <v>862</v>
      </c>
      <c r="B862">
        <v>25</v>
      </c>
      <c r="C862">
        <v>0</v>
      </c>
      <c r="D862">
        <v>409365.67</v>
      </c>
      <c r="E862">
        <v>3659221.9</v>
      </c>
      <c r="F862">
        <v>78.599999999999994</v>
      </c>
      <c r="G862">
        <v>32.799999999999997</v>
      </c>
      <c r="H862">
        <v>0.57377999999999996</v>
      </c>
      <c r="I862">
        <v>-0.12499</v>
      </c>
    </row>
    <row r="863" spans="1:9" x14ac:dyDescent="0.25">
      <c r="A863">
        <v>863</v>
      </c>
      <c r="B863">
        <v>25</v>
      </c>
      <c r="C863">
        <v>0</v>
      </c>
      <c r="D863">
        <v>409365.6</v>
      </c>
      <c r="E863">
        <v>3659218.95</v>
      </c>
      <c r="F863">
        <v>78.400000000000006</v>
      </c>
      <c r="G863">
        <v>32.9</v>
      </c>
      <c r="H863">
        <v>0.55815999999999999</v>
      </c>
      <c r="I863">
        <v>-0.24884000000000001</v>
      </c>
    </row>
    <row r="864" spans="1:9" x14ac:dyDescent="0.25">
      <c r="A864">
        <v>864</v>
      </c>
      <c r="B864">
        <v>25</v>
      </c>
      <c r="C864">
        <v>0</v>
      </c>
      <c r="D864">
        <v>409365.65</v>
      </c>
      <c r="E864">
        <v>3659215.95</v>
      </c>
      <c r="F864">
        <v>76.900000000000006</v>
      </c>
      <c r="G864">
        <v>32.299999999999997</v>
      </c>
      <c r="H864">
        <v>0.14737</v>
      </c>
      <c r="I864">
        <v>-0.56264000000000003</v>
      </c>
    </row>
    <row r="865" spans="1:9" x14ac:dyDescent="0.25">
      <c r="A865">
        <v>865</v>
      </c>
      <c r="B865">
        <v>25</v>
      </c>
      <c r="C865">
        <v>0</v>
      </c>
      <c r="D865">
        <v>409365.6</v>
      </c>
      <c r="E865">
        <v>3659212.96</v>
      </c>
      <c r="F865">
        <v>78.599999999999994</v>
      </c>
      <c r="G865">
        <v>32</v>
      </c>
      <c r="H865">
        <v>0.39978999999999998</v>
      </c>
      <c r="I865">
        <v>0.23948</v>
      </c>
    </row>
    <row r="866" spans="1:9" x14ac:dyDescent="0.25">
      <c r="A866">
        <v>866</v>
      </c>
      <c r="B866">
        <v>25</v>
      </c>
      <c r="C866">
        <v>0</v>
      </c>
      <c r="D866">
        <v>409365.55</v>
      </c>
      <c r="E866">
        <v>3659209.93</v>
      </c>
      <c r="F866">
        <v>78.400000000000006</v>
      </c>
      <c r="G866">
        <v>34.5</v>
      </c>
      <c r="H866">
        <v>0.90613999999999995</v>
      </c>
      <c r="I866">
        <v>-0.97777999999999998</v>
      </c>
    </row>
    <row r="867" spans="1:9" x14ac:dyDescent="0.25">
      <c r="A867">
        <v>867</v>
      </c>
      <c r="B867">
        <v>25</v>
      </c>
      <c r="C867">
        <v>0</v>
      </c>
      <c r="D867">
        <v>409365.56</v>
      </c>
      <c r="E867">
        <v>3659206.93</v>
      </c>
      <c r="F867">
        <v>78.900000000000006</v>
      </c>
      <c r="G867">
        <v>34.1</v>
      </c>
      <c r="H867">
        <v>0.91256999999999999</v>
      </c>
      <c r="I867">
        <v>-0.59982999999999997</v>
      </c>
    </row>
    <row r="868" spans="1:9" x14ac:dyDescent="0.25">
      <c r="A868">
        <v>868</v>
      </c>
      <c r="B868">
        <v>25</v>
      </c>
      <c r="C868">
        <v>0</v>
      </c>
      <c r="D868">
        <v>409365.52</v>
      </c>
      <c r="E868">
        <v>3659203.91</v>
      </c>
      <c r="F868">
        <v>79.099999999999994</v>
      </c>
      <c r="G868">
        <v>36.9</v>
      </c>
      <c r="H868">
        <v>1.55891</v>
      </c>
      <c r="I868">
        <v>-1.7971900000000001</v>
      </c>
    </row>
    <row r="869" spans="1:9" x14ac:dyDescent="0.25">
      <c r="A869">
        <v>869</v>
      </c>
      <c r="B869">
        <v>25</v>
      </c>
      <c r="C869">
        <v>0</v>
      </c>
      <c r="D869">
        <v>409365.55</v>
      </c>
      <c r="E869">
        <v>3659200.87</v>
      </c>
      <c r="F869">
        <v>76.400000000000006</v>
      </c>
      <c r="G869">
        <v>33.4</v>
      </c>
      <c r="H869">
        <v>0.29318</v>
      </c>
      <c r="I869">
        <v>-1.2595000000000001</v>
      </c>
    </row>
    <row r="870" spans="1:9" x14ac:dyDescent="0.25">
      <c r="A870">
        <v>870</v>
      </c>
      <c r="B870">
        <v>25</v>
      </c>
      <c r="C870">
        <v>0</v>
      </c>
      <c r="D870">
        <v>409365.53</v>
      </c>
      <c r="E870">
        <v>3659197.83</v>
      </c>
      <c r="F870">
        <v>76.7</v>
      </c>
      <c r="G870">
        <v>31.9</v>
      </c>
      <c r="H870">
        <v>2.3E-2</v>
      </c>
      <c r="I870">
        <v>-0.45868999999999999</v>
      </c>
    </row>
    <row r="871" spans="1:9" x14ac:dyDescent="0.25">
      <c r="A871">
        <v>871</v>
      </c>
      <c r="B871">
        <v>25</v>
      </c>
      <c r="C871">
        <v>0</v>
      </c>
      <c r="D871">
        <v>409365.46</v>
      </c>
      <c r="E871">
        <v>3659194.8</v>
      </c>
      <c r="F871">
        <v>76.7</v>
      </c>
      <c r="G871">
        <v>32</v>
      </c>
      <c r="H871">
        <v>4.4749999999999998E-2</v>
      </c>
      <c r="I871">
        <v>-0.50424999999999998</v>
      </c>
    </row>
    <row r="872" spans="1:9" x14ac:dyDescent="0.25">
      <c r="A872">
        <v>872</v>
      </c>
      <c r="B872">
        <v>25</v>
      </c>
      <c r="C872">
        <v>0</v>
      </c>
      <c r="D872">
        <v>409365.42</v>
      </c>
      <c r="E872">
        <v>3659191.83</v>
      </c>
      <c r="F872">
        <v>75.400000000000006</v>
      </c>
      <c r="G872">
        <v>31.6</v>
      </c>
      <c r="H872">
        <v>-0.28516000000000002</v>
      </c>
      <c r="I872">
        <v>-0.83087</v>
      </c>
    </row>
    <row r="873" spans="1:9" x14ac:dyDescent="0.25">
      <c r="A873">
        <v>873</v>
      </c>
      <c r="B873">
        <v>25</v>
      </c>
      <c r="C873">
        <v>0</v>
      </c>
      <c r="D873">
        <v>409365.35</v>
      </c>
      <c r="E873">
        <v>3659188.82</v>
      </c>
      <c r="F873">
        <v>76.900000000000006</v>
      </c>
      <c r="G873">
        <v>31.2</v>
      </c>
      <c r="H873">
        <v>-9.1859999999999997E-2</v>
      </c>
      <c r="I873">
        <v>-6.1490000000000003E-2</v>
      </c>
    </row>
    <row r="874" spans="1:9" x14ac:dyDescent="0.25">
      <c r="A874">
        <v>874</v>
      </c>
      <c r="B874">
        <v>25</v>
      </c>
      <c r="C874">
        <v>0</v>
      </c>
      <c r="D874">
        <v>409365.4</v>
      </c>
      <c r="E874">
        <v>3659185.91</v>
      </c>
      <c r="F874">
        <v>76.099999999999994</v>
      </c>
      <c r="G874">
        <v>31.7</v>
      </c>
      <c r="H874">
        <v>-0.13261000000000001</v>
      </c>
      <c r="I874">
        <v>-0.60243000000000002</v>
      </c>
    </row>
    <row r="875" spans="1:9" x14ac:dyDescent="0.25">
      <c r="A875">
        <v>875</v>
      </c>
      <c r="B875">
        <v>25</v>
      </c>
      <c r="C875">
        <v>0</v>
      </c>
      <c r="D875">
        <v>409365.37</v>
      </c>
      <c r="E875">
        <v>3659182.97</v>
      </c>
      <c r="F875">
        <v>75.3</v>
      </c>
      <c r="G875">
        <v>32.200000000000003</v>
      </c>
      <c r="H875">
        <v>-0.17335999999999999</v>
      </c>
      <c r="I875">
        <v>-1.14337</v>
      </c>
    </row>
    <row r="876" spans="1:9" x14ac:dyDescent="0.25">
      <c r="A876">
        <v>876</v>
      </c>
      <c r="B876">
        <v>25</v>
      </c>
      <c r="C876">
        <v>0</v>
      </c>
      <c r="D876">
        <v>409365.3</v>
      </c>
      <c r="E876">
        <v>3659179.93</v>
      </c>
      <c r="F876">
        <v>76.5</v>
      </c>
      <c r="G876">
        <v>33.5</v>
      </c>
      <c r="H876">
        <v>0.33361000000000002</v>
      </c>
      <c r="I876">
        <v>-1.2659199999999999</v>
      </c>
    </row>
    <row r="877" spans="1:9" x14ac:dyDescent="0.25">
      <c r="A877">
        <v>877</v>
      </c>
      <c r="B877">
        <v>25</v>
      </c>
      <c r="C877">
        <v>0</v>
      </c>
      <c r="D877">
        <v>409365.22</v>
      </c>
      <c r="E877">
        <v>3659177</v>
      </c>
      <c r="F877">
        <v>76</v>
      </c>
      <c r="G877">
        <v>33.1</v>
      </c>
      <c r="H877">
        <v>0.15318999999999999</v>
      </c>
      <c r="I877">
        <v>-1.2794000000000001</v>
      </c>
    </row>
    <row r="878" spans="1:9" x14ac:dyDescent="0.25">
      <c r="A878">
        <v>878</v>
      </c>
      <c r="B878">
        <v>25</v>
      </c>
      <c r="C878">
        <v>0</v>
      </c>
      <c r="D878">
        <v>409365.2</v>
      </c>
      <c r="E878">
        <v>3659174.08</v>
      </c>
      <c r="F878">
        <v>76.599999999999994</v>
      </c>
      <c r="G878">
        <v>33.5</v>
      </c>
      <c r="H878">
        <v>0.3523</v>
      </c>
      <c r="I878">
        <v>-1.2267699999999999</v>
      </c>
    </row>
    <row r="879" spans="1:9" x14ac:dyDescent="0.25">
      <c r="A879">
        <v>879</v>
      </c>
      <c r="B879">
        <v>25</v>
      </c>
      <c r="C879">
        <v>0</v>
      </c>
      <c r="D879">
        <v>409365.19</v>
      </c>
      <c r="E879">
        <v>3659171.12</v>
      </c>
      <c r="F879">
        <v>74.599999999999994</v>
      </c>
      <c r="G879">
        <v>30.5</v>
      </c>
      <c r="H879">
        <v>-0.67388999999999999</v>
      </c>
      <c r="I879">
        <v>-0.64287000000000005</v>
      </c>
    </row>
    <row r="880" spans="1:9" x14ac:dyDescent="0.25">
      <c r="A880">
        <v>880</v>
      </c>
      <c r="B880">
        <v>25</v>
      </c>
      <c r="C880">
        <v>2</v>
      </c>
      <c r="D880">
        <v>409365.15</v>
      </c>
      <c r="E880">
        <v>3659168.21</v>
      </c>
      <c r="F880">
        <v>71.3</v>
      </c>
      <c r="G880">
        <v>30.2</v>
      </c>
      <c r="H880">
        <v>-1.35578</v>
      </c>
      <c r="I880">
        <v>-1.79793</v>
      </c>
    </row>
    <row r="881" spans="1:9" x14ac:dyDescent="0.25">
      <c r="A881">
        <v>881</v>
      </c>
      <c r="B881">
        <v>25</v>
      </c>
      <c r="C881">
        <v>0</v>
      </c>
      <c r="D881">
        <v>409365.11</v>
      </c>
      <c r="E881">
        <v>3659165.25</v>
      </c>
      <c r="F881">
        <v>69.400000000000006</v>
      </c>
      <c r="G881">
        <v>28.4</v>
      </c>
      <c r="H881">
        <v>-2.10229</v>
      </c>
      <c r="I881">
        <v>-1.72159</v>
      </c>
    </row>
    <row r="882" spans="1:9" x14ac:dyDescent="0.25">
      <c r="A882">
        <v>882</v>
      </c>
      <c r="B882">
        <v>25</v>
      </c>
      <c r="C882">
        <v>0</v>
      </c>
      <c r="D882">
        <v>409365.14</v>
      </c>
      <c r="E882">
        <v>3659162.31</v>
      </c>
      <c r="F882">
        <v>70.5</v>
      </c>
      <c r="G882">
        <v>25.4</v>
      </c>
      <c r="H882">
        <v>-2.54921</v>
      </c>
      <c r="I882">
        <v>7.5749999999999998E-2</v>
      </c>
    </row>
    <row r="883" spans="1:9" x14ac:dyDescent="0.25">
      <c r="A883">
        <v>883</v>
      </c>
      <c r="B883">
        <v>25</v>
      </c>
      <c r="C883">
        <v>0</v>
      </c>
      <c r="D883">
        <v>409365.03</v>
      </c>
      <c r="E883">
        <v>3659159.35</v>
      </c>
      <c r="F883">
        <v>70.400000000000006</v>
      </c>
      <c r="G883">
        <v>27.4</v>
      </c>
      <c r="H883">
        <v>-2.1329199999999999</v>
      </c>
      <c r="I883">
        <v>-0.87456999999999996</v>
      </c>
    </row>
    <row r="884" spans="1:9" x14ac:dyDescent="0.25">
      <c r="A884">
        <v>884</v>
      </c>
      <c r="B884">
        <v>25</v>
      </c>
      <c r="C884">
        <v>0</v>
      </c>
      <c r="D884">
        <v>409365.02</v>
      </c>
      <c r="E884">
        <v>3659156.42</v>
      </c>
      <c r="F884">
        <v>71.7</v>
      </c>
      <c r="G884">
        <v>29.2</v>
      </c>
      <c r="H884">
        <v>-1.4985200000000001</v>
      </c>
      <c r="I884">
        <v>-1.18577</v>
      </c>
    </row>
    <row r="885" spans="1:9" x14ac:dyDescent="0.25">
      <c r="A885">
        <v>885</v>
      </c>
      <c r="B885">
        <v>25</v>
      </c>
      <c r="C885">
        <v>0</v>
      </c>
      <c r="D885">
        <v>409364.96</v>
      </c>
      <c r="E885">
        <v>3659152.75</v>
      </c>
      <c r="F885">
        <v>74.5</v>
      </c>
      <c r="G885">
        <v>32.4</v>
      </c>
      <c r="H885">
        <v>-0.27934999999999999</v>
      </c>
      <c r="I885">
        <v>-1.5476399999999999</v>
      </c>
    </row>
    <row r="886" spans="1:9" x14ac:dyDescent="0.25">
      <c r="A886">
        <v>886</v>
      </c>
      <c r="B886">
        <v>25</v>
      </c>
      <c r="C886">
        <v>0</v>
      </c>
      <c r="D886">
        <v>409364.97</v>
      </c>
      <c r="E886">
        <v>3659149.82</v>
      </c>
      <c r="F886">
        <v>77.3</v>
      </c>
      <c r="G886">
        <v>34.5</v>
      </c>
      <c r="H886">
        <v>0.70059000000000005</v>
      </c>
      <c r="I886">
        <v>-1.4083600000000001</v>
      </c>
    </row>
    <row r="887" spans="1:9" x14ac:dyDescent="0.25">
      <c r="A887">
        <v>887</v>
      </c>
      <c r="B887">
        <v>25</v>
      </c>
      <c r="C887">
        <v>0</v>
      </c>
      <c r="D887">
        <v>409364.88</v>
      </c>
      <c r="E887">
        <v>3659146.94</v>
      </c>
      <c r="F887">
        <v>74.8</v>
      </c>
      <c r="G887">
        <v>31.3</v>
      </c>
      <c r="H887">
        <v>-0.46253</v>
      </c>
      <c r="I887">
        <v>-0.92906</v>
      </c>
    </row>
    <row r="888" spans="1:9" x14ac:dyDescent="0.25">
      <c r="A888">
        <v>888</v>
      </c>
      <c r="B888">
        <v>25</v>
      </c>
      <c r="C888">
        <v>0</v>
      </c>
      <c r="D888">
        <v>409364.9</v>
      </c>
      <c r="E888">
        <v>3659144</v>
      </c>
      <c r="F888">
        <v>72.8</v>
      </c>
      <c r="G888">
        <v>32.1</v>
      </c>
      <c r="H888">
        <v>-0.66225999999999996</v>
      </c>
      <c r="I888">
        <v>-2.0764</v>
      </c>
    </row>
    <row r="889" spans="1:9" x14ac:dyDescent="0.25">
      <c r="A889">
        <v>889</v>
      </c>
      <c r="B889">
        <v>25</v>
      </c>
      <c r="C889">
        <v>0</v>
      </c>
      <c r="D889">
        <v>409364.81</v>
      </c>
      <c r="E889">
        <v>3659141.05</v>
      </c>
      <c r="F889">
        <v>76.900000000000006</v>
      </c>
      <c r="G889">
        <v>32.4</v>
      </c>
      <c r="H889">
        <v>0.16911999999999999</v>
      </c>
      <c r="I889">
        <v>-0.60819000000000001</v>
      </c>
    </row>
    <row r="890" spans="1:9" x14ac:dyDescent="0.25">
      <c r="A890">
        <v>890</v>
      </c>
      <c r="B890">
        <v>25</v>
      </c>
      <c r="C890">
        <v>2</v>
      </c>
      <c r="D890">
        <v>409364.79</v>
      </c>
      <c r="E890">
        <v>3659137.98</v>
      </c>
      <c r="F890">
        <v>75</v>
      </c>
      <c r="G890">
        <v>32.700000000000003</v>
      </c>
      <c r="H890">
        <v>-0.12067</v>
      </c>
      <c r="I890">
        <v>-1.4885999999999999</v>
      </c>
    </row>
    <row r="891" spans="1:9" x14ac:dyDescent="0.25">
      <c r="A891">
        <v>891</v>
      </c>
      <c r="B891">
        <v>25</v>
      </c>
      <c r="C891">
        <v>0</v>
      </c>
      <c r="D891">
        <v>409364.74</v>
      </c>
      <c r="E891">
        <v>3659135.09</v>
      </c>
      <c r="F891">
        <v>74.900000000000006</v>
      </c>
      <c r="G891">
        <v>32.799999999999997</v>
      </c>
      <c r="H891">
        <v>-0.11761000000000001</v>
      </c>
      <c r="I891">
        <v>-1.5732999999999999</v>
      </c>
    </row>
    <row r="892" spans="1:9" x14ac:dyDescent="0.25">
      <c r="A892">
        <v>892</v>
      </c>
      <c r="B892">
        <v>25</v>
      </c>
      <c r="C892">
        <v>7</v>
      </c>
      <c r="D892">
        <v>409364.75</v>
      </c>
      <c r="E892">
        <v>3659132.21</v>
      </c>
      <c r="F892">
        <v>73.900000000000006</v>
      </c>
      <c r="G892">
        <v>31.9</v>
      </c>
      <c r="H892">
        <v>-0.50021000000000004</v>
      </c>
      <c r="I892">
        <v>-1.5547</v>
      </c>
    </row>
    <row r="893" spans="1:9" x14ac:dyDescent="0.25">
      <c r="A893">
        <v>893</v>
      </c>
      <c r="B893">
        <v>25</v>
      </c>
      <c r="C893">
        <v>7</v>
      </c>
      <c r="D893">
        <v>409364.75</v>
      </c>
      <c r="E893">
        <v>3659129.45</v>
      </c>
      <c r="F893">
        <v>74.599999999999994</v>
      </c>
      <c r="G893">
        <v>33</v>
      </c>
      <c r="H893">
        <v>-0.13017000000000001</v>
      </c>
      <c r="I893">
        <v>-1.7818499999999999</v>
      </c>
    </row>
    <row r="894" spans="1:9" x14ac:dyDescent="0.25">
      <c r="A894">
        <v>894</v>
      </c>
      <c r="B894">
        <v>26</v>
      </c>
      <c r="C894">
        <v>7</v>
      </c>
      <c r="D894">
        <v>409368.76</v>
      </c>
      <c r="E894">
        <v>3659127.66</v>
      </c>
      <c r="F894">
        <v>80</v>
      </c>
      <c r="G894">
        <v>36.200000000000003</v>
      </c>
      <c r="H894">
        <v>1.5748500000000001</v>
      </c>
      <c r="I894">
        <v>-1.12599</v>
      </c>
    </row>
    <row r="895" spans="1:9" x14ac:dyDescent="0.25">
      <c r="A895">
        <v>895</v>
      </c>
      <c r="B895">
        <v>26</v>
      </c>
      <c r="C895">
        <v>7</v>
      </c>
      <c r="D895">
        <v>409368.76</v>
      </c>
      <c r="E895">
        <v>3659129.34</v>
      </c>
      <c r="F895">
        <v>79.3</v>
      </c>
      <c r="G895">
        <v>34.5</v>
      </c>
      <c r="H895">
        <v>1.0743100000000001</v>
      </c>
      <c r="I895">
        <v>-0.62548999999999999</v>
      </c>
    </row>
    <row r="896" spans="1:9" x14ac:dyDescent="0.25">
      <c r="A896">
        <v>896</v>
      </c>
      <c r="B896">
        <v>26</v>
      </c>
      <c r="C896">
        <v>0</v>
      </c>
      <c r="D896">
        <v>409368.8</v>
      </c>
      <c r="E896">
        <v>3659132.57</v>
      </c>
      <c r="F896">
        <v>75.900000000000006</v>
      </c>
      <c r="G896">
        <v>33.799999999999997</v>
      </c>
      <c r="H896">
        <v>0.28673999999999999</v>
      </c>
      <c r="I896">
        <v>-1.6374500000000001</v>
      </c>
    </row>
    <row r="897" spans="1:9" x14ac:dyDescent="0.25">
      <c r="A897">
        <v>897</v>
      </c>
      <c r="B897">
        <v>26</v>
      </c>
      <c r="C897">
        <v>0</v>
      </c>
      <c r="D897">
        <v>409368.8</v>
      </c>
      <c r="E897">
        <v>3659135.89</v>
      </c>
      <c r="F897">
        <v>77</v>
      </c>
      <c r="G897">
        <v>34.1</v>
      </c>
      <c r="H897">
        <v>0.55754000000000004</v>
      </c>
      <c r="I897">
        <v>-1.34355</v>
      </c>
    </row>
    <row r="898" spans="1:9" x14ac:dyDescent="0.25">
      <c r="A898">
        <v>898</v>
      </c>
      <c r="B898">
        <v>26</v>
      </c>
      <c r="C898">
        <v>0</v>
      </c>
      <c r="D898">
        <v>409368.82</v>
      </c>
      <c r="E898">
        <v>3659139.08</v>
      </c>
      <c r="F898">
        <v>76.599999999999994</v>
      </c>
      <c r="G898">
        <v>35.6</v>
      </c>
      <c r="H898">
        <v>0.80901999999999996</v>
      </c>
      <c r="I898">
        <v>-2.1835100000000001</v>
      </c>
    </row>
    <row r="899" spans="1:9" x14ac:dyDescent="0.25">
      <c r="A899">
        <v>899</v>
      </c>
      <c r="B899">
        <v>26</v>
      </c>
      <c r="C899">
        <v>0</v>
      </c>
      <c r="D899">
        <v>409368.94</v>
      </c>
      <c r="E899">
        <v>3659142.16</v>
      </c>
      <c r="F899">
        <v>76.599999999999994</v>
      </c>
      <c r="G899">
        <v>35.299999999999997</v>
      </c>
      <c r="H899">
        <v>0.74378</v>
      </c>
      <c r="I899">
        <v>-2.0468299999999999</v>
      </c>
    </row>
    <row r="900" spans="1:9" x14ac:dyDescent="0.25">
      <c r="A900">
        <v>900</v>
      </c>
      <c r="B900">
        <v>26</v>
      </c>
      <c r="C900">
        <v>0</v>
      </c>
      <c r="D900">
        <v>409368.98</v>
      </c>
      <c r="E900">
        <v>3659145.17</v>
      </c>
      <c r="F900">
        <v>76.400000000000006</v>
      </c>
      <c r="G900">
        <v>34</v>
      </c>
      <c r="H900">
        <v>0.42366999999999999</v>
      </c>
      <c r="I900">
        <v>-1.53285</v>
      </c>
    </row>
    <row r="901" spans="1:9" x14ac:dyDescent="0.25">
      <c r="A901">
        <v>901</v>
      </c>
      <c r="B901">
        <v>26</v>
      </c>
      <c r="C901">
        <v>0</v>
      </c>
      <c r="D901">
        <v>409368.91</v>
      </c>
      <c r="E901">
        <v>3659148.1</v>
      </c>
      <c r="F901">
        <v>75.599999999999994</v>
      </c>
      <c r="G901">
        <v>33.4</v>
      </c>
      <c r="H901">
        <v>0.14369000000000001</v>
      </c>
      <c r="I901">
        <v>-1.5726500000000001</v>
      </c>
    </row>
    <row r="902" spans="1:9" x14ac:dyDescent="0.25">
      <c r="A902">
        <v>902</v>
      </c>
      <c r="B902">
        <v>26</v>
      </c>
      <c r="C902">
        <v>0</v>
      </c>
      <c r="D902">
        <v>409369.05</v>
      </c>
      <c r="E902">
        <v>3659151.07</v>
      </c>
      <c r="F902">
        <v>76.8</v>
      </c>
      <c r="G902">
        <v>33.200000000000003</v>
      </c>
      <c r="H902">
        <v>0.32441999999999999</v>
      </c>
      <c r="I902">
        <v>-1.0118100000000001</v>
      </c>
    </row>
    <row r="903" spans="1:9" x14ac:dyDescent="0.25">
      <c r="A903">
        <v>903</v>
      </c>
      <c r="B903">
        <v>26</v>
      </c>
      <c r="C903">
        <v>0</v>
      </c>
      <c r="D903">
        <v>409368.96</v>
      </c>
      <c r="E903">
        <v>3659154.02</v>
      </c>
      <c r="F903">
        <v>73.5</v>
      </c>
      <c r="G903">
        <v>34.6</v>
      </c>
      <c r="H903">
        <v>1.226E-2</v>
      </c>
      <c r="I903">
        <v>-2.94137</v>
      </c>
    </row>
    <row r="904" spans="1:9" x14ac:dyDescent="0.25">
      <c r="A904">
        <v>904</v>
      </c>
      <c r="B904">
        <v>26</v>
      </c>
      <c r="C904">
        <v>0</v>
      </c>
      <c r="D904">
        <v>409369.06</v>
      </c>
      <c r="E904">
        <v>3659157.04</v>
      </c>
      <c r="F904">
        <v>72.5</v>
      </c>
      <c r="G904">
        <v>30.8</v>
      </c>
      <c r="H904">
        <v>-1.00105</v>
      </c>
      <c r="I904">
        <v>-1.6015600000000001</v>
      </c>
    </row>
    <row r="905" spans="1:9" x14ac:dyDescent="0.25">
      <c r="A905">
        <v>905</v>
      </c>
      <c r="B905">
        <v>26</v>
      </c>
      <c r="C905">
        <v>0</v>
      </c>
      <c r="D905">
        <v>409369.18</v>
      </c>
      <c r="E905">
        <v>3659159.98</v>
      </c>
      <c r="F905">
        <v>72.599999999999994</v>
      </c>
      <c r="G905">
        <v>28</v>
      </c>
      <c r="H905">
        <v>-1.5913299999999999</v>
      </c>
      <c r="I905">
        <v>-0.28677000000000002</v>
      </c>
    </row>
    <row r="906" spans="1:9" x14ac:dyDescent="0.25">
      <c r="A906">
        <v>906</v>
      </c>
      <c r="B906">
        <v>26</v>
      </c>
      <c r="C906">
        <v>0</v>
      </c>
      <c r="D906">
        <v>409369.23</v>
      </c>
      <c r="E906">
        <v>3659162.98</v>
      </c>
      <c r="F906">
        <v>72</v>
      </c>
      <c r="G906">
        <v>26.5</v>
      </c>
      <c r="H906">
        <v>-2.0296799999999999</v>
      </c>
      <c r="I906">
        <v>0.16175</v>
      </c>
    </row>
    <row r="907" spans="1:9" x14ac:dyDescent="0.25">
      <c r="A907">
        <v>907</v>
      </c>
      <c r="B907">
        <v>26</v>
      </c>
      <c r="C907">
        <v>0</v>
      </c>
      <c r="D907">
        <v>409369.29</v>
      </c>
      <c r="E907">
        <v>3659166.01</v>
      </c>
      <c r="F907">
        <v>71</v>
      </c>
      <c r="G907">
        <v>27.3</v>
      </c>
      <c r="H907">
        <v>-2.0425499999999999</v>
      </c>
      <c r="I907">
        <v>-0.59414999999999996</v>
      </c>
    </row>
    <row r="908" spans="1:9" x14ac:dyDescent="0.25">
      <c r="A908">
        <v>908</v>
      </c>
      <c r="B908">
        <v>26</v>
      </c>
      <c r="C908">
        <v>0</v>
      </c>
      <c r="D908">
        <v>409369.24</v>
      </c>
      <c r="E908">
        <v>3659169.01</v>
      </c>
      <c r="F908">
        <v>74.2</v>
      </c>
      <c r="G908">
        <v>29.4</v>
      </c>
      <c r="H908">
        <v>-0.98787000000000003</v>
      </c>
      <c r="I908">
        <v>-0.29830000000000001</v>
      </c>
    </row>
    <row r="909" spans="1:9" x14ac:dyDescent="0.25">
      <c r="A909">
        <v>909</v>
      </c>
      <c r="B909">
        <v>26</v>
      </c>
      <c r="C909">
        <v>0</v>
      </c>
      <c r="D909">
        <v>409369.29</v>
      </c>
      <c r="E909">
        <v>3659172.01</v>
      </c>
      <c r="F909">
        <v>74.599999999999994</v>
      </c>
      <c r="G909">
        <v>30.7</v>
      </c>
      <c r="H909">
        <v>-0.63039000000000001</v>
      </c>
      <c r="I909">
        <v>-0.73399000000000003</v>
      </c>
    </row>
    <row r="910" spans="1:9" x14ac:dyDescent="0.25">
      <c r="A910">
        <v>910</v>
      </c>
      <c r="B910">
        <v>26</v>
      </c>
      <c r="C910">
        <v>0</v>
      </c>
      <c r="D910">
        <v>409369.36</v>
      </c>
      <c r="E910">
        <v>3659175.04</v>
      </c>
      <c r="F910">
        <v>76.900000000000006</v>
      </c>
      <c r="G910">
        <v>31.6</v>
      </c>
      <c r="H910">
        <v>-4.8700000000000002E-3</v>
      </c>
      <c r="I910">
        <v>-0.24371999999999999</v>
      </c>
    </row>
    <row r="911" spans="1:9" x14ac:dyDescent="0.25">
      <c r="A911">
        <v>911</v>
      </c>
      <c r="B911">
        <v>26</v>
      </c>
      <c r="C911">
        <v>0</v>
      </c>
      <c r="D911">
        <v>409369.49</v>
      </c>
      <c r="E911">
        <v>3659177.99</v>
      </c>
      <c r="F911">
        <v>77.599999999999994</v>
      </c>
      <c r="G911">
        <v>34</v>
      </c>
      <c r="H911">
        <v>0.64790000000000003</v>
      </c>
      <c r="I911">
        <v>-1.0631299999999999</v>
      </c>
    </row>
    <row r="912" spans="1:9" x14ac:dyDescent="0.25">
      <c r="A912">
        <v>912</v>
      </c>
      <c r="B912">
        <v>26</v>
      </c>
      <c r="C912">
        <v>0</v>
      </c>
      <c r="D912">
        <v>409369.41</v>
      </c>
      <c r="E912">
        <v>3659180.94</v>
      </c>
      <c r="F912">
        <v>77.5</v>
      </c>
      <c r="G912">
        <v>32.9</v>
      </c>
      <c r="H912">
        <v>0.38997999999999999</v>
      </c>
      <c r="I912">
        <v>-0.60113000000000005</v>
      </c>
    </row>
    <row r="913" spans="1:9" x14ac:dyDescent="0.25">
      <c r="A913">
        <v>913</v>
      </c>
      <c r="B913">
        <v>26</v>
      </c>
      <c r="C913">
        <v>0</v>
      </c>
      <c r="D913">
        <v>409369.52</v>
      </c>
      <c r="E913">
        <v>3659183.9</v>
      </c>
      <c r="F913">
        <v>76.2</v>
      </c>
      <c r="G913">
        <v>32.4</v>
      </c>
      <c r="H913">
        <v>3.832E-2</v>
      </c>
      <c r="I913">
        <v>-0.88219999999999998</v>
      </c>
    </row>
    <row r="914" spans="1:9" x14ac:dyDescent="0.25">
      <c r="A914">
        <v>914</v>
      </c>
      <c r="B914">
        <v>26</v>
      </c>
      <c r="C914">
        <v>0</v>
      </c>
      <c r="D914">
        <v>409369.52</v>
      </c>
      <c r="E914">
        <v>3659186.86</v>
      </c>
      <c r="F914">
        <v>77.8</v>
      </c>
      <c r="G914">
        <v>32.700000000000003</v>
      </c>
      <c r="H914">
        <v>0.40254000000000001</v>
      </c>
      <c r="I914">
        <v>-0.39257999999999998</v>
      </c>
    </row>
    <row r="915" spans="1:9" x14ac:dyDescent="0.25">
      <c r="A915">
        <v>915</v>
      </c>
      <c r="B915">
        <v>26</v>
      </c>
      <c r="C915">
        <v>0</v>
      </c>
      <c r="D915">
        <v>409369.53</v>
      </c>
      <c r="E915">
        <v>3659189.88</v>
      </c>
      <c r="F915">
        <v>76</v>
      </c>
      <c r="G915">
        <v>31.1</v>
      </c>
      <c r="H915">
        <v>-0.28178999999999998</v>
      </c>
      <c r="I915">
        <v>-0.36821999999999999</v>
      </c>
    </row>
    <row r="916" spans="1:9" x14ac:dyDescent="0.25">
      <c r="A916">
        <v>916</v>
      </c>
      <c r="B916">
        <v>26</v>
      </c>
      <c r="C916">
        <v>0</v>
      </c>
      <c r="D916">
        <v>409369.5</v>
      </c>
      <c r="E916">
        <v>3659192.87</v>
      </c>
      <c r="F916">
        <v>73.099999999999994</v>
      </c>
      <c r="G916">
        <v>30.7</v>
      </c>
      <c r="H916">
        <v>-0.91068000000000005</v>
      </c>
      <c r="I916">
        <v>-1.32114</v>
      </c>
    </row>
    <row r="917" spans="1:9" x14ac:dyDescent="0.25">
      <c r="A917">
        <v>917</v>
      </c>
      <c r="B917">
        <v>26</v>
      </c>
      <c r="C917">
        <v>0</v>
      </c>
      <c r="D917">
        <v>409369.55</v>
      </c>
      <c r="E917">
        <v>3659195.85</v>
      </c>
      <c r="F917">
        <v>74.5</v>
      </c>
      <c r="G917">
        <v>29.2</v>
      </c>
      <c r="H917">
        <v>-0.97531000000000001</v>
      </c>
      <c r="I917">
        <v>-8.9749999999999996E-2</v>
      </c>
    </row>
    <row r="918" spans="1:9" x14ac:dyDescent="0.25">
      <c r="A918">
        <v>918</v>
      </c>
      <c r="B918">
        <v>26</v>
      </c>
      <c r="C918">
        <v>0</v>
      </c>
      <c r="D918">
        <v>409369.58</v>
      </c>
      <c r="E918">
        <v>3659198.85</v>
      </c>
      <c r="F918">
        <v>74.400000000000006</v>
      </c>
      <c r="G918">
        <v>29.1</v>
      </c>
      <c r="H918">
        <v>-1.0157400000000001</v>
      </c>
      <c r="I918">
        <v>-8.3339999999999997E-2</v>
      </c>
    </row>
    <row r="919" spans="1:9" x14ac:dyDescent="0.25">
      <c r="A919">
        <v>919</v>
      </c>
      <c r="B919">
        <v>26</v>
      </c>
      <c r="C919">
        <v>0</v>
      </c>
      <c r="D919">
        <v>409369.59</v>
      </c>
      <c r="E919">
        <v>3659201.85</v>
      </c>
      <c r="F919">
        <v>74.8</v>
      </c>
      <c r="G919">
        <v>29.6</v>
      </c>
      <c r="H919">
        <v>-0.83225000000000005</v>
      </c>
      <c r="I919">
        <v>-0.15456</v>
      </c>
    </row>
    <row r="920" spans="1:9" x14ac:dyDescent="0.25">
      <c r="A920">
        <v>920</v>
      </c>
      <c r="B920">
        <v>26</v>
      </c>
      <c r="C920">
        <v>0</v>
      </c>
      <c r="D920">
        <v>409369.67</v>
      </c>
      <c r="E920">
        <v>3659204.84</v>
      </c>
      <c r="F920">
        <v>77.7</v>
      </c>
      <c r="G920">
        <v>34.700000000000003</v>
      </c>
      <c r="H920">
        <v>0.81882999999999995</v>
      </c>
      <c r="I920">
        <v>-1.3429</v>
      </c>
    </row>
    <row r="921" spans="1:9" x14ac:dyDescent="0.25">
      <c r="A921">
        <v>921</v>
      </c>
      <c r="B921">
        <v>26</v>
      </c>
      <c r="C921">
        <v>0</v>
      </c>
      <c r="D921">
        <v>409369.66</v>
      </c>
      <c r="E921">
        <v>3659207.78</v>
      </c>
      <c r="F921">
        <v>78.2</v>
      </c>
      <c r="G921">
        <v>33.5</v>
      </c>
      <c r="H921">
        <v>0.65127999999999997</v>
      </c>
      <c r="I921">
        <v>-0.60048000000000001</v>
      </c>
    </row>
    <row r="922" spans="1:9" x14ac:dyDescent="0.25">
      <c r="A922">
        <v>922</v>
      </c>
      <c r="B922">
        <v>26</v>
      </c>
      <c r="C922">
        <v>0</v>
      </c>
      <c r="D922">
        <v>409369.7</v>
      </c>
      <c r="E922">
        <v>3659210.74</v>
      </c>
      <c r="F922">
        <v>79.8</v>
      </c>
      <c r="G922">
        <v>32.5</v>
      </c>
      <c r="H922">
        <v>0.73277000000000003</v>
      </c>
      <c r="I922">
        <v>0.48139999999999999</v>
      </c>
    </row>
    <row r="923" spans="1:9" x14ac:dyDescent="0.25">
      <c r="A923">
        <v>923</v>
      </c>
      <c r="B923">
        <v>26</v>
      </c>
      <c r="C923">
        <v>0</v>
      </c>
      <c r="D923">
        <v>409369.7</v>
      </c>
      <c r="E923">
        <v>3659214.51</v>
      </c>
      <c r="F923">
        <v>79.099999999999994</v>
      </c>
      <c r="G923">
        <v>33.5</v>
      </c>
      <c r="H923">
        <v>0.81945000000000001</v>
      </c>
      <c r="I923">
        <v>-0.24818999999999999</v>
      </c>
    </row>
    <row r="924" spans="1:9" x14ac:dyDescent="0.25">
      <c r="A924">
        <v>924</v>
      </c>
      <c r="B924">
        <v>26</v>
      </c>
      <c r="C924">
        <v>0</v>
      </c>
      <c r="D924">
        <v>409369.72</v>
      </c>
      <c r="E924">
        <v>3659217.54</v>
      </c>
      <c r="F924">
        <v>79.3</v>
      </c>
      <c r="G924">
        <v>33.4</v>
      </c>
      <c r="H924">
        <v>0.83508000000000004</v>
      </c>
      <c r="I924">
        <v>-0.12434000000000001</v>
      </c>
    </row>
    <row r="925" spans="1:9" x14ac:dyDescent="0.25">
      <c r="A925">
        <v>925</v>
      </c>
      <c r="B925">
        <v>26</v>
      </c>
      <c r="C925">
        <v>0</v>
      </c>
      <c r="D925">
        <v>409369.78</v>
      </c>
      <c r="E925">
        <v>3659220.58</v>
      </c>
      <c r="F925">
        <v>80.8</v>
      </c>
      <c r="G925">
        <v>33.6</v>
      </c>
      <c r="H925">
        <v>1.1588700000000001</v>
      </c>
      <c r="I925">
        <v>0.37169000000000002</v>
      </c>
    </row>
    <row r="926" spans="1:9" x14ac:dyDescent="0.25">
      <c r="A926">
        <v>926</v>
      </c>
      <c r="B926">
        <v>26</v>
      </c>
      <c r="C926">
        <v>0</v>
      </c>
      <c r="D926">
        <v>409369.81</v>
      </c>
      <c r="E926">
        <v>3659223.7</v>
      </c>
      <c r="F926">
        <v>80.099999999999994</v>
      </c>
      <c r="G926">
        <v>33.4</v>
      </c>
      <c r="H926">
        <v>0.98456999999999995</v>
      </c>
      <c r="I926">
        <v>0.18881000000000001</v>
      </c>
    </row>
    <row r="927" spans="1:9" x14ac:dyDescent="0.25">
      <c r="A927">
        <v>927</v>
      </c>
      <c r="B927">
        <v>26</v>
      </c>
      <c r="C927">
        <v>2</v>
      </c>
      <c r="D927">
        <v>409369.75</v>
      </c>
      <c r="E927">
        <v>3659226.63</v>
      </c>
      <c r="F927">
        <v>79.3</v>
      </c>
      <c r="G927">
        <v>32.9</v>
      </c>
      <c r="H927">
        <v>0.72633000000000003</v>
      </c>
      <c r="I927">
        <v>0.10345</v>
      </c>
    </row>
    <row r="928" spans="1:9" x14ac:dyDescent="0.25">
      <c r="A928">
        <v>928</v>
      </c>
      <c r="B928">
        <v>26</v>
      </c>
      <c r="C928">
        <v>0</v>
      </c>
      <c r="D928">
        <v>409369.7</v>
      </c>
      <c r="E928">
        <v>3659229.64</v>
      </c>
      <c r="F928">
        <v>80.5</v>
      </c>
      <c r="G928">
        <v>32.5</v>
      </c>
      <c r="H928">
        <v>0.86356999999999995</v>
      </c>
      <c r="I928">
        <v>0.75541000000000003</v>
      </c>
    </row>
    <row r="929" spans="1:9" x14ac:dyDescent="0.25">
      <c r="A929">
        <v>929</v>
      </c>
      <c r="B929">
        <v>26</v>
      </c>
      <c r="C929">
        <v>7</v>
      </c>
      <c r="D929">
        <v>409369.82</v>
      </c>
      <c r="E929">
        <v>3659232.62</v>
      </c>
      <c r="F929">
        <v>75.7</v>
      </c>
      <c r="G929">
        <v>32.299999999999997</v>
      </c>
      <c r="H929">
        <v>-7.6859999999999998E-2</v>
      </c>
      <c r="I929">
        <v>-1.0323599999999999</v>
      </c>
    </row>
    <row r="930" spans="1:9" x14ac:dyDescent="0.25">
      <c r="A930">
        <v>930</v>
      </c>
      <c r="B930">
        <v>26</v>
      </c>
      <c r="C930">
        <v>7</v>
      </c>
      <c r="D930">
        <v>409369.9</v>
      </c>
      <c r="E930">
        <v>3659234.84</v>
      </c>
      <c r="F930">
        <v>73.599999999999994</v>
      </c>
      <c r="G930">
        <v>28.1</v>
      </c>
      <c r="H930">
        <v>-1.3827199999999999</v>
      </c>
      <c r="I930">
        <v>5.91E-2</v>
      </c>
    </row>
    <row r="931" spans="1:9" x14ac:dyDescent="0.25">
      <c r="A931">
        <v>931</v>
      </c>
      <c r="B931">
        <v>27</v>
      </c>
      <c r="C931">
        <v>7</v>
      </c>
      <c r="D931">
        <v>409373.92</v>
      </c>
      <c r="E931">
        <v>3659236.1</v>
      </c>
      <c r="F931">
        <v>73.8</v>
      </c>
      <c r="G931">
        <v>31.3</v>
      </c>
      <c r="H931">
        <v>-0.64939000000000002</v>
      </c>
      <c r="I931">
        <v>-1.3204899999999999</v>
      </c>
    </row>
    <row r="932" spans="1:9" x14ac:dyDescent="0.25">
      <c r="A932">
        <v>932</v>
      </c>
      <c r="B932">
        <v>27</v>
      </c>
      <c r="C932">
        <v>7</v>
      </c>
      <c r="D932">
        <v>409373.92</v>
      </c>
      <c r="E932">
        <v>3659236.07</v>
      </c>
      <c r="F932">
        <v>73.7</v>
      </c>
      <c r="G932">
        <v>31.6</v>
      </c>
      <c r="H932">
        <v>-0.60282999999999998</v>
      </c>
      <c r="I932">
        <v>-1.49631</v>
      </c>
    </row>
    <row r="933" spans="1:9" x14ac:dyDescent="0.25">
      <c r="A933">
        <v>933</v>
      </c>
      <c r="B933">
        <v>27</v>
      </c>
      <c r="C933">
        <v>7</v>
      </c>
      <c r="D933">
        <v>409373.8</v>
      </c>
      <c r="E933">
        <v>3659233.41</v>
      </c>
      <c r="F933">
        <v>73.3</v>
      </c>
      <c r="G933">
        <v>30</v>
      </c>
      <c r="H933">
        <v>-1.02555</v>
      </c>
      <c r="I933">
        <v>-0.92393999999999998</v>
      </c>
    </row>
    <row r="934" spans="1:9" x14ac:dyDescent="0.25">
      <c r="A934">
        <v>934</v>
      </c>
      <c r="B934">
        <v>27</v>
      </c>
      <c r="C934">
        <v>0</v>
      </c>
      <c r="D934">
        <v>409373.73</v>
      </c>
      <c r="E934">
        <v>3659230.68</v>
      </c>
      <c r="F934">
        <v>77.400000000000006</v>
      </c>
      <c r="G934">
        <v>32.799999999999997</v>
      </c>
      <c r="H934">
        <v>0.34955000000000003</v>
      </c>
      <c r="I934">
        <v>-0.59470999999999996</v>
      </c>
    </row>
    <row r="935" spans="1:9" x14ac:dyDescent="0.25">
      <c r="A935">
        <v>935</v>
      </c>
      <c r="B935">
        <v>27</v>
      </c>
      <c r="C935">
        <v>0</v>
      </c>
      <c r="D935">
        <v>409373.81</v>
      </c>
      <c r="E935">
        <v>3659227.78</v>
      </c>
      <c r="F935">
        <v>78.599999999999994</v>
      </c>
      <c r="G935">
        <v>34.299999999999997</v>
      </c>
      <c r="H935">
        <v>0.90000999999999998</v>
      </c>
      <c r="I935">
        <v>-0.80837999999999999</v>
      </c>
    </row>
    <row r="936" spans="1:9" x14ac:dyDescent="0.25">
      <c r="A936">
        <v>936</v>
      </c>
      <c r="B936">
        <v>27</v>
      </c>
      <c r="C936">
        <v>1</v>
      </c>
      <c r="D936">
        <v>409373.76</v>
      </c>
      <c r="E936">
        <v>3659224.9</v>
      </c>
      <c r="F936">
        <v>79</v>
      </c>
      <c r="G936">
        <v>35.9</v>
      </c>
      <c r="H936">
        <v>1.32274</v>
      </c>
      <c r="I936">
        <v>-1.3807400000000001</v>
      </c>
    </row>
    <row r="937" spans="1:9" x14ac:dyDescent="0.25">
      <c r="A937">
        <v>937</v>
      </c>
      <c r="B937">
        <v>27</v>
      </c>
      <c r="C937">
        <v>0</v>
      </c>
      <c r="D937">
        <v>409373.7</v>
      </c>
      <c r="E937">
        <v>3659221.98</v>
      </c>
      <c r="F937">
        <v>78.7</v>
      </c>
      <c r="G937">
        <v>36.5</v>
      </c>
      <c r="H937">
        <v>1.39717</v>
      </c>
      <c r="I937">
        <v>-1.77153</v>
      </c>
    </row>
    <row r="938" spans="1:9" x14ac:dyDescent="0.25">
      <c r="A938">
        <v>938</v>
      </c>
      <c r="B938">
        <v>27</v>
      </c>
      <c r="C938">
        <v>0</v>
      </c>
      <c r="D938">
        <v>409373.76</v>
      </c>
      <c r="E938">
        <v>3659219.07</v>
      </c>
      <c r="F938">
        <v>78.900000000000006</v>
      </c>
      <c r="G938">
        <v>35.5</v>
      </c>
      <c r="H938">
        <v>1.21706</v>
      </c>
      <c r="I938">
        <v>-1.2376499999999999</v>
      </c>
    </row>
    <row r="939" spans="1:9" x14ac:dyDescent="0.25">
      <c r="A939">
        <v>939</v>
      </c>
      <c r="B939">
        <v>27</v>
      </c>
      <c r="C939">
        <v>0</v>
      </c>
      <c r="D939">
        <v>409373.74</v>
      </c>
      <c r="E939">
        <v>3659216.25</v>
      </c>
      <c r="F939">
        <v>78.8</v>
      </c>
      <c r="G939">
        <v>34.200000000000003</v>
      </c>
      <c r="H939">
        <v>0.91564000000000001</v>
      </c>
      <c r="I939">
        <v>-0.68452999999999997</v>
      </c>
    </row>
    <row r="940" spans="1:9" x14ac:dyDescent="0.25">
      <c r="A940">
        <v>940</v>
      </c>
      <c r="B940">
        <v>27</v>
      </c>
      <c r="C940">
        <v>0</v>
      </c>
      <c r="D940">
        <v>409373.73</v>
      </c>
      <c r="E940">
        <v>3659213.47</v>
      </c>
      <c r="F940">
        <v>79</v>
      </c>
      <c r="G940">
        <v>35.700000000000003</v>
      </c>
      <c r="H940">
        <v>1.2792399999999999</v>
      </c>
      <c r="I940">
        <v>-1.2896300000000001</v>
      </c>
    </row>
    <row r="941" spans="1:9" x14ac:dyDescent="0.25">
      <c r="A941">
        <v>941</v>
      </c>
      <c r="B941">
        <v>27</v>
      </c>
      <c r="C941">
        <v>0</v>
      </c>
      <c r="D941">
        <v>409373.76</v>
      </c>
      <c r="E941">
        <v>3659209.91</v>
      </c>
      <c r="F941">
        <v>77.900000000000006</v>
      </c>
      <c r="G941">
        <v>35.799999999999997</v>
      </c>
      <c r="H941">
        <v>1.09544</v>
      </c>
      <c r="I941">
        <v>-1.76576</v>
      </c>
    </row>
    <row r="942" spans="1:9" x14ac:dyDescent="0.25">
      <c r="A942">
        <v>942</v>
      </c>
      <c r="B942">
        <v>27</v>
      </c>
      <c r="C942">
        <v>0</v>
      </c>
      <c r="D942">
        <v>409373.79</v>
      </c>
      <c r="E942">
        <v>3659206.93</v>
      </c>
      <c r="F942">
        <v>76.400000000000006</v>
      </c>
      <c r="G942">
        <v>35</v>
      </c>
      <c r="H942">
        <v>0.64115999999999995</v>
      </c>
      <c r="I942">
        <v>-1.98844</v>
      </c>
    </row>
    <row r="943" spans="1:9" x14ac:dyDescent="0.25">
      <c r="A943">
        <v>943</v>
      </c>
      <c r="B943">
        <v>27</v>
      </c>
      <c r="C943">
        <v>2</v>
      </c>
      <c r="D943">
        <v>409373.66</v>
      </c>
      <c r="E943">
        <v>3659203.85</v>
      </c>
      <c r="F943">
        <v>79</v>
      </c>
      <c r="G943">
        <v>37.700000000000003</v>
      </c>
      <c r="H943">
        <v>1.7142200000000001</v>
      </c>
      <c r="I943">
        <v>-2.2008000000000001</v>
      </c>
    </row>
    <row r="944" spans="1:9" x14ac:dyDescent="0.25">
      <c r="A944">
        <v>944</v>
      </c>
      <c r="B944">
        <v>27</v>
      </c>
      <c r="C944">
        <v>0</v>
      </c>
      <c r="D944">
        <v>409373.6</v>
      </c>
      <c r="E944">
        <v>3659200.82</v>
      </c>
      <c r="F944">
        <v>75</v>
      </c>
      <c r="G944">
        <v>31.9</v>
      </c>
      <c r="H944">
        <v>-0.29465999999999998</v>
      </c>
      <c r="I944">
        <v>-1.12412</v>
      </c>
    </row>
    <row r="945" spans="1:9" x14ac:dyDescent="0.25">
      <c r="A945">
        <v>945</v>
      </c>
      <c r="B945">
        <v>27</v>
      </c>
      <c r="C945">
        <v>0</v>
      </c>
      <c r="D945">
        <v>409373.56</v>
      </c>
      <c r="E945">
        <v>3659197.56</v>
      </c>
      <c r="F945">
        <v>75.5</v>
      </c>
      <c r="G945">
        <v>31</v>
      </c>
      <c r="H945">
        <v>-0.39696999999999999</v>
      </c>
      <c r="I945">
        <v>-0.51837999999999995</v>
      </c>
    </row>
    <row r="946" spans="1:9" x14ac:dyDescent="0.25">
      <c r="A946">
        <v>946</v>
      </c>
      <c r="B946">
        <v>27</v>
      </c>
      <c r="C946">
        <v>0</v>
      </c>
      <c r="D946">
        <v>409373.54</v>
      </c>
      <c r="E946">
        <v>3659194.65</v>
      </c>
      <c r="F946">
        <v>76.7</v>
      </c>
      <c r="G946">
        <v>31</v>
      </c>
      <c r="H946">
        <v>-0.17272999999999999</v>
      </c>
      <c r="I946">
        <v>-4.8660000000000002E-2</v>
      </c>
    </row>
    <row r="947" spans="1:9" x14ac:dyDescent="0.25">
      <c r="A947">
        <v>947</v>
      </c>
      <c r="B947">
        <v>27</v>
      </c>
      <c r="C947">
        <v>0</v>
      </c>
      <c r="D947">
        <v>409373.57</v>
      </c>
      <c r="E947">
        <v>3659191.69</v>
      </c>
      <c r="F947">
        <v>76.3</v>
      </c>
      <c r="G947">
        <v>33</v>
      </c>
      <c r="H947">
        <v>0.1875</v>
      </c>
      <c r="I947">
        <v>-1.1164099999999999</v>
      </c>
    </row>
    <row r="948" spans="1:9" x14ac:dyDescent="0.25">
      <c r="A948">
        <v>948</v>
      </c>
      <c r="B948">
        <v>27</v>
      </c>
      <c r="C948">
        <v>0</v>
      </c>
      <c r="D948">
        <v>409373.54</v>
      </c>
      <c r="E948">
        <v>3659188.64</v>
      </c>
      <c r="F948">
        <v>78.099999999999994</v>
      </c>
      <c r="G948">
        <v>34.299999999999997</v>
      </c>
      <c r="H948">
        <v>0.80657999999999996</v>
      </c>
      <c r="I948">
        <v>-1.0040899999999999</v>
      </c>
    </row>
    <row r="949" spans="1:9" x14ac:dyDescent="0.25">
      <c r="A949">
        <v>949</v>
      </c>
      <c r="B949">
        <v>27</v>
      </c>
      <c r="C949">
        <v>0</v>
      </c>
      <c r="D949">
        <v>409373.61</v>
      </c>
      <c r="E949">
        <v>3659185.67</v>
      </c>
      <c r="F949">
        <v>77.3</v>
      </c>
      <c r="G949">
        <v>34.4</v>
      </c>
      <c r="H949">
        <v>0.67884</v>
      </c>
      <c r="I949">
        <v>-1.3628</v>
      </c>
    </row>
    <row r="950" spans="1:9" x14ac:dyDescent="0.25">
      <c r="A950">
        <v>950</v>
      </c>
      <c r="B950">
        <v>27</v>
      </c>
      <c r="C950">
        <v>0</v>
      </c>
      <c r="D950">
        <v>409373.5</v>
      </c>
      <c r="E950">
        <v>3659182.7</v>
      </c>
      <c r="F950">
        <v>76.8</v>
      </c>
      <c r="G950">
        <v>33</v>
      </c>
      <c r="H950">
        <v>0.28093000000000001</v>
      </c>
      <c r="I950">
        <v>-0.92069000000000001</v>
      </c>
    </row>
    <row r="951" spans="1:9" x14ac:dyDescent="0.25">
      <c r="A951">
        <v>951</v>
      </c>
      <c r="B951">
        <v>27</v>
      </c>
      <c r="C951">
        <v>0</v>
      </c>
      <c r="D951">
        <v>409373.56</v>
      </c>
      <c r="E951">
        <v>3659179.66</v>
      </c>
      <c r="F951">
        <v>76.599999999999994</v>
      </c>
      <c r="G951">
        <v>34.299999999999997</v>
      </c>
      <c r="H951">
        <v>0.52629000000000004</v>
      </c>
      <c r="I951">
        <v>-1.59124</v>
      </c>
    </row>
    <row r="952" spans="1:9" x14ac:dyDescent="0.25">
      <c r="A952">
        <v>952</v>
      </c>
      <c r="B952">
        <v>27</v>
      </c>
      <c r="C952">
        <v>0</v>
      </c>
      <c r="D952">
        <v>409373.33</v>
      </c>
      <c r="E952">
        <v>3659176.64</v>
      </c>
      <c r="F952">
        <v>74.599999999999994</v>
      </c>
      <c r="G952">
        <v>33.200000000000003</v>
      </c>
      <c r="H952">
        <v>-8.6669999999999997E-2</v>
      </c>
      <c r="I952">
        <v>-1.87296</v>
      </c>
    </row>
    <row r="953" spans="1:9" x14ac:dyDescent="0.25">
      <c r="A953">
        <v>953</v>
      </c>
      <c r="B953">
        <v>27</v>
      </c>
      <c r="C953">
        <v>0</v>
      </c>
      <c r="D953">
        <v>409373.36</v>
      </c>
      <c r="E953">
        <v>3659173.69</v>
      </c>
      <c r="F953">
        <v>74.7</v>
      </c>
      <c r="G953">
        <v>33.700000000000003</v>
      </c>
      <c r="H953">
        <v>4.0759999999999998E-2</v>
      </c>
      <c r="I953">
        <v>-2.0616099999999999</v>
      </c>
    </row>
    <row r="954" spans="1:9" x14ac:dyDescent="0.25">
      <c r="A954">
        <v>954</v>
      </c>
      <c r="B954">
        <v>27</v>
      </c>
      <c r="C954">
        <v>0</v>
      </c>
      <c r="D954">
        <v>409373.26</v>
      </c>
      <c r="E954">
        <v>3659170.69</v>
      </c>
      <c r="F954">
        <v>76.099999999999994</v>
      </c>
      <c r="G954">
        <v>33.5</v>
      </c>
      <c r="H954">
        <v>0.25886999999999999</v>
      </c>
      <c r="I954">
        <v>-1.42249</v>
      </c>
    </row>
    <row r="955" spans="1:9" x14ac:dyDescent="0.25">
      <c r="A955">
        <v>955</v>
      </c>
      <c r="B955">
        <v>27</v>
      </c>
      <c r="C955">
        <v>0</v>
      </c>
      <c r="D955">
        <v>409373.27</v>
      </c>
      <c r="E955">
        <v>3659167.65</v>
      </c>
      <c r="F955">
        <v>76.099999999999994</v>
      </c>
      <c r="G955">
        <v>35.1</v>
      </c>
      <c r="H955">
        <v>0.60685</v>
      </c>
      <c r="I955">
        <v>-2.15143</v>
      </c>
    </row>
    <row r="956" spans="1:9" x14ac:dyDescent="0.25">
      <c r="A956">
        <v>956</v>
      </c>
      <c r="B956">
        <v>27</v>
      </c>
      <c r="C956">
        <v>0</v>
      </c>
      <c r="D956">
        <v>409373.17</v>
      </c>
      <c r="E956">
        <v>3659164.66</v>
      </c>
      <c r="F956">
        <v>76.5</v>
      </c>
      <c r="G956">
        <v>32.299999999999997</v>
      </c>
      <c r="H956">
        <v>7.263E-2</v>
      </c>
      <c r="I956">
        <v>-0.71921000000000002</v>
      </c>
    </row>
    <row r="957" spans="1:9" x14ac:dyDescent="0.25">
      <c r="A957">
        <v>957</v>
      </c>
      <c r="B957">
        <v>27</v>
      </c>
      <c r="C957">
        <v>0</v>
      </c>
      <c r="D957">
        <v>409373.13</v>
      </c>
      <c r="E957">
        <v>3659161.67</v>
      </c>
      <c r="F957">
        <v>73.900000000000006</v>
      </c>
      <c r="G957">
        <v>32.200000000000003</v>
      </c>
      <c r="H957">
        <v>-0.43496000000000001</v>
      </c>
      <c r="I957">
        <v>-1.6913800000000001</v>
      </c>
    </row>
    <row r="958" spans="1:9" x14ac:dyDescent="0.25">
      <c r="A958">
        <v>958</v>
      </c>
      <c r="B958">
        <v>27</v>
      </c>
      <c r="C958">
        <v>0</v>
      </c>
      <c r="D958">
        <v>409373.18</v>
      </c>
      <c r="E958">
        <v>3659158.79</v>
      </c>
      <c r="F958">
        <v>74.599999999999994</v>
      </c>
      <c r="G958">
        <v>33.5</v>
      </c>
      <c r="H958">
        <v>-2.1420000000000002E-2</v>
      </c>
      <c r="I958">
        <v>-2.0096400000000001</v>
      </c>
    </row>
    <row r="959" spans="1:9" x14ac:dyDescent="0.25">
      <c r="A959">
        <v>959</v>
      </c>
      <c r="B959">
        <v>27</v>
      </c>
      <c r="C959">
        <v>0</v>
      </c>
      <c r="D959">
        <v>409372.97</v>
      </c>
      <c r="E959">
        <v>3659155.85</v>
      </c>
      <c r="F959">
        <v>76.099999999999994</v>
      </c>
      <c r="G959">
        <v>34.6</v>
      </c>
      <c r="H959">
        <v>0.49809999999999999</v>
      </c>
      <c r="I959">
        <v>-1.92364</v>
      </c>
    </row>
    <row r="960" spans="1:9" x14ac:dyDescent="0.25">
      <c r="A960">
        <v>960</v>
      </c>
      <c r="B960">
        <v>27</v>
      </c>
      <c r="C960">
        <v>0</v>
      </c>
      <c r="D960">
        <v>409373.13</v>
      </c>
      <c r="E960">
        <v>3659152.99</v>
      </c>
      <c r="F960">
        <v>77.5</v>
      </c>
      <c r="G960">
        <v>36.1</v>
      </c>
      <c r="H960">
        <v>1.0859399999999999</v>
      </c>
      <c r="I960">
        <v>-2.0590099999999998</v>
      </c>
    </row>
    <row r="961" spans="1:9" x14ac:dyDescent="0.25">
      <c r="A961">
        <v>961</v>
      </c>
      <c r="B961">
        <v>27</v>
      </c>
      <c r="C961">
        <v>0</v>
      </c>
      <c r="D961">
        <v>409373</v>
      </c>
      <c r="E961">
        <v>3659150.08</v>
      </c>
      <c r="F961">
        <v>75.599999999999994</v>
      </c>
      <c r="G961">
        <v>34.700000000000003</v>
      </c>
      <c r="H961">
        <v>0.42642000000000002</v>
      </c>
      <c r="I961">
        <v>-2.1649099999999999</v>
      </c>
    </row>
    <row r="962" spans="1:9" x14ac:dyDescent="0.25">
      <c r="A962">
        <v>962</v>
      </c>
      <c r="B962">
        <v>27</v>
      </c>
      <c r="C962">
        <v>0</v>
      </c>
      <c r="D962">
        <v>409372.98</v>
      </c>
      <c r="E962">
        <v>3659147.12</v>
      </c>
      <c r="F962">
        <v>77.7</v>
      </c>
      <c r="G962">
        <v>34.5</v>
      </c>
      <c r="H962">
        <v>0.77532999999999996</v>
      </c>
      <c r="I962">
        <v>-1.2517799999999999</v>
      </c>
    </row>
    <row r="963" spans="1:9" x14ac:dyDescent="0.25">
      <c r="A963">
        <v>963</v>
      </c>
      <c r="B963">
        <v>27</v>
      </c>
      <c r="C963">
        <v>0</v>
      </c>
      <c r="D963">
        <v>409373.04</v>
      </c>
      <c r="E963">
        <v>3659144.14</v>
      </c>
      <c r="F963">
        <v>77.400000000000006</v>
      </c>
      <c r="G963">
        <v>34.4</v>
      </c>
      <c r="H963">
        <v>0.69752999999999998</v>
      </c>
      <c r="I963">
        <v>-1.3236600000000001</v>
      </c>
    </row>
    <row r="964" spans="1:9" x14ac:dyDescent="0.25">
      <c r="A964">
        <v>964</v>
      </c>
      <c r="B964">
        <v>27</v>
      </c>
      <c r="C964">
        <v>0</v>
      </c>
      <c r="D964">
        <v>409372.97</v>
      </c>
      <c r="E964">
        <v>3659141.18</v>
      </c>
      <c r="F964">
        <v>77.3</v>
      </c>
      <c r="G964">
        <v>34.5</v>
      </c>
      <c r="H964">
        <v>0.70059000000000005</v>
      </c>
      <c r="I964">
        <v>-1.4083600000000001</v>
      </c>
    </row>
    <row r="965" spans="1:9" x14ac:dyDescent="0.25">
      <c r="A965">
        <v>965</v>
      </c>
      <c r="B965">
        <v>27</v>
      </c>
      <c r="C965">
        <v>0</v>
      </c>
      <c r="D965">
        <v>409372.95</v>
      </c>
      <c r="E965">
        <v>3659138.24</v>
      </c>
      <c r="F965">
        <v>77.7</v>
      </c>
      <c r="G965">
        <v>34.799999999999997</v>
      </c>
      <c r="H965">
        <v>0.84057999999999999</v>
      </c>
      <c r="I965">
        <v>-1.38846</v>
      </c>
    </row>
    <row r="966" spans="1:9" x14ac:dyDescent="0.25">
      <c r="A966">
        <v>966</v>
      </c>
      <c r="B966">
        <v>27</v>
      </c>
      <c r="C966">
        <v>0</v>
      </c>
      <c r="D966">
        <v>409372.93</v>
      </c>
      <c r="E966">
        <v>3659135.3</v>
      </c>
      <c r="F966">
        <v>77</v>
      </c>
      <c r="G966">
        <v>35.700000000000003</v>
      </c>
      <c r="H966">
        <v>0.90551999999999999</v>
      </c>
      <c r="I966">
        <v>-2.0724900000000002</v>
      </c>
    </row>
    <row r="967" spans="1:9" x14ac:dyDescent="0.25">
      <c r="A967">
        <v>967</v>
      </c>
      <c r="B967">
        <v>27</v>
      </c>
      <c r="C967">
        <v>7</v>
      </c>
      <c r="D967">
        <v>409372.88</v>
      </c>
      <c r="E967">
        <v>3659132.36</v>
      </c>
      <c r="F967">
        <v>77.900000000000006</v>
      </c>
      <c r="G967">
        <v>36.5</v>
      </c>
      <c r="H967">
        <v>1.2476799999999999</v>
      </c>
      <c r="I967">
        <v>-2.08467</v>
      </c>
    </row>
    <row r="968" spans="1:9" x14ac:dyDescent="0.25">
      <c r="A968">
        <v>968</v>
      </c>
      <c r="B968">
        <v>27</v>
      </c>
      <c r="C968">
        <v>7</v>
      </c>
      <c r="D968">
        <v>409372.91</v>
      </c>
      <c r="E968">
        <v>3659128.66</v>
      </c>
      <c r="F968">
        <v>79.3</v>
      </c>
      <c r="G968">
        <v>36.6</v>
      </c>
      <c r="H968">
        <v>1.53104</v>
      </c>
      <c r="I968">
        <v>-1.58223</v>
      </c>
    </row>
    <row r="969" spans="1:9" x14ac:dyDescent="0.25">
      <c r="A969">
        <v>969</v>
      </c>
      <c r="B969">
        <v>28</v>
      </c>
      <c r="C969">
        <v>7</v>
      </c>
      <c r="D969">
        <v>409377.04</v>
      </c>
      <c r="E969">
        <v>3659127.01</v>
      </c>
      <c r="F969">
        <v>82.6</v>
      </c>
      <c r="G969">
        <v>38.1</v>
      </c>
      <c r="H969">
        <v>2.4739100000000001</v>
      </c>
      <c r="I969">
        <v>-0.97387999999999997</v>
      </c>
    </row>
    <row r="970" spans="1:9" x14ac:dyDescent="0.25">
      <c r="A970">
        <v>970</v>
      </c>
      <c r="B970">
        <v>28</v>
      </c>
      <c r="C970">
        <v>7</v>
      </c>
      <c r="D970">
        <v>409377.01</v>
      </c>
      <c r="E970">
        <v>3659128.09</v>
      </c>
      <c r="F970">
        <v>77.599999999999994</v>
      </c>
      <c r="G970">
        <v>39.700000000000003</v>
      </c>
      <c r="H970">
        <v>1.88758</v>
      </c>
      <c r="I970">
        <v>-3.6599900000000001</v>
      </c>
    </row>
    <row r="971" spans="1:9" x14ac:dyDescent="0.25">
      <c r="A971">
        <v>971</v>
      </c>
      <c r="B971">
        <v>28</v>
      </c>
      <c r="C971">
        <v>7</v>
      </c>
      <c r="D971">
        <v>409377.04</v>
      </c>
      <c r="E971">
        <v>3659131.81</v>
      </c>
      <c r="F971">
        <v>77.900000000000006</v>
      </c>
      <c r="G971">
        <v>37.6</v>
      </c>
      <c r="H971">
        <v>1.48692</v>
      </c>
      <c r="I971">
        <v>-2.58582</v>
      </c>
    </row>
    <row r="972" spans="1:9" x14ac:dyDescent="0.25">
      <c r="A972">
        <v>972</v>
      </c>
      <c r="B972">
        <v>28</v>
      </c>
      <c r="C972">
        <v>7</v>
      </c>
      <c r="D972">
        <v>409377.08</v>
      </c>
      <c r="E972">
        <v>3659135.06</v>
      </c>
      <c r="F972">
        <v>77.7</v>
      </c>
      <c r="G972">
        <v>35.9</v>
      </c>
      <c r="H972">
        <v>1.07982</v>
      </c>
      <c r="I972">
        <v>-1.88961</v>
      </c>
    </row>
    <row r="973" spans="1:9" x14ac:dyDescent="0.25">
      <c r="A973">
        <v>973</v>
      </c>
      <c r="B973">
        <v>28</v>
      </c>
      <c r="C973">
        <v>7</v>
      </c>
      <c r="D973">
        <v>409377.1</v>
      </c>
      <c r="E973">
        <v>3659138.23</v>
      </c>
      <c r="F973">
        <v>78.5</v>
      </c>
      <c r="G973">
        <v>35.700000000000003</v>
      </c>
      <c r="H973">
        <v>1.18581</v>
      </c>
      <c r="I973">
        <v>-1.4853400000000001</v>
      </c>
    </row>
    <row r="974" spans="1:9" x14ac:dyDescent="0.25">
      <c r="A974">
        <v>974</v>
      </c>
      <c r="B974">
        <v>28</v>
      </c>
      <c r="C974">
        <v>7</v>
      </c>
      <c r="D974">
        <v>409377.1</v>
      </c>
      <c r="E974">
        <v>3659141.46</v>
      </c>
      <c r="F974">
        <v>79.8</v>
      </c>
      <c r="G974">
        <v>35.4</v>
      </c>
      <c r="H974">
        <v>1.36348</v>
      </c>
      <c r="I974">
        <v>-0.83979999999999999</v>
      </c>
    </row>
    <row r="975" spans="1:9" x14ac:dyDescent="0.25">
      <c r="A975">
        <v>975</v>
      </c>
      <c r="B975">
        <v>28</v>
      </c>
      <c r="C975">
        <v>7</v>
      </c>
      <c r="D975">
        <v>409377.19</v>
      </c>
      <c r="E975">
        <v>3659144.62</v>
      </c>
      <c r="F975">
        <v>79</v>
      </c>
      <c r="G975">
        <v>35.9</v>
      </c>
      <c r="H975">
        <v>1.32274</v>
      </c>
      <c r="I975">
        <v>-1.3807400000000001</v>
      </c>
    </row>
    <row r="976" spans="1:9" x14ac:dyDescent="0.25">
      <c r="A976">
        <v>976</v>
      </c>
      <c r="B976">
        <v>28</v>
      </c>
      <c r="C976">
        <v>7</v>
      </c>
      <c r="D976">
        <v>409377.12</v>
      </c>
      <c r="E976">
        <v>3659147.53</v>
      </c>
      <c r="F976">
        <v>78.2</v>
      </c>
      <c r="G976">
        <v>35.4</v>
      </c>
      <c r="H976">
        <v>1.0645</v>
      </c>
      <c r="I976">
        <v>-1.4661</v>
      </c>
    </row>
    <row r="977" spans="1:9" x14ac:dyDescent="0.25">
      <c r="A977">
        <v>977</v>
      </c>
      <c r="B977">
        <v>28</v>
      </c>
      <c r="C977">
        <v>7</v>
      </c>
      <c r="D977">
        <v>409377.13</v>
      </c>
      <c r="E977">
        <v>3659156.29</v>
      </c>
      <c r="F977">
        <v>78.599999999999994</v>
      </c>
      <c r="G977">
        <v>36</v>
      </c>
      <c r="H977">
        <v>1.2697400000000001</v>
      </c>
      <c r="I977">
        <v>-1.5828800000000001</v>
      </c>
    </row>
    <row r="978" spans="1:9" x14ac:dyDescent="0.25">
      <c r="A978">
        <v>978</v>
      </c>
      <c r="B978">
        <v>28</v>
      </c>
      <c r="C978">
        <v>7</v>
      </c>
      <c r="D978">
        <v>409377.27</v>
      </c>
      <c r="E978">
        <v>3659159.26</v>
      </c>
      <c r="F978">
        <v>75.599999999999994</v>
      </c>
      <c r="G978">
        <v>35</v>
      </c>
      <c r="H978">
        <v>0.49167</v>
      </c>
      <c r="I978">
        <v>-2.30159</v>
      </c>
    </row>
    <row r="979" spans="1:9" x14ac:dyDescent="0.25">
      <c r="A979">
        <v>979</v>
      </c>
      <c r="B979">
        <v>28</v>
      </c>
      <c r="C979">
        <v>7</v>
      </c>
      <c r="D979">
        <v>409377.39</v>
      </c>
      <c r="E979">
        <v>3659162.36</v>
      </c>
      <c r="F979">
        <v>78.2</v>
      </c>
      <c r="G979">
        <v>34.799999999999997</v>
      </c>
      <c r="H979">
        <v>0.93401000000000001</v>
      </c>
      <c r="I979">
        <v>-1.1927399999999999</v>
      </c>
    </row>
    <row r="980" spans="1:9" x14ac:dyDescent="0.25">
      <c r="A980">
        <v>980</v>
      </c>
      <c r="B980">
        <v>28</v>
      </c>
      <c r="C980">
        <v>7</v>
      </c>
      <c r="D980">
        <v>409377.35</v>
      </c>
      <c r="E980">
        <v>3659165.37</v>
      </c>
      <c r="F980">
        <v>77.7</v>
      </c>
      <c r="G980">
        <v>33.799999999999997</v>
      </c>
      <c r="H980">
        <v>0.62309000000000003</v>
      </c>
      <c r="I980">
        <v>-0.93286999999999998</v>
      </c>
    </row>
    <row r="981" spans="1:9" x14ac:dyDescent="0.25">
      <c r="A981">
        <v>981</v>
      </c>
      <c r="B981">
        <v>28</v>
      </c>
      <c r="C981">
        <v>7</v>
      </c>
      <c r="D981">
        <v>409377.48</v>
      </c>
      <c r="E981">
        <v>3659168.36</v>
      </c>
      <c r="F981">
        <v>77.3</v>
      </c>
      <c r="G981">
        <v>34.1</v>
      </c>
      <c r="H981">
        <v>0.61358999999999997</v>
      </c>
      <c r="I981">
        <v>-1.2261200000000001</v>
      </c>
    </row>
    <row r="982" spans="1:9" x14ac:dyDescent="0.25">
      <c r="A982">
        <v>982</v>
      </c>
      <c r="B982">
        <v>28</v>
      </c>
      <c r="C982">
        <v>7</v>
      </c>
      <c r="D982">
        <v>409377.46</v>
      </c>
      <c r="E982">
        <v>3659171.31</v>
      </c>
      <c r="F982">
        <v>77</v>
      </c>
      <c r="G982">
        <v>35.4</v>
      </c>
      <c r="H982">
        <v>0.84026999999999996</v>
      </c>
      <c r="I982">
        <v>-1.9358200000000001</v>
      </c>
    </row>
    <row r="983" spans="1:9" x14ac:dyDescent="0.25">
      <c r="A983">
        <v>983</v>
      </c>
      <c r="B983">
        <v>28</v>
      </c>
      <c r="C983">
        <v>7</v>
      </c>
      <c r="D983">
        <v>409377.42</v>
      </c>
      <c r="E983">
        <v>3659174.43</v>
      </c>
      <c r="F983">
        <v>80.2</v>
      </c>
      <c r="G983">
        <v>36.299999999999997</v>
      </c>
      <c r="H983">
        <v>1.6339699999999999</v>
      </c>
      <c r="I983">
        <v>-1.0932599999999999</v>
      </c>
    </row>
    <row r="984" spans="1:9" x14ac:dyDescent="0.25">
      <c r="A984">
        <v>984</v>
      </c>
      <c r="B984">
        <v>28</v>
      </c>
      <c r="C984">
        <v>7</v>
      </c>
      <c r="D984">
        <v>409377.5</v>
      </c>
      <c r="E984">
        <v>3659177.44</v>
      </c>
      <c r="F984">
        <v>78.599999999999994</v>
      </c>
      <c r="G984">
        <v>37.200000000000003</v>
      </c>
      <c r="H984">
        <v>1.5307299999999999</v>
      </c>
      <c r="I984">
        <v>-2.1295799999999998</v>
      </c>
    </row>
    <row r="985" spans="1:9" x14ac:dyDescent="0.25">
      <c r="A985">
        <v>985</v>
      </c>
      <c r="B985">
        <v>28</v>
      </c>
      <c r="C985">
        <v>7</v>
      </c>
      <c r="D985">
        <v>409377.64</v>
      </c>
      <c r="E985">
        <v>3659180.4</v>
      </c>
      <c r="F985">
        <v>78.5</v>
      </c>
      <c r="G985">
        <v>35.700000000000003</v>
      </c>
      <c r="H985">
        <v>1.18581</v>
      </c>
      <c r="I985">
        <v>-1.4853400000000001</v>
      </c>
    </row>
    <row r="986" spans="1:9" x14ac:dyDescent="0.25">
      <c r="A986">
        <v>986</v>
      </c>
      <c r="B986">
        <v>28</v>
      </c>
      <c r="C986">
        <v>7</v>
      </c>
      <c r="D986">
        <v>409377.67</v>
      </c>
      <c r="E986">
        <v>3659184.29</v>
      </c>
      <c r="F986">
        <v>78.8</v>
      </c>
      <c r="G986">
        <v>36.200000000000003</v>
      </c>
      <c r="H986">
        <v>1.3506100000000001</v>
      </c>
      <c r="I986">
        <v>-1.59571</v>
      </c>
    </row>
    <row r="987" spans="1:9" x14ac:dyDescent="0.25">
      <c r="A987">
        <v>987</v>
      </c>
      <c r="B987">
        <v>28</v>
      </c>
      <c r="C987">
        <v>7</v>
      </c>
      <c r="D987">
        <v>409377.67</v>
      </c>
      <c r="E987">
        <v>3659186.42</v>
      </c>
      <c r="F987">
        <v>79.400000000000006</v>
      </c>
      <c r="G987">
        <v>37.5</v>
      </c>
      <c r="H987">
        <v>1.74546</v>
      </c>
      <c r="I987">
        <v>-1.9531099999999999</v>
      </c>
    </row>
    <row r="988" spans="1:9" x14ac:dyDescent="0.25">
      <c r="A988">
        <v>988</v>
      </c>
      <c r="B988">
        <v>28</v>
      </c>
      <c r="C988">
        <v>7</v>
      </c>
      <c r="D988">
        <v>409377.71</v>
      </c>
      <c r="E988">
        <v>3659189.44</v>
      </c>
      <c r="F988">
        <v>80.7</v>
      </c>
      <c r="G988">
        <v>39.6</v>
      </c>
      <c r="H988">
        <v>2.4451100000000001</v>
      </c>
      <c r="I988">
        <v>-2.4009900000000002</v>
      </c>
    </row>
    <row r="989" spans="1:9" x14ac:dyDescent="0.25">
      <c r="A989">
        <v>989</v>
      </c>
      <c r="B989">
        <v>28</v>
      </c>
      <c r="C989">
        <v>7</v>
      </c>
      <c r="D989">
        <v>409377.71</v>
      </c>
      <c r="E989">
        <v>3659193.33</v>
      </c>
      <c r="F989">
        <v>83.4</v>
      </c>
      <c r="G989">
        <v>38.799999999999997</v>
      </c>
      <c r="H989">
        <v>2.7756400000000001</v>
      </c>
      <c r="I989">
        <v>-0.97963999999999996</v>
      </c>
    </row>
    <row r="990" spans="1:9" x14ac:dyDescent="0.25">
      <c r="A990">
        <v>990</v>
      </c>
      <c r="B990">
        <v>28</v>
      </c>
      <c r="C990">
        <v>7</v>
      </c>
      <c r="D990">
        <v>409377.77</v>
      </c>
      <c r="E990">
        <v>3659196.43</v>
      </c>
      <c r="F990">
        <v>80.7</v>
      </c>
      <c r="G990">
        <v>36.9</v>
      </c>
      <c r="H990">
        <v>1.85789</v>
      </c>
      <c r="I990">
        <v>-1.1709000000000001</v>
      </c>
    </row>
    <row r="991" spans="1:9" x14ac:dyDescent="0.25">
      <c r="A991">
        <v>991</v>
      </c>
      <c r="B991">
        <v>28</v>
      </c>
      <c r="C991">
        <v>7</v>
      </c>
      <c r="D991">
        <v>409377.78</v>
      </c>
      <c r="E991">
        <v>3659199.56</v>
      </c>
      <c r="F991">
        <v>79.400000000000006</v>
      </c>
      <c r="G991">
        <v>36.9</v>
      </c>
      <c r="H991">
        <v>1.61497</v>
      </c>
      <c r="I991">
        <v>-1.6797599999999999</v>
      </c>
    </row>
    <row r="992" spans="1:9" x14ac:dyDescent="0.25">
      <c r="A992">
        <v>992</v>
      </c>
      <c r="B992">
        <v>28</v>
      </c>
      <c r="C992">
        <v>7</v>
      </c>
      <c r="D992">
        <v>409377.76</v>
      </c>
      <c r="E992">
        <v>3659202.58</v>
      </c>
      <c r="F992">
        <v>79.7</v>
      </c>
      <c r="G992">
        <v>35</v>
      </c>
      <c r="H992">
        <v>1.2578</v>
      </c>
      <c r="I992">
        <v>-0.69671000000000005</v>
      </c>
    </row>
    <row r="993" spans="1:9" x14ac:dyDescent="0.25">
      <c r="A993">
        <v>993</v>
      </c>
      <c r="B993">
        <v>28</v>
      </c>
      <c r="C993">
        <v>7</v>
      </c>
      <c r="D993">
        <v>409377.77</v>
      </c>
      <c r="E993">
        <v>3659205.61</v>
      </c>
      <c r="F993">
        <v>77.8</v>
      </c>
      <c r="G993">
        <v>35.799999999999997</v>
      </c>
      <c r="H993">
        <v>1.0767500000000001</v>
      </c>
      <c r="I993">
        <v>-1.80491</v>
      </c>
    </row>
    <row r="994" spans="1:9" x14ac:dyDescent="0.25">
      <c r="A994">
        <v>994</v>
      </c>
      <c r="B994">
        <v>28</v>
      </c>
      <c r="C994">
        <v>7</v>
      </c>
      <c r="D994">
        <v>409377.79</v>
      </c>
      <c r="E994">
        <v>3659208.72</v>
      </c>
      <c r="F994">
        <v>78.099999999999994</v>
      </c>
      <c r="G994">
        <v>37.1</v>
      </c>
      <c r="H994">
        <v>1.4155500000000001</v>
      </c>
      <c r="I994">
        <v>-2.2797399999999999</v>
      </c>
    </row>
    <row r="995" spans="1:9" x14ac:dyDescent="0.25">
      <c r="A995">
        <v>995</v>
      </c>
      <c r="B995">
        <v>28</v>
      </c>
      <c r="C995">
        <v>7</v>
      </c>
      <c r="D995">
        <v>409377.82</v>
      </c>
      <c r="E995">
        <v>3659211.9</v>
      </c>
      <c r="F995">
        <v>79.599999999999994</v>
      </c>
      <c r="G995">
        <v>36</v>
      </c>
      <c r="H995">
        <v>1.4565999999999999</v>
      </c>
      <c r="I995">
        <v>-1.1914400000000001</v>
      </c>
    </row>
    <row r="996" spans="1:9" x14ac:dyDescent="0.25">
      <c r="A996">
        <v>996</v>
      </c>
      <c r="B996">
        <v>28</v>
      </c>
      <c r="C996">
        <v>7</v>
      </c>
      <c r="D996">
        <v>409377.84</v>
      </c>
      <c r="E996">
        <v>3659214.91</v>
      </c>
      <c r="F996">
        <v>80.099999999999994</v>
      </c>
      <c r="G996">
        <v>36</v>
      </c>
      <c r="H996">
        <v>1.55003</v>
      </c>
      <c r="I996">
        <v>-0.99573</v>
      </c>
    </row>
    <row r="997" spans="1:9" x14ac:dyDescent="0.25">
      <c r="A997">
        <v>997</v>
      </c>
      <c r="B997">
        <v>28</v>
      </c>
      <c r="C997">
        <v>7</v>
      </c>
      <c r="D997">
        <v>409377.8</v>
      </c>
      <c r="E997">
        <v>3659218.04</v>
      </c>
      <c r="F997">
        <v>79.2</v>
      </c>
      <c r="G997">
        <v>35.1</v>
      </c>
      <c r="H997">
        <v>1.1861200000000001</v>
      </c>
      <c r="I997">
        <v>-0.93798999999999999</v>
      </c>
    </row>
    <row r="998" spans="1:9" x14ac:dyDescent="0.25">
      <c r="A998">
        <v>998</v>
      </c>
      <c r="B998">
        <v>28</v>
      </c>
      <c r="C998">
        <v>7</v>
      </c>
      <c r="D998">
        <v>409377.83</v>
      </c>
      <c r="E998">
        <v>3659221.23</v>
      </c>
      <c r="F998">
        <v>81.2</v>
      </c>
      <c r="G998">
        <v>36.799999999999997</v>
      </c>
      <c r="H998">
        <v>1.92957</v>
      </c>
      <c r="I998">
        <v>-0.92962</v>
      </c>
    </row>
    <row r="999" spans="1:9" x14ac:dyDescent="0.25">
      <c r="A999">
        <v>999</v>
      </c>
      <c r="B999">
        <v>28</v>
      </c>
      <c r="C999">
        <v>7</v>
      </c>
      <c r="D999">
        <v>409377.87</v>
      </c>
      <c r="E999">
        <v>3659224.6</v>
      </c>
      <c r="F999">
        <v>81</v>
      </c>
      <c r="G999">
        <v>37.1</v>
      </c>
      <c r="H999">
        <v>1.9574499999999999</v>
      </c>
      <c r="I999">
        <v>-1.1445799999999999</v>
      </c>
    </row>
    <row r="1000" spans="1:9" x14ac:dyDescent="0.25">
      <c r="A1000">
        <v>1000</v>
      </c>
      <c r="B1000">
        <v>28</v>
      </c>
      <c r="C1000">
        <v>7</v>
      </c>
      <c r="D1000">
        <v>409377.78</v>
      </c>
      <c r="E1000">
        <v>3659227.67</v>
      </c>
      <c r="F1000">
        <v>81.400000000000006</v>
      </c>
      <c r="G1000">
        <v>37.6</v>
      </c>
      <c r="H1000">
        <v>2.1409400000000001</v>
      </c>
      <c r="I1000">
        <v>-1.2158</v>
      </c>
    </row>
    <row r="1001" spans="1:9" x14ac:dyDescent="0.25">
      <c r="A1001">
        <v>1001</v>
      </c>
      <c r="B1001">
        <v>28</v>
      </c>
      <c r="C1001">
        <v>7</v>
      </c>
      <c r="D1001">
        <v>409377.84</v>
      </c>
      <c r="E1001">
        <v>3659230.76</v>
      </c>
      <c r="F1001">
        <v>83</v>
      </c>
      <c r="G1001">
        <v>37.6</v>
      </c>
      <c r="H1001">
        <v>2.4399099999999998</v>
      </c>
      <c r="I1001">
        <v>-0.58950999999999998</v>
      </c>
    </row>
    <row r="1002" spans="1:9" x14ac:dyDescent="0.25">
      <c r="A1002">
        <v>1002</v>
      </c>
      <c r="B1002">
        <v>28</v>
      </c>
      <c r="C1002">
        <v>7</v>
      </c>
      <c r="D1002">
        <v>409377.93</v>
      </c>
      <c r="E1002">
        <v>3659233.58</v>
      </c>
      <c r="F1002">
        <v>77.2</v>
      </c>
      <c r="G1002">
        <v>34.5</v>
      </c>
      <c r="H1002">
        <v>0.68189999999999995</v>
      </c>
      <c r="I1002">
        <v>-1.4475</v>
      </c>
    </row>
    <row r="1003" spans="1:9" x14ac:dyDescent="0.25">
      <c r="A1003">
        <v>1003</v>
      </c>
      <c r="B1003">
        <v>28</v>
      </c>
      <c r="C1003">
        <v>7</v>
      </c>
      <c r="D1003">
        <v>409377.95</v>
      </c>
      <c r="E1003">
        <v>3659235.8</v>
      </c>
      <c r="F1003">
        <v>77</v>
      </c>
      <c r="G1003">
        <v>31.8</v>
      </c>
      <c r="H1003">
        <v>5.731E-2</v>
      </c>
      <c r="I1003">
        <v>-0.29570000000000002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SoilDF</vt:lpstr>
      <vt:lpstr>F105-2008-Texture</vt:lpstr>
      <vt:lpstr>F105-2008-Extractions</vt:lpstr>
      <vt:lpstr>2002d092_EM38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2025-06-23T21:42:18Z</dcterms:created>
  <dcterms:modified xsi:type="dcterms:W3CDTF">2026-01-15T21:53:56Z</dcterms:modified>
</cp:coreProperties>
</file>