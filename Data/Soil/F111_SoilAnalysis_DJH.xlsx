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Soil\"/>
    </mc:Choice>
  </mc:AlternateContent>
  <xr:revisionPtr revIDLastSave="0" documentId="13_ncr:1_{D085FF35-3286-463F-B074-D27494DAD3B5}" xr6:coauthVersionLast="47" xr6:coauthVersionMax="47" xr10:uidLastSave="{00000000-0000-0000-0000-000000000000}"/>
  <bookViews>
    <workbookView xWindow="-1350" yWindow="-18840" windowWidth="17565" windowHeight="18285" xr2:uid="{5E5606F5-8549-4175-8359-A4CD262221DE}"/>
  </bookViews>
  <sheets>
    <sheet name="SoilDF" sheetId="1" r:id="rId1"/>
    <sheet name="F111-2006-2007-Camelina" sheetId="2" r:id="rId2"/>
    <sheet name="F111-2007-Cotton" sheetId="3" r:id="rId3"/>
    <sheet name="F111-2009-Whea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" i="4"/>
  <c r="J6" i="4"/>
  <c r="L6" i="4"/>
  <c r="M6" i="4"/>
  <c r="O6" i="4"/>
  <c r="N6" i="4" s="1"/>
  <c r="F7" i="4"/>
  <c r="H7" i="4"/>
  <c r="J7" i="4"/>
  <c r="L7" i="4"/>
  <c r="M7" i="4"/>
  <c r="O7" i="4"/>
  <c r="N7" i="4" s="1"/>
  <c r="F8" i="4"/>
  <c r="H8" i="4"/>
  <c r="J8" i="4"/>
  <c r="L8" i="4"/>
  <c r="M8" i="4"/>
  <c r="O8" i="4"/>
  <c r="N8" i="4" s="1"/>
  <c r="F9" i="4"/>
  <c r="H9" i="4"/>
  <c r="J9" i="4"/>
  <c r="L9" i="4"/>
  <c r="M9" i="4"/>
  <c r="O9" i="4"/>
  <c r="N9" i="4" s="1"/>
  <c r="F10" i="4"/>
  <c r="H10" i="4"/>
  <c r="M10" i="4" s="1"/>
  <c r="J10" i="4"/>
  <c r="L10" i="4"/>
  <c r="O10" i="4" s="1"/>
  <c r="F11" i="4"/>
  <c r="H11" i="4"/>
  <c r="J11" i="4"/>
  <c r="L11" i="4"/>
  <c r="M11" i="4"/>
  <c r="O11" i="4"/>
  <c r="N11" i="4" s="1"/>
  <c r="F15" i="4"/>
  <c r="H15" i="4"/>
  <c r="J15" i="4"/>
  <c r="L15" i="4"/>
  <c r="M15" i="4"/>
  <c r="O15" i="4"/>
  <c r="N15" i="4" s="1"/>
  <c r="F16" i="4"/>
  <c r="H16" i="4"/>
  <c r="J16" i="4"/>
  <c r="L16" i="4"/>
  <c r="M16" i="4"/>
  <c r="O16" i="4"/>
  <c r="N16" i="4" s="1"/>
  <c r="F17" i="4"/>
  <c r="H17" i="4" s="1"/>
  <c r="M17" i="4" s="1"/>
  <c r="N17" i="4" s="1"/>
  <c r="J17" i="4"/>
  <c r="L17" i="4"/>
  <c r="O17" i="4"/>
  <c r="F18" i="4"/>
  <c r="H18" i="4" s="1"/>
  <c r="M18" i="4" s="1"/>
  <c r="N18" i="4" s="1"/>
  <c r="J18" i="4"/>
  <c r="L18" i="4"/>
  <c r="O18" i="4"/>
  <c r="F19" i="4"/>
  <c r="H19" i="4"/>
  <c r="J19" i="4"/>
  <c r="L19" i="4"/>
  <c r="M19" i="4"/>
  <c r="O19" i="4"/>
  <c r="N19" i="4" s="1"/>
  <c r="F20" i="4"/>
  <c r="H20" i="4"/>
  <c r="J20" i="4"/>
  <c r="L20" i="4"/>
  <c r="M20" i="4"/>
  <c r="O20" i="4"/>
  <c r="N20" i="4" s="1"/>
  <c r="F24" i="4"/>
  <c r="H24" i="4"/>
  <c r="J24" i="4"/>
  <c r="L24" i="4"/>
  <c r="O24" i="4" s="1"/>
  <c r="M24" i="4"/>
  <c r="N24" i="4" s="1"/>
  <c r="F25" i="4"/>
  <c r="H25" i="4" s="1"/>
  <c r="M25" i="4" s="1"/>
  <c r="N25" i="4" s="1"/>
  <c r="J25" i="4"/>
  <c r="L25" i="4"/>
  <c r="O25" i="4" s="1"/>
  <c r="F26" i="4"/>
  <c r="H26" i="4"/>
  <c r="J26" i="4"/>
  <c r="L26" i="4"/>
  <c r="M26" i="4"/>
  <c r="O26" i="4"/>
  <c r="N26" i="4" s="1"/>
  <c r="F27" i="4"/>
  <c r="H27" i="4"/>
  <c r="J27" i="4"/>
  <c r="L27" i="4" s="1"/>
  <c r="O27" i="4" s="1"/>
  <c r="N27" i="4" s="1"/>
  <c r="M27" i="4"/>
  <c r="F28" i="4"/>
  <c r="H28" i="4"/>
  <c r="J28" i="4"/>
  <c r="L28" i="4"/>
  <c r="M28" i="4"/>
  <c r="O28" i="4"/>
  <c r="N28" i="4" s="1"/>
  <c r="F29" i="4"/>
  <c r="H29" i="4"/>
  <c r="M29" i="4" s="1"/>
  <c r="N29" i="4" s="1"/>
  <c r="J29" i="4"/>
  <c r="L29" i="4"/>
  <c r="O29" i="4"/>
  <c r="F33" i="4"/>
  <c r="H33" i="4" s="1"/>
  <c r="M33" i="4" s="1"/>
  <c r="N33" i="4" s="1"/>
  <c r="J33" i="4"/>
  <c r="L33" i="4"/>
  <c r="O33" i="4"/>
  <c r="F34" i="4"/>
  <c r="H34" i="4"/>
  <c r="J34" i="4"/>
  <c r="L34" i="4"/>
  <c r="M34" i="4"/>
  <c r="O34" i="4"/>
  <c r="N34" i="4" s="1"/>
  <c r="F35" i="4"/>
  <c r="H35" i="4"/>
  <c r="M35" i="4" s="1"/>
  <c r="J35" i="4"/>
  <c r="L35" i="4" s="1"/>
  <c r="O35" i="4" s="1"/>
  <c r="F36" i="4"/>
  <c r="H36" i="4"/>
  <c r="J36" i="4"/>
  <c r="L36" i="4"/>
  <c r="M36" i="4"/>
  <c r="O36" i="4"/>
  <c r="N36" i="4" s="1"/>
  <c r="F37" i="4"/>
  <c r="H37" i="4"/>
  <c r="J37" i="4"/>
  <c r="L37" i="4"/>
  <c r="O37" i="4" s="1"/>
  <c r="M37" i="4"/>
  <c r="N37" i="4"/>
  <c r="F38" i="4"/>
  <c r="H38" i="4"/>
  <c r="J38" i="4"/>
  <c r="L38" i="4"/>
  <c r="M38" i="4"/>
  <c r="O38" i="4"/>
  <c r="N38" i="4" s="1"/>
  <c r="F42" i="4"/>
  <c r="H42" i="4"/>
  <c r="J42" i="4"/>
  <c r="L42" i="4"/>
  <c r="M42" i="4"/>
  <c r="O42" i="4"/>
  <c r="N42" i="4" s="1"/>
  <c r="F43" i="4"/>
  <c r="H43" i="4" s="1"/>
  <c r="M43" i="4" s="1"/>
  <c r="N43" i="4" s="1"/>
  <c r="J43" i="4"/>
  <c r="L43" i="4"/>
  <c r="O43" i="4"/>
  <c r="F44" i="4"/>
  <c r="H44" i="4"/>
  <c r="J44" i="4"/>
  <c r="L44" i="4"/>
  <c r="M44" i="4"/>
  <c r="O44" i="4"/>
  <c r="N44" i="4" s="1"/>
  <c r="F45" i="4"/>
  <c r="H45" i="4"/>
  <c r="M45" i="4" s="1"/>
  <c r="J45" i="4"/>
  <c r="L45" i="4" s="1"/>
  <c r="O45" i="4" s="1"/>
  <c r="F46" i="4"/>
  <c r="H46" i="4"/>
  <c r="J46" i="4"/>
  <c r="L46" i="4"/>
  <c r="M46" i="4"/>
  <c r="O46" i="4"/>
  <c r="N46" i="4" s="1"/>
  <c r="F47" i="4"/>
  <c r="H47" i="4"/>
  <c r="J47" i="4"/>
  <c r="L47" i="4"/>
  <c r="M47" i="4"/>
  <c r="O47" i="4"/>
  <c r="N47" i="4" s="1"/>
  <c r="F51" i="4"/>
  <c r="H51" i="4"/>
  <c r="M51" i="4" s="1"/>
  <c r="J51" i="4"/>
  <c r="L51" i="4" s="1"/>
  <c r="O51" i="4" s="1"/>
  <c r="F52" i="4"/>
  <c r="H52" i="4"/>
  <c r="J52" i="4"/>
  <c r="L52" i="4"/>
  <c r="M52" i="4"/>
  <c r="O52" i="4"/>
  <c r="N52" i="4" s="1"/>
  <c r="F53" i="4"/>
  <c r="H53" i="4"/>
  <c r="J53" i="4"/>
  <c r="L53" i="4"/>
  <c r="M53" i="4"/>
  <c r="O53" i="4"/>
  <c r="N53" i="4" s="1"/>
  <c r="F54" i="4"/>
  <c r="H54" i="4"/>
  <c r="J54" i="4"/>
  <c r="L54" i="4"/>
  <c r="M54" i="4"/>
  <c r="O54" i="4"/>
  <c r="N54" i="4" s="1"/>
  <c r="F55" i="4"/>
  <c r="H55" i="4"/>
  <c r="J55" i="4"/>
  <c r="L55" i="4"/>
  <c r="M55" i="4"/>
  <c r="O55" i="4"/>
  <c r="N55" i="4" s="1"/>
  <c r="F56" i="4"/>
  <c r="H56" i="4" s="1"/>
  <c r="M56" i="4" s="1"/>
  <c r="N56" i="4" s="1"/>
  <c r="J56" i="4"/>
  <c r="L56" i="4"/>
  <c r="O56" i="4"/>
  <c r="F60" i="4"/>
  <c r="H60" i="4"/>
  <c r="M60" i="4" s="1"/>
  <c r="J60" i="4"/>
  <c r="L60" i="4"/>
  <c r="O60" i="4" s="1"/>
  <c r="F61" i="4"/>
  <c r="H61" i="4"/>
  <c r="J61" i="4"/>
  <c r="L61" i="4"/>
  <c r="M61" i="4"/>
  <c r="O61" i="4"/>
  <c r="N61" i="4" s="1"/>
  <c r="F62" i="4"/>
  <c r="H62" i="4"/>
  <c r="M62" i="4" s="1"/>
  <c r="J62" i="4"/>
  <c r="L62" i="4"/>
  <c r="O62" i="4" s="1"/>
  <c r="F63" i="4"/>
  <c r="H63" i="4"/>
  <c r="J63" i="4"/>
  <c r="L63" i="4"/>
  <c r="M63" i="4"/>
  <c r="O63" i="4"/>
  <c r="N63" i="4" s="1"/>
  <c r="F64" i="4"/>
  <c r="H64" i="4"/>
  <c r="M64" i="4" s="1"/>
  <c r="J64" i="4"/>
  <c r="L64" i="4" s="1"/>
  <c r="O64" i="4" s="1"/>
  <c r="F65" i="4"/>
  <c r="H65" i="4" s="1"/>
  <c r="M65" i="4" s="1"/>
  <c r="N65" i="4" s="1"/>
  <c r="J65" i="4"/>
  <c r="L65" i="4"/>
  <c r="O65" i="4"/>
  <c r="F69" i="4"/>
  <c r="H69" i="4"/>
  <c r="J69" i="4"/>
  <c r="L69" i="4"/>
  <c r="M69" i="4"/>
  <c r="O69" i="4"/>
  <c r="N69" i="4" s="1"/>
  <c r="F70" i="4"/>
  <c r="H70" i="4"/>
  <c r="M70" i="4" s="1"/>
  <c r="J70" i="4"/>
  <c r="L70" i="4"/>
  <c r="O70" i="4" s="1"/>
  <c r="F71" i="4"/>
  <c r="H71" i="4"/>
  <c r="J71" i="4"/>
  <c r="L71" i="4"/>
  <c r="M71" i="4"/>
  <c r="O71" i="4"/>
  <c r="N71" i="4" s="1"/>
  <c r="F72" i="4"/>
  <c r="H72" i="4"/>
  <c r="M72" i="4" s="1"/>
  <c r="J72" i="4"/>
  <c r="L72" i="4" s="1"/>
  <c r="O72" i="4" s="1"/>
  <c r="F73" i="4"/>
  <c r="H73" i="4"/>
  <c r="J73" i="4"/>
  <c r="L73" i="4"/>
  <c r="M73" i="4"/>
  <c r="O73" i="4"/>
  <c r="N73" i="4" s="1"/>
  <c r="F74" i="4"/>
  <c r="H74" i="4"/>
  <c r="J74" i="4"/>
  <c r="L74" i="4"/>
  <c r="M74" i="4"/>
  <c r="O74" i="4"/>
  <c r="N74" i="4" s="1"/>
  <c r="F78" i="4"/>
  <c r="H78" i="4" s="1"/>
  <c r="M78" i="4" s="1"/>
  <c r="J78" i="4"/>
  <c r="L78" i="4" s="1"/>
  <c r="O78" i="4" s="1"/>
  <c r="F79" i="4"/>
  <c r="H79" i="4"/>
  <c r="J79" i="4"/>
  <c r="L79" i="4"/>
  <c r="M79" i="4"/>
  <c r="O79" i="4"/>
  <c r="N79" i="4" s="1"/>
  <c r="F80" i="4"/>
  <c r="H80" i="4"/>
  <c r="M80" i="4" s="1"/>
  <c r="N80" i="4" s="1"/>
  <c r="J80" i="4"/>
  <c r="L80" i="4"/>
  <c r="O80" i="4"/>
  <c r="F81" i="4"/>
  <c r="H81" i="4"/>
  <c r="J81" i="4"/>
  <c r="L81" i="4"/>
  <c r="M81" i="4"/>
  <c r="O81" i="4"/>
  <c r="N81" i="4" s="1"/>
  <c r="F82" i="4"/>
  <c r="H82" i="4"/>
  <c r="J82" i="4"/>
  <c r="L82" i="4"/>
  <c r="M82" i="4"/>
  <c r="O82" i="4"/>
  <c r="N82" i="4" s="1"/>
  <c r="F83" i="4"/>
  <c r="H83" i="4"/>
  <c r="M83" i="4" s="1"/>
  <c r="J83" i="4"/>
  <c r="L83" i="4" s="1"/>
  <c r="O83" i="4" s="1"/>
  <c r="F87" i="4"/>
  <c r="H87" i="4"/>
  <c r="J87" i="4"/>
  <c r="L87" i="4"/>
  <c r="O87" i="4" s="1"/>
  <c r="M87" i="4"/>
  <c r="N87" i="4"/>
  <c r="F88" i="4"/>
  <c r="H88" i="4"/>
  <c r="J88" i="4"/>
  <c r="L88" i="4"/>
  <c r="M88" i="4"/>
  <c r="O88" i="4"/>
  <c r="N88" i="4" s="1"/>
  <c r="F89" i="4"/>
  <c r="H89" i="4"/>
  <c r="J89" i="4"/>
  <c r="L89" i="4"/>
  <c r="M89" i="4"/>
  <c r="O89" i="4"/>
  <c r="N89" i="4" s="1"/>
  <c r="F90" i="4"/>
  <c r="H90" i="4"/>
  <c r="M90" i="4" s="1"/>
  <c r="J90" i="4"/>
  <c r="L90" i="4"/>
  <c r="O90" i="4" s="1"/>
  <c r="F91" i="4"/>
  <c r="H91" i="4"/>
  <c r="M91" i="4" s="1"/>
  <c r="N91" i="4" s="1"/>
  <c r="J91" i="4"/>
  <c r="L91" i="4"/>
  <c r="O91" i="4"/>
  <c r="F92" i="4"/>
  <c r="H92" i="4"/>
  <c r="M92" i="4" s="1"/>
  <c r="J92" i="4"/>
  <c r="L92" i="4" s="1"/>
  <c r="O92" i="4" s="1"/>
  <c r="F96" i="4"/>
  <c r="H96" i="4"/>
  <c r="J96" i="4"/>
  <c r="L96" i="4"/>
  <c r="M96" i="4"/>
  <c r="O96" i="4"/>
  <c r="N96" i="4" s="1"/>
  <c r="F97" i="4"/>
  <c r="H97" i="4"/>
  <c r="J97" i="4"/>
  <c r="L97" i="4"/>
  <c r="M97" i="4"/>
  <c r="O97" i="4"/>
  <c r="N97" i="4" s="1"/>
  <c r="F98" i="4"/>
  <c r="H98" i="4"/>
  <c r="J98" i="4"/>
  <c r="L98" i="4"/>
  <c r="M98" i="4"/>
  <c r="O98" i="4"/>
  <c r="N98" i="4" s="1"/>
  <c r="F99" i="4"/>
  <c r="H99" i="4"/>
  <c r="M99" i="4" s="1"/>
  <c r="N99" i="4" s="1"/>
  <c r="J99" i="4"/>
  <c r="L99" i="4"/>
  <c r="O99" i="4" s="1"/>
  <c r="F100" i="4"/>
  <c r="H100" i="4"/>
  <c r="J100" i="4"/>
  <c r="L100" i="4"/>
  <c r="M100" i="4"/>
  <c r="O100" i="4"/>
  <c r="N100" i="4" s="1"/>
  <c r="F101" i="4"/>
  <c r="H101" i="4"/>
  <c r="J101" i="4"/>
  <c r="L101" i="4"/>
  <c r="M101" i="4"/>
  <c r="O101" i="4"/>
  <c r="N101" i="4" s="1"/>
  <c r="F105" i="4"/>
  <c r="H105" i="4"/>
  <c r="J105" i="4"/>
  <c r="L105" i="4"/>
  <c r="M105" i="4"/>
  <c r="O105" i="4"/>
  <c r="N105" i="4" s="1"/>
  <c r="F106" i="4"/>
  <c r="H106" i="4"/>
  <c r="J106" i="4"/>
  <c r="L106" i="4"/>
  <c r="M106" i="4"/>
  <c r="O106" i="4"/>
  <c r="N106" i="4" s="1"/>
  <c r="F107" i="4"/>
  <c r="H107" i="4"/>
  <c r="M107" i="4" s="1"/>
  <c r="N107" i="4" s="1"/>
  <c r="J107" i="4"/>
  <c r="L107" i="4"/>
  <c r="O107" i="4" s="1"/>
  <c r="F108" i="4"/>
  <c r="H108" i="4"/>
  <c r="J108" i="4"/>
  <c r="L108" i="4"/>
  <c r="M108" i="4"/>
  <c r="O108" i="4"/>
  <c r="N108" i="4" s="1"/>
  <c r="F109" i="4"/>
  <c r="H109" i="4"/>
  <c r="M109" i="4" s="1"/>
  <c r="J109" i="4"/>
  <c r="L109" i="4"/>
  <c r="O109" i="4" s="1"/>
  <c r="F110" i="4"/>
  <c r="H110" i="4"/>
  <c r="J110" i="4"/>
  <c r="L110" i="4"/>
  <c r="M110" i="4"/>
  <c r="O110" i="4"/>
  <c r="N110" i="4" s="1"/>
  <c r="F114" i="4"/>
  <c r="H114" i="4"/>
  <c r="J114" i="4"/>
  <c r="L114" i="4"/>
  <c r="O114" i="4" s="1"/>
  <c r="N114" i="4" s="1"/>
  <c r="M114" i="4"/>
  <c r="F115" i="4"/>
  <c r="H115" i="4" s="1"/>
  <c r="M115" i="4" s="1"/>
  <c r="N115" i="4" s="1"/>
  <c r="J115" i="4"/>
  <c r="L115" i="4"/>
  <c r="O115" i="4"/>
  <c r="F116" i="4"/>
  <c r="H116" i="4"/>
  <c r="J116" i="4"/>
  <c r="L116" i="4"/>
  <c r="M116" i="4"/>
  <c r="O116" i="4"/>
  <c r="N116" i="4" s="1"/>
  <c r="F117" i="4"/>
  <c r="H117" i="4"/>
  <c r="M117" i="4" s="1"/>
  <c r="J117" i="4"/>
  <c r="L117" i="4"/>
  <c r="O117" i="4" s="1"/>
  <c r="F118" i="4"/>
  <c r="H118" i="4"/>
  <c r="J118" i="4"/>
  <c r="L118" i="4"/>
  <c r="M118" i="4"/>
  <c r="O118" i="4"/>
  <c r="N118" i="4" s="1"/>
  <c r="F119" i="4"/>
  <c r="H119" i="4"/>
  <c r="J119" i="4"/>
  <c r="L119" i="4"/>
  <c r="O119" i="4" s="1"/>
  <c r="M119" i="4"/>
  <c r="F123" i="4"/>
  <c r="H123" i="4"/>
  <c r="J123" i="4"/>
  <c r="L123" i="4"/>
  <c r="M123" i="4"/>
  <c r="O123" i="4"/>
  <c r="N123" i="4" s="1"/>
  <c r="F124" i="4"/>
  <c r="H124" i="4"/>
  <c r="J124" i="4"/>
  <c r="L124" i="4"/>
  <c r="M124" i="4"/>
  <c r="O124" i="4"/>
  <c r="N124" i="4" s="1"/>
  <c r="F125" i="4"/>
  <c r="H125" i="4"/>
  <c r="M125" i="4" s="1"/>
  <c r="J125" i="4"/>
  <c r="L125" i="4"/>
  <c r="O125" i="4" s="1"/>
  <c r="F126" i="4"/>
  <c r="H126" i="4"/>
  <c r="J126" i="4"/>
  <c r="L126" i="4"/>
  <c r="M126" i="4"/>
  <c r="O126" i="4"/>
  <c r="N126" i="4" s="1"/>
  <c r="F127" i="4"/>
  <c r="H127" i="4"/>
  <c r="M127" i="4" s="1"/>
  <c r="N127" i="4" s="1"/>
  <c r="J127" i="4"/>
  <c r="L127" i="4"/>
  <c r="O127" i="4"/>
  <c r="F128" i="4"/>
  <c r="H128" i="4"/>
  <c r="J128" i="4"/>
  <c r="L128" i="4"/>
  <c r="M128" i="4"/>
  <c r="O128" i="4"/>
  <c r="N128" i="4" s="1"/>
  <c r="F132" i="4"/>
  <c r="H132" i="4"/>
  <c r="J132" i="4"/>
  <c r="L132" i="4"/>
  <c r="M132" i="4"/>
  <c r="O132" i="4"/>
  <c r="N132" i="4" s="1"/>
  <c r="F133" i="4"/>
  <c r="H133" i="4"/>
  <c r="M133" i="4" s="1"/>
  <c r="J133" i="4"/>
  <c r="L133" i="4" s="1"/>
  <c r="O133" i="4" s="1"/>
  <c r="F134" i="4"/>
  <c r="H134" i="4"/>
  <c r="J134" i="4"/>
  <c r="L134" i="4"/>
  <c r="O134" i="4" s="1"/>
  <c r="M134" i="4"/>
  <c r="N134" i="4"/>
  <c r="F135" i="4"/>
  <c r="H135" i="4"/>
  <c r="J135" i="4"/>
  <c r="L135" i="4"/>
  <c r="M135" i="4"/>
  <c r="O135" i="4"/>
  <c r="N135" i="4" s="1"/>
  <c r="F136" i="4"/>
  <c r="H136" i="4"/>
  <c r="J136" i="4"/>
  <c r="L136" i="4"/>
  <c r="O136" i="4" s="1"/>
  <c r="N136" i="4" s="1"/>
  <c r="M136" i="4"/>
  <c r="F137" i="4"/>
  <c r="H137" i="4"/>
  <c r="J137" i="4"/>
  <c r="L137" i="4"/>
  <c r="M137" i="4"/>
  <c r="O137" i="4"/>
  <c r="N137" i="4" s="1"/>
  <c r="F141" i="4"/>
  <c r="H141" i="4"/>
  <c r="M141" i="4" s="1"/>
  <c r="J141" i="4"/>
  <c r="L141" i="4" s="1"/>
  <c r="O141" i="4" s="1"/>
  <c r="F142" i="4"/>
  <c r="H142" i="4"/>
  <c r="M142" i="4" s="1"/>
  <c r="J142" i="4"/>
  <c r="L142" i="4" s="1"/>
  <c r="O142" i="4" s="1"/>
  <c r="F143" i="4"/>
  <c r="H143" i="4"/>
  <c r="J143" i="4"/>
  <c r="L143" i="4"/>
  <c r="M143" i="4"/>
  <c r="O143" i="4"/>
  <c r="N143" i="4" s="1"/>
  <c r="F144" i="4"/>
  <c r="H144" i="4"/>
  <c r="M144" i="4" s="1"/>
  <c r="N144" i="4" s="1"/>
  <c r="J144" i="4"/>
  <c r="L144" i="4"/>
  <c r="O144" i="4" s="1"/>
  <c r="F145" i="4"/>
  <c r="H145" i="4"/>
  <c r="J145" i="4"/>
  <c r="L145" i="4"/>
  <c r="M145" i="4"/>
  <c r="O145" i="4"/>
  <c r="N145" i="4" s="1"/>
  <c r="F146" i="4"/>
  <c r="H146" i="4"/>
  <c r="M146" i="4" s="1"/>
  <c r="J146" i="4"/>
  <c r="L146" i="4"/>
  <c r="O146" i="4" s="1"/>
  <c r="F150" i="4"/>
  <c r="H150" i="4"/>
  <c r="J150" i="4"/>
  <c r="L150" i="4"/>
  <c r="M150" i="4"/>
  <c r="O150" i="4"/>
  <c r="N150" i="4" s="1"/>
  <c r="F151" i="4"/>
  <c r="H151" i="4"/>
  <c r="J151" i="4"/>
  <c r="L151" i="4"/>
  <c r="M151" i="4"/>
  <c r="O151" i="4"/>
  <c r="N151" i="4" s="1"/>
  <c r="F152" i="4"/>
  <c r="H152" i="4"/>
  <c r="M152" i="4" s="1"/>
  <c r="J152" i="4"/>
  <c r="L152" i="4"/>
  <c r="O152" i="4" s="1"/>
  <c r="F153" i="4"/>
  <c r="H153" i="4"/>
  <c r="J153" i="4"/>
  <c r="L153" i="4"/>
  <c r="M153" i="4"/>
  <c r="O153" i="4"/>
  <c r="N153" i="4" s="1"/>
  <c r="F154" i="4"/>
  <c r="H154" i="4"/>
  <c r="M154" i="4" s="1"/>
  <c r="J154" i="4"/>
  <c r="L154" i="4" s="1"/>
  <c r="O154" i="4" s="1"/>
  <c r="F155" i="4"/>
  <c r="H155" i="4"/>
  <c r="J155" i="4"/>
  <c r="L155" i="4"/>
  <c r="M155" i="4"/>
  <c r="O155" i="4"/>
  <c r="N155" i="4" s="1"/>
  <c r="F159" i="4"/>
  <c r="H159" i="4"/>
  <c r="J159" i="4"/>
  <c r="L159" i="4"/>
  <c r="M159" i="4"/>
  <c r="O159" i="4"/>
  <c r="N159" i="4" s="1"/>
  <c r="F160" i="4"/>
  <c r="H160" i="4"/>
  <c r="J160" i="4"/>
  <c r="L160" i="4"/>
  <c r="O160" i="4" s="1"/>
  <c r="M160" i="4"/>
  <c r="N160" i="4" s="1"/>
  <c r="F161" i="4"/>
  <c r="H161" i="4"/>
  <c r="J161" i="4"/>
  <c r="L161" i="4"/>
  <c r="M161" i="4"/>
  <c r="O161" i="4"/>
  <c r="N161" i="4" s="1"/>
  <c r="F162" i="4"/>
  <c r="H162" i="4" s="1"/>
  <c r="M162" i="4" s="1"/>
  <c r="N162" i="4" s="1"/>
  <c r="J162" i="4"/>
  <c r="L162" i="4"/>
  <c r="O162" i="4"/>
  <c r="F163" i="4"/>
  <c r="H163" i="4"/>
  <c r="J163" i="4"/>
  <c r="L163" i="4"/>
  <c r="M163" i="4"/>
  <c r="O163" i="4"/>
  <c r="N163" i="4" s="1"/>
  <c r="F164" i="4"/>
  <c r="H164" i="4"/>
  <c r="J164" i="4"/>
  <c r="L164" i="4"/>
  <c r="M164" i="4"/>
  <c r="N164" i="4"/>
  <c r="O164" i="4"/>
  <c r="F168" i="4"/>
  <c r="H168" i="4"/>
  <c r="J168" i="4"/>
  <c r="L168" i="4"/>
  <c r="O168" i="4" s="1"/>
  <c r="M168" i="4"/>
  <c r="N168" i="4" s="1"/>
  <c r="F169" i="4"/>
  <c r="H169" i="4"/>
  <c r="J169" i="4"/>
  <c r="L169" i="4"/>
  <c r="O169" i="4" s="1"/>
  <c r="M169" i="4"/>
  <c r="N169" i="4" s="1"/>
  <c r="F170" i="4"/>
  <c r="H170" i="4"/>
  <c r="J170" i="4"/>
  <c r="L170" i="4"/>
  <c r="M170" i="4"/>
  <c r="O170" i="4"/>
  <c r="N170" i="4" s="1"/>
  <c r="F171" i="4"/>
  <c r="H171" i="4"/>
  <c r="J171" i="4"/>
  <c r="L171" i="4"/>
  <c r="M171" i="4"/>
  <c r="O171" i="4"/>
  <c r="N171" i="4" s="1"/>
  <c r="F172" i="4"/>
  <c r="H172" i="4"/>
  <c r="J172" i="4"/>
  <c r="L172" i="4"/>
  <c r="M172" i="4"/>
  <c r="O172" i="4"/>
  <c r="N172" i="4" s="1"/>
  <c r="F173" i="4"/>
  <c r="H173" i="4"/>
  <c r="J173" i="4"/>
  <c r="L173" i="4"/>
  <c r="O173" i="4" s="1"/>
  <c r="M173" i="4"/>
  <c r="N173" i="4" s="1"/>
  <c r="F177" i="4"/>
  <c r="H177" i="4"/>
  <c r="M177" i="4" s="1"/>
  <c r="N177" i="4" s="1"/>
  <c r="J177" i="4"/>
  <c r="L177" i="4"/>
  <c r="O177" i="4"/>
  <c r="F178" i="4"/>
  <c r="H178" i="4"/>
  <c r="J178" i="4"/>
  <c r="L178" i="4"/>
  <c r="M178" i="4"/>
  <c r="N178" i="4"/>
  <c r="O178" i="4"/>
  <c r="F179" i="4"/>
  <c r="H179" i="4"/>
  <c r="J179" i="4"/>
  <c r="L179" i="4"/>
  <c r="M179" i="4"/>
  <c r="O179" i="4"/>
  <c r="N179" i="4" s="1"/>
  <c r="F180" i="4"/>
  <c r="H180" i="4"/>
  <c r="J180" i="4"/>
  <c r="L180" i="4"/>
  <c r="M180" i="4"/>
  <c r="O180" i="4"/>
  <c r="N180" i="4" s="1"/>
  <c r="F181" i="4"/>
  <c r="H181" i="4"/>
  <c r="M181" i="4" s="1"/>
  <c r="N181" i="4" s="1"/>
  <c r="J181" i="4"/>
  <c r="L181" i="4"/>
  <c r="O181" i="4" s="1"/>
  <c r="F182" i="4"/>
  <c r="H182" i="4"/>
  <c r="J182" i="4"/>
  <c r="L182" i="4"/>
  <c r="M182" i="4"/>
  <c r="O182" i="4"/>
  <c r="N182" i="4" s="1"/>
  <c r="F186" i="4"/>
  <c r="H186" i="4"/>
  <c r="J186" i="4"/>
  <c r="L186" i="4"/>
  <c r="O186" i="4" s="1"/>
  <c r="M186" i="4"/>
  <c r="N186" i="4" s="1"/>
  <c r="F187" i="4"/>
  <c r="H187" i="4"/>
  <c r="J187" i="4"/>
  <c r="L187" i="4"/>
  <c r="M187" i="4"/>
  <c r="O187" i="4"/>
  <c r="N187" i="4" s="1"/>
  <c r="F188" i="4"/>
  <c r="H188" i="4"/>
  <c r="J188" i="4"/>
  <c r="L188" i="4"/>
  <c r="M188" i="4"/>
  <c r="O188" i="4"/>
  <c r="N188" i="4" s="1"/>
  <c r="F189" i="4"/>
  <c r="H189" i="4"/>
  <c r="M189" i="4" s="1"/>
  <c r="J189" i="4"/>
  <c r="L189" i="4" s="1"/>
  <c r="O189" i="4" s="1"/>
  <c r="F190" i="4"/>
  <c r="H190" i="4"/>
  <c r="J190" i="4"/>
  <c r="L190" i="4"/>
  <c r="M190" i="4"/>
  <c r="O190" i="4"/>
  <c r="N190" i="4" s="1"/>
  <c r="F191" i="4"/>
  <c r="H191" i="4"/>
  <c r="J191" i="4"/>
  <c r="L191" i="4"/>
  <c r="O191" i="4" s="1"/>
  <c r="M191" i="4"/>
  <c r="N191" i="4"/>
  <c r="F195" i="4"/>
  <c r="H195" i="4"/>
  <c r="J195" i="4"/>
  <c r="L195" i="4"/>
  <c r="M195" i="4"/>
  <c r="O195" i="4"/>
  <c r="N195" i="4" s="1"/>
  <c r="F196" i="4"/>
  <c r="H196" i="4"/>
  <c r="J196" i="4"/>
  <c r="L196" i="4"/>
  <c r="M196" i="4"/>
  <c r="N196" i="4" s="1"/>
  <c r="O196" i="4"/>
  <c r="F197" i="4"/>
  <c r="H197" i="4"/>
  <c r="J197" i="4"/>
  <c r="L197" i="4"/>
  <c r="M197" i="4"/>
  <c r="O197" i="4"/>
  <c r="N197" i="4" s="1"/>
  <c r="F198" i="4"/>
  <c r="H198" i="4"/>
  <c r="J198" i="4"/>
  <c r="L198" i="4"/>
  <c r="M198" i="4"/>
  <c r="O198" i="4"/>
  <c r="N198" i="4" s="1"/>
  <c r="F199" i="4"/>
  <c r="H199" i="4"/>
  <c r="M199" i="4" s="1"/>
  <c r="J199" i="4"/>
  <c r="L199" i="4"/>
  <c r="O199" i="4" s="1"/>
  <c r="F200" i="4"/>
  <c r="H200" i="4"/>
  <c r="J200" i="4"/>
  <c r="L200" i="4"/>
  <c r="M200" i="4"/>
  <c r="O200" i="4"/>
  <c r="N200" i="4" s="1"/>
  <c r="F204" i="4"/>
  <c r="H204" i="4"/>
  <c r="M204" i="4" s="1"/>
  <c r="J204" i="4"/>
  <c r="L204" i="4"/>
  <c r="O204" i="4" s="1"/>
  <c r="F205" i="4"/>
  <c r="H205" i="4"/>
  <c r="J205" i="4"/>
  <c r="L205" i="4"/>
  <c r="M205" i="4"/>
  <c r="O205" i="4"/>
  <c r="N205" i="4" s="1"/>
  <c r="F206" i="4"/>
  <c r="H206" i="4"/>
  <c r="J206" i="4"/>
  <c r="L206" i="4"/>
  <c r="M206" i="4"/>
  <c r="O206" i="4"/>
  <c r="N206" i="4" s="1"/>
  <c r="F207" i="4"/>
  <c r="H207" i="4"/>
  <c r="J207" i="4"/>
  <c r="L207" i="4"/>
  <c r="O207" i="4" s="1"/>
  <c r="M207" i="4"/>
  <c r="F208" i="4"/>
  <c r="H208" i="4"/>
  <c r="J208" i="4"/>
  <c r="L208" i="4"/>
  <c r="M208" i="4"/>
  <c r="O208" i="4"/>
  <c r="N208" i="4" s="1"/>
  <c r="F209" i="4"/>
  <c r="H209" i="4" s="1"/>
  <c r="M209" i="4" s="1"/>
  <c r="N209" i="4" s="1"/>
  <c r="J209" i="4"/>
  <c r="L209" i="4"/>
  <c r="O209" i="4"/>
  <c r="F213" i="4"/>
  <c r="H213" i="4"/>
  <c r="J213" i="4"/>
  <c r="L213" i="4"/>
  <c r="M213" i="4"/>
  <c r="O213" i="4"/>
  <c r="N213" i="4" s="1"/>
  <c r="F214" i="4"/>
  <c r="H214" i="4"/>
  <c r="J214" i="4"/>
  <c r="L214" i="4"/>
  <c r="M214" i="4"/>
  <c r="O214" i="4"/>
  <c r="N214" i="4" s="1"/>
  <c r="F215" i="4"/>
  <c r="H215" i="4"/>
  <c r="J215" i="4"/>
  <c r="L215" i="4"/>
  <c r="O215" i="4" s="1"/>
  <c r="M215" i="4"/>
  <c r="N215" i="4" s="1"/>
  <c r="F216" i="4"/>
  <c r="H216" i="4"/>
  <c r="J216" i="4"/>
  <c r="L216" i="4"/>
  <c r="O216" i="4" s="1"/>
  <c r="M216" i="4"/>
  <c r="N216" i="4" s="1"/>
  <c r="F217" i="4"/>
  <c r="H217" i="4"/>
  <c r="J217" i="4"/>
  <c r="L217" i="4"/>
  <c r="M217" i="4"/>
  <c r="O217" i="4"/>
  <c r="N217" i="4" s="1"/>
  <c r="F218" i="4"/>
  <c r="H218" i="4"/>
  <c r="J218" i="4"/>
  <c r="L218" i="4"/>
  <c r="M218" i="4"/>
  <c r="O218" i="4"/>
  <c r="N218" i="4" s="1"/>
  <c r="F222" i="4"/>
  <c r="H222" i="4"/>
  <c r="J222" i="4"/>
  <c r="L222" i="4"/>
  <c r="M222" i="4"/>
  <c r="O222" i="4"/>
  <c r="N222" i="4" s="1"/>
  <c r="F223" i="4"/>
  <c r="H223" i="4"/>
  <c r="J223" i="4"/>
  <c r="L223" i="4"/>
  <c r="O223" i="4" s="1"/>
  <c r="M223" i="4"/>
  <c r="N223" i="4" s="1"/>
  <c r="F224" i="4"/>
  <c r="H224" i="4"/>
  <c r="M224" i="4" s="1"/>
  <c r="N224" i="4" s="1"/>
  <c r="J224" i="4"/>
  <c r="L224" i="4"/>
  <c r="O224" i="4"/>
  <c r="F225" i="4"/>
  <c r="H225" i="4"/>
  <c r="J225" i="4"/>
  <c r="L225" i="4"/>
  <c r="M225" i="4"/>
  <c r="O225" i="4"/>
  <c r="N225" i="4" s="1"/>
  <c r="F226" i="4"/>
  <c r="H226" i="4"/>
  <c r="M226" i="4" s="1"/>
  <c r="N226" i="4" s="1"/>
  <c r="J226" i="4"/>
  <c r="L226" i="4" s="1"/>
  <c r="O226" i="4" s="1"/>
  <c r="F227" i="4"/>
  <c r="H227" i="4"/>
  <c r="J227" i="4"/>
  <c r="L227" i="4"/>
  <c r="M227" i="4"/>
  <c r="O227" i="4"/>
  <c r="N227" i="4" s="1"/>
  <c r="F231" i="4"/>
  <c r="H231" i="4"/>
  <c r="M231" i="4" s="1"/>
  <c r="N231" i="4" s="1"/>
  <c r="J231" i="4"/>
  <c r="L231" i="4"/>
  <c r="O231" i="4" s="1"/>
  <c r="F232" i="4"/>
  <c r="H232" i="4"/>
  <c r="J232" i="4"/>
  <c r="L232" i="4"/>
  <c r="M232" i="4"/>
  <c r="O232" i="4"/>
  <c r="N232" i="4" s="1"/>
  <c r="F233" i="4"/>
  <c r="H233" i="4"/>
  <c r="J233" i="4"/>
  <c r="L233" i="4"/>
  <c r="M233" i="4"/>
  <c r="N233" i="4"/>
  <c r="O233" i="4"/>
  <c r="F234" i="4"/>
  <c r="H234" i="4"/>
  <c r="J234" i="4"/>
  <c r="L234" i="4"/>
  <c r="O234" i="4" s="1"/>
  <c r="M234" i="4"/>
  <c r="N234" i="4" s="1"/>
  <c r="F235" i="4"/>
  <c r="H235" i="4"/>
  <c r="J235" i="4"/>
  <c r="L235" i="4"/>
  <c r="M235" i="4"/>
  <c r="O235" i="4"/>
  <c r="N235" i="4" s="1"/>
  <c r="F236" i="4"/>
  <c r="H236" i="4"/>
  <c r="M236" i="4" s="1"/>
  <c r="J236" i="4"/>
  <c r="L236" i="4" s="1"/>
  <c r="O236" i="4" s="1"/>
  <c r="F240" i="4"/>
  <c r="H240" i="4"/>
  <c r="J240" i="4"/>
  <c r="L240" i="4"/>
  <c r="M240" i="4"/>
  <c r="O240" i="4"/>
  <c r="N240" i="4" s="1"/>
  <c r="F241" i="4"/>
  <c r="H241" i="4"/>
  <c r="J241" i="4"/>
  <c r="L241" i="4"/>
  <c r="M241" i="4"/>
  <c r="O241" i="4"/>
  <c r="N241" i="4" s="1"/>
  <c r="F242" i="4"/>
  <c r="H242" i="4"/>
  <c r="M242" i="4" s="1"/>
  <c r="J242" i="4"/>
  <c r="L242" i="4" s="1"/>
  <c r="O242" i="4" s="1"/>
  <c r="F243" i="4"/>
  <c r="H243" i="4"/>
  <c r="J243" i="4"/>
  <c r="L243" i="4"/>
  <c r="M243" i="4"/>
  <c r="O243" i="4"/>
  <c r="N243" i="4" s="1"/>
  <c r="F244" i="4"/>
  <c r="H244" i="4"/>
  <c r="J244" i="4"/>
  <c r="L244" i="4"/>
  <c r="M244" i="4"/>
  <c r="O244" i="4"/>
  <c r="N244" i="4" s="1"/>
  <c r="F245" i="4"/>
  <c r="H245" i="4"/>
  <c r="J245" i="4"/>
  <c r="L245" i="4"/>
  <c r="M245" i="4"/>
  <c r="O245" i="4"/>
  <c r="N245" i="4" s="1"/>
  <c r="F249" i="4"/>
  <c r="H249" i="4"/>
  <c r="J249" i="4"/>
  <c r="L249" i="4"/>
  <c r="M249" i="4"/>
  <c r="O249" i="4"/>
  <c r="N249" i="4" s="1"/>
  <c r="F250" i="4"/>
  <c r="H250" i="4"/>
  <c r="M250" i="4" s="1"/>
  <c r="J250" i="4"/>
  <c r="L250" i="4" s="1"/>
  <c r="O250" i="4" s="1"/>
  <c r="F251" i="4"/>
  <c r="H251" i="4"/>
  <c r="M251" i="4" s="1"/>
  <c r="J251" i="4"/>
  <c r="L251" i="4"/>
  <c r="O251" i="4" s="1"/>
  <c r="F252" i="4"/>
  <c r="H252" i="4"/>
  <c r="J252" i="4"/>
  <c r="L252" i="4"/>
  <c r="M252" i="4"/>
  <c r="O252" i="4"/>
  <c r="N252" i="4" s="1"/>
  <c r="F253" i="4"/>
  <c r="H253" i="4" s="1"/>
  <c r="M253" i="4" s="1"/>
  <c r="N253" i="4" s="1"/>
  <c r="J253" i="4"/>
  <c r="L253" i="4"/>
  <c r="O253" i="4"/>
  <c r="F254" i="4"/>
  <c r="H254" i="4"/>
  <c r="J254" i="4"/>
  <c r="L254" i="4"/>
  <c r="M254" i="4"/>
  <c r="O254" i="4"/>
  <c r="N254" i="4" s="1"/>
  <c r="F258" i="4"/>
  <c r="H258" i="4"/>
  <c r="J258" i="4"/>
  <c r="L258" i="4"/>
  <c r="O258" i="4" s="1"/>
  <c r="M258" i="4"/>
  <c r="N258" i="4"/>
  <c r="F259" i="4"/>
  <c r="H259" i="4" s="1"/>
  <c r="M259" i="4" s="1"/>
  <c r="N259" i="4" s="1"/>
  <c r="J259" i="4"/>
  <c r="L259" i="4"/>
  <c r="O259" i="4"/>
  <c r="F260" i="4"/>
  <c r="H260" i="4"/>
  <c r="J260" i="4"/>
  <c r="L260" i="4"/>
  <c r="M260" i="4"/>
  <c r="O260" i="4"/>
  <c r="N260" i="4" s="1"/>
  <c r="F261" i="4"/>
  <c r="H261" i="4" s="1"/>
  <c r="M261" i="4" s="1"/>
  <c r="N261" i="4" s="1"/>
  <c r="J261" i="4"/>
  <c r="L261" i="4"/>
  <c r="O261" i="4"/>
  <c r="F262" i="4"/>
  <c r="H262" i="4"/>
  <c r="J262" i="4"/>
  <c r="L262" i="4"/>
  <c r="M262" i="4"/>
  <c r="O262" i="4"/>
  <c r="N262" i="4" s="1"/>
  <c r="F263" i="4"/>
  <c r="H263" i="4" s="1"/>
  <c r="M263" i="4" s="1"/>
  <c r="N263" i="4" s="1"/>
  <c r="J263" i="4"/>
  <c r="L263" i="4"/>
  <c r="O263" i="4" s="1"/>
  <c r="F269" i="4"/>
  <c r="H269" i="4"/>
  <c r="J269" i="4"/>
  <c r="L269" i="4"/>
  <c r="M269" i="4"/>
  <c r="O269" i="4"/>
  <c r="N269" i="4" s="1"/>
  <c r="F270" i="4"/>
  <c r="H270" i="4"/>
  <c r="J270" i="4"/>
  <c r="L270" i="4"/>
  <c r="M270" i="4"/>
  <c r="O270" i="4"/>
  <c r="N270" i="4" s="1"/>
  <c r="F271" i="4"/>
  <c r="H271" i="4" s="1"/>
  <c r="M271" i="4" s="1"/>
  <c r="N271" i="4" s="1"/>
  <c r="J271" i="4"/>
  <c r="L271" i="4"/>
  <c r="O271" i="4"/>
  <c r="F272" i="4"/>
  <c r="H272" i="4"/>
  <c r="J272" i="4"/>
  <c r="L272" i="4"/>
  <c r="M272" i="4"/>
  <c r="O272" i="4"/>
  <c r="N272" i="4" s="1"/>
  <c r="F273" i="4"/>
  <c r="H273" i="4"/>
  <c r="M273" i="4" s="1"/>
  <c r="N273" i="4" s="1"/>
  <c r="J273" i="4"/>
  <c r="L273" i="4"/>
  <c r="O273" i="4"/>
  <c r="F274" i="4"/>
  <c r="H274" i="4"/>
  <c r="J274" i="4"/>
  <c r="L274" i="4"/>
  <c r="M274" i="4"/>
  <c r="O274" i="4"/>
  <c r="N274" i="4" s="1"/>
  <c r="F278" i="4"/>
  <c r="H278" i="4"/>
  <c r="J278" i="4"/>
  <c r="L278" i="4"/>
  <c r="O278" i="4" s="1"/>
  <c r="M278" i="4"/>
  <c r="N278" i="4" s="1"/>
  <c r="F279" i="4"/>
  <c r="H279" i="4"/>
  <c r="J279" i="4"/>
  <c r="L279" i="4"/>
  <c r="M279" i="4"/>
  <c r="O279" i="4"/>
  <c r="N279" i="4" s="1"/>
  <c r="F280" i="4"/>
  <c r="H280" i="4"/>
  <c r="J280" i="4"/>
  <c r="L280" i="4"/>
  <c r="O280" i="4" s="1"/>
  <c r="M280" i="4"/>
  <c r="N280" i="4"/>
  <c r="F281" i="4"/>
  <c r="H281" i="4"/>
  <c r="J281" i="4"/>
  <c r="L281" i="4"/>
  <c r="M281" i="4"/>
  <c r="O281" i="4"/>
  <c r="N281" i="4" s="1"/>
  <c r="F282" i="4"/>
  <c r="H282" i="4"/>
  <c r="J282" i="4"/>
  <c r="L282" i="4"/>
  <c r="M282" i="4"/>
  <c r="O282" i="4"/>
  <c r="N282" i="4" s="1"/>
  <c r="F283" i="4"/>
  <c r="H283" i="4"/>
  <c r="J283" i="4"/>
  <c r="L283" i="4"/>
  <c r="O283" i="4" s="1"/>
  <c r="M283" i="4"/>
  <c r="N283" i="4" s="1"/>
  <c r="F287" i="4"/>
  <c r="H287" i="4"/>
  <c r="J287" i="4"/>
  <c r="L287" i="4"/>
  <c r="M287" i="4"/>
  <c r="O287" i="4"/>
  <c r="N287" i="4" s="1"/>
  <c r="F288" i="4"/>
  <c r="H288" i="4"/>
  <c r="M288" i="4" s="1"/>
  <c r="J288" i="4"/>
  <c r="L288" i="4" s="1"/>
  <c r="O288" i="4" s="1"/>
  <c r="F289" i="4"/>
  <c r="H289" i="4"/>
  <c r="J289" i="4"/>
  <c r="L289" i="4"/>
  <c r="M289" i="4"/>
  <c r="O289" i="4"/>
  <c r="N289" i="4" s="1"/>
  <c r="F290" i="4"/>
  <c r="H290" i="4"/>
  <c r="M290" i="4" s="1"/>
  <c r="N290" i="4" s="1"/>
  <c r="J290" i="4"/>
  <c r="L290" i="4"/>
  <c r="O290" i="4"/>
  <c r="F291" i="4"/>
  <c r="H291" i="4"/>
  <c r="J291" i="4"/>
  <c r="L291" i="4"/>
  <c r="M291" i="4"/>
  <c r="O291" i="4"/>
  <c r="N291" i="4" s="1"/>
  <c r="F292" i="4"/>
  <c r="H292" i="4" s="1"/>
  <c r="M292" i="4" s="1"/>
  <c r="N292" i="4" s="1"/>
  <c r="J292" i="4"/>
  <c r="L292" i="4"/>
  <c r="O292" i="4"/>
  <c r="F296" i="4"/>
  <c r="H296" i="4"/>
  <c r="J296" i="4"/>
  <c r="L296" i="4"/>
  <c r="M296" i="4"/>
  <c r="O296" i="4"/>
  <c r="N296" i="4" s="1"/>
  <c r="F297" i="4"/>
  <c r="H297" i="4"/>
  <c r="J297" i="4"/>
  <c r="L297" i="4"/>
  <c r="O297" i="4" s="1"/>
  <c r="N297" i="4" s="1"/>
  <c r="M297" i="4"/>
  <c r="F298" i="4"/>
  <c r="H298" i="4"/>
  <c r="J298" i="4"/>
  <c r="L298" i="4"/>
  <c r="M298" i="4"/>
  <c r="O298" i="4"/>
  <c r="N298" i="4" s="1"/>
  <c r="F299" i="4"/>
  <c r="H299" i="4"/>
  <c r="J299" i="4"/>
  <c r="L299" i="4"/>
  <c r="O299" i="4" s="1"/>
  <c r="M299" i="4"/>
  <c r="F300" i="4"/>
  <c r="H300" i="4"/>
  <c r="M300" i="4" s="1"/>
  <c r="J300" i="4"/>
  <c r="L300" i="4"/>
  <c r="O300" i="4" s="1"/>
  <c r="F301" i="4"/>
  <c r="H301" i="4"/>
  <c r="J301" i="4"/>
  <c r="L301" i="4"/>
  <c r="M301" i="4"/>
  <c r="O301" i="4"/>
  <c r="N301" i="4" s="1"/>
  <c r="F305" i="4"/>
  <c r="H305" i="4" s="1"/>
  <c r="M305" i="4" s="1"/>
  <c r="J305" i="4"/>
  <c r="L305" i="4" s="1"/>
  <c r="O305" i="4" s="1"/>
  <c r="F306" i="4"/>
  <c r="H306" i="4" s="1"/>
  <c r="M306" i="4" s="1"/>
  <c r="N306" i="4" s="1"/>
  <c r="J306" i="4"/>
  <c r="L306" i="4"/>
  <c r="O306" i="4"/>
  <c r="F307" i="4"/>
  <c r="H307" i="4"/>
  <c r="J307" i="4"/>
  <c r="L307" i="4"/>
  <c r="O307" i="4" s="1"/>
  <c r="M307" i="4"/>
  <c r="N307" i="4"/>
  <c r="F308" i="4"/>
  <c r="H308" i="4" s="1"/>
  <c r="M308" i="4" s="1"/>
  <c r="N308" i="4" s="1"/>
  <c r="J308" i="4"/>
  <c r="L308" i="4"/>
  <c r="O308" i="4"/>
  <c r="F309" i="4"/>
  <c r="H309" i="4"/>
  <c r="J309" i="4"/>
  <c r="L309" i="4"/>
  <c r="M309" i="4"/>
  <c r="O309" i="4"/>
  <c r="N309" i="4" s="1"/>
  <c r="F310" i="4"/>
  <c r="H310" i="4"/>
  <c r="J310" i="4"/>
  <c r="L310" i="4"/>
  <c r="O310" i="4" s="1"/>
  <c r="N310" i="4" s="1"/>
  <c r="M310" i="4"/>
  <c r="F314" i="4"/>
  <c r="H314" i="4" s="1"/>
  <c r="M314" i="4" s="1"/>
  <c r="N314" i="4" s="1"/>
  <c r="J314" i="4"/>
  <c r="L314" i="4"/>
  <c r="O314" i="4"/>
  <c r="F315" i="4"/>
  <c r="H315" i="4"/>
  <c r="J315" i="4"/>
  <c r="L315" i="4"/>
  <c r="O315" i="4" s="1"/>
  <c r="M315" i="4"/>
  <c r="F316" i="4"/>
  <c r="H316" i="4"/>
  <c r="J316" i="4"/>
  <c r="L316" i="4"/>
  <c r="M316" i="4"/>
  <c r="O316" i="4"/>
  <c r="N316" i="4" s="1"/>
  <c r="F317" i="4"/>
  <c r="H317" i="4"/>
  <c r="J317" i="4"/>
  <c r="L317" i="4"/>
  <c r="M317" i="4"/>
  <c r="O317" i="4"/>
  <c r="N317" i="4" s="1"/>
  <c r="F318" i="4"/>
  <c r="H318" i="4"/>
  <c r="J318" i="4"/>
  <c r="L318" i="4"/>
  <c r="M318" i="4"/>
  <c r="O318" i="4"/>
  <c r="N318" i="4" s="1"/>
  <c r="F319" i="4"/>
  <c r="H319" i="4" s="1"/>
  <c r="M319" i="4" s="1"/>
  <c r="N319" i="4" s="1"/>
  <c r="J319" i="4"/>
  <c r="L319" i="4"/>
  <c r="O319" i="4"/>
  <c r="F323" i="4"/>
  <c r="H323" i="4"/>
  <c r="M323" i="4" s="1"/>
  <c r="N323" i="4" s="1"/>
  <c r="J323" i="4"/>
  <c r="L323" i="4"/>
  <c r="O323" i="4"/>
  <c r="F324" i="4"/>
  <c r="H324" i="4"/>
  <c r="J324" i="4"/>
  <c r="L324" i="4"/>
  <c r="M324" i="4"/>
  <c r="O324" i="4"/>
  <c r="N324" i="4" s="1"/>
  <c r="F325" i="4"/>
  <c r="H325" i="4"/>
  <c r="J325" i="4"/>
  <c r="L325" i="4"/>
  <c r="M325" i="4"/>
  <c r="O325" i="4"/>
  <c r="N325" i="4" s="1"/>
  <c r="F326" i="4"/>
  <c r="H326" i="4"/>
  <c r="M326" i="4" s="1"/>
  <c r="N326" i="4" s="1"/>
  <c r="J326" i="4"/>
  <c r="L326" i="4"/>
  <c r="O326" i="4"/>
  <c r="F327" i="4"/>
  <c r="H327" i="4"/>
  <c r="J327" i="4"/>
  <c r="L327" i="4"/>
  <c r="O327" i="4" s="1"/>
  <c r="M327" i="4"/>
  <c r="N327" i="4"/>
  <c r="F328" i="4"/>
  <c r="H328" i="4"/>
  <c r="J328" i="4"/>
  <c r="L328" i="4"/>
  <c r="M328" i="4"/>
  <c r="O328" i="4"/>
  <c r="N328" i="4" s="1"/>
  <c r="F332" i="4"/>
  <c r="H332" i="4"/>
  <c r="J332" i="4"/>
  <c r="L332" i="4"/>
  <c r="M332" i="4"/>
  <c r="O332" i="4"/>
  <c r="N332" i="4" s="1"/>
  <c r="F333" i="4"/>
  <c r="H333" i="4"/>
  <c r="J333" i="4"/>
  <c r="L333" i="4"/>
  <c r="M333" i="4"/>
  <c r="O333" i="4"/>
  <c r="N333" i="4" s="1"/>
  <c r="F334" i="4"/>
  <c r="H334" i="4"/>
  <c r="M334" i="4" s="1"/>
  <c r="N334" i="4" s="1"/>
  <c r="J334" i="4"/>
  <c r="L334" i="4"/>
  <c r="O334" i="4" s="1"/>
  <c r="F335" i="4"/>
  <c r="H335" i="4"/>
  <c r="M335" i="4" s="1"/>
  <c r="J335" i="4"/>
  <c r="L335" i="4" s="1"/>
  <c r="O335" i="4" s="1"/>
  <c r="F336" i="4"/>
  <c r="H336" i="4"/>
  <c r="J336" i="4"/>
  <c r="L336" i="4"/>
  <c r="M336" i="4"/>
  <c r="O336" i="4"/>
  <c r="N336" i="4" s="1"/>
  <c r="F337" i="4"/>
  <c r="H337" i="4" s="1"/>
  <c r="M337" i="4" s="1"/>
  <c r="N337" i="4" s="1"/>
  <c r="J337" i="4"/>
  <c r="L337" i="4" s="1"/>
  <c r="O337" i="4" s="1"/>
  <c r="F341" i="4"/>
  <c r="H341" i="4"/>
  <c r="J341" i="4"/>
  <c r="L341" i="4"/>
  <c r="M341" i="4"/>
  <c r="O341" i="4"/>
  <c r="N341" i="4" s="1"/>
  <c r="F342" i="4"/>
  <c r="H342" i="4"/>
  <c r="J342" i="4"/>
  <c r="L342" i="4"/>
  <c r="M342" i="4"/>
  <c r="O342" i="4"/>
  <c r="N342" i="4" s="1"/>
  <c r="F343" i="4"/>
  <c r="H343" i="4"/>
  <c r="J343" i="4"/>
  <c r="L343" i="4"/>
  <c r="M343" i="4"/>
  <c r="O343" i="4"/>
  <c r="N343" i="4" s="1"/>
  <c r="F344" i="4"/>
  <c r="H344" i="4"/>
  <c r="J344" i="4"/>
  <c r="L344" i="4"/>
  <c r="M344" i="4"/>
  <c r="O344" i="4"/>
  <c r="N344" i="4" s="1"/>
  <c r="F345" i="4"/>
  <c r="H345" i="4" s="1"/>
  <c r="M345" i="4" s="1"/>
  <c r="N345" i="4" s="1"/>
  <c r="J345" i="4"/>
  <c r="L345" i="4"/>
  <c r="O345" i="4"/>
  <c r="F346" i="4"/>
  <c r="H346" i="4"/>
  <c r="J346" i="4"/>
  <c r="L346" i="4"/>
  <c r="M346" i="4"/>
  <c r="O346" i="4"/>
  <c r="N346" i="4" s="1"/>
  <c r="F350" i="4"/>
  <c r="H350" i="4"/>
  <c r="M350" i="4" s="1"/>
  <c r="J350" i="4"/>
  <c r="L350" i="4"/>
  <c r="O350" i="4" s="1"/>
  <c r="F351" i="4"/>
  <c r="H351" i="4"/>
  <c r="J351" i="4"/>
  <c r="L351" i="4"/>
  <c r="M351" i="4"/>
  <c r="O351" i="4"/>
  <c r="N351" i="4" s="1"/>
  <c r="F352" i="4"/>
  <c r="H352" i="4"/>
  <c r="J352" i="4"/>
  <c r="L352" i="4"/>
  <c r="M352" i="4"/>
  <c r="O352" i="4"/>
  <c r="N352" i="4" s="1"/>
  <c r="F353" i="4"/>
  <c r="H353" i="4" s="1"/>
  <c r="M353" i="4" s="1"/>
  <c r="N353" i="4" s="1"/>
  <c r="J353" i="4"/>
  <c r="L353" i="4"/>
  <c r="O353" i="4"/>
  <c r="F354" i="4"/>
  <c r="H354" i="4"/>
  <c r="J354" i="4"/>
  <c r="L354" i="4"/>
  <c r="M354" i="4"/>
  <c r="O354" i="4"/>
  <c r="N354" i="4" s="1"/>
  <c r="F355" i="4"/>
  <c r="H355" i="4" s="1"/>
  <c r="M355" i="4" s="1"/>
  <c r="N355" i="4" s="1"/>
  <c r="J355" i="4"/>
  <c r="L355" i="4"/>
  <c r="O355" i="4"/>
  <c r="F12" i="3"/>
  <c r="H12" i="3" s="1"/>
  <c r="J12" i="3"/>
  <c r="L12" i="3"/>
  <c r="M12" i="3"/>
  <c r="O12" i="3"/>
  <c r="N12" i="3" s="1"/>
  <c r="F13" i="3"/>
  <c r="H13" i="3"/>
  <c r="J13" i="3"/>
  <c r="L13" i="3"/>
  <c r="M13" i="3"/>
  <c r="O13" i="3"/>
  <c r="N13" i="3" s="1"/>
  <c r="F14" i="3"/>
  <c r="H14" i="3"/>
  <c r="J14" i="3"/>
  <c r="L14" i="3"/>
  <c r="O14" i="3" s="1"/>
  <c r="M14" i="3"/>
  <c r="N14" i="3"/>
  <c r="F15" i="3"/>
  <c r="H15" i="3"/>
  <c r="J15" i="3"/>
  <c r="L15" i="3"/>
  <c r="M15" i="3"/>
  <c r="O15" i="3"/>
  <c r="N15" i="3" s="1"/>
  <c r="F16" i="3"/>
  <c r="H16" i="3"/>
  <c r="M16" i="3" s="1"/>
  <c r="J16" i="3"/>
  <c r="L16" i="3"/>
  <c r="O16" i="3" s="1"/>
  <c r="F17" i="3"/>
  <c r="H17" i="3" s="1"/>
  <c r="M17" i="3" s="1"/>
  <c r="N17" i="3" s="1"/>
  <c r="J17" i="3"/>
  <c r="L17" i="3"/>
  <c r="O17" i="3"/>
  <c r="F18" i="3"/>
  <c r="H18" i="3"/>
  <c r="J18" i="3"/>
  <c r="L18" i="3"/>
  <c r="M18" i="3"/>
  <c r="O18" i="3"/>
  <c r="N18" i="3" s="1"/>
  <c r="F19" i="3"/>
  <c r="H19" i="3"/>
  <c r="J19" i="3"/>
  <c r="L19" i="3"/>
  <c r="O19" i="3" s="1"/>
  <c r="M19" i="3"/>
  <c r="N19" i="3"/>
  <c r="F20" i="3"/>
  <c r="H20" i="3"/>
  <c r="M20" i="3" s="1"/>
  <c r="N20" i="3" s="1"/>
  <c r="J20" i="3"/>
  <c r="L20" i="3"/>
  <c r="O20" i="3"/>
  <c r="H21" i="3"/>
  <c r="L21" i="3"/>
  <c r="F25" i="3"/>
  <c r="H25" i="3"/>
  <c r="J25" i="3"/>
  <c r="L25" i="3" s="1"/>
  <c r="M25" i="3"/>
  <c r="O25" i="3"/>
  <c r="N25" i="3" s="1"/>
  <c r="F26" i="3"/>
  <c r="H26" i="3"/>
  <c r="J26" i="3"/>
  <c r="L26" i="3"/>
  <c r="M26" i="3"/>
  <c r="O26" i="3"/>
  <c r="N26" i="3" s="1"/>
  <c r="F27" i="3"/>
  <c r="H27" i="3"/>
  <c r="J27" i="3"/>
  <c r="L27" i="3"/>
  <c r="M27" i="3"/>
  <c r="O27" i="3"/>
  <c r="N27" i="3" s="1"/>
  <c r="F28" i="3"/>
  <c r="H28" i="3" s="1"/>
  <c r="J28" i="3"/>
  <c r="L28" i="3"/>
  <c r="O28" i="3" s="1"/>
  <c r="M28" i="3"/>
  <c r="N28" i="3"/>
  <c r="F29" i="3"/>
  <c r="H29" i="3"/>
  <c r="M29" i="3" s="1"/>
  <c r="J29" i="3"/>
  <c r="L29" i="3" s="1"/>
  <c r="O29" i="3"/>
  <c r="F30" i="3"/>
  <c r="H30" i="3"/>
  <c r="M30" i="3" s="1"/>
  <c r="J30" i="3"/>
  <c r="L30" i="3" s="1"/>
  <c r="O30" i="3"/>
  <c r="N30" i="3" s="1"/>
  <c r="F31" i="3"/>
  <c r="H31" i="3"/>
  <c r="M31" i="3" s="1"/>
  <c r="J31" i="3"/>
  <c r="L31" i="3" s="1"/>
  <c r="O31" i="3" s="1"/>
  <c r="F32" i="3"/>
  <c r="H32" i="3"/>
  <c r="J32" i="3"/>
  <c r="L32" i="3"/>
  <c r="M32" i="3"/>
  <c r="O32" i="3"/>
  <c r="N32" i="3" s="1"/>
  <c r="F33" i="3"/>
  <c r="H33" i="3" s="1"/>
  <c r="M33" i="3" s="1"/>
  <c r="N33" i="3" s="1"/>
  <c r="J33" i="3"/>
  <c r="L33" i="3"/>
  <c r="O33" i="3"/>
  <c r="F34" i="3"/>
  <c r="H34" i="3" s="1"/>
  <c r="M34" i="3" s="1"/>
  <c r="N34" i="3" s="1"/>
  <c r="J34" i="3"/>
  <c r="L34" i="3"/>
  <c r="O34" i="3"/>
  <c r="F38" i="3"/>
  <c r="H38" i="3" s="1"/>
  <c r="J38" i="3"/>
  <c r="L38" i="3"/>
  <c r="M38" i="3"/>
  <c r="O38" i="3"/>
  <c r="N38" i="3" s="1"/>
  <c r="F39" i="3"/>
  <c r="H39" i="3"/>
  <c r="M39" i="3" s="1"/>
  <c r="J39" i="3"/>
  <c r="L39" i="3" s="1"/>
  <c r="O39" i="3" s="1"/>
  <c r="F40" i="3"/>
  <c r="H40" i="3"/>
  <c r="M40" i="3" s="1"/>
  <c r="J40" i="3"/>
  <c r="L40" i="3" s="1"/>
  <c r="O40" i="3" s="1"/>
  <c r="F41" i="3"/>
  <c r="H41" i="3"/>
  <c r="M41" i="3" s="1"/>
  <c r="J41" i="3"/>
  <c r="L41" i="3"/>
  <c r="O41" i="3" s="1"/>
  <c r="F42" i="3"/>
  <c r="H42" i="3"/>
  <c r="J42" i="3"/>
  <c r="L42" i="3"/>
  <c r="O42" i="3" s="1"/>
  <c r="M42" i="3"/>
  <c r="N42" i="3" s="1"/>
  <c r="F43" i="3"/>
  <c r="H43" i="3" s="1"/>
  <c r="J43" i="3"/>
  <c r="L43" i="3"/>
  <c r="M43" i="3"/>
  <c r="O43" i="3"/>
  <c r="N43" i="3" s="1"/>
  <c r="F44" i="3"/>
  <c r="H44" i="3"/>
  <c r="J44" i="3"/>
  <c r="L44" i="3"/>
  <c r="O44" i="3" s="1"/>
  <c r="M44" i="3"/>
  <c r="N44" i="3" s="1"/>
  <c r="F45" i="3"/>
  <c r="H45" i="3"/>
  <c r="J45" i="3"/>
  <c r="L45" i="3"/>
  <c r="O45" i="3" s="1"/>
  <c r="M45" i="3"/>
  <c r="N45" i="3"/>
  <c r="F46" i="3"/>
  <c r="H46" i="3" s="1"/>
  <c r="J46" i="3"/>
  <c r="L46" i="3"/>
  <c r="M46" i="3"/>
  <c r="N46" i="3" s="1"/>
  <c r="O46" i="3"/>
  <c r="F47" i="3"/>
  <c r="H47" i="3"/>
  <c r="J47" i="3"/>
  <c r="L47" i="3"/>
  <c r="O47" i="3" s="1"/>
  <c r="M47" i="3"/>
  <c r="N47" i="3" s="1"/>
  <c r="F51" i="3"/>
  <c r="H51" i="3"/>
  <c r="J51" i="3"/>
  <c r="L51" i="3"/>
  <c r="M51" i="3"/>
  <c r="O51" i="3"/>
  <c r="N51" i="3" s="1"/>
  <c r="F52" i="3"/>
  <c r="H52" i="3"/>
  <c r="J52" i="3"/>
  <c r="L52" i="3"/>
  <c r="O52" i="3" s="1"/>
  <c r="M52" i="3"/>
  <c r="N52" i="3" s="1"/>
  <c r="F53" i="3"/>
  <c r="H53" i="3"/>
  <c r="M53" i="3" s="1"/>
  <c r="J53" i="3"/>
  <c r="L53" i="3"/>
  <c r="O53" i="3" s="1"/>
  <c r="F54" i="3"/>
  <c r="H54" i="3"/>
  <c r="J54" i="3"/>
  <c r="L54" i="3"/>
  <c r="M54" i="3"/>
  <c r="O54" i="3"/>
  <c r="N54" i="3" s="1"/>
  <c r="F55" i="3"/>
  <c r="H55" i="3"/>
  <c r="M55" i="3" s="1"/>
  <c r="J55" i="3"/>
  <c r="L55" i="3" s="1"/>
  <c r="O55" i="3" s="1"/>
  <c r="F56" i="3"/>
  <c r="H56" i="3" s="1"/>
  <c r="M56" i="3" s="1"/>
  <c r="N56" i="3" s="1"/>
  <c r="J56" i="3"/>
  <c r="L56" i="3"/>
  <c r="O56" i="3"/>
  <c r="F57" i="3"/>
  <c r="H57" i="3"/>
  <c r="J57" i="3"/>
  <c r="L57" i="3"/>
  <c r="M57" i="3"/>
  <c r="O57" i="3"/>
  <c r="N57" i="3" s="1"/>
  <c r="F58" i="3"/>
  <c r="H58" i="3"/>
  <c r="M58" i="3" s="1"/>
  <c r="J58" i="3"/>
  <c r="L58" i="3" s="1"/>
  <c r="O58" i="3" s="1"/>
  <c r="H59" i="3"/>
  <c r="L59" i="3"/>
  <c r="H60" i="3"/>
  <c r="L60" i="3"/>
  <c r="F64" i="3"/>
  <c r="H64" i="3"/>
  <c r="J64" i="3"/>
  <c r="L64" i="3"/>
  <c r="M64" i="3"/>
  <c r="O64" i="3"/>
  <c r="N64" i="3" s="1"/>
  <c r="F65" i="3"/>
  <c r="H65" i="3"/>
  <c r="J65" i="3"/>
  <c r="L65" i="3"/>
  <c r="O65" i="3" s="1"/>
  <c r="M65" i="3"/>
  <c r="N65" i="3" s="1"/>
  <c r="F66" i="3"/>
  <c r="H66" i="3"/>
  <c r="J66" i="3"/>
  <c r="L66" i="3"/>
  <c r="M66" i="3"/>
  <c r="O66" i="3"/>
  <c r="N66" i="3" s="1"/>
  <c r="F67" i="3"/>
  <c r="H67" i="3"/>
  <c r="M67" i="3" s="1"/>
  <c r="J67" i="3"/>
  <c r="L67" i="3" s="1"/>
  <c r="O67" i="3" s="1"/>
  <c r="N67" i="3"/>
  <c r="F68" i="3"/>
  <c r="H68" i="3"/>
  <c r="J68" i="3"/>
  <c r="L68" i="3"/>
  <c r="M68" i="3"/>
  <c r="O68" i="3"/>
  <c r="N68" i="3" s="1"/>
  <c r="F69" i="3"/>
  <c r="H69" i="3"/>
  <c r="J69" i="3"/>
  <c r="L69" i="3"/>
  <c r="O69" i="3" s="1"/>
  <c r="M69" i="3"/>
  <c r="N69" i="3"/>
  <c r="F70" i="3"/>
  <c r="H70" i="3"/>
  <c r="J70" i="3"/>
  <c r="L70" i="3"/>
  <c r="O70" i="3" s="1"/>
  <c r="M70" i="3"/>
  <c r="N70" i="3" s="1"/>
  <c r="F71" i="3"/>
  <c r="H71" i="3"/>
  <c r="J71" i="3"/>
  <c r="L71" i="3"/>
  <c r="O71" i="3" s="1"/>
  <c r="M71" i="3"/>
  <c r="N71" i="3"/>
  <c r="H72" i="3"/>
  <c r="L72" i="3"/>
  <c r="H73" i="3"/>
  <c r="L73" i="3"/>
  <c r="F77" i="3"/>
  <c r="H77" i="3" s="1"/>
  <c r="M77" i="3" s="1"/>
  <c r="N77" i="3" s="1"/>
  <c r="J77" i="3"/>
  <c r="L77" i="3"/>
  <c r="O77" i="3"/>
  <c r="F78" i="3"/>
  <c r="H78" i="3"/>
  <c r="M78" i="3" s="1"/>
  <c r="J78" i="3"/>
  <c r="L78" i="3"/>
  <c r="O78" i="3" s="1"/>
  <c r="F79" i="3"/>
  <c r="H79" i="3"/>
  <c r="J79" i="3"/>
  <c r="L79" i="3"/>
  <c r="M79" i="3"/>
  <c r="O79" i="3"/>
  <c r="N79" i="3" s="1"/>
  <c r="H80" i="3"/>
  <c r="L80" i="3"/>
  <c r="H81" i="3"/>
  <c r="L81" i="3"/>
  <c r="H82" i="3"/>
  <c r="L82" i="3"/>
  <c r="H83" i="3"/>
  <c r="L83" i="3"/>
  <c r="H84" i="3"/>
  <c r="L84" i="3"/>
  <c r="H85" i="3"/>
  <c r="L85" i="3"/>
  <c r="H86" i="3"/>
  <c r="L86" i="3"/>
  <c r="F90" i="3"/>
  <c r="H90" i="3"/>
  <c r="J90" i="3"/>
  <c r="L90" i="3"/>
  <c r="M90" i="3"/>
  <c r="O90" i="3"/>
  <c r="N90" i="3" s="1"/>
  <c r="F91" i="3"/>
  <c r="H91" i="3" s="1"/>
  <c r="M91" i="3" s="1"/>
  <c r="N91" i="3" s="1"/>
  <c r="J91" i="3"/>
  <c r="L91" i="3"/>
  <c r="O91" i="3"/>
  <c r="F92" i="3"/>
  <c r="H92" i="3"/>
  <c r="J92" i="3"/>
  <c r="L92" i="3"/>
  <c r="O92" i="3" s="1"/>
  <c r="M92" i="3"/>
  <c r="N92" i="3"/>
  <c r="F93" i="3"/>
  <c r="H93" i="3"/>
  <c r="M93" i="3" s="1"/>
  <c r="J93" i="3"/>
  <c r="L93" i="3" s="1"/>
  <c r="O93" i="3"/>
  <c r="F94" i="3"/>
  <c r="H94" i="3"/>
  <c r="J94" i="3"/>
  <c r="L94" i="3"/>
  <c r="O94" i="3" s="1"/>
  <c r="M94" i="3"/>
  <c r="N94" i="3" s="1"/>
  <c r="F95" i="3"/>
  <c r="H95" i="3"/>
  <c r="M95" i="3" s="1"/>
  <c r="J95" i="3"/>
  <c r="L95" i="3" s="1"/>
  <c r="O95" i="3" s="1"/>
  <c r="F96" i="3"/>
  <c r="H96" i="3"/>
  <c r="M96" i="3" s="1"/>
  <c r="J96" i="3"/>
  <c r="L96" i="3"/>
  <c r="O96" i="3"/>
  <c r="F97" i="3"/>
  <c r="H97" i="3"/>
  <c r="J97" i="3"/>
  <c r="L97" i="3"/>
  <c r="O97" i="3" s="1"/>
  <c r="M97" i="3"/>
  <c r="N97" i="3" s="1"/>
  <c r="F98" i="3"/>
  <c r="H98" i="3" s="1"/>
  <c r="M98" i="3" s="1"/>
  <c r="J98" i="3"/>
  <c r="L98" i="3"/>
  <c r="O98" i="3" s="1"/>
  <c r="F99" i="3"/>
  <c r="H99" i="3"/>
  <c r="M99" i="3" s="1"/>
  <c r="J99" i="3"/>
  <c r="L99" i="3" s="1"/>
  <c r="O99" i="3"/>
  <c r="N99" i="3" s="1"/>
  <c r="F103" i="3"/>
  <c r="H103" i="3"/>
  <c r="J103" i="3"/>
  <c r="L103" i="3"/>
  <c r="O103" i="3" s="1"/>
  <c r="M103" i="3"/>
  <c r="N103" i="3" s="1"/>
  <c r="F104" i="3"/>
  <c r="H104" i="3"/>
  <c r="J104" i="3"/>
  <c r="L104" i="3"/>
  <c r="M104" i="3"/>
  <c r="N104" i="3" s="1"/>
  <c r="O104" i="3"/>
  <c r="F105" i="3"/>
  <c r="H105" i="3"/>
  <c r="M105" i="3" s="1"/>
  <c r="J105" i="3"/>
  <c r="L105" i="3"/>
  <c r="O105" i="3" s="1"/>
  <c r="F106" i="3"/>
  <c r="H106" i="3"/>
  <c r="J106" i="3"/>
  <c r="L106" i="3"/>
  <c r="O106" i="3" s="1"/>
  <c r="M106" i="3"/>
  <c r="N106" i="3"/>
  <c r="F107" i="3"/>
  <c r="H107" i="3"/>
  <c r="M107" i="3" s="1"/>
  <c r="J107" i="3"/>
  <c r="L107" i="3" s="1"/>
  <c r="O107" i="3"/>
  <c r="N107" i="3" s="1"/>
  <c r="F108" i="3"/>
  <c r="H108" i="3"/>
  <c r="J108" i="3"/>
  <c r="L108" i="3"/>
  <c r="M108" i="3"/>
  <c r="O108" i="3"/>
  <c r="N108" i="3" s="1"/>
  <c r="F109" i="3"/>
  <c r="H109" i="3"/>
  <c r="J109" i="3"/>
  <c r="L109" i="3"/>
  <c r="M109" i="3"/>
  <c r="O109" i="3"/>
  <c r="N109" i="3" s="1"/>
  <c r="F110" i="3"/>
  <c r="H110" i="3" s="1"/>
  <c r="M110" i="3" s="1"/>
  <c r="N110" i="3" s="1"/>
  <c r="J110" i="3"/>
  <c r="L110" i="3"/>
  <c r="O110" i="3"/>
  <c r="F111" i="3"/>
  <c r="H111" i="3"/>
  <c r="J111" i="3"/>
  <c r="L111" i="3"/>
  <c r="O111" i="3" s="1"/>
  <c r="M111" i="3"/>
  <c r="N111" i="3"/>
  <c r="F112" i="3"/>
  <c r="H112" i="3" s="1"/>
  <c r="J112" i="3"/>
  <c r="L112" i="3"/>
  <c r="M112" i="3"/>
  <c r="O112" i="3"/>
  <c r="N112" i="3" s="1"/>
  <c r="F116" i="3"/>
  <c r="H116" i="3"/>
  <c r="J116" i="3"/>
  <c r="L116" i="3"/>
  <c r="O116" i="3" s="1"/>
  <c r="M116" i="3"/>
  <c r="N116" i="3"/>
  <c r="F117" i="3"/>
  <c r="H117" i="3"/>
  <c r="J117" i="3"/>
  <c r="L117" i="3"/>
  <c r="O117" i="3" s="1"/>
  <c r="M117" i="3"/>
  <c r="N117" i="3" s="1"/>
  <c r="F118" i="3"/>
  <c r="H118" i="3"/>
  <c r="J118" i="3"/>
  <c r="L118" i="3"/>
  <c r="M118" i="3"/>
  <c r="O118" i="3"/>
  <c r="N118" i="3" s="1"/>
  <c r="F119" i="3"/>
  <c r="H119" i="3"/>
  <c r="J119" i="3"/>
  <c r="L119" i="3"/>
  <c r="O119" i="3" s="1"/>
  <c r="M119" i="3"/>
  <c r="N119" i="3"/>
  <c r="F120" i="3"/>
  <c r="H120" i="3"/>
  <c r="J120" i="3"/>
  <c r="L120" i="3"/>
  <c r="M120" i="3"/>
  <c r="O120" i="3"/>
  <c r="N120" i="3" s="1"/>
  <c r="F121" i="3"/>
  <c r="H121" i="3"/>
  <c r="J121" i="3"/>
  <c r="L121" i="3"/>
  <c r="O121" i="3" s="1"/>
  <c r="M121" i="3"/>
  <c r="N121" i="3" s="1"/>
  <c r="F122" i="3"/>
  <c r="H122" i="3"/>
  <c r="M122" i="3" s="1"/>
  <c r="J122" i="3"/>
  <c r="L122" i="3" s="1"/>
  <c r="O122" i="3"/>
  <c r="N122" i="3" s="1"/>
  <c r="F123" i="3"/>
  <c r="H123" i="3"/>
  <c r="J123" i="3"/>
  <c r="L123" i="3"/>
  <c r="M123" i="3"/>
  <c r="O123" i="3"/>
  <c r="N123" i="3" s="1"/>
  <c r="F124" i="3"/>
  <c r="H124" i="3"/>
  <c r="M124" i="3" s="1"/>
  <c r="N124" i="3" s="1"/>
  <c r="J124" i="3"/>
  <c r="L124" i="3"/>
  <c r="O124" i="3" s="1"/>
  <c r="F125" i="3"/>
  <c r="H125" i="3"/>
  <c r="J125" i="3"/>
  <c r="L125" i="3"/>
  <c r="M125" i="3"/>
  <c r="O125" i="3"/>
  <c r="N125" i="3" s="1"/>
  <c r="F129" i="3"/>
  <c r="H129" i="3"/>
  <c r="J129" i="3"/>
  <c r="L129" i="3"/>
  <c r="O129" i="3" s="1"/>
  <c r="M129" i="3"/>
  <c r="N129" i="3" s="1"/>
  <c r="F130" i="3"/>
  <c r="H130" i="3"/>
  <c r="J130" i="3"/>
  <c r="L130" i="3"/>
  <c r="M130" i="3"/>
  <c r="O130" i="3"/>
  <c r="N130" i="3" s="1"/>
  <c r="F131" i="3"/>
  <c r="H131" i="3"/>
  <c r="J131" i="3"/>
  <c r="L131" i="3"/>
  <c r="M131" i="3"/>
  <c r="O131" i="3"/>
  <c r="N131" i="3" s="1"/>
  <c r="F132" i="3"/>
  <c r="H132" i="3"/>
  <c r="M132" i="3" s="1"/>
  <c r="J132" i="3"/>
  <c r="L132" i="3"/>
  <c r="O132" i="3"/>
  <c r="F133" i="3"/>
  <c r="H133" i="3" s="1"/>
  <c r="M133" i="3" s="1"/>
  <c r="N133" i="3" s="1"/>
  <c r="J133" i="3"/>
  <c r="L133" i="3"/>
  <c r="O133" i="3"/>
  <c r="F134" i="3"/>
  <c r="H134" i="3"/>
  <c r="M134" i="3" s="1"/>
  <c r="J134" i="3"/>
  <c r="L134" i="3" s="1"/>
  <c r="O134" i="3" s="1"/>
  <c r="F135" i="3"/>
  <c r="H135" i="3"/>
  <c r="M135" i="3" s="1"/>
  <c r="J135" i="3"/>
  <c r="L135" i="3"/>
  <c r="O135" i="3" s="1"/>
  <c r="F136" i="3"/>
  <c r="H136" i="3"/>
  <c r="J136" i="3"/>
  <c r="L136" i="3" s="1"/>
  <c r="O136" i="3" s="1"/>
  <c r="N136" i="3" s="1"/>
  <c r="M136" i="3"/>
  <c r="F137" i="3"/>
  <c r="H137" i="3"/>
  <c r="M137" i="3" s="1"/>
  <c r="J137" i="3"/>
  <c r="L137" i="3"/>
  <c r="O137" i="3"/>
  <c r="F138" i="3"/>
  <c r="H138" i="3"/>
  <c r="M138" i="3" s="1"/>
  <c r="J138" i="3"/>
  <c r="L138" i="3"/>
  <c r="O138" i="3" s="1"/>
  <c r="F142" i="3"/>
  <c r="H142" i="3" s="1"/>
  <c r="M142" i="3" s="1"/>
  <c r="J142" i="3"/>
  <c r="L142" i="3"/>
  <c r="O142" i="3"/>
  <c r="F143" i="3"/>
  <c r="H143" i="3"/>
  <c r="J143" i="3"/>
  <c r="L143" i="3"/>
  <c r="O143" i="3" s="1"/>
  <c r="M143" i="3"/>
  <c r="N143" i="3"/>
  <c r="F144" i="3"/>
  <c r="H144" i="3"/>
  <c r="J144" i="3"/>
  <c r="L144" i="3"/>
  <c r="M144" i="3"/>
  <c r="O144" i="3"/>
  <c r="N144" i="3" s="1"/>
  <c r="F145" i="3"/>
  <c r="H145" i="3"/>
  <c r="M145" i="3" s="1"/>
  <c r="N145" i="3" s="1"/>
  <c r="J145" i="3"/>
  <c r="L145" i="3"/>
  <c r="O145" i="3"/>
  <c r="F146" i="3"/>
  <c r="H146" i="3"/>
  <c r="M146" i="3" s="1"/>
  <c r="J146" i="3"/>
  <c r="L146" i="3"/>
  <c r="O146" i="3" s="1"/>
  <c r="F147" i="3"/>
  <c r="H147" i="3"/>
  <c r="M147" i="3" s="1"/>
  <c r="J147" i="3"/>
  <c r="L147" i="3"/>
  <c r="O147" i="3"/>
  <c r="F148" i="3"/>
  <c r="H148" i="3"/>
  <c r="J148" i="3"/>
  <c r="L148" i="3"/>
  <c r="M148" i="3"/>
  <c r="O148" i="3"/>
  <c r="N148" i="3" s="1"/>
  <c r="F149" i="3"/>
  <c r="H149" i="3" s="1"/>
  <c r="M149" i="3" s="1"/>
  <c r="J149" i="3"/>
  <c r="L149" i="3"/>
  <c r="O149" i="3"/>
  <c r="F150" i="3"/>
  <c r="H150" i="3"/>
  <c r="J150" i="3"/>
  <c r="L150" i="3"/>
  <c r="M150" i="3"/>
  <c r="O150" i="3"/>
  <c r="N150" i="3" s="1"/>
  <c r="F151" i="3"/>
  <c r="H151" i="3" s="1"/>
  <c r="M151" i="3" s="1"/>
  <c r="N151" i="3" s="1"/>
  <c r="J151" i="3"/>
  <c r="L151" i="3"/>
  <c r="O151" i="3"/>
  <c r="F155" i="3"/>
  <c r="H155" i="3"/>
  <c r="J155" i="3"/>
  <c r="L155" i="3"/>
  <c r="M155" i="3"/>
  <c r="O155" i="3"/>
  <c r="N155" i="3" s="1"/>
  <c r="F156" i="3"/>
  <c r="H156" i="3"/>
  <c r="J156" i="3"/>
  <c r="L156" i="3"/>
  <c r="O156" i="3" s="1"/>
  <c r="M156" i="3"/>
  <c r="N156" i="3"/>
  <c r="F157" i="3"/>
  <c r="H157" i="3"/>
  <c r="J157" i="3"/>
  <c r="L157" i="3"/>
  <c r="M157" i="3"/>
  <c r="O157" i="3"/>
  <c r="N157" i="3" s="1"/>
  <c r="F158" i="3"/>
  <c r="H158" i="3"/>
  <c r="J158" i="3"/>
  <c r="L158" i="3"/>
  <c r="O158" i="3" s="1"/>
  <c r="M158" i="3"/>
  <c r="N158" i="3" s="1"/>
  <c r="F159" i="3"/>
  <c r="H159" i="3"/>
  <c r="M159" i="3" s="1"/>
  <c r="J159" i="3"/>
  <c r="L159" i="3" s="1"/>
  <c r="O159" i="3" s="1"/>
  <c r="F160" i="3"/>
  <c r="H160" i="3" s="1"/>
  <c r="J160" i="3"/>
  <c r="L160" i="3"/>
  <c r="M160" i="3"/>
  <c r="O160" i="3"/>
  <c r="N160" i="3" s="1"/>
  <c r="F161" i="3"/>
  <c r="H161" i="3"/>
  <c r="J161" i="3"/>
  <c r="L161" i="3"/>
  <c r="O161" i="3" s="1"/>
  <c r="M161" i="3"/>
  <c r="N161" i="3"/>
  <c r="F162" i="3"/>
  <c r="H162" i="3"/>
  <c r="J162" i="3"/>
  <c r="L162" i="3"/>
  <c r="O162" i="3" s="1"/>
  <c r="M162" i="3"/>
  <c r="N162" i="3" s="1"/>
  <c r="F163" i="3"/>
  <c r="H163" i="3"/>
  <c r="M163" i="3" s="1"/>
  <c r="J163" i="3"/>
  <c r="L163" i="3" s="1"/>
  <c r="O163" i="3"/>
  <c r="N163" i="3" s="1"/>
  <c r="F164" i="3"/>
  <c r="H164" i="3"/>
  <c r="J164" i="3"/>
  <c r="L164" i="3"/>
  <c r="M164" i="3"/>
  <c r="O164" i="3"/>
  <c r="N164" i="3" s="1"/>
  <c r="F168" i="3"/>
  <c r="H168" i="3"/>
  <c r="J168" i="3"/>
  <c r="L168" i="3"/>
  <c r="M168" i="3"/>
  <c r="O168" i="3"/>
  <c r="N168" i="3" s="1"/>
  <c r="F169" i="3"/>
  <c r="H169" i="3"/>
  <c r="J169" i="3"/>
  <c r="L169" i="3"/>
  <c r="O169" i="3" s="1"/>
  <c r="M169" i="3"/>
  <c r="N169" i="3"/>
  <c r="F170" i="3"/>
  <c r="H170" i="3"/>
  <c r="J170" i="3"/>
  <c r="L170" i="3"/>
  <c r="O170" i="3" s="1"/>
  <c r="M170" i="3"/>
  <c r="N170" i="3" s="1"/>
  <c r="F171" i="3"/>
  <c r="H171" i="3"/>
  <c r="J171" i="3"/>
  <c r="L171" i="3"/>
  <c r="M171" i="3"/>
  <c r="O171" i="3"/>
  <c r="N171" i="3" s="1"/>
  <c r="F172" i="3"/>
  <c r="H172" i="3"/>
  <c r="J172" i="3"/>
  <c r="L172" i="3"/>
  <c r="O172" i="3" s="1"/>
  <c r="M172" i="3"/>
  <c r="N172" i="3" s="1"/>
  <c r="F173" i="3"/>
  <c r="H173" i="3" s="1"/>
  <c r="M173" i="3" s="1"/>
  <c r="N173" i="3" s="1"/>
  <c r="J173" i="3"/>
  <c r="L173" i="3"/>
  <c r="O173" i="3"/>
  <c r="F174" i="3"/>
  <c r="H174" i="3"/>
  <c r="J174" i="3"/>
  <c r="L174" i="3"/>
  <c r="M174" i="3"/>
  <c r="O174" i="3"/>
  <c r="N174" i="3" s="1"/>
  <c r="F175" i="3"/>
  <c r="H175" i="3"/>
  <c r="M175" i="3" s="1"/>
  <c r="J175" i="3"/>
  <c r="L175" i="3" s="1"/>
  <c r="O175" i="3" s="1"/>
  <c r="F176" i="3"/>
  <c r="H176" i="3"/>
  <c r="J176" i="3"/>
  <c r="L176" i="3"/>
  <c r="M176" i="3"/>
  <c r="O176" i="3"/>
  <c r="N176" i="3" s="1"/>
  <c r="H177" i="3"/>
  <c r="L177" i="3"/>
  <c r="F181" i="3"/>
  <c r="H181" i="3"/>
  <c r="M181" i="3" s="1"/>
  <c r="J181" i="3"/>
  <c r="L181" i="3" s="1"/>
  <c r="O181" i="3"/>
  <c r="N181" i="3" s="1"/>
  <c r="F182" i="3"/>
  <c r="H182" i="3"/>
  <c r="M182" i="3" s="1"/>
  <c r="N182" i="3" s="1"/>
  <c r="J182" i="3"/>
  <c r="L182" i="3"/>
  <c r="O182" i="3"/>
  <c r="F183" i="3"/>
  <c r="H183" i="3"/>
  <c r="J183" i="3"/>
  <c r="L183" i="3"/>
  <c r="O183" i="3" s="1"/>
  <c r="M183" i="3"/>
  <c r="N183" i="3" s="1"/>
  <c r="F184" i="3"/>
  <c r="H184" i="3"/>
  <c r="M184" i="3" s="1"/>
  <c r="J184" i="3"/>
  <c r="L184" i="3" s="1"/>
  <c r="O184" i="3" s="1"/>
  <c r="F185" i="3"/>
  <c r="H185" i="3"/>
  <c r="J185" i="3"/>
  <c r="L185" i="3"/>
  <c r="M185" i="3"/>
  <c r="O185" i="3"/>
  <c r="N185" i="3" s="1"/>
  <c r="H186" i="3"/>
  <c r="L186" i="3"/>
  <c r="H187" i="3"/>
  <c r="L187" i="3"/>
  <c r="H188" i="3"/>
  <c r="L188" i="3"/>
  <c r="H189" i="3"/>
  <c r="L189" i="3"/>
  <c r="H190" i="3"/>
  <c r="L190" i="3"/>
  <c r="F194" i="3"/>
  <c r="H194" i="3"/>
  <c r="J194" i="3"/>
  <c r="L194" i="3"/>
  <c r="O194" i="3" s="1"/>
  <c r="M194" i="3"/>
  <c r="N194" i="3"/>
  <c r="F195" i="3"/>
  <c r="H195" i="3"/>
  <c r="J195" i="3"/>
  <c r="L195" i="3"/>
  <c r="O195" i="3" s="1"/>
  <c r="M195" i="3"/>
  <c r="N195" i="3" s="1"/>
  <c r="F196" i="3"/>
  <c r="H196" i="3"/>
  <c r="M196" i="3" s="1"/>
  <c r="N196" i="3" s="1"/>
  <c r="J196" i="3"/>
  <c r="L196" i="3"/>
  <c r="O196" i="3"/>
  <c r="F197" i="3"/>
  <c r="H197" i="3"/>
  <c r="M197" i="3" s="1"/>
  <c r="J197" i="3"/>
  <c r="L197" i="3"/>
  <c r="O197" i="3"/>
  <c r="F198" i="3"/>
  <c r="H198" i="3"/>
  <c r="J198" i="3"/>
  <c r="L198" i="3"/>
  <c r="M198" i="3"/>
  <c r="O198" i="3"/>
  <c r="N198" i="3" s="1"/>
  <c r="F199" i="3"/>
  <c r="H199" i="3" s="1"/>
  <c r="M199" i="3" s="1"/>
  <c r="N199" i="3" s="1"/>
  <c r="J199" i="3"/>
  <c r="L199" i="3" s="1"/>
  <c r="O199" i="3"/>
  <c r="F200" i="3"/>
  <c r="H200" i="3"/>
  <c r="J200" i="3"/>
  <c r="L200" i="3"/>
  <c r="O200" i="3" s="1"/>
  <c r="M200" i="3"/>
  <c r="N200" i="3" s="1"/>
  <c r="F201" i="3"/>
  <c r="H201" i="3"/>
  <c r="J201" i="3"/>
  <c r="L201" i="3"/>
  <c r="O201" i="3" s="1"/>
  <c r="N201" i="3" s="1"/>
  <c r="M201" i="3"/>
  <c r="F202" i="3"/>
  <c r="H202" i="3"/>
  <c r="M202" i="3" s="1"/>
  <c r="J202" i="3"/>
  <c r="L202" i="3"/>
  <c r="O202" i="3"/>
  <c r="H203" i="3"/>
  <c r="L203" i="3"/>
  <c r="F207" i="3"/>
  <c r="H207" i="3"/>
  <c r="J207" i="3"/>
  <c r="L207" i="3"/>
  <c r="O207" i="3" s="1"/>
  <c r="M207" i="3"/>
  <c r="N207" i="3" s="1"/>
  <c r="F208" i="3"/>
  <c r="H208" i="3"/>
  <c r="J208" i="3"/>
  <c r="L208" i="3"/>
  <c r="O208" i="3" s="1"/>
  <c r="M208" i="3"/>
  <c r="N208" i="3"/>
  <c r="F209" i="3"/>
  <c r="H209" i="3"/>
  <c r="J209" i="3"/>
  <c r="L209" i="3"/>
  <c r="M209" i="3"/>
  <c r="O209" i="3"/>
  <c r="N209" i="3" s="1"/>
  <c r="F210" i="3"/>
  <c r="H210" i="3"/>
  <c r="J210" i="3"/>
  <c r="L210" i="3"/>
  <c r="O210" i="3" s="1"/>
  <c r="M210" i="3"/>
  <c r="N210" i="3" s="1"/>
  <c r="F211" i="3"/>
  <c r="H211" i="3" s="1"/>
  <c r="J211" i="3"/>
  <c r="L211" i="3"/>
  <c r="M211" i="3"/>
  <c r="O211" i="3"/>
  <c r="N211" i="3" s="1"/>
  <c r="F212" i="3"/>
  <c r="H212" i="3"/>
  <c r="M212" i="3" s="1"/>
  <c r="J212" i="3"/>
  <c r="L212" i="3" s="1"/>
  <c r="O212" i="3"/>
  <c r="N212" i="3" s="1"/>
  <c r="F213" i="3"/>
  <c r="H213" i="3"/>
  <c r="J213" i="3"/>
  <c r="L213" i="3"/>
  <c r="O213" i="3" s="1"/>
  <c r="M213" i="3"/>
  <c r="N213" i="3"/>
  <c r="F214" i="3"/>
  <c r="H214" i="3" s="1"/>
  <c r="J214" i="3"/>
  <c r="L214" i="3"/>
  <c r="M214" i="3"/>
  <c r="O214" i="3"/>
  <c r="N214" i="3" s="1"/>
  <c r="F215" i="3"/>
  <c r="H215" i="3"/>
  <c r="J215" i="3"/>
  <c r="L215" i="3"/>
  <c r="O215" i="3" s="1"/>
  <c r="M215" i="3"/>
  <c r="N215" i="3"/>
  <c r="F216" i="3"/>
  <c r="H216" i="3"/>
  <c r="J216" i="3"/>
  <c r="L216" i="3"/>
  <c r="O216" i="3" s="1"/>
  <c r="M216" i="3"/>
  <c r="N216" i="3"/>
  <c r="F220" i="3"/>
  <c r="H220" i="3"/>
  <c r="J220" i="3"/>
  <c r="L220" i="3"/>
  <c r="M220" i="3"/>
  <c r="O220" i="3"/>
  <c r="N220" i="3" s="1"/>
  <c r="F221" i="3"/>
  <c r="H221" i="3"/>
  <c r="J221" i="3"/>
  <c r="L221" i="3"/>
  <c r="O221" i="3" s="1"/>
  <c r="M221" i="3"/>
  <c r="N221" i="3" s="1"/>
  <c r="F222" i="3"/>
  <c r="H222" i="3"/>
  <c r="J222" i="3"/>
  <c r="L222" i="3"/>
  <c r="M222" i="3"/>
  <c r="O222" i="3"/>
  <c r="N222" i="3" s="1"/>
  <c r="F223" i="3"/>
  <c r="H223" i="3"/>
  <c r="J223" i="3"/>
  <c r="L223" i="3"/>
  <c r="O223" i="3" s="1"/>
  <c r="M223" i="3"/>
  <c r="N223" i="3" s="1"/>
  <c r="F224" i="3"/>
  <c r="H224" i="3"/>
  <c r="M224" i="3" s="1"/>
  <c r="J224" i="3"/>
  <c r="L224" i="3" s="1"/>
  <c r="O224" i="3"/>
  <c r="F225" i="3"/>
  <c r="H225" i="3"/>
  <c r="J225" i="3"/>
  <c r="L225" i="3"/>
  <c r="O225" i="3" s="1"/>
  <c r="M225" i="3"/>
  <c r="N225" i="3" s="1"/>
  <c r="F226" i="3"/>
  <c r="H226" i="3"/>
  <c r="J226" i="3"/>
  <c r="L226" i="3"/>
  <c r="O226" i="3" s="1"/>
  <c r="M226" i="3"/>
  <c r="N226" i="3"/>
  <c r="F227" i="3"/>
  <c r="H227" i="3"/>
  <c r="M227" i="3" s="1"/>
  <c r="N227" i="3" s="1"/>
  <c r="J227" i="3"/>
  <c r="L227" i="3"/>
  <c r="O227" i="3"/>
  <c r="F228" i="3"/>
  <c r="H228" i="3"/>
  <c r="J228" i="3"/>
  <c r="L228" i="3"/>
  <c r="O228" i="3" s="1"/>
  <c r="M228" i="3"/>
  <c r="N228" i="3" s="1"/>
  <c r="F229" i="3"/>
  <c r="H229" i="3" s="1"/>
  <c r="M229" i="3" s="1"/>
  <c r="N229" i="3" s="1"/>
  <c r="J229" i="3"/>
  <c r="L229" i="3"/>
  <c r="O229" i="3" s="1"/>
  <c r="F233" i="3"/>
  <c r="H233" i="3"/>
  <c r="J233" i="3"/>
  <c r="L233" i="3"/>
  <c r="M233" i="3"/>
  <c r="O233" i="3"/>
  <c r="N233" i="3" s="1"/>
  <c r="F234" i="3"/>
  <c r="H234" i="3"/>
  <c r="M234" i="3" s="1"/>
  <c r="J234" i="3"/>
  <c r="L234" i="3"/>
  <c r="O234" i="3" s="1"/>
  <c r="F235" i="3"/>
  <c r="H235" i="3"/>
  <c r="M235" i="3" s="1"/>
  <c r="J235" i="3"/>
  <c r="L235" i="3"/>
  <c r="O235" i="3" s="1"/>
  <c r="F236" i="3"/>
  <c r="H236" i="3"/>
  <c r="M236" i="3" s="1"/>
  <c r="J236" i="3"/>
  <c r="L236" i="3" s="1"/>
  <c r="O236" i="3" s="1"/>
  <c r="F237" i="3"/>
  <c r="H237" i="3"/>
  <c r="J237" i="3"/>
  <c r="L237" i="3"/>
  <c r="M237" i="3"/>
  <c r="O237" i="3"/>
  <c r="N237" i="3" s="1"/>
  <c r="F238" i="3"/>
  <c r="H238" i="3"/>
  <c r="J238" i="3"/>
  <c r="L238" i="3"/>
  <c r="M238" i="3"/>
  <c r="O238" i="3"/>
  <c r="N238" i="3" s="1"/>
  <c r="F239" i="3"/>
  <c r="H239" i="3"/>
  <c r="M239" i="3" s="1"/>
  <c r="J239" i="3"/>
  <c r="L239" i="3"/>
  <c r="O239" i="3"/>
  <c r="F240" i="3"/>
  <c r="H240" i="3"/>
  <c r="J240" i="3"/>
  <c r="L240" i="3"/>
  <c r="O240" i="3" s="1"/>
  <c r="N240" i="3" s="1"/>
  <c r="M240" i="3"/>
  <c r="F241" i="3"/>
  <c r="H241" i="3" s="1"/>
  <c r="M241" i="3" s="1"/>
  <c r="J241" i="3"/>
  <c r="L241" i="3"/>
  <c r="O241" i="3"/>
  <c r="F242" i="3"/>
  <c r="H242" i="3"/>
  <c r="J242" i="3"/>
  <c r="L242" i="3"/>
  <c r="M242" i="3"/>
  <c r="O242" i="3"/>
  <c r="N242" i="3" s="1"/>
  <c r="F246" i="3"/>
  <c r="H246" i="3"/>
  <c r="M246" i="3" s="1"/>
  <c r="N246" i="3" s="1"/>
  <c r="J246" i="3"/>
  <c r="L246" i="3"/>
  <c r="O246" i="3"/>
  <c r="F247" i="3"/>
  <c r="H247" i="3"/>
  <c r="M247" i="3" s="1"/>
  <c r="N247" i="3" s="1"/>
  <c r="J247" i="3"/>
  <c r="L247" i="3"/>
  <c r="O247" i="3"/>
  <c r="F248" i="3"/>
  <c r="H248" i="3"/>
  <c r="J248" i="3"/>
  <c r="L248" i="3"/>
  <c r="O248" i="3" s="1"/>
  <c r="M248" i="3"/>
  <c r="N248" i="3" s="1"/>
  <c r="F249" i="3"/>
  <c r="H249" i="3"/>
  <c r="M249" i="3" s="1"/>
  <c r="N249" i="3" s="1"/>
  <c r="J249" i="3"/>
  <c r="L249" i="3" s="1"/>
  <c r="O249" i="3"/>
  <c r="F250" i="3"/>
  <c r="H250" i="3"/>
  <c r="J250" i="3"/>
  <c r="L250" i="3"/>
  <c r="M250" i="3"/>
  <c r="O250" i="3"/>
  <c r="N250" i="3" s="1"/>
  <c r="F251" i="3"/>
  <c r="H251" i="3"/>
  <c r="M251" i="3" s="1"/>
  <c r="J251" i="3"/>
  <c r="L251" i="3" s="1"/>
  <c r="O251" i="3" s="1"/>
  <c r="F252" i="3"/>
  <c r="H252" i="3" s="1"/>
  <c r="J252" i="3"/>
  <c r="L252" i="3"/>
  <c r="M252" i="3"/>
  <c r="O252" i="3"/>
  <c r="N252" i="3" s="1"/>
  <c r="F253" i="3"/>
  <c r="H253" i="3"/>
  <c r="M253" i="3" s="1"/>
  <c r="J253" i="3"/>
  <c r="L253" i="3" s="1"/>
  <c r="O253" i="3" s="1"/>
  <c r="N253" i="3" s="1"/>
  <c r="F254" i="3"/>
  <c r="H254" i="3"/>
  <c r="M254" i="3" s="1"/>
  <c r="N254" i="3" s="1"/>
  <c r="J254" i="3"/>
  <c r="L254" i="3"/>
  <c r="O254" i="3"/>
  <c r="F255" i="3"/>
  <c r="H255" i="3"/>
  <c r="J255" i="3"/>
  <c r="L255" i="3"/>
  <c r="M255" i="3"/>
  <c r="O255" i="3"/>
  <c r="N255" i="3" s="1"/>
  <c r="F259" i="3"/>
  <c r="H259" i="3"/>
  <c r="M259" i="3" s="1"/>
  <c r="J259" i="3"/>
  <c r="L259" i="3" s="1"/>
  <c r="O259" i="3" s="1"/>
  <c r="F260" i="3"/>
  <c r="H260" i="3"/>
  <c r="J260" i="3"/>
  <c r="L260" i="3"/>
  <c r="O260" i="3" s="1"/>
  <c r="M260" i="3"/>
  <c r="N260" i="3"/>
  <c r="F261" i="3"/>
  <c r="H261" i="3"/>
  <c r="J261" i="3"/>
  <c r="L261" i="3"/>
  <c r="M261" i="3"/>
  <c r="O261" i="3"/>
  <c r="N261" i="3" s="1"/>
  <c r="F262" i="3"/>
  <c r="H262" i="3"/>
  <c r="J262" i="3"/>
  <c r="L262" i="3"/>
  <c r="M262" i="3"/>
  <c r="O262" i="3"/>
  <c r="N262" i="3" s="1"/>
  <c r="F263" i="3"/>
  <c r="H263" i="3"/>
  <c r="J263" i="3"/>
  <c r="L263" i="3"/>
  <c r="M263" i="3"/>
  <c r="O263" i="3"/>
  <c r="N263" i="3" s="1"/>
  <c r="F264" i="3"/>
  <c r="H264" i="3" s="1"/>
  <c r="M264" i="3" s="1"/>
  <c r="N264" i="3" s="1"/>
  <c r="J264" i="3"/>
  <c r="L264" i="3"/>
  <c r="O264" i="3" s="1"/>
  <c r="F265" i="3"/>
  <c r="H265" i="3"/>
  <c r="M265" i="3" s="1"/>
  <c r="N265" i="3" s="1"/>
  <c r="J265" i="3"/>
  <c r="L265" i="3" s="1"/>
  <c r="O265" i="3"/>
  <c r="F266" i="3"/>
  <c r="H266" i="3"/>
  <c r="J266" i="3"/>
  <c r="L266" i="3"/>
  <c r="M266" i="3"/>
  <c r="O266" i="3"/>
  <c r="N266" i="3" s="1"/>
  <c r="F267" i="3"/>
  <c r="H267" i="3"/>
  <c r="J267" i="3"/>
  <c r="L267" i="3"/>
  <c r="O267" i="3" s="1"/>
  <c r="N267" i="3" s="1"/>
  <c r="M267" i="3"/>
  <c r="F268" i="3"/>
  <c r="H268" i="3"/>
  <c r="J268" i="3"/>
  <c r="L268" i="3"/>
  <c r="M268" i="3"/>
  <c r="O268" i="3"/>
  <c r="N268" i="3" s="1"/>
  <c r="F272" i="3"/>
  <c r="H272" i="3"/>
  <c r="M272" i="3" s="1"/>
  <c r="J272" i="3"/>
  <c r="L272" i="3" s="1"/>
  <c r="O272" i="3" s="1"/>
  <c r="F273" i="3"/>
  <c r="H273" i="3" s="1"/>
  <c r="J273" i="3"/>
  <c r="L273" i="3"/>
  <c r="M273" i="3"/>
  <c r="O273" i="3"/>
  <c r="N273" i="3" s="1"/>
  <c r="F274" i="3"/>
  <c r="H274" i="3"/>
  <c r="M274" i="3" s="1"/>
  <c r="J274" i="3"/>
  <c r="L274" i="3" s="1"/>
  <c r="O274" i="3" s="1"/>
  <c r="F275" i="3"/>
  <c r="H275" i="3"/>
  <c r="J275" i="3"/>
  <c r="L275" i="3"/>
  <c r="O275" i="3" s="1"/>
  <c r="M275" i="3"/>
  <c r="N275" i="3"/>
  <c r="F276" i="3"/>
  <c r="H276" i="3"/>
  <c r="J276" i="3"/>
  <c r="L276" i="3"/>
  <c r="M276" i="3"/>
  <c r="O276" i="3"/>
  <c r="N276" i="3" s="1"/>
  <c r="F277" i="3"/>
  <c r="H277" i="3"/>
  <c r="M277" i="3" s="1"/>
  <c r="J277" i="3"/>
  <c r="L277" i="3" s="1"/>
  <c r="O277" i="3" s="1"/>
  <c r="F278" i="3"/>
  <c r="H278" i="3"/>
  <c r="M278" i="3" s="1"/>
  <c r="N278" i="3" s="1"/>
  <c r="J278" i="3"/>
  <c r="L278" i="3"/>
  <c r="O278" i="3"/>
  <c r="F279" i="3"/>
  <c r="H279" i="3"/>
  <c r="J279" i="3"/>
  <c r="L279" i="3"/>
  <c r="O279" i="3" s="1"/>
  <c r="M279" i="3"/>
  <c r="N279" i="3" s="1"/>
  <c r="F280" i="3"/>
  <c r="H280" i="3"/>
  <c r="J280" i="3"/>
  <c r="L280" i="3"/>
  <c r="O280" i="3" s="1"/>
  <c r="M280" i="3"/>
  <c r="F281" i="3"/>
  <c r="H281" i="3"/>
  <c r="M281" i="3" s="1"/>
  <c r="N281" i="3" s="1"/>
  <c r="J281" i="3"/>
  <c r="L281" i="3"/>
  <c r="O281" i="3"/>
  <c r="F285" i="3"/>
  <c r="H285" i="3" s="1"/>
  <c r="M285" i="3" s="1"/>
  <c r="J285" i="3"/>
  <c r="L285" i="3"/>
  <c r="O285" i="3"/>
  <c r="F286" i="3"/>
  <c r="H286" i="3"/>
  <c r="M286" i="3" s="1"/>
  <c r="J286" i="3"/>
  <c r="L286" i="3"/>
  <c r="O286" i="3" s="1"/>
  <c r="F287" i="3"/>
  <c r="H287" i="3"/>
  <c r="M287" i="3" s="1"/>
  <c r="J287" i="3"/>
  <c r="L287" i="3" s="1"/>
  <c r="O287" i="3" s="1"/>
  <c r="N287" i="3" s="1"/>
  <c r="F288" i="3"/>
  <c r="H288" i="3"/>
  <c r="J288" i="3"/>
  <c r="L288" i="3"/>
  <c r="M288" i="3"/>
  <c r="O288" i="3"/>
  <c r="N288" i="3" s="1"/>
  <c r="F289" i="3"/>
  <c r="H289" i="3"/>
  <c r="M289" i="3" s="1"/>
  <c r="J289" i="3"/>
  <c r="L289" i="3"/>
  <c r="O289" i="3" s="1"/>
  <c r="F290" i="3"/>
  <c r="H290" i="3"/>
  <c r="M290" i="3" s="1"/>
  <c r="J290" i="3"/>
  <c r="L290" i="3" s="1"/>
  <c r="O290" i="3"/>
  <c r="N290" i="3" s="1"/>
  <c r="F291" i="3"/>
  <c r="H291" i="3"/>
  <c r="J291" i="3"/>
  <c r="L291" i="3"/>
  <c r="M291" i="3"/>
  <c r="O291" i="3"/>
  <c r="N291" i="3" s="1"/>
  <c r="F292" i="3"/>
  <c r="H292" i="3"/>
  <c r="J292" i="3"/>
  <c r="L292" i="3"/>
  <c r="M292" i="3"/>
  <c r="O292" i="3"/>
  <c r="N292" i="3" s="1"/>
  <c r="F293" i="3"/>
  <c r="H293" i="3"/>
  <c r="M293" i="3" s="1"/>
  <c r="N293" i="3" s="1"/>
  <c r="J293" i="3"/>
  <c r="L293" i="3" s="1"/>
  <c r="O293" i="3" s="1"/>
  <c r="F294" i="3"/>
  <c r="H294" i="3"/>
  <c r="M294" i="3" s="1"/>
  <c r="J294" i="3"/>
  <c r="L294" i="3" s="1"/>
  <c r="O294" i="3"/>
  <c r="N294" i="3" s="1"/>
  <c r="F298" i="3"/>
  <c r="H298" i="3"/>
  <c r="J298" i="3"/>
  <c r="L298" i="3"/>
  <c r="M298" i="3"/>
  <c r="O298" i="3"/>
  <c r="N298" i="3" s="1"/>
  <c r="F299" i="3"/>
  <c r="H299" i="3"/>
  <c r="J299" i="3"/>
  <c r="L299" i="3"/>
  <c r="O299" i="3" s="1"/>
  <c r="M299" i="3"/>
  <c r="N299" i="3"/>
  <c r="F300" i="3"/>
  <c r="H300" i="3" s="1"/>
  <c r="J300" i="3"/>
  <c r="L300" i="3"/>
  <c r="M300" i="3"/>
  <c r="O300" i="3"/>
  <c r="N300" i="3" s="1"/>
  <c r="F301" i="3"/>
  <c r="H301" i="3"/>
  <c r="J301" i="3"/>
  <c r="L301" i="3"/>
  <c r="O301" i="3" s="1"/>
  <c r="M301" i="3"/>
  <c r="N301" i="3" s="1"/>
  <c r="F302" i="3"/>
  <c r="H302" i="3"/>
  <c r="J302" i="3"/>
  <c r="L302" i="3"/>
  <c r="O302" i="3" s="1"/>
  <c r="M302" i="3"/>
  <c r="N302" i="3"/>
  <c r="F303" i="3"/>
  <c r="H303" i="3"/>
  <c r="J303" i="3"/>
  <c r="L303" i="3"/>
  <c r="M303" i="3"/>
  <c r="O303" i="3"/>
  <c r="N303" i="3" s="1"/>
  <c r="F304" i="3"/>
  <c r="H304" i="3"/>
  <c r="J304" i="3"/>
  <c r="L304" i="3"/>
  <c r="O304" i="3" s="1"/>
  <c r="M304" i="3"/>
  <c r="N304" i="3" s="1"/>
  <c r="F305" i="3"/>
  <c r="H305" i="3"/>
  <c r="J305" i="3"/>
  <c r="L305" i="3"/>
  <c r="M305" i="3"/>
  <c r="O305" i="3"/>
  <c r="N305" i="3" s="1"/>
  <c r="F306" i="3"/>
  <c r="H306" i="3"/>
  <c r="M306" i="3" s="1"/>
  <c r="J306" i="3"/>
  <c r="L306" i="3" s="1"/>
  <c r="O306" i="3"/>
  <c r="F307" i="3"/>
  <c r="H307" i="3"/>
  <c r="M307" i="3" s="1"/>
  <c r="J307" i="3"/>
  <c r="L307" i="3" s="1"/>
  <c r="O307" i="3" s="1"/>
  <c r="F311" i="3"/>
  <c r="H311" i="3"/>
  <c r="J311" i="3"/>
  <c r="L311" i="3"/>
  <c r="M311" i="3"/>
  <c r="O311" i="3"/>
  <c r="N311" i="3" s="1"/>
  <c r="F312" i="3"/>
  <c r="H312" i="3"/>
  <c r="J312" i="3"/>
  <c r="L312" i="3"/>
  <c r="O312" i="3" s="1"/>
  <c r="M312" i="3"/>
  <c r="N312" i="3"/>
  <c r="F313" i="3"/>
  <c r="H313" i="3"/>
  <c r="J313" i="3"/>
  <c r="L313" i="3"/>
  <c r="M313" i="3"/>
  <c r="O313" i="3"/>
  <c r="N313" i="3" s="1"/>
  <c r="F314" i="3"/>
  <c r="H314" i="3" s="1"/>
  <c r="J314" i="3"/>
  <c r="L314" i="3"/>
  <c r="M314" i="3"/>
  <c r="O314" i="3"/>
  <c r="N314" i="3" s="1"/>
  <c r="F315" i="3"/>
  <c r="H315" i="3"/>
  <c r="M315" i="3" s="1"/>
  <c r="J315" i="3"/>
  <c r="L315" i="3" s="1"/>
  <c r="O315" i="3" s="1"/>
  <c r="F316" i="3"/>
  <c r="H316" i="3" s="1"/>
  <c r="M316" i="3" s="1"/>
  <c r="N316" i="3" s="1"/>
  <c r="J316" i="3"/>
  <c r="L316" i="3"/>
  <c r="O316" i="3"/>
  <c r="F317" i="3"/>
  <c r="H317" i="3"/>
  <c r="M317" i="3" s="1"/>
  <c r="J317" i="3"/>
  <c r="L317" i="3"/>
  <c r="O317" i="3"/>
  <c r="F318" i="3"/>
  <c r="H318" i="3"/>
  <c r="M318" i="3" s="1"/>
  <c r="N318" i="3" s="1"/>
  <c r="J318" i="3"/>
  <c r="L318" i="3"/>
  <c r="O318" i="3" s="1"/>
  <c r="F319" i="3"/>
  <c r="H319" i="3"/>
  <c r="J319" i="3"/>
  <c r="L319" i="3"/>
  <c r="M319" i="3"/>
  <c r="O319" i="3"/>
  <c r="N319" i="3" s="1"/>
  <c r="F320" i="3"/>
  <c r="H320" i="3"/>
  <c r="J320" i="3"/>
  <c r="L320" i="3"/>
  <c r="O320" i="3" s="1"/>
  <c r="M320" i="3"/>
  <c r="N320" i="3" s="1"/>
  <c r="F324" i="3"/>
  <c r="H324" i="3"/>
  <c r="J324" i="3"/>
  <c r="L324" i="3"/>
  <c r="O324" i="3" s="1"/>
  <c r="M324" i="3"/>
  <c r="N324" i="3" s="1"/>
  <c r="F325" i="3"/>
  <c r="H325" i="3"/>
  <c r="M325" i="3" s="1"/>
  <c r="J325" i="3"/>
  <c r="L325" i="3"/>
  <c r="O325" i="3"/>
  <c r="F326" i="3"/>
  <c r="H326" i="3" s="1"/>
  <c r="J326" i="3"/>
  <c r="L326" i="3"/>
  <c r="M326" i="3"/>
  <c r="O326" i="3"/>
  <c r="N326" i="3" s="1"/>
  <c r="F327" i="3"/>
  <c r="H327" i="3"/>
  <c r="J327" i="3"/>
  <c r="L327" i="3"/>
  <c r="M327" i="3"/>
  <c r="O327" i="3"/>
  <c r="N327" i="3" s="1"/>
  <c r="F328" i="3"/>
  <c r="H328" i="3"/>
  <c r="M328" i="3" s="1"/>
  <c r="J328" i="3"/>
  <c r="L328" i="3" s="1"/>
  <c r="O328" i="3"/>
  <c r="N328" i="3" s="1"/>
  <c r="F329" i="3"/>
  <c r="H329" i="3"/>
  <c r="J329" i="3"/>
  <c r="L329" i="3"/>
  <c r="M329" i="3"/>
  <c r="O329" i="3"/>
  <c r="N329" i="3" s="1"/>
  <c r="F330" i="3"/>
  <c r="H330" i="3"/>
  <c r="J330" i="3"/>
  <c r="L330" i="3"/>
  <c r="O330" i="3" s="1"/>
  <c r="M330" i="3"/>
  <c r="N330" i="3" s="1"/>
  <c r="F331" i="3"/>
  <c r="H331" i="3"/>
  <c r="J331" i="3"/>
  <c r="L331" i="3"/>
  <c r="M331" i="3"/>
  <c r="O331" i="3"/>
  <c r="N331" i="3" s="1"/>
  <c r="F332" i="3"/>
  <c r="H332" i="3" s="1"/>
  <c r="M332" i="3" s="1"/>
  <c r="J332" i="3"/>
  <c r="L332" i="3"/>
  <c r="O332" i="3"/>
  <c r="F333" i="3"/>
  <c r="H333" i="3"/>
  <c r="J333" i="3"/>
  <c r="L333" i="3"/>
  <c r="M333" i="3"/>
  <c r="O333" i="3"/>
  <c r="N333" i="3" s="1"/>
  <c r="F337" i="3"/>
  <c r="H337" i="3"/>
  <c r="J337" i="3"/>
  <c r="L337" i="3"/>
  <c r="O337" i="3" s="1"/>
  <c r="M337" i="3"/>
  <c r="N337" i="3"/>
  <c r="F338" i="3"/>
  <c r="H338" i="3" s="1"/>
  <c r="M338" i="3" s="1"/>
  <c r="J338" i="3"/>
  <c r="L338" i="3" s="1"/>
  <c r="O338" i="3"/>
  <c r="N338" i="3" s="1"/>
  <c r="F339" i="3"/>
  <c r="H339" i="3"/>
  <c r="J339" i="3"/>
  <c r="L339" i="3"/>
  <c r="M339" i="3"/>
  <c r="O339" i="3"/>
  <c r="N339" i="3" s="1"/>
  <c r="F340" i="3"/>
  <c r="H340" i="3" s="1"/>
  <c r="M340" i="3" s="1"/>
  <c r="J340" i="3"/>
  <c r="L340" i="3"/>
  <c r="O340" i="3"/>
  <c r="F341" i="3"/>
  <c r="H341" i="3" s="1"/>
  <c r="J341" i="3"/>
  <c r="L341" i="3"/>
  <c r="M341" i="3"/>
  <c r="O341" i="3"/>
  <c r="N341" i="3" s="1"/>
  <c r="F342" i="3"/>
  <c r="H342" i="3"/>
  <c r="J342" i="3"/>
  <c r="L342" i="3"/>
  <c r="O342" i="3" s="1"/>
  <c r="M342" i="3"/>
  <c r="N342" i="3"/>
  <c r="F343" i="3"/>
  <c r="H343" i="3"/>
  <c r="J343" i="3"/>
  <c r="L343" i="3"/>
  <c r="M343" i="3"/>
  <c r="O343" i="3"/>
  <c r="N343" i="3" s="1"/>
  <c r="F344" i="3"/>
  <c r="H344" i="3"/>
  <c r="J344" i="3"/>
  <c r="L344" i="3"/>
  <c r="M344" i="3"/>
  <c r="O344" i="3"/>
  <c r="N344" i="3" s="1"/>
  <c r="F345" i="3"/>
  <c r="H345" i="3"/>
  <c r="J345" i="3"/>
  <c r="L345" i="3"/>
  <c r="O345" i="3" s="1"/>
  <c r="M345" i="3"/>
  <c r="N345" i="3"/>
  <c r="F346" i="3"/>
  <c r="H346" i="3"/>
  <c r="J346" i="3"/>
  <c r="L346" i="3"/>
  <c r="M346" i="3"/>
  <c r="O346" i="3"/>
  <c r="N346" i="3" s="1"/>
  <c r="F350" i="3"/>
  <c r="H350" i="3"/>
  <c r="M350" i="3" s="1"/>
  <c r="J350" i="3"/>
  <c r="L350" i="3" s="1"/>
  <c r="O350" i="3"/>
  <c r="F351" i="3"/>
  <c r="H351" i="3" s="1"/>
  <c r="M351" i="3" s="1"/>
  <c r="N351" i="3" s="1"/>
  <c r="J351" i="3"/>
  <c r="L351" i="3"/>
  <c r="O351" i="3"/>
  <c r="F352" i="3"/>
  <c r="H352" i="3"/>
  <c r="J352" i="3"/>
  <c r="L352" i="3"/>
  <c r="M352" i="3"/>
  <c r="O352" i="3"/>
  <c r="N352" i="3" s="1"/>
  <c r="F353" i="3"/>
  <c r="H353" i="3"/>
  <c r="M353" i="3" s="1"/>
  <c r="N353" i="3" s="1"/>
  <c r="J353" i="3"/>
  <c r="L353" i="3"/>
  <c r="O353" i="3" s="1"/>
  <c r="F354" i="3"/>
  <c r="H354" i="3"/>
  <c r="J354" i="3"/>
  <c r="L354" i="3"/>
  <c r="M354" i="3"/>
  <c r="O354" i="3"/>
  <c r="N354" i="3" s="1"/>
  <c r="F355" i="3"/>
  <c r="H355" i="3"/>
  <c r="J355" i="3"/>
  <c r="L355" i="3"/>
  <c r="O355" i="3" s="1"/>
  <c r="M355" i="3"/>
  <c r="N355" i="3" s="1"/>
  <c r="F356" i="3"/>
  <c r="H356" i="3"/>
  <c r="M356" i="3" s="1"/>
  <c r="N356" i="3" s="1"/>
  <c r="J356" i="3"/>
  <c r="L356" i="3" s="1"/>
  <c r="O356" i="3" s="1"/>
  <c r="F357" i="3"/>
  <c r="H357" i="3"/>
  <c r="J357" i="3"/>
  <c r="L357" i="3"/>
  <c r="M357" i="3"/>
  <c r="O357" i="3"/>
  <c r="N357" i="3" s="1"/>
  <c r="F358" i="3"/>
  <c r="H358" i="3"/>
  <c r="M358" i="3" s="1"/>
  <c r="N358" i="3" s="1"/>
  <c r="J358" i="3"/>
  <c r="L358" i="3" s="1"/>
  <c r="O358" i="3"/>
  <c r="F359" i="3"/>
  <c r="H359" i="3"/>
  <c r="M359" i="3" s="1"/>
  <c r="J359" i="3"/>
  <c r="L359" i="3"/>
  <c r="O359" i="3" s="1"/>
  <c r="F363" i="3"/>
  <c r="H363" i="3"/>
  <c r="M363" i="3" s="1"/>
  <c r="N363" i="3" s="1"/>
  <c r="J363" i="3"/>
  <c r="L363" i="3"/>
  <c r="O363" i="3" s="1"/>
  <c r="F364" i="3"/>
  <c r="H364" i="3"/>
  <c r="J364" i="3"/>
  <c r="L364" i="3"/>
  <c r="M364" i="3"/>
  <c r="O364" i="3"/>
  <c r="N364" i="3" s="1"/>
  <c r="F365" i="3"/>
  <c r="H365" i="3"/>
  <c r="J365" i="3"/>
  <c r="L365" i="3"/>
  <c r="M365" i="3"/>
  <c r="O365" i="3"/>
  <c r="N365" i="3" s="1"/>
  <c r="F366" i="3"/>
  <c r="H366" i="3"/>
  <c r="M366" i="3" s="1"/>
  <c r="J366" i="3"/>
  <c r="L366" i="3" s="1"/>
  <c r="O366" i="3"/>
  <c r="N366" i="3" s="1"/>
  <c r="F367" i="3"/>
  <c r="H367" i="3" s="1"/>
  <c r="M367" i="3" s="1"/>
  <c r="N367" i="3" s="1"/>
  <c r="J367" i="3"/>
  <c r="L367" i="3"/>
  <c r="O367" i="3"/>
  <c r="F368" i="3"/>
  <c r="H368" i="3"/>
  <c r="M368" i="3" s="1"/>
  <c r="J368" i="3"/>
  <c r="L368" i="3" s="1"/>
  <c r="O368" i="3"/>
  <c r="N368" i="3" s="1"/>
  <c r="F369" i="3"/>
  <c r="H369" i="3"/>
  <c r="J369" i="3"/>
  <c r="L369" i="3"/>
  <c r="O369" i="3" s="1"/>
  <c r="M369" i="3"/>
  <c r="N369" i="3" s="1"/>
  <c r="F370" i="3"/>
  <c r="H370" i="3"/>
  <c r="M370" i="3" s="1"/>
  <c r="N370" i="3" s="1"/>
  <c r="J370" i="3"/>
  <c r="L370" i="3"/>
  <c r="O370" i="3"/>
  <c r="F371" i="3"/>
  <c r="H371" i="3" s="1"/>
  <c r="J371" i="3"/>
  <c r="L371" i="3"/>
  <c r="O371" i="3" s="1"/>
  <c r="M371" i="3"/>
  <c r="N371" i="3" s="1"/>
  <c r="F372" i="3"/>
  <c r="H372" i="3"/>
  <c r="M372" i="3" s="1"/>
  <c r="N372" i="3" s="1"/>
  <c r="J372" i="3"/>
  <c r="L372" i="3"/>
  <c r="O372" i="3" s="1"/>
  <c r="F376" i="3"/>
  <c r="H376" i="3"/>
  <c r="J376" i="3"/>
  <c r="L376" i="3"/>
  <c r="M376" i="3"/>
  <c r="O376" i="3"/>
  <c r="N376" i="3" s="1"/>
  <c r="F377" i="3"/>
  <c r="H377" i="3"/>
  <c r="J377" i="3"/>
  <c r="L377" i="3"/>
  <c r="M377" i="3"/>
  <c r="O377" i="3"/>
  <c r="N377" i="3" s="1"/>
  <c r="F378" i="3"/>
  <c r="H378" i="3"/>
  <c r="M378" i="3" s="1"/>
  <c r="N378" i="3" s="1"/>
  <c r="J378" i="3"/>
  <c r="L378" i="3"/>
  <c r="O378" i="3"/>
  <c r="F379" i="3"/>
  <c r="H379" i="3"/>
  <c r="J379" i="3"/>
  <c r="L379" i="3" s="1"/>
  <c r="M379" i="3"/>
  <c r="O379" i="3"/>
  <c r="N379" i="3" s="1"/>
  <c r="F380" i="3"/>
  <c r="H380" i="3"/>
  <c r="M380" i="3" s="1"/>
  <c r="N380" i="3" s="1"/>
  <c r="J380" i="3"/>
  <c r="L380" i="3"/>
  <c r="O380" i="3"/>
  <c r="F381" i="3"/>
  <c r="H381" i="3"/>
  <c r="J381" i="3"/>
  <c r="L381" i="3"/>
  <c r="M381" i="3"/>
  <c r="O381" i="3"/>
  <c r="N381" i="3" s="1"/>
  <c r="F382" i="3"/>
  <c r="H382" i="3"/>
  <c r="J382" i="3"/>
  <c r="L382" i="3"/>
  <c r="M382" i="3"/>
  <c r="O382" i="3"/>
  <c r="N382" i="3" s="1"/>
  <c r="F383" i="3"/>
  <c r="H383" i="3"/>
  <c r="J383" i="3"/>
  <c r="L383" i="3"/>
  <c r="O383" i="3" s="1"/>
  <c r="M383" i="3"/>
  <c r="N383" i="3" s="1"/>
  <c r="F384" i="3"/>
  <c r="H384" i="3"/>
  <c r="J384" i="3"/>
  <c r="L384" i="3"/>
  <c r="M384" i="3"/>
  <c r="O384" i="3"/>
  <c r="N384" i="3" s="1"/>
  <c r="F385" i="3"/>
  <c r="H385" i="3" s="1"/>
  <c r="M385" i="3" s="1"/>
  <c r="N385" i="3" s="1"/>
  <c r="J385" i="3"/>
  <c r="L385" i="3"/>
  <c r="O385" i="3" s="1"/>
  <c r="F389" i="3"/>
  <c r="H389" i="3"/>
  <c r="J389" i="3"/>
  <c r="L389" i="3"/>
  <c r="O389" i="3" s="1"/>
  <c r="M389" i="3"/>
  <c r="N389" i="3" s="1"/>
  <c r="F390" i="3"/>
  <c r="H390" i="3"/>
  <c r="J390" i="3"/>
  <c r="L390" i="3"/>
  <c r="M390" i="3"/>
  <c r="O390" i="3"/>
  <c r="N390" i="3" s="1"/>
  <c r="F391" i="3"/>
  <c r="H391" i="3" s="1"/>
  <c r="M391" i="3" s="1"/>
  <c r="N391" i="3" s="1"/>
  <c r="J391" i="3"/>
  <c r="L391" i="3" s="1"/>
  <c r="O391" i="3" s="1"/>
  <c r="F392" i="3"/>
  <c r="H392" i="3"/>
  <c r="J392" i="3"/>
  <c r="L392" i="3"/>
  <c r="M392" i="3"/>
  <c r="O392" i="3"/>
  <c r="N392" i="3" s="1"/>
  <c r="F393" i="3"/>
  <c r="H393" i="3"/>
  <c r="M393" i="3" s="1"/>
  <c r="N393" i="3" s="1"/>
  <c r="J393" i="3"/>
  <c r="L393" i="3"/>
  <c r="O393" i="3" s="1"/>
  <c r="F394" i="3"/>
  <c r="H394" i="3"/>
  <c r="J394" i="3"/>
  <c r="L394" i="3"/>
  <c r="M394" i="3"/>
  <c r="O394" i="3"/>
  <c r="N394" i="3" s="1"/>
  <c r="F395" i="3"/>
  <c r="H395" i="3"/>
  <c r="M395" i="3" s="1"/>
  <c r="J395" i="3"/>
  <c r="L395" i="3"/>
  <c r="O395" i="3" s="1"/>
  <c r="F396" i="3"/>
  <c r="H396" i="3"/>
  <c r="J396" i="3"/>
  <c r="L396" i="3"/>
  <c r="M396" i="3"/>
  <c r="O396" i="3"/>
  <c r="N396" i="3" s="1"/>
  <c r="F397" i="3"/>
  <c r="H397" i="3"/>
  <c r="J397" i="3"/>
  <c r="L397" i="3"/>
  <c r="M397" i="3"/>
  <c r="O397" i="3"/>
  <c r="N397" i="3" s="1"/>
  <c r="F398" i="3"/>
  <c r="H398" i="3"/>
  <c r="M398" i="3" s="1"/>
  <c r="N398" i="3" s="1"/>
  <c r="J398" i="3"/>
  <c r="L398" i="3"/>
  <c r="O398" i="3"/>
  <c r="F402" i="3"/>
  <c r="H402" i="3"/>
  <c r="J402" i="3"/>
  <c r="L402" i="3"/>
  <c r="M402" i="3"/>
  <c r="O402" i="3"/>
  <c r="N402" i="3" s="1"/>
  <c r="F403" i="3"/>
  <c r="H403" i="3"/>
  <c r="M403" i="3" s="1"/>
  <c r="J403" i="3"/>
  <c r="L403" i="3"/>
  <c r="O403" i="3" s="1"/>
  <c r="F404" i="3"/>
  <c r="H404" i="3" s="1"/>
  <c r="M404" i="3" s="1"/>
  <c r="N404" i="3" s="1"/>
  <c r="J404" i="3"/>
  <c r="L404" i="3" s="1"/>
  <c r="O404" i="3" s="1"/>
  <c r="F405" i="3"/>
  <c r="H405" i="3"/>
  <c r="J405" i="3"/>
  <c r="L405" i="3"/>
  <c r="M405" i="3"/>
  <c r="O405" i="3"/>
  <c r="N405" i="3" s="1"/>
  <c r="F406" i="3"/>
  <c r="H406" i="3"/>
  <c r="J406" i="3"/>
  <c r="L406" i="3"/>
  <c r="M406" i="3"/>
  <c r="N406" i="3" s="1"/>
  <c r="O406" i="3"/>
  <c r="F407" i="3"/>
  <c r="H407" i="3"/>
  <c r="J407" i="3"/>
  <c r="L407" i="3"/>
  <c r="O407" i="3" s="1"/>
  <c r="N407" i="3" s="1"/>
  <c r="M407" i="3"/>
  <c r="F408" i="3"/>
  <c r="H408" i="3" s="1"/>
  <c r="J408" i="3"/>
  <c r="L408" i="3"/>
  <c r="M408" i="3"/>
  <c r="O408" i="3"/>
  <c r="N408" i="3" s="1"/>
  <c r="F409" i="3"/>
  <c r="H409" i="3" s="1"/>
  <c r="J409" i="3"/>
  <c r="L409" i="3"/>
  <c r="O409" i="3" s="1"/>
  <c r="M409" i="3"/>
  <c r="N409" i="3" s="1"/>
  <c r="F410" i="3"/>
  <c r="H410" i="3"/>
  <c r="J410" i="3"/>
  <c r="L410" i="3"/>
  <c r="M410" i="3"/>
  <c r="O410" i="3"/>
  <c r="N410" i="3" s="1"/>
  <c r="H411" i="3"/>
  <c r="L411" i="3"/>
  <c r="F415" i="3"/>
  <c r="H415" i="3"/>
  <c r="M415" i="3" s="1"/>
  <c r="N415" i="3" s="1"/>
  <c r="J415" i="3"/>
  <c r="L415" i="3"/>
  <c r="O415" i="3"/>
  <c r="F416" i="3"/>
  <c r="H416" i="3"/>
  <c r="M416" i="3" s="1"/>
  <c r="J416" i="3"/>
  <c r="L416" i="3" s="1"/>
  <c r="O416" i="3"/>
  <c r="F417" i="3"/>
  <c r="H417" i="3"/>
  <c r="M417" i="3" s="1"/>
  <c r="N417" i="3" s="1"/>
  <c r="J417" i="3"/>
  <c r="L417" i="3"/>
  <c r="O417" i="3" s="1"/>
  <c r="F418" i="3"/>
  <c r="H418" i="3"/>
  <c r="M418" i="3" s="1"/>
  <c r="J418" i="3"/>
  <c r="L418" i="3"/>
  <c r="O418" i="3" s="1"/>
  <c r="F419" i="3"/>
  <c r="H419" i="3"/>
  <c r="J419" i="3"/>
  <c r="L419" i="3"/>
  <c r="O419" i="3" s="1"/>
  <c r="M419" i="3"/>
  <c r="N419" i="3" s="1"/>
  <c r="F420" i="3"/>
  <c r="H420" i="3"/>
  <c r="J420" i="3"/>
  <c r="L420" i="3"/>
  <c r="O420" i="3" s="1"/>
  <c r="M420" i="3"/>
  <c r="N420" i="3" s="1"/>
  <c r="F421" i="3"/>
  <c r="H421" i="3"/>
  <c r="J421" i="3"/>
  <c r="L421" i="3"/>
  <c r="M421" i="3"/>
  <c r="O421" i="3"/>
  <c r="N421" i="3" s="1"/>
  <c r="F422" i="3"/>
  <c r="H422" i="3"/>
  <c r="M422" i="3" s="1"/>
  <c r="J422" i="3"/>
  <c r="L422" i="3" s="1"/>
  <c r="O422" i="3"/>
  <c r="N422" i="3" s="1"/>
  <c r="F423" i="3"/>
  <c r="H423" i="3"/>
  <c r="M423" i="3" s="1"/>
  <c r="N423" i="3" s="1"/>
  <c r="J423" i="3"/>
  <c r="L423" i="3"/>
  <c r="O423" i="3" s="1"/>
  <c r="F424" i="3"/>
  <c r="H424" i="3"/>
  <c r="J424" i="3"/>
  <c r="L424" i="3"/>
  <c r="M424" i="3"/>
  <c r="O424" i="3"/>
  <c r="N424" i="3" s="1"/>
  <c r="F428" i="3"/>
  <c r="H428" i="3"/>
  <c r="M428" i="3" s="1"/>
  <c r="J428" i="3"/>
  <c r="L428" i="3"/>
  <c r="O428" i="3" s="1"/>
  <c r="F429" i="3"/>
  <c r="H429" i="3"/>
  <c r="J429" i="3"/>
  <c r="L429" i="3"/>
  <c r="M429" i="3"/>
  <c r="O429" i="3"/>
  <c r="N429" i="3" s="1"/>
  <c r="F430" i="3"/>
  <c r="H430" i="3"/>
  <c r="M430" i="3" s="1"/>
  <c r="J430" i="3"/>
  <c r="L430" i="3" s="1"/>
  <c r="O430" i="3"/>
  <c r="N430" i="3" s="1"/>
  <c r="F431" i="3"/>
  <c r="H431" i="3"/>
  <c r="J431" i="3"/>
  <c r="L431" i="3"/>
  <c r="M431" i="3"/>
  <c r="O431" i="3"/>
  <c r="N431" i="3" s="1"/>
  <c r="F432" i="3"/>
  <c r="H432" i="3"/>
  <c r="J432" i="3"/>
  <c r="L432" i="3"/>
  <c r="M432" i="3"/>
  <c r="O432" i="3"/>
  <c r="N432" i="3" s="1"/>
  <c r="F433" i="3"/>
  <c r="H433" i="3" s="1"/>
  <c r="J433" i="3"/>
  <c r="L433" i="3"/>
  <c r="M433" i="3"/>
  <c r="O433" i="3"/>
  <c r="N433" i="3" s="1"/>
  <c r="F434" i="3"/>
  <c r="H434" i="3"/>
  <c r="J434" i="3"/>
  <c r="L434" i="3"/>
  <c r="M434" i="3"/>
  <c r="O434" i="3"/>
  <c r="N434" i="3" s="1"/>
  <c r="F435" i="3"/>
  <c r="H435" i="3" s="1"/>
  <c r="J435" i="3"/>
  <c r="L435" i="3"/>
  <c r="M435" i="3"/>
  <c r="O435" i="3"/>
  <c r="N435" i="3" s="1"/>
  <c r="F436" i="3"/>
  <c r="H436" i="3"/>
  <c r="J436" i="3"/>
  <c r="L436" i="3"/>
  <c r="O436" i="3" s="1"/>
  <c r="M436" i="3"/>
  <c r="N436" i="3"/>
  <c r="F437" i="3"/>
  <c r="H437" i="3"/>
  <c r="J437" i="3"/>
  <c r="L437" i="3"/>
  <c r="O437" i="3" s="1"/>
  <c r="M437" i="3"/>
  <c r="N437" i="3" s="1"/>
  <c r="F441" i="3"/>
  <c r="H441" i="3"/>
  <c r="J441" i="3"/>
  <c r="L441" i="3"/>
  <c r="M441" i="3"/>
  <c r="O441" i="3"/>
  <c r="N441" i="3" s="1"/>
  <c r="F442" i="3"/>
  <c r="H442" i="3"/>
  <c r="J442" i="3"/>
  <c r="L442" i="3"/>
  <c r="M442" i="3"/>
  <c r="O442" i="3"/>
  <c r="N442" i="3" s="1"/>
  <c r="F443" i="3"/>
  <c r="H443" i="3"/>
  <c r="J443" i="3"/>
  <c r="L443" i="3"/>
  <c r="M443" i="3"/>
  <c r="O443" i="3"/>
  <c r="N443" i="3" s="1"/>
  <c r="F444" i="3"/>
  <c r="H444" i="3"/>
  <c r="J444" i="3"/>
  <c r="L444" i="3"/>
  <c r="O444" i="3" s="1"/>
  <c r="M444" i="3"/>
  <c r="N444" i="3" s="1"/>
  <c r="F445" i="3"/>
  <c r="H445" i="3"/>
  <c r="J445" i="3"/>
  <c r="L445" i="3" s="1"/>
  <c r="M445" i="3"/>
  <c r="O445" i="3"/>
  <c r="N445" i="3" s="1"/>
  <c r="F446" i="3"/>
  <c r="H446" i="3"/>
  <c r="J446" i="3"/>
  <c r="L446" i="3"/>
  <c r="O446" i="3" s="1"/>
  <c r="M446" i="3"/>
  <c r="N446" i="3"/>
  <c r="F447" i="3"/>
  <c r="H447" i="3"/>
  <c r="J447" i="3"/>
  <c r="L447" i="3"/>
  <c r="O447" i="3" s="1"/>
  <c r="M447" i="3"/>
  <c r="N447" i="3" s="1"/>
  <c r="F448" i="3"/>
  <c r="H448" i="3"/>
  <c r="J448" i="3"/>
  <c r="L448" i="3"/>
  <c r="M448" i="3"/>
  <c r="O448" i="3"/>
  <c r="N448" i="3" s="1"/>
  <c r="F449" i="3"/>
  <c r="H449" i="3"/>
  <c r="M449" i="3" s="1"/>
  <c r="J449" i="3"/>
  <c r="L449" i="3"/>
  <c r="O449" i="3" s="1"/>
  <c r="F450" i="3"/>
  <c r="H450" i="3"/>
  <c r="M450" i="3" s="1"/>
  <c r="N450" i="3" s="1"/>
  <c r="J450" i="3"/>
  <c r="L450" i="3"/>
  <c r="O450" i="3"/>
  <c r="F454" i="3"/>
  <c r="H454" i="3"/>
  <c r="J454" i="3"/>
  <c r="L454" i="3"/>
  <c r="M454" i="3"/>
  <c r="O454" i="3"/>
  <c r="N454" i="3" s="1"/>
  <c r="F455" i="3"/>
  <c r="H455" i="3" s="1"/>
  <c r="M455" i="3" s="1"/>
  <c r="N455" i="3" s="1"/>
  <c r="J455" i="3"/>
  <c r="L455" i="3" s="1"/>
  <c r="O455" i="3"/>
  <c r="F456" i="3"/>
  <c r="H456" i="3"/>
  <c r="J456" i="3"/>
  <c r="L456" i="3"/>
  <c r="O456" i="3" s="1"/>
  <c r="N456" i="3" s="1"/>
  <c r="M456" i="3"/>
  <c r="F457" i="3"/>
  <c r="H457" i="3"/>
  <c r="M457" i="3" s="1"/>
  <c r="J457" i="3"/>
  <c r="L457" i="3" s="1"/>
  <c r="O457" i="3"/>
  <c r="F458" i="3"/>
  <c r="H458" i="3"/>
  <c r="M458" i="3" s="1"/>
  <c r="J458" i="3"/>
  <c r="L458" i="3"/>
  <c r="O458" i="3" s="1"/>
  <c r="F459" i="3"/>
  <c r="H459" i="3"/>
  <c r="J459" i="3"/>
  <c r="L459" i="3"/>
  <c r="M459" i="3"/>
  <c r="O459" i="3"/>
  <c r="N459" i="3" s="1"/>
  <c r="F460" i="3"/>
  <c r="H460" i="3"/>
  <c r="M460" i="3" s="1"/>
  <c r="N460" i="3" s="1"/>
  <c r="J460" i="3"/>
  <c r="L460" i="3"/>
  <c r="O460" i="3"/>
  <c r="F461" i="3"/>
  <c r="H461" i="3"/>
  <c r="J461" i="3"/>
  <c r="L461" i="3"/>
  <c r="M461" i="3"/>
  <c r="O461" i="3"/>
  <c r="N461" i="3" s="1"/>
  <c r="F462" i="3"/>
  <c r="H462" i="3" s="1"/>
  <c r="J462" i="3"/>
  <c r="L462" i="3"/>
  <c r="M462" i="3"/>
  <c r="N462" i="3"/>
  <c r="O462" i="3"/>
  <c r="F463" i="3"/>
  <c r="H463" i="3"/>
  <c r="M463" i="3" s="1"/>
  <c r="N463" i="3" s="1"/>
  <c r="J463" i="3"/>
  <c r="L463" i="3"/>
  <c r="O463" i="3"/>
  <c r="F467" i="3"/>
  <c r="H467" i="3"/>
  <c r="J467" i="3"/>
  <c r="L467" i="3"/>
  <c r="M467" i="3"/>
  <c r="O467" i="3"/>
  <c r="N467" i="3" s="1"/>
  <c r="F468" i="3"/>
  <c r="H468" i="3"/>
  <c r="J468" i="3"/>
  <c r="L468" i="3"/>
  <c r="M468" i="3"/>
  <c r="O468" i="3"/>
  <c r="N468" i="3" s="1"/>
  <c r="F469" i="3"/>
  <c r="H469" i="3" s="1"/>
  <c r="M469" i="3" s="1"/>
  <c r="N469" i="3" s="1"/>
  <c r="J469" i="3"/>
  <c r="L469" i="3"/>
  <c r="O469" i="3"/>
  <c r="F470" i="3"/>
  <c r="H470" i="3" s="1"/>
  <c r="J470" i="3"/>
  <c r="L470" i="3"/>
  <c r="M470" i="3"/>
  <c r="O470" i="3"/>
  <c r="N470" i="3" s="1"/>
  <c r="F471" i="3"/>
  <c r="H471" i="3"/>
  <c r="M471" i="3" s="1"/>
  <c r="N471" i="3" s="1"/>
  <c r="J471" i="3"/>
  <c r="L471" i="3"/>
  <c r="O471" i="3"/>
  <c r="F472" i="3"/>
  <c r="H472" i="3"/>
  <c r="J472" i="3"/>
  <c r="L472" i="3"/>
  <c r="O472" i="3" s="1"/>
  <c r="M472" i="3"/>
  <c r="N472" i="3"/>
  <c r="F473" i="3"/>
  <c r="H473" i="3"/>
  <c r="M473" i="3" s="1"/>
  <c r="N473" i="3" s="1"/>
  <c r="J473" i="3"/>
  <c r="L473" i="3"/>
  <c r="O473" i="3"/>
  <c r="F474" i="3"/>
  <c r="H474" i="3" s="1"/>
  <c r="J474" i="3"/>
  <c r="L474" i="3"/>
  <c r="O474" i="3" s="1"/>
  <c r="M474" i="3"/>
  <c r="N474" i="3"/>
  <c r="F475" i="3"/>
  <c r="H475" i="3"/>
  <c r="J475" i="3"/>
  <c r="L475" i="3"/>
  <c r="M475" i="3"/>
  <c r="O475" i="3"/>
  <c r="N475" i="3" s="1"/>
  <c r="F476" i="3"/>
  <c r="H476" i="3"/>
  <c r="M476" i="3" s="1"/>
  <c r="N476" i="3" s="1"/>
  <c r="J476" i="3"/>
  <c r="L476" i="3"/>
  <c r="O476" i="3"/>
  <c r="F480" i="3"/>
  <c r="H480" i="3"/>
  <c r="M480" i="3" s="1"/>
  <c r="J480" i="3"/>
  <c r="L480" i="3"/>
  <c r="O480" i="3"/>
  <c r="F481" i="3"/>
  <c r="H481" i="3"/>
  <c r="M481" i="3" s="1"/>
  <c r="J481" i="3"/>
  <c r="L481" i="3" s="1"/>
  <c r="O481" i="3" s="1"/>
  <c r="F482" i="3"/>
  <c r="H482" i="3"/>
  <c r="J482" i="3"/>
  <c r="L482" i="3"/>
  <c r="O482" i="3" s="1"/>
  <c r="M482" i="3"/>
  <c r="N482" i="3" s="1"/>
  <c r="F483" i="3"/>
  <c r="H483" i="3"/>
  <c r="J483" i="3"/>
  <c r="L483" i="3"/>
  <c r="M483" i="3"/>
  <c r="O483" i="3"/>
  <c r="N483" i="3" s="1"/>
  <c r="F484" i="3"/>
  <c r="H484" i="3" s="1"/>
  <c r="M484" i="3" s="1"/>
  <c r="N484" i="3" s="1"/>
  <c r="J484" i="3"/>
  <c r="L484" i="3"/>
  <c r="O484" i="3" s="1"/>
  <c r="F485" i="3"/>
  <c r="H485" i="3"/>
  <c r="M485" i="3" s="1"/>
  <c r="J485" i="3"/>
  <c r="L485" i="3" s="1"/>
  <c r="O485" i="3"/>
  <c r="N485" i="3" s="1"/>
  <c r="F486" i="3"/>
  <c r="H486" i="3"/>
  <c r="J486" i="3"/>
  <c r="L486" i="3"/>
  <c r="M486" i="3"/>
  <c r="N486" i="3" s="1"/>
  <c r="O486" i="3"/>
  <c r="F487" i="3"/>
  <c r="H487" i="3"/>
  <c r="J487" i="3"/>
  <c r="L487" i="3"/>
  <c r="M487" i="3"/>
  <c r="O487" i="3"/>
  <c r="N487" i="3" s="1"/>
  <c r="F488" i="3"/>
  <c r="H488" i="3"/>
  <c r="J488" i="3"/>
  <c r="L488" i="3"/>
  <c r="M488" i="3"/>
  <c r="O488" i="3"/>
  <c r="N488" i="3" s="1"/>
  <c r="F489" i="3"/>
  <c r="H489" i="3"/>
  <c r="M489" i="3" s="1"/>
  <c r="J489" i="3"/>
  <c r="L489" i="3" s="1"/>
  <c r="O489" i="3" s="1"/>
  <c r="F493" i="3"/>
  <c r="H493" i="3"/>
  <c r="J493" i="3"/>
  <c r="L493" i="3"/>
  <c r="O493" i="3" s="1"/>
  <c r="M493" i="3"/>
  <c r="N493" i="3"/>
  <c r="F494" i="3"/>
  <c r="H494" i="3"/>
  <c r="M494" i="3" s="1"/>
  <c r="J494" i="3"/>
  <c r="L494" i="3"/>
  <c r="O494" i="3" s="1"/>
  <c r="F495" i="3"/>
  <c r="H495" i="3"/>
  <c r="J495" i="3"/>
  <c r="L495" i="3"/>
  <c r="M495" i="3"/>
  <c r="O495" i="3"/>
  <c r="N495" i="3" s="1"/>
  <c r="F496" i="3"/>
  <c r="H496" i="3"/>
  <c r="J496" i="3"/>
  <c r="L496" i="3"/>
  <c r="M496" i="3"/>
  <c r="O496" i="3"/>
  <c r="N496" i="3" s="1"/>
  <c r="F497" i="3"/>
  <c r="H497" i="3"/>
  <c r="M497" i="3" s="1"/>
  <c r="N497" i="3" s="1"/>
  <c r="J497" i="3"/>
  <c r="L497" i="3"/>
  <c r="O497" i="3" s="1"/>
  <c r="F498" i="3"/>
  <c r="H498" i="3"/>
  <c r="M498" i="3" s="1"/>
  <c r="J498" i="3"/>
  <c r="L498" i="3" s="1"/>
  <c r="O498" i="3"/>
  <c r="N498" i="3" s="1"/>
  <c r="F499" i="3"/>
  <c r="H499" i="3"/>
  <c r="J499" i="3"/>
  <c r="L499" i="3"/>
  <c r="O499" i="3" s="1"/>
  <c r="M499" i="3"/>
  <c r="N499" i="3" s="1"/>
  <c r="F500" i="3"/>
  <c r="H500" i="3"/>
  <c r="J500" i="3"/>
  <c r="L500" i="3"/>
  <c r="M500" i="3"/>
  <c r="O500" i="3"/>
  <c r="N500" i="3" s="1"/>
  <c r="F501" i="3"/>
  <c r="H501" i="3"/>
  <c r="J501" i="3"/>
  <c r="L501" i="3"/>
  <c r="M501" i="3"/>
  <c r="O501" i="3"/>
  <c r="N501" i="3" s="1"/>
  <c r="F502" i="3"/>
  <c r="H502" i="3"/>
  <c r="M502" i="3" s="1"/>
  <c r="J502" i="3"/>
  <c r="L502" i="3"/>
  <c r="O502" i="3" s="1"/>
  <c r="F17" i="2"/>
  <c r="H17" i="2" s="1"/>
  <c r="M17" i="2" s="1"/>
  <c r="J17" i="2"/>
  <c r="L17" i="2"/>
  <c r="O17" i="2"/>
  <c r="N17" i="2" s="1"/>
  <c r="F18" i="2"/>
  <c r="H18" i="2"/>
  <c r="J18" i="2"/>
  <c r="L18" i="2"/>
  <c r="M18" i="2"/>
  <c r="O18" i="2"/>
  <c r="N18" i="2" s="1"/>
  <c r="F19" i="2"/>
  <c r="H19" i="2"/>
  <c r="J19" i="2"/>
  <c r="L19" i="2"/>
  <c r="O19" i="2" s="1"/>
  <c r="M19" i="2"/>
  <c r="N19" i="2" s="1"/>
  <c r="F20" i="2"/>
  <c r="H20" i="2" s="1"/>
  <c r="M20" i="2" s="1"/>
  <c r="N20" i="2" s="1"/>
  <c r="J20" i="2"/>
  <c r="L20" i="2"/>
  <c r="O20" i="2"/>
  <c r="F21" i="2"/>
  <c r="H21" i="2"/>
  <c r="M21" i="2" s="1"/>
  <c r="J21" i="2"/>
  <c r="L21" i="2"/>
  <c r="O21" i="2" s="1"/>
  <c r="F22" i="2"/>
  <c r="H22" i="2"/>
  <c r="J22" i="2"/>
  <c r="L22" i="2"/>
  <c r="O22" i="2" s="1"/>
  <c r="M22" i="2"/>
  <c r="N22" i="2" s="1"/>
  <c r="F35" i="2"/>
  <c r="H35" i="2"/>
  <c r="J35" i="2"/>
  <c r="L35" i="2"/>
  <c r="M35" i="2"/>
  <c r="O35" i="2"/>
  <c r="N35" i="2" s="1"/>
  <c r="F36" i="2"/>
  <c r="H36" i="2"/>
  <c r="M36" i="2" s="1"/>
  <c r="J36" i="2"/>
  <c r="L36" i="2" s="1"/>
  <c r="O36" i="2" s="1"/>
  <c r="F37" i="2"/>
  <c r="H37" i="2"/>
  <c r="J37" i="2"/>
  <c r="L37" i="2"/>
  <c r="O37" i="2" s="1"/>
  <c r="M37" i="2"/>
  <c r="N37" i="2" s="1"/>
  <c r="F38" i="2"/>
  <c r="H38" i="2" s="1"/>
  <c r="M38" i="2" s="1"/>
  <c r="N38" i="2" s="1"/>
  <c r="J38" i="2"/>
  <c r="L38" i="2"/>
  <c r="O38" i="2"/>
  <c r="F39" i="2"/>
  <c r="H39" i="2"/>
  <c r="J39" i="2"/>
  <c r="L39" i="2"/>
  <c r="M39" i="2"/>
  <c r="O39" i="2"/>
  <c r="N39" i="2" s="1"/>
  <c r="F40" i="2"/>
  <c r="H40" i="2" s="1"/>
  <c r="M40" i="2" s="1"/>
  <c r="N40" i="2" s="1"/>
  <c r="J40" i="2"/>
  <c r="L40" i="2" s="1"/>
  <c r="O40" i="2" s="1"/>
  <c r="F44" i="2"/>
  <c r="H44" i="2"/>
  <c r="J44" i="2"/>
  <c r="L44" i="2"/>
  <c r="M44" i="2"/>
  <c r="O44" i="2"/>
  <c r="N44" i="2" s="1"/>
  <c r="F45" i="2"/>
  <c r="H45" i="2"/>
  <c r="M45" i="2" s="1"/>
  <c r="N45" i="2" s="1"/>
  <c r="J45" i="2"/>
  <c r="L45" i="2"/>
  <c r="O45" i="2" s="1"/>
  <c r="F46" i="2"/>
  <c r="H46" i="2"/>
  <c r="J46" i="2"/>
  <c r="L46" i="2"/>
  <c r="O46" i="2" s="1"/>
  <c r="M46" i="2"/>
  <c r="N46" i="2" s="1"/>
  <c r="F47" i="2"/>
  <c r="H47" i="2"/>
  <c r="J47" i="2"/>
  <c r="L47" i="2"/>
  <c r="M47" i="2"/>
  <c r="O47" i="2"/>
  <c r="N47" i="2" s="1"/>
  <c r="F48" i="2"/>
  <c r="H48" i="2"/>
  <c r="M48" i="2" s="1"/>
  <c r="J48" i="2"/>
  <c r="L48" i="2" s="1"/>
  <c r="O48" i="2" s="1"/>
  <c r="F49" i="2"/>
  <c r="H49" i="2"/>
  <c r="J49" i="2"/>
  <c r="L49" i="2"/>
  <c r="M49" i="2"/>
  <c r="O49" i="2"/>
  <c r="N49" i="2" s="1"/>
  <c r="F53" i="2"/>
  <c r="H53" i="2"/>
  <c r="M53" i="2" s="1"/>
  <c r="J53" i="2"/>
  <c r="L53" i="2" s="1"/>
  <c r="O53" i="2" s="1"/>
  <c r="F54" i="2"/>
  <c r="H54" i="2"/>
  <c r="J54" i="2"/>
  <c r="L54" i="2"/>
  <c r="O54" i="2" s="1"/>
  <c r="M54" i="2"/>
  <c r="N54" i="2" s="1"/>
  <c r="F55" i="2"/>
  <c r="H55" i="2" s="1"/>
  <c r="M55" i="2" s="1"/>
  <c r="N55" i="2" s="1"/>
  <c r="J55" i="2"/>
  <c r="L55" i="2"/>
  <c r="O55" i="2"/>
  <c r="F56" i="2"/>
  <c r="H56" i="2" s="1"/>
  <c r="M56" i="2" s="1"/>
  <c r="J56" i="2"/>
  <c r="L56" i="2" s="1"/>
  <c r="O56" i="2" s="1"/>
  <c r="F57" i="2"/>
  <c r="H57" i="2"/>
  <c r="M57" i="2" s="1"/>
  <c r="J57" i="2"/>
  <c r="L57" i="2"/>
  <c r="O57" i="2" s="1"/>
  <c r="F58" i="2"/>
  <c r="H58" i="2"/>
  <c r="J58" i="2"/>
  <c r="L58" i="2"/>
  <c r="M58" i="2"/>
  <c r="O58" i="2"/>
  <c r="N58" i="2" s="1"/>
  <c r="F62" i="2"/>
  <c r="H62" i="2"/>
  <c r="M62" i="2" s="1"/>
  <c r="J62" i="2"/>
  <c r="L62" i="2"/>
  <c r="O62" i="2" s="1"/>
  <c r="F63" i="2"/>
  <c r="H63" i="2" s="1"/>
  <c r="M63" i="2" s="1"/>
  <c r="N63" i="2" s="1"/>
  <c r="J63" i="2"/>
  <c r="L63" i="2"/>
  <c r="O63" i="2" s="1"/>
  <c r="F64" i="2"/>
  <c r="H64" i="2"/>
  <c r="J64" i="2"/>
  <c r="L64" i="2"/>
  <c r="M64" i="2"/>
  <c r="O64" i="2"/>
  <c r="N64" i="2" s="1"/>
  <c r="F65" i="2"/>
  <c r="H65" i="2"/>
  <c r="M65" i="2" s="1"/>
  <c r="J65" i="2"/>
  <c r="L65" i="2" s="1"/>
  <c r="O65" i="2" s="1"/>
  <c r="F66" i="2"/>
  <c r="H66" i="2"/>
  <c r="J66" i="2"/>
  <c r="L66" i="2"/>
  <c r="M66" i="2"/>
  <c r="O66" i="2"/>
  <c r="N66" i="2" s="1"/>
  <c r="F67" i="2"/>
  <c r="H67" i="2"/>
  <c r="J67" i="2"/>
  <c r="L67" i="2"/>
  <c r="M67" i="2"/>
  <c r="O67" i="2"/>
  <c r="N67" i="2" s="1"/>
  <c r="F71" i="2"/>
  <c r="H71" i="2"/>
  <c r="M71" i="2" s="1"/>
  <c r="N71" i="2" s="1"/>
  <c r="J71" i="2"/>
  <c r="L71" i="2"/>
  <c r="O71" i="2"/>
  <c r="F72" i="2"/>
  <c r="H72" i="2"/>
  <c r="M72" i="2" s="1"/>
  <c r="N72" i="2" s="1"/>
  <c r="J72" i="2"/>
  <c r="L72" i="2" s="1"/>
  <c r="O72" i="2" s="1"/>
  <c r="F73" i="2"/>
  <c r="H73" i="2" s="1"/>
  <c r="M73" i="2" s="1"/>
  <c r="J73" i="2"/>
  <c r="L73" i="2"/>
  <c r="O73" i="2"/>
  <c r="N73" i="2" s="1"/>
  <c r="F74" i="2"/>
  <c r="H74" i="2"/>
  <c r="M74" i="2" s="1"/>
  <c r="J74" i="2"/>
  <c r="L74" i="2" s="1"/>
  <c r="O74" i="2" s="1"/>
  <c r="F75" i="2"/>
  <c r="H75" i="2"/>
  <c r="J75" i="2"/>
  <c r="L75" i="2"/>
  <c r="O75" i="2" s="1"/>
  <c r="M75" i="2"/>
  <c r="N75" i="2"/>
  <c r="F76" i="2"/>
  <c r="H76" i="2" s="1"/>
  <c r="M76" i="2" s="1"/>
  <c r="J76" i="2"/>
  <c r="L76" i="2"/>
  <c r="O76" i="2"/>
  <c r="N76" i="2" s="1"/>
  <c r="F80" i="2"/>
  <c r="H80" i="2" s="1"/>
  <c r="M80" i="2" s="1"/>
  <c r="N80" i="2" s="1"/>
  <c r="J80" i="2"/>
  <c r="L80" i="2"/>
  <c r="O80" i="2" s="1"/>
  <c r="F81" i="2"/>
  <c r="H81" i="2"/>
  <c r="J81" i="2"/>
  <c r="L81" i="2"/>
  <c r="M81" i="2"/>
  <c r="O81" i="2"/>
  <c r="N81" i="2" s="1"/>
  <c r="F82" i="2"/>
  <c r="H82" i="2"/>
  <c r="J82" i="2"/>
  <c r="L82" i="2" s="1"/>
  <c r="O82" i="2" s="1"/>
  <c r="M82" i="2"/>
  <c r="F83" i="2"/>
  <c r="H83" i="2"/>
  <c r="M83" i="2" s="1"/>
  <c r="J83" i="2"/>
  <c r="L83" i="2" s="1"/>
  <c r="O83" i="2" s="1"/>
  <c r="F84" i="2"/>
  <c r="H84" i="2"/>
  <c r="J84" i="2"/>
  <c r="L84" i="2"/>
  <c r="M84" i="2"/>
  <c r="N84" i="2"/>
  <c r="O84" i="2"/>
  <c r="F85" i="2"/>
  <c r="H85" i="2" s="1"/>
  <c r="M85" i="2" s="1"/>
  <c r="J85" i="2"/>
  <c r="L85" i="2"/>
  <c r="O85" i="2"/>
  <c r="F89" i="2"/>
  <c r="H89" i="2" s="1"/>
  <c r="M89" i="2" s="1"/>
  <c r="J89" i="2"/>
  <c r="L89" i="2"/>
  <c r="O89" i="2" s="1"/>
  <c r="F90" i="2"/>
  <c r="H90" i="2"/>
  <c r="J90" i="2"/>
  <c r="L90" i="2"/>
  <c r="M90" i="2"/>
  <c r="O90" i="2"/>
  <c r="N90" i="2" s="1"/>
  <c r="F91" i="2"/>
  <c r="H91" i="2"/>
  <c r="J91" i="2"/>
  <c r="L91" i="2"/>
  <c r="M91" i="2"/>
  <c r="O91" i="2"/>
  <c r="N91" i="2" s="1"/>
  <c r="F92" i="2"/>
  <c r="H92" i="2"/>
  <c r="J92" i="2"/>
  <c r="L92" i="2"/>
  <c r="O92" i="2" s="1"/>
  <c r="M92" i="2"/>
  <c r="N92" i="2" s="1"/>
  <c r="F93" i="2"/>
  <c r="H93" i="2"/>
  <c r="J93" i="2"/>
  <c r="L93" i="2"/>
  <c r="M93" i="2"/>
  <c r="O93" i="2"/>
  <c r="N93" i="2" s="1"/>
  <c r="F94" i="2"/>
  <c r="H94" i="2" s="1"/>
  <c r="M94" i="2" s="1"/>
  <c r="J94" i="2"/>
  <c r="L94" i="2"/>
  <c r="O94" i="2" s="1"/>
  <c r="F98" i="2"/>
  <c r="H98" i="2"/>
  <c r="M98" i="2" s="1"/>
  <c r="J98" i="2"/>
  <c r="L98" i="2"/>
  <c r="O98" i="2" s="1"/>
  <c r="F99" i="2"/>
  <c r="H99" i="2"/>
  <c r="J99" i="2"/>
  <c r="L99" i="2"/>
  <c r="O99" i="2" s="1"/>
  <c r="M99" i="2"/>
  <c r="N99" i="2" s="1"/>
  <c r="F100" i="2"/>
  <c r="H100" i="2"/>
  <c r="M100" i="2" s="1"/>
  <c r="J100" i="2"/>
  <c r="L100" i="2" s="1"/>
  <c r="O100" i="2" s="1"/>
  <c r="F101" i="2"/>
  <c r="H101" i="2"/>
  <c r="J101" i="2"/>
  <c r="L101" i="2"/>
  <c r="M101" i="2"/>
  <c r="N101" i="2"/>
  <c r="O101" i="2"/>
  <c r="F102" i="2"/>
  <c r="H102" i="2"/>
  <c r="J102" i="2"/>
  <c r="L102" i="2"/>
  <c r="O102" i="2" s="1"/>
  <c r="M102" i="2"/>
  <c r="N102" i="2" s="1"/>
  <c r="F103" i="2"/>
  <c r="H103" i="2" s="1"/>
  <c r="M103" i="2" s="1"/>
  <c r="N103" i="2" s="1"/>
  <c r="J103" i="2"/>
  <c r="L103" i="2" s="1"/>
  <c r="O103" i="2" s="1"/>
  <c r="F107" i="2"/>
  <c r="H107" i="2"/>
  <c r="J107" i="2"/>
  <c r="L107" i="2"/>
  <c r="O107" i="2" s="1"/>
  <c r="M107" i="2"/>
  <c r="N107" i="2"/>
  <c r="F108" i="2"/>
  <c r="H108" i="2"/>
  <c r="J108" i="2"/>
  <c r="L108" i="2"/>
  <c r="M108" i="2"/>
  <c r="N108" i="2" s="1"/>
  <c r="O108" i="2"/>
  <c r="F109" i="2"/>
  <c r="H109" i="2"/>
  <c r="J109" i="2"/>
  <c r="L109" i="2"/>
  <c r="M109" i="2"/>
  <c r="O109" i="2"/>
  <c r="N109" i="2" s="1"/>
  <c r="F110" i="2"/>
  <c r="H110" i="2"/>
  <c r="M110" i="2" s="1"/>
  <c r="N110" i="2" s="1"/>
  <c r="J110" i="2"/>
  <c r="L110" i="2"/>
  <c r="O110" i="2" s="1"/>
  <c r="F111" i="2"/>
  <c r="H111" i="2"/>
  <c r="J111" i="2"/>
  <c r="L111" i="2"/>
  <c r="M111" i="2"/>
  <c r="N111" i="2"/>
  <c r="O111" i="2"/>
  <c r="F112" i="2"/>
  <c r="H112" i="2"/>
  <c r="M112" i="2" s="1"/>
  <c r="J112" i="2"/>
  <c r="L112" i="2" s="1"/>
  <c r="O112" i="2" s="1"/>
  <c r="F116" i="2"/>
  <c r="H116" i="2"/>
  <c r="J116" i="2"/>
  <c r="L116" i="2"/>
  <c r="M116" i="2"/>
  <c r="O116" i="2"/>
  <c r="N116" i="2" s="1"/>
  <c r="F117" i="2"/>
  <c r="H117" i="2" s="1"/>
  <c r="M117" i="2" s="1"/>
  <c r="N117" i="2" s="1"/>
  <c r="J117" i="2"/>
  <c r="L117" i="2"/>
  <c r="O117" i="2"/>
  <c r="F118" i="2"/>
  <c r="H118" i="2"/>
  <c r="M118" i="2" s="1"/>
  <c r="N118" i="2" s="1"/>
  <c r="J118" i="2"/>
  <c r="L118" i="2"/>
  <c r="O118" i="2"/>
  <c r="F119" i="2"/>
  <c r="H119" i="2"/>
  <c r="M119" i="2" s="1"/>
  <c r="J119" i="2"/>
  <c r="L119" i="2" s="1"/>
  <c r="O119" i="2" s="1"/>
  <c r="F120" i="2"/>
  <c r="H120" i="2" s="1"/>
  <c r="M120" i="2" s="1"/>
  <c r="N120" i="2" s="1"/>
  <c r="J120" i="2"/>
  <c r="L120" i="2"/>
  <c r="O120" i="2"/>
  <c r="F121" i="2"/>
  <c r="H121" i="2"/>
  <c r="J121" i="2"/>
  <c r="L121" i="2"/>
  <c r="M121" i="2"/>
  <c r="O121" i="2"/>
  <c r="N121" i="2" s="1"/>
  <c r="F125" i="2"/>
  <c r="H125" i="2"/>
  <c r="M125" i="2" s="1"/>
  <c r="N125" i="2" s="1"/>
  <c r="J125" i="2"/>
  <c r="L125" i="2" s="1"/>
  <c r="O125" i="2" s="1"/>
  <c r="F126" i="2"/>
  <c r="H126" i="2" s="1"/>
  <c r="M126" i="2" s="1"/>
  <c r="J126" i="2"/>
  <c r="L126" i="2"/>
  <c r="O126" i="2"/>
  <c r="N126" i="2" s="1"/>
  <c r="F127" i="2"/>
  <c r="H127" i="2"/>
  <c r="M127" i="2" s="1"/>
  <c r="J127" i="2"/>
  <c r="L127" i="2"/>
  <c r="O127" i="2" s="1"/>
  <c r="F128" i="2"/>
  <c r="H128" i="2"/>
  <c r="J128" i="2"/>
  <c r="L128" i="2"/>
  <c r="O128" i="2" s="1"/>
  <c r="N128" i="2" s="1"/>
  <c r="M128" i="2"/>
  <c r="F129" i="2"/>
  <c r="H129" i="2" s="1"/>
  <c r="M129" i="2" s="1"/>
  <c r="N129" i="2" s="1"/>
  <c r="J129" i="2"/>
  <c r="L129" i="2"/>
  <c r="O129" i="2"/>
  <c r="F130" i="2"/>
  <c r="H130" i="2"/>
  <c r="M130" i="2" s="1"/>
  <c r="J130" i="2"/>
  <c r="L130" i="2" s="1"/>
  <c r="O130" i="2" s="1"/>
  <c r="F134" i="2"/>
  <c r="H134" i="2"/>
  <c r="J134" i="2"/>
  <c r="L134" i="2" s="1"/>
  <c r="O134" i="2" s="1"/>
  <c r="N134" i="2" s="1"/>
  <c r="M134" i="2"/>
  <c r="F135" i="2"/>
  <c r="H135" i="2" s="1"/>
  <c r="M135" i="2" s="1"/>
  <c r="J135" i="2"/>
  <c r="L135" i="2"/>
  <c r="O135" i="2"/>
  <c r="F136" i="2"/>
  <c r="H136" i="2"/>
  <c r="M136" i="2" s="1"/>
  <c r="J136" i="2"/>
  <c r="L136" i="2" s="1"/>
  <c r="O136" i="2" s="1"/>
  <c r="F137" i="2"/>
  <c r="H137" i="2" s="1"/>
  <c r="M137" i="2" s="1"/>
  <c r="J137" i="2"/>
  <c r="L137" i="2"/>
  <c r="O137" i="2" s="1"/>
  <c r="F138" i="2"/>
  <c r="H138" i="2"/>
  <c r="J138" i="2"/>
  <c r="L138" i="2"/>
  <c r="M138" i="2"/>
  <c r="O138" i="2"/>
  <c r="N138" i="2" s="1"/>
  <c r="F139" i="2"/>
  <c r="H139" i="2"/>
  <c r="M139" i="2" s="1"/>
  <c r="J139" i="2"/>
  <c r="L139" i="2" s="1"/>
  <c r="O139" i="2" s="1"/>
  <c r="F143" i="2"/>
  <c r="H143" i="2"/>
  <c r="J143" i="2"/>
  <c r="L143" i="2"/>
  <c r="M143" i="2"/>
  <c r="O143" i="2"/>
  <c r="N143" i="2" s="1"/>
  <c r="F144" i="2"/>
  <c r="H144" i="2"/>
  <c r="J144" i="2"/>
  <c r="L144" i="2"/>
  <c r="M144" i="2"/>
  <c r="O144" i="2"/>
  <c r="N144" i="2" s="1"/>
  <c r="F145" i="2"/>
  <c r="H145" i="2" s="1"/>
  <c r="M145" i="2" s="1"/>
  <c r="N145" i="2" s="1"/>
  <c r="J145" i="2"/>
  <c r="L145" i="2"/>
  <c r="O145" i="2" s="1"/>
  <c r="F146" i="2"/>
  <c r="H146" i="2"/>
  <c r="J146" i="2"/>
  <c r="L146" i="2"/>
  <c r="M146" i="2"/>
  <c r="O146" i="2"/>
  <c r="N146" i="2" s="1"/>
  <c r="F147" i="2"/>
  <c r="H147" i="2"/>
  <c r="M147" i="2" s="1"/>
  <c r="J147" i="2"/>
  <c r="L147" i="2" s="1"/>
  <c r="O147" i="2"/>
  <c r="F148" i="2"/>
  <c r="H148" i="2" s="1"/>
  <c r="M148" i="2" s="1"/>
  <c r="N148" i="2" s="1"/>
  <c r="J148" i="2"/>
  <c r="L148" i="2"/>
  <c r="O148" i="2"/>
  <c r="F152" i="2"/>
  <c r="H152" i="2"/>
  <c r="J152" i="2"/>
  <c r="L152" i="2"/>
  <c r="M152" i="2"/>
  <c r="N152" i="2"/>
  <c r="O152" i="2"/>
  <c r="F153" i="2"/>
  <c r="H153" i="2" s="1"/>
  <c r="M153" i="2" s="1"/>
  <c r="N153" i="2" s="1"/>
  <c r="J153" i="2"/>
  <c r="L153" i="2" s="1"/>
  <c r="O153" i="2" s="1"/>
  <c r="F154" i="2"/>
  <c r="H154" i="2"/>
  <c r="M154" i="2" s="1"/>
  <c r="N154" i="2" s="1"/>
  <c r="J154" i="2"/>
  <c r="L154" i="2"/>
  <c r="O154" i="2" s="1"/>
  <c r="F155" i="2"/>
  <c r="H155" i="2"/>
  <c r="J155" i="2"/>
  <c r="L155" i="2"/>
  <c r="M155" i="2"/>
  <c r="O155" i="2"/>
  <c r="N155" i="2" s="1"/>
  <c r="F156" i="2"/>
  <c r="H156" i="2"/>
  <c r="M156" i="2" s="1"/>
  <c r="J156" i="2"/>
  <c r="L156" i="2"/>
  <c r="O156" i="2" s="1"/>
  <c r="F157" i="2"/>
  <c r="H157" i="2"/>
  <c r="J157" i="2"/>
  <c r="L157" i="2"/>
  <c r="O157" i="2" s="1"/>
  <c r="M157" i="2"/>
  <c r="N157" i="2" s="1"/>
  <c r="F158" i="2"/>
  <c r="H158" i="2"/>
  <c r="J158" i="2"/>
  <c r="L158" i="2"/>
  <c r="M158" i="2"/>
  <c r="O158" i="2"/>
  <c r="N158" i="2" s="1"/>
  <c r="F162" i="2"/>
  <c r="H162" i="2"/>
  <c r="M162" i="2" s="1"/>
  <c r="N162" i="2" s="1"/>
  <c r="J162" i="2"/>
  <c r="L162" i="2" s="1"/>
  <c r="O162" i="2" s="1"/>
  <c r="F163" i="2"/>
  <c r="H163" i="2"/>
  <c r="M163" i="2" s="1"/>
  <c r="N163" i="2" s="1"/>
  <c r="J163" i="2"/>
  <c r="L163" i="2" s="1"/>
  <c r="O163" i="2" s="1"/>
  <c r="F164" i="2"/>
  <c r="H164" i="2"/>
  <c r="J164" i="2"/>
  <c r="L164" i="2"/>
  <c r="M164" i="2"/>
  <c r="O164" i="2"/>
  <c r="N164" i="2" s="1"/>
  <c r="F165" i="2"/>
  <c r="H165" i="2" s="1"/>
  <c r="M165" i="2" s="1"/>
  <c r="N165" i="2" s="1"/>
  <c r="J165" i="2"/>
  <c r="L165" i="2"/>
  <c r="O165" i="2"/>
  <c r="F166" i="2"/>
  <c r="H166" i="2"/>
  <c r="J166" i="2"/>
  <c r="L166" i="2"/>
  <c r="M166" i="2"/>
  <c r="O166" i="2"/>
  <c r="N166" i="2" s="1"/>
  <c r="F167" i="2"/>
  <c r="H167" i="2" s="1"/>
  <c r="J167" i="2"/>
  <c r="L167" i="2"/>
  <c r="M167" i="2"/>
  <c r="N167" i="2"/>
  <c r="O167" i="2"/>
  <c r="F171" i="2"/>
  <c r="H171" i="2"/>
  <c r="M171" i="2" s="1"/>
  <c r="N171" i="2" s="1"/>
  <c r="J171" i="2"/>
  <c r="L171" i="2" s="1"/>
  <c r="O171" i="2" s="1"/>
  <c r="F172" i="2"/>
  <c r="H172" i="2"/>
  <c r="J172" i="2"/>
  <c r="L172" i="2"/>
  <c r="O172" i="2" s="1"/>
  <c r="M172" i="2"/>
  <c r="N172" i="2"/>
  <c r="F173" i="2"/>
  <c r="H173" i="2" s="1"/>
  <c r="M173" i="2" s="1"/>
  <c r="N173" i="2" s="1"/>
  <c r="J173" i="2"/>
  <c r="L173" i="2"/>
  <c r="O173" i="2"/>
  <c r="F174" i="2"/>
  <c r="H174" i="2"/>
  <c r="M174" i="2" s="1"/>
  <c r="J174" i="2"/>
  <c r="L174" i="2"/>
  <c r="O174" i="2" s="1"/>
  <c r="F175" i="2"/>
  <c r="H175" i="2"/>
  <c r="J175" i="2"/>
  <c r="L175" i="2"/>
  <c r="M175" i="2"/>
  <c r="O175" i="2"/>
  <c r="N175" i="2" s="1"/>
  <c r="F176" i="2"/>
  <c r="H176" i="2"/>
  <c r="M176" i="2" s="1"/>
  <c r="J176" i="2"/>
  <c r="L176" i="2"/>
  <c r="O176" i="2" s="1"/>
  <c r="F180" i="2"/>
  <c r="H180" i="2"/>
  <c r="M180" i="2" s="1"/>
  <c r="J180" i="2"/>
  <c r="L180" i="2" s="1"/>
  <c r="O180" i="2" s="1"/>
  <c r="F181" i="2"/>
  <c r="H181" i="2"/>
  <c r="J181" i="2"/>
  <c r="L181" i="2"/>
  <c r="M181" i="2"/>
  <c r="N181" i="2"/>
  <c r="O181" i="2"/>
  <c r="F182" i="2"/>
  <c r="H182" i="2" s="1"/>
  <c r="M182" i="2" s="1"/>
  <c r="J182" i="2"/>
  <c r="L182" i="2"/>
  <c r="O182" i="2"/>
  <c r="N182" i="2" s="1"/>
  <c r="F183" i="2"/>
  <c r="H183" i="2"/>
  <c r="J183" i="2"/>
  <c r="L183" i="2"/>
  <c r="M183" i="2"/>
  <c r="O183" i="2"/>
  <c r="N183" i="2" s="1"/>
  <c r="F184" i="2"/>
  <c r="H184" i="2"/>
  <c r="J184" i="2"/>
  <c r="L184" i="2"/>
  <c r="O184" i="2" s="1"/>
  <c r="M184" i="2"/>
  <c r="N184" i="2" s="1"/>
  <c r="F185" i="2"/>
  <c r="H185" i="2"/>
  <c r="J185" i="2"/>
  <c r="L185" i="2"/>
  <c r="M185" i="2"/>
  <c r="O185" i="2"/>
  <c r="N185" i="2" s="1"/>
  <c r="F189" i="2"/>
  <c r="H189" i="2"/>
  <c r="J189" i="2"/>
  <c r="L189" i="2"/>
  <c r="O189" i="2" s="1"/>
  <c r="M189" i="2"/>
  <c r="N189" i="2" s="1"/>
  <c r="F190" i="2"/>
  <c r="H190" i="2"/>
  <c r="J190" i="2"/>
  <c r="L190" i="2" s="1"/>
  <c r="O190" i="2" s="1"/>
  <c r="N190" i="2" s="1"/>
  <c r="M190" i="2"/>
  <c r="F191" i="2"/>
  <c r="H191" i="2"/>
  <c r="J191" i="2"/>
  <c r="L191" i="2"/>
  <c r="M191" i="2"/>
  <c r="O191" i="2"/>
  <c r="N191" i="2" s="1"/>
  <c r="F192" i="2"/>
  <c r="H192" i="2"/>
  <c r="M192" i="2" s="1"/>
  <c r="J192" i="2"/>
  <c r="L192" i="2"/>
  <c r="O192" i="2" s="1"/>
  <c r="F193" i="2"/>
  <c r="H193" i="2"/>
  <c r="J193" i="2"/>
  <c r="L193" i="2"/>
  <c r="O193" i="2" s="1"/>
  <c r="M193" i="2"/>
  <c r="N193" i="2" s="1"/>
  <c r="F194" i="2"/>
  <c r="H194" i="2"/>
  <c r="M194" i="2" s="1"/>
  <c r="J194" i="2"/>
  <c r="L194" i="2" s="1"/>
  <c r="O194" i="2"/>
  <c r="F198" i="2"/>
  <c r="H198" i="2"/>
  <c r="J198" i="2"/>
  <c r="L198" i="2"/>
  <c r="O198" i="2" s="1"/>
  <c r="M198" i="2"/>
  <c r="N198" i="2" s="1"/>
  <c r="F199" i="2"/>
  <c r="H199" i="2"/>
  <c r="J199" i="2"/>
  <c r="L199" i="2"/>
  <c r="M199" i="2"/>
  <c r="O199" i="2"/>
  <c r="N199" i="2" s="1"/>
  <c r="F200" i="2"/>
  <c r="H200" i="2" s="1"/>
  <c r="M200" i="2" s="1"/>
  <c r="J200" i="2"/>
  <c r="L200" i="2" s="1"/>
  <c r="O200" i="2" s="1"/>
  <c r="F201" i="2"/>
  <c r="H201" i="2" s="1"/>
  <c r="M201" i="2" s="1"/>
  <c r="N201" i="2" s="1"/>
  <c r="J201" i="2"/>
  <c r="L201" i="2"/>
  <c r="O201" i="2" s="1"/>
  <c r="F202" i="2"/>
  <c r="H202" i="2"/>
  <c r="J202" i="2"/>
  <c r="L202" i="2"/>
  <c r="M202" i="2"/>
  <c r="O202" i="2"/>
  <c r="N202" i="2" s="1"/>
  <c r="F203" i="2"/>
  <c r="H203" i="2"/>
  <c r="J203" i="2"/>
  <c r="L203" i="2"/>
  <c r="M203" i="2"/>
  <c r="O203" i="2"/>
  <c r="N203" i="2" s="1"/>
  <c r="F207" i="2"/>
  <c r="H207" i="2" s="1"/>
  <c r="M207" i="2" s="1"/>
  <c r="N207" i="2" s="1"/>
  <c r="J207" i="2"/>
  <c r="L207" i="2"/>
  <c r="O207" i="2" s="1"/>
  <c r="F208" i="2"/>
  <c r="H208" i="2"/>
  <c r="J208" i="2"/>
  <c r="L208" i="2"/>
  <c r="M208" i="2"/>
  <c r="N208" i="2"/>
  <c r="O208" i="2"/>
  <c r="F209" i="2"/>
  <c r="H209" i="2"/>
  <c r="M209" i="2" s="1"/>
  <c r="N209" i="2" s="1"/>
  <c r="J209" i="2"/>
  <c r="L209" i="2" s="1"/>
  <c r="O209" i="2" s="1"/>
  <c r="F210" i="2"/>
  <c r="H210" i="2" s="1"/>
  <c r="M210" i="2" s="1"/>
  <c r="N210" i="2" s="1"/>
  <c r="J210" i="2"/>
  <c r="L210" i="2" s="1"/>
  <c r="O210" i="2" s="1"/>
  <c r="F211" i="2"/>
  <c r="H211" i="2"/>
  <c r="J211" i="2"/>
  <c r="L211" i="2"/>
  <c r="M211" i="2"/>
  <c r="O211" i="2"/>
  <c r="N211" i="2" s="1"/>
  <c r="F212" i="2"/>
  <c r="H212" i="2"/>
  <c r="M212" i="2" s="1"/>
  <c r="N212" i="2" s="1"/>
  <c r="J212" i="2"/>
  <c r="L212" i="2"/>
  <c r="O212" i="2"/>
  <c r="F216" i="2"/>
  <c r="H216" i="2"/>
  <c r="J216" i="2"/>
  <c r="L216" i="2"/>
  <c r="M216" i="2"/>
  <c r="O216" i="2"/>
  <c r="N216" i="2" s="1"/>
  <c r="F217" i="2"/>
  <c r="H217" i="2" s="1"/>
  <c r="J217" i="2"/>
  <c r="L217" i="2"/>
  <c r="M217" i="2"/>
  <c r="O217" i="2"/>
  <c r="N217" i="2" s="1"/>
  <c r="F218" i="2"/>
  <c r="H218" i="2"/>
  <c r="M218" i="2" s="1"/>
  <c r="N218" i="2" s="1"/>
  <c r="J218" i="2"/>
  <c r="L218" i="2" s="1"/>
  <c r="O218" i="2" s="1"/>
  <c r="F219" i="2"/>
  <c r="H219" i="2"/>
  <c r="J219" i="2"/>
  <c r="L219" i="2"/>
  <c r="O219" i="2" s="1"/>
  <c r="M219" i="2"/>
  <c r="N219" i="2"/>
  <c r="F220" i="2"/>
  <c r="H220" i="2" s="1"/>
  <c r="M220" i="2" s="1"/>
  <c r="J220" i="2"/>
  <c r="L220" i="2"/>
  <c r="O220" i="2"/>
  <c r="N220" i="2" s="1"/>
  <c r="F221" i="2"/>
  <c r="H221" i="2" s="1"/>
  <c r="M221" i="2" s="1"/>
  <c r="N221" i="2" s="1"/>
  <c r="J221" i="2"/>
  <c r="L221" i="2"/>
  <c r="O221" i="2" s="1"/>
  <c r="F225" i="2"/>
  <c r="H225" i="2"/>
  <c r="J225" i="2"/>
  <c r="L225" i="2"/>
  <c r="M225" i="2"/>
  <c r="O225" i="2"/>
  <c r="N225" i="2" s="1"/>
  <c r="F226" i="2"/>
  <c r="H226" i="2"/>
  <c r="J226" i="2"/>
  <c r="L226" i="2"/>
  <c r="O226" i="2" s="1"/>
  <c r="M226" i="2"/>
  <c r="N226" i="2"/>
  <c r="F227" i="2"/>
  <c r="H227" i="2"/>
  <c r="M227" i="2" s="1"/>
  <c r="N227" i="2" s="1"/>
  <c r="J227" i="2"/>
  <c r="L227" i="2" s="1"/>
  <c r="O227" i="2" s="1"/>
  <c r="F228" i="2"/>
  <c r="H228" i="2"/>
  <c r="J228" i="2"/>
  <c r="L228" i="2"/>
  <c r="M228" i="2"/>
  <c r="O228" i="2"/>
  <c r="N228" i="2" s="1"/>
  <c r="F229" i="2"/>
  <c r="H229" i="2" s="1"/>
  <c r="M229" i="2" s="1"/>
  <c r="J229" i="2"/>
  <c r="L229" i="2"/>
  <c r="N229" i="2"/>
  <c r="O229" i="2"/>
  <c r="F230" i="2"/>
  <c r="H230" i="2"/>
  <c r="J230" i="2"/>
  <c r="L230" i="2"/>
  <c r="M230" i="2"/>
  <c r="O230" i="2"/>
  <c r="N230" i="2" s="1"/>
  <c r="F234" i="2"/>
  <c r="H234" i="2"/>
  <c r="J234" i="2"/>
  <c r="L234" i="2"/>
  <c r="M234" i="2"/>
  <c r="O234" i="2"/>
  <c r="N234" i="2" s="1"/>
  <c r="F235" i="2"/>
  <c r="H235" i="2"/>
  <c r="J235" i="2"/>
  <c r="L235" i="2"/>
  <c r="M235" i="2"/>
  <c r="O235" i="2"/>
  <c r="N235" i="2" s="1"/>
  <c r="F236" i="2"/>
  <c r="H236" i="2"/>
  <c r="J236" i="2"/>
  <c r="L236" i="2"/>
  <c r="O236" i="2" s="1"/>
  <c r="M236" i="2"/>
  <c r="N236" i="2" s="1"/>
  <c r="F237" i="2"/>
  <c r="H237" i="2"/>
  <c r="J237" i="2"/>
  <c r="L237" i="2"/>
  <c r="O237" i="2" s="1"/>
  <c r="M237" i="2"/>
  <c r="N237" i="2"/>
  <c r="F238" i="2"/>
  <c r="H238" i="2"/>
  <c r="J238" i="2"/>
  <c r="L238" i="2"/>
  <c r="M238" i="2"/>
  <c r="O238" i="2"/>
  <c r="N238" i="2" s="1"/>
  <c r="F239" i="2"/>
  <c r="H239" i="2"/>
  <c r="M239" i="2" s="1"/>
  <c r="J239" i="2"/>
  <c r="L239" i="2"/>
  <c r="O239" i="2" s="1"/>
  <c r="F243" i="2"/>
  <c r="H243" i="2"/>
  <c r="J243" i="2"/>
  <c r="L243" i="2"/>
  <c r="O243" i="2" s="1"/>
  <c r="M243" i="2"/>
  <c r="N243" i="2" s="1"/>
  <c r="F244" i="2"/>
  <c r="H244" i="2" s="1"/>
  <c r="M244" i="2" s="1"/>
  <c r="N244" i="2" s="1"/>
  <c r="J244" i="2"/>
  <c r="L244" i="2" s="1"/>
  <c r="O244" i="2"/>
  <c r="F245" i="2"/>
  <c r="H245" i="2"/>
  <c r="J245" i="2"/>
  <c r="L245" i="2"/>
  <c r="M245" i="2"/>
  <c r="O245" i="2"/>
  <c r="N245" i="2" s="1"/>
  <c r="F246" i="2"/>
  <c r="H246" i="2"/>
  <c r="M246" i="2" s="1"/>
  <c r="J246" i="2"/>
  <c r="L246" i="2" s="1"/>
  <c r="O246" i="2" s="1"/>
  <c r="F247" i="2"/>
  <c r="H247" i="2" s="1"/>
  <c r="M247" i="2" s="1"/>
  <c r="J247" i="2"/>
  <c r="L247" i="2" s="1"/>
  <c r="O247" i="2" s="1"/>
  <c r="F248" i="2"/>
  <c r="H248" i="2"/>
  <c r="J248" i="2"/>
  <c r="L248" i="2"/>
  <c r="O248" i="2" s="1"/>
  <c r="M248" i="2"/>
  <c r="N248" i="2"/>
  <c r="F252" i="2"/>
  <c r="H252" i="2"/>
  <c r="J252" i="2"/>
  <c r="L252" i="2"/>
  <c r="O252" i="2" s="1"/>
  <c r="N252" i="2" s="1"/>
  <c r="M252" i="2"/>
  <c r="F253" i="2"/>
  <c r="H253" i="2" s="1"/>
  <c r="M253" i="2" s="1"/>
  <c r="N253" i="2" s="1"/>
  <c r="J253" i="2"/>
  <c r="L253" i="2"/>
  <c r="O253" i="2"/>
  <c r="F254" i="2"/>
  <c r="H254" i="2"/>
  <c r="J254" i="2"/>
  <c r="L254" i="2"/>
  <c r="O254" i="2" s="1"/>
  <c r="M254" i="2"/>
  <c r="N254" i="2" s="1"/>
  <c r="F255" i="2"/>
  <c r="H255" i="2"/>
  <c r="J255" i="2"/>
  <c r="L255" i="2"/>
  <c r="M255" i="2"/>
  <c r="O255" i="2"/>
  <c r="N255" i="2" s="1"/>
  <c r="F256" i="2"/>
  <c r="H256" i="2"/>
  <c r="M256" i="2" s="1"/>
  <c r="J256" i="2"/>
  <c r="L256" i="2" s="1"/>
  <c r="O256" i="2" s="1"/>
  <c r="F257" i="2"/>
  <c r="H257" i="2" s="1"/>
  <c r="M257" i="2" s="1"/>
  <c r="J257" i="2"/>
  <c r="L257" i="2" s="1"/>
  <c r="O257" i="2" s="1"/>
  <c r="F261" i="2"/>
  <c r="H261" i="2"/>
  <c r="M261" i="2" s="1"/>
  <c r="J261" i="2"/>
  <c r="L261" i="2" s="1"/>
  <c r="O261" i="2" s="1"/>
  <c r="F262" i="2"/>
  <c r="H262" i="2"/>
  <c r="M262" i="2" s="1"/>
  <c r="N262" i="2" s="1"/>
  <c r="J262" i="2"/>
  <c r="L262" i="2"/>
  <c r="O262" i="2"/>
  <c r="F263" i="2"/>
  <c r="H263" i="2"/>
  <c r="M263" i="2" s="1"/>
  <c r="J263" i="2"/>
  <c r="L263" i="2" s="1"/>
  <c r="O263" i="2" s="1"/>
  <c r="F264" i="2"/>
  <c r="H264" i="2" s="1"/>
  <c r="J264" i="2"/>
  <c r="L264" i="2"/>
  <c r="M264" i="2"/>
  <c r="O264" i="2"/>
  <c r="N264" i="2" s="1"/>
  <c r="F265" i="2"/>
  <c r="H265" i="2"/>
  <c r="J265" i="2"/>
  <c r="L265" i="2"/>
  <c r="M265" i="2"/>
  <c r="O265" i="2"/>
  <c r="N265" i="2" s="1"/>
  <c r="F266" i="2"/>
  <c r="H266" i="2"/>
  <c r="M266" i="2" s="1"/>
  <c r="J266" i="2"/>
  <c r="L266" i="2" s="1"/>
  <c r="O266" i="2" s="1"/>
  <c r="F270" i="2"/>
  <c r="H270" i="2" s="1"/>
  <c r="M270" i="2" s="1"/>
  <c r="J270" i="2"/>
  <c r="L270" i="2"/>
  <c r="O270" i="2"/>
  <c r="N270" i="2" s="1"/>
  <c r="F271" i="2"/>
  <c r="H271" i="2"/>
  <c r="M271" i="2" s="1"/>
  <c r="J271" i="2"/>
  <c r="L271" i="2"/>
  <c r="O271" i="2" s="1"/>
  <c r="F272" i="2"/>
  <c r="H272" i="2"/>
  <c r="J272" i="2"/>
  <c r="L272" i="2"/>
  <c r="M272" i="2"/>
  <c r="O272" i="2"/>
  <c r="N272" i="2" s="1"/>
  <c r="F273" i="2"/>
  <c r="H273" i="2"/>
  <c r="J273" i="2"/>
  <c r="L273" i="2"/>
  <c r="M273" i="2"/>
  <c r="O273" i="2"/>
  <c r="N273" i="2" s="1"/>
  <c r="F274" i="2"/>
  <c r="H274" i="2"/>
  <c r="M274" i="2" s="1"/>
  <c r="J274" i="2"/>
  <c r="L274" i="2" s="1"/>
  <c r="O274" i="2" s="1"/>
  <c r="F275" i="2"/>
  <c r="H275" i="2"/>
  <c r="J275" i="2"/>
  <c r="L275" i="2" s="1"/>
  <c r="O275" i="2" s="1"/>
  <c r="N275" i="2" s="1"/>
  <c r="M275" i="2"/>
  <c r="F279" i="2"/>
  <c r="H279" i="2" s="1"/>
  <c r="M279" i="2" s="1"/>
  <c r="J279" i="2"/>
  <c r="L279" i="2"/>
  <c r="O279" i="2"/>
  <c r="N279" i="2" s="1"/>
  <c r="F280" i="2"/>
  <c r="H280" i="2" s="1"/>
  <c r="M280" i="2" s="1"/>
  <c r="N280" i="2" s="1"/>
  <c r="J280" i="2"/>
  <c r="L280" i="2" s="1"/>
  <c r="O280" i="2" s="1"/>
  <c r="F281" i="2"/>
  <c r="H281" i="2"/>
  <c r="J281" i="2"/>
  <c r="L281" i="2"/>
  <c r="M281" i="2"/>
  <c r="O281" i="2"/>
  <c r="N281" i="2" s="1"/>
  <c r="F282" i="2"/>
  <c r="H282" i="2"/>
  <c r="J282" i="2"/>
  <c r="L282" i="2"/>
  <c r="M282" i="2"/>
  <c r="O282" i="2"/>
  <c r="N282" i="2" s="1"/>
  <c r="F283" i="2"/>
  <c r="H283" i="2"/>
  <c r="M283" i="2" s="1"/>
  <c r="J283" i="2"/>
  <c r="L283" i="2" s="1"/>
  <c r="O283" i="2" s="1"/>
  <c r="F284" i="2"/>
  <c r="H284" i="2"/>
  <c r="J284" i="2"/>
  <c r="L284" i="2"/>
  <c r="M284" i="2"/>
  <c r="O284" i="2"/>
  <c r="N284" i="2" s="1"/>
  <c r="F288" i="2"/>
  <c r="H288" i="2"/>
  <c r="M288" i="2" s="1"/>
  <c r="J288" i="2"/>
  <c r="L288" i="2" s="1"/>
  <c r="O288" i="2" s="1"/>
  <c r="F289" i="2"/>
  <c r="H289" i="2"/>
  <c r="M289" i="2" s="1"/>
  <c r="J289" i="2"/>
  <c r="L289" i="2"/>
  <c r="O289" i="2" s="1"/>
  <c r="F290" i="2"/>
  <c r="H290" i="2"/>
  <c r="J290" i="2"/>
  <c r="L290" i="2"/>
  <c r="M290" i="2"/>
  <c r="O290" i="2"/>
  <c r="N290" i="2" s="1"/>
  <c r="F291" i="2"/>
  <c r="H291" i="2"/>
  <c r="M291" i="2" s="1"/>
  <c r="N291" i="2" s="1"/>
  <c r="J291" i="2"/>
  <c r="L291" i="2" s="1"/>
  <c r="O291" i="2"/>
  <c r="F292" i="2"/>
  <c r="H292" i="2" s="1"/>
  <c r="M292" i="2" s="1"/>
  <c r="N292" i="2" s="1"/>
  <c r="J292" i="2"/>
  <c r="L292" i="2"/>
  <c r="O292" i="2"/>
  <c r="F293" i="2"/>
  <c r="H293" i="2"/>
  <c r="J293" i="2"/>
  <c r="L293" i="2"/>
  <c r="O293" i="2" s="1"/>
  <c r="M293" i="2"/>
  <c r="N293" i="2"/>
  <c r="F297" i="2"/>
  <c r="H297" i="2" s="1"/>
  <c r="M297" i="2" s="1"/>
  <c r="J297" i="2"/>
  <c r="L297" i="2" s="1"/>
  <c r="O297" i="2" s="1"/>
  <c r="F298" i="2"/>
  <c r="H298" i="2"/>
  <c r="J298" i="2"/>
  <c r="L298" i="2"/>
  <c r="O298" i="2" s="1"/>
  <c r="M298" i="2"/>
  <c r="N298" i="2"/>
  <c r="F299" i="2"/>
  <c r="H299" i="2"/>
  <c r="J299" i="2"/>
  <c r="L299" i="2"/>
  <c r="O299" i="2" s="1"/>
  <c r="M299" i="2"/>
  <c r="N299" i="2" s="1"/>
  <c r="F300" i="2"/>
  <c r="H300" i="2" s="1"/>
  <c r="M300" i="2" s="1"/>
  <c r="J300" i="2"/>
  <c r="L300" i="2"/>
  <c r="O300" i="2" s="1"/>
  <c r="F301" i="2"/>
  <c r="H301" i="2"/>
  <c r="J301" i="2"/>
  <c r="L301" i="2"/>
  <c r="O301" i="2" s="1"/>
  <c r="M301" i="2"/>
  <c r="N301" i="2" s="1"/>
  <c r="F302" i="2"/>
  <c r="H302" i="2"/>
  <c r="J302" i="2"/>
  <c r="L302" i="2"/>
  <c r="M302" i="2"/>
  <c r="N302" i="2" s="1"/>
  <c r="O302" i="2"/>
  <c r="F306" i="2"/>
  <c r="H306" i="2"/>
  <c r="M306" i="2" s="1"/>
  <c r="J306" i="2"/>
  <c r="L306" i="2" s="1"/>
  <c r="O306" i="2" s="1"/>
  <c r="F307" i="2"/>
  <c r="H307" i="2"/>
  <c r="J307" i="2"/>
  <c r="L307" i="2"/>
  <c r="M307" i="2"/>
  <c r="O307" i="2"/>
  <c r="N307" i="2" s="1"/>
  <c r="F308" i="2"/>
  <c r="H308" i="2" s="1"/>
  <c r="M308" i="2" s="1"/>
  <c r="N308" i="2" s="1"/>
  <c r="J308" i="2"/>
  <c r="L308" i="2"/>
  <c r="O308" i="2" s="1"/>
  <c r="F309" i="2"/>
  <c r="H309" i="2" s="1"/>
  <c r="M309" i="2" s="1"/>
  <c r="N309" i="2" s="1"/>
  <c r="J309" i="2"/>
  <c r="L309" i="2"/>
  <c r="O309" i="2"/>
  <c r="F310" i="2"/>
  <c r="H310" i="2"/>
  <c r="J310" i="2"/>
  <c r="L310" i="2"/>
  <c r="M310" i="2"/>
  <c r="O310" i="2"/>
  <c r="N310" i="2" s="1"/>
  <c r="F311" i="2"/>
  <c r="H311" i="2" s="1"/>
  <c r="J311" i="2"/>
  <c r="L311" i="2"/>
  <c r="M311" i="2"/>
  <c r="O311" i="2"/>
  <c r="N311" i="2" s="1"/>
  <c r="F315" i="2"/>
  <c r="H315" i="2"/>
  <c r="J315" i="2"/>
  <c r="L315" i="2"/>
  <c r="M315" i="2"/>
  <c r="O315" i="2"/>
  <c r="N315" i="2" s="1"/>
  <c r="F316" i="2"/>
  <c r="H316" i="2"/>
  <c r="M316" i="2" s="1"/>
  <c r="J316" i="2"/>
  <c r="L316" i="2"/>
  <c r="O316" i="2" s="1"/>
  <c r="F317" i="2"/>
  <c r="H317" i="2" s="1"/>
  <c r="M317" i="2" s="1"/>
  <c r="N317" i="2" s="1"/>
  <c r="J317" i="2"/>
  <c r="L317" i="2"/>
  <c r="O317" i="2"/>
  <c r="F318" i="2"/>
  <c r="H318" i="2"/>
  <c r="M318" i="2" s="1"/>
  <c r="J318" i="2"/>
  <c r="L318" i="2"/>
  <c r="O318" i="2" s="1"/>
  <c r="F319" i="2"/>
  <c r="H319" i="2"/>
  <c r="M319" i="2" s="1"/>
  <c r="J319" i="2"/>
  <c r="L319" i="2"/>
  <c r="O319" i="2" s="1"/>
  <c r="F320" i="2"/>
  <c r="H320" i="2"/>
  <c r="J320" i="2"/>
  <c r="L320" i="2"/>
  <c r="M320" i="2"/>
  <c r="O320" i="2"/>
  <c r="N320" i="2" s="1"/>
  <c r="F324" i="2"/>
  <c r="H324" i="2"/>
  <c r="M324" i="2" s="1"/>
  <c r="J324" i="2"/>
  <c r="L324" i="2" s="1"/>
  <c r="O324" i="2" s="1"/>
  <c r="F325" i="2"/>
  <c r="H325" i="2"/>
  <c r="J325" i="2"/>
  <c r="L325" i="2"/>
  <c r="O325" i="2" s="1"/>
  <c r="N325" i="2" s="1"/>
  <c r="M325" i="2"/>
  <c r="F326" i="2"/>
  <c r="H326" i="2" s="1"/>
  <c r="M326" i="2" s="1"/>
  <c r="J326" i="2"/>
  <c r="L326" i="2"/>
  <c r="O326" i="2"/>
  <c r="N326" i="2" s="1"/>
  <c r="F327" i="2"/>
  <c r="H327" i="2"/>
  <c r="J327" i="2"/>
  <c r="L327" i="2"/>
  <c r="M327" i="2"/>
  <c r="O327" i="2"/>
  <c r="N327" i="2" s="1"/>
  <c r="F328" i="2"/>
  <c r="H328" i="2" s="1"/>
  <c r="M328" i="2" s="1"/>
  <c r="N328" i="2" s="1"/>
  <c r="J328" i="2"/>
  <c r="L328" i="2"/>
  <c r="O328" i="2"/>
  <c r="F329" i="2"/>
  <c r="H329" i="2"/>
  <c r="J329" i="2"/>
  <c r="L329" i="2"/>
  <c r="M329" i="2"/>
  <c r="O329" i="2"/>
  <c r="N329" i="2" s="1"/>
  <c r="F333" i="2"/>
  <c r="H333" i="2"/>
  <c r="M333" i="2" s="1"/>
  <c r="N333" i="2" s="1"/>
  <c r="J333" i="2"/>
  <c r="L333" i="2"/>
  <c r="O333" i="2" s="1"/>
  <c r="F334" i="2"/>
  <c r="H334" i="2"/>
  <c r="J334" i="2"/>
  <c r="L334" i="2" s="1"/>
  <c r="O334" i="2" s="1"/>
  <c r="N334" i="2" s="1"/>
  <c r="M334" i="2"/>
  <c r="F335" i="2"/>
  <c r="H335" i="2"/>
  <c r="J335" i="2"/>
  <c r="L335" i="2"/>
  <c r="M335" i="2"/>
  <c r="O335" i="2"/>
  <c r="N335" i="2" s="1"/>
  <c r="F336" i="2"/>
  <c r="H336" i="2" s="1"/>
  <c r="M336" i="2" s="1"/>
  <c r="N336" i="2" s="1"/>
  <c r="J336" i="2"/>
  <c r="L336" i="2"/>
  <c r="O336" i="2" s="1"/>
  <c r="F337" i="2"/>
  <c r="H337" i="2"/>
  <c r="J337" i="2"/>
  <c r="L337" i="2"/>
  <c r="M337" i="2"/>
  <c r="N337" i="2"/>
  <c r="O337" i="2"/>
  <c r="F338" i="2"/>
  <c r="H338" i="2"/>
  <c r="M338" i="2" s="1"/>
  <c r="J338" i="2"/>
  <c r="L338" i="2" s="1"/>
  <c r="O338" i="2"/>
  <c r="F342" i="2"/>
  <c r="H342" i="2"/>
  <c r="M342" i="2" s="1"/>
  <c r="J342" i="2"/>
  <c r="L342" i="2"/>
  <c r="O342" i="2" s="1"/>
  <c r="F343" i="2"/>
  <c r="H343" i="2"/>
  <c r="J343" i="2"/>
  <c r="L343" i="2"/>
  <c r="M343" i="2"/>
  <c r="O343" i="2"/>
  <c r="N343" i="2" s="1"/>
  <c r="F344" i="2"/>
  <c r="H344" i="2" s="1"/>
  <c r="M344" i="2" s="1"/>
  <c r="J344" i="2"/>
  <c r="L344" i="2" s="1"/>
  <c r="O344" i="2" s="1"/>
  <c r="F345" i="2"/>
  <c r="H345" i="2" s="1"/>
  <c r="M345" i="2" s="1"/>
  <c r="N345" i="2" s="1"/>
  <c r="J345" i="2"/>
  <c r="L345" i="2"/>
  <c r="O345" i="2" s="1"/>
  <c r="F346" i="2"/>
  <c r="H346" i="2"/>
  <c r="J346" i="2"/>
  <c r="L346" i="2"/>
  <c r="M346" i="2"/>
  <c r="O346" i="2"/>
  <c r="N346" i="2" s="1"/>
  <c r="F347" i="2"/>
  <c r="H347" i="2"/>
  <c r="M347" i="2" s="1"/>
  <c r="J347" i="2"/>
  <c r="L347" i="2" s="1"/>
  <c r="O347" i="2" s="1"/>
  <c r="F351" i="2"/>
  <c r="H351" i="2" s="1"/>
  <c r="M351" i="2" s="1"/>
  <c r="N351" i="2" s="1"/>
  <c r="J351" i="2"/>
  <c r="L351" i="2"/>
  <c r="O351" i="2" s="1"/>
  <c r="F352" i="2"/>
  <c r="H352" i="2"/>
  <c r="J352" i="2"/>
  <c r="L352" i="2"/>
  <c r="M352" i="2"/>
  <c r="O352" i="2"/>
  <c r="N352" i="2" s="1"/>
  <c r="F353" i="2"/>
  <c r="H353" i="2" s="1"/>
  <c r="M353" i="2" s="1"/>
  <c r="N353" i="2" s="1"/>
  <c r="J353" i="2"/>
  <c r="L353" i="2" s="1"/>
  <c r="O353" i="2" s="1"/>
  <c r="F354" i="2"/>
  <c r="H354" i="2"/>
  <c r="J354" i="2"/>
  <c r="L354" i="2"/>
  <c r="M354" i="2"/>
  <c r="O354" i="2"/>
  <c r="N354" i="2" s="1"/>
  <c r="F355" i="2"/>
  <c r="H355" i="2"/>
  <c r="J355" i="2"/>
  <c r="L355" i="2"/>
  <c r="M355" i="2"/>
  <c r="O355" i="2"/>
  <c r="N355" i="2" s="1"/>
  <c r="F356" i="2"/>
  <c r="H356" i="2" s="1"/>
  <c r="M356" i="2" s="1"/>
  <c r="N356" i="2" s="1"/>
  <c r="J356" i="2"/>
  <c r="L356" i="2"/>
  <c r="O356" i="2"/>
  <c r="F360" i="2"/>
  <c r="H360" i="2"/>
  <c r="J360" i="2"/>
  <c r="L360" i="2"/>
  <c r="M360" i="2"/>
  <c r="O360" i="2"/>
  <c r="N360" i="2" s="1"/>
  <c r="F361" i="2"/>
  <c r="H361" i="2" s="1"/>
  <c r="J361" i="2"/>
  <c r="L361" i="2"/>
  <c r="M361" i="2"/>
  <c r="N361" i="2" s="1"/>
  <c r="O361" i="2"/>
  <c r="F362" i="2"/>
  <c r="H362" i="2"/>
  <c r="J362" i="2"/>
  <c r="L362" i="2"/>
  <c r="M362" i="2"/>
  <c r="O362" i="2"/>
  <c r="N362" i="2" s="1"/>
  <c r="F363" i="2"/>
  <c r="H363" i="2"/>
  <c r="J363" i="2"/>
  <c r="L363" i="2"/>
  <c r="O363" i="2" s="1"/>
  <c r="M363" i="2"/>
  <c r="N363" i="2"/>
  <c r="F364" i="2"/>
  <c r="H364" i="2" s="1"/>
  <c r="M364" i="2" s="1"/>
  <c r="N364" i="2" s="1"/>
  <c r="J364" i="2"/>
  <c r="L364" i="2"/>
  <c r="O364" i="2"/>
  <c r="F365" i="2"/>
  <c r="H365" i="2" s="1"/>
  <c r="M365" i="2" s="1"/>
  <c r="N365" i="2" s="1"/>
  <c r="J365" i="2"/>
  <c r="L365" i="2"/>
  <c r="O365" i="2" s="1"/>
  <c r="N242" i="4" l="1"/>
  <c r="N250" i="4"/>
  <c r="N78" i="4"/>
  <c r="N305" i="4"/>
  <c r="N90" i="4"/>
  <c r="N146" i="4"/>
  <c r="N83" i="4"/>
  <c r="N189" i="4"/>
  <c r="N109" i="4"/>
  <c r="N154" i="4"/>
  <c r="N64" i="4"/>
  <c r="N117" i="4"/>
  <c r="N45" i="4"/>
  <c r="N299" i="4"/>
  <c r="N125" i="4"/>
  <c r="N35" i="4"/>
  <c r="N133" i="4"/>
  <c r="N350" i="4"/>
  <c r="N315" i="4"/>
  <c r="N236" i="4"/>
  <c r="N152" i="4"/>
  <c r="N62" i="4"/>
  <c r="N70" i="4"/>
  <c r="N141" i="4"/>
  <c r="N51" i="4"/>
  <c r="N199" i="4"/>
  <c r="N119" i="4"/>
  <c r="N72" i="4"/>
  <c r="N207" i="4"/>
  <c r="N10" i="4"/>
  <c r="N92" i="4"/>
  <c r="N251" i="4"/>
  <c r="N335" i="4"/>
  <c r="N288" i="4"/>
  <c r="N300" i="4"/>
  <c r="N204" i="4"/>
  <c r="N60" i="4"/>
  <c r="N142" i="4"/>
  <c r="N307" i="3"/>
  <c r="N274" i="3"/>
  <c r="N280" i="3"/>
  <c r="N159" i="3"/>
  <c r="N315" i="3"/>
  <c r="N78" i="3"/>
  <c r="N40" i="3"/>
  <c r="N55" i="3"/>
  <c r="N395" i="3"/>
  <c r="N489" i="3"/>
  <c r="N416" i="3"/>
  <c r="N132" i="3"/>
  <c r="N39" i="3"/>
  <c r="N306" i="3"/>
  <c r="N286" i="3"/>
  <c r="N138" i="3"/>
  <c r="N449" i="3"/>
  <c r="N502" i="3"/>
  <c r="N251" i="3"/>
  <c r="N197" i="3"/>
  <c r="N458" i="3"/>
  <c r="N146" i="3"/>
  <c r="N234" i="3"/>
  <c r="N403" i="3"/>
  <c r="N332" i="3"/>
  <c r="N289" i="3"/>
  <c r="N494" i="3"/>
  <c r="N135" i="3"/>
  <c r="N418" i="3"/>
  <c r="N96" i="3"/>
  <c r="N41" i="3"/>
  <c r="N340" i="3"/>
  <c r="N239" i="3"/>
  <c r="N105" i="3"/>
  <c r="N272" i="3"/>
  <c r="N31" i="3"/>
  <c r="N149" i="3"/>
  <c r="N95" i="3"/>
  <c r="N137" i="3"/>
  <c r="N481" i="3"/>
  <c r="N184" i="3"/>
  <c r="N457" i="3"/>
  <c r="N235" i="3"/>
  <c r="N98" i="3"/>
  <c r="N350" i="3"/>
  <c r="N259" i="3"/>
  <c r="N428" i="3"/>
  <c r="N277" i="3"/>
  <c r="N16" i="3"/>
  <c r="N317" i="3"/>
  <c r="N134" i="3"/>
  <c r="N480" i="3"/>
  <c r="N285" i="3"/>
  <c r="N236" i="3"/>
  <c r="N325" i="3"/>
  <c r="N142" i="3"/>
  <c r="N93" i="3"/>
  <c r="N29" i="3"/>
  <c r="N147" i="3"/>
  <c r="N241" i="3"/>
  <c r="N359" i="3"/>
  <c r="N53" i="3"/>
  <c r="N202" i="3"/>
  <c r="N224" i="3"/>
  <c r="N175" i="3"/>
  <c r="N58" i="3"/>
  <c r="N62" i="2"/>
  <c r="N347" i="2"/>
  <c r="N119" i="2"/>
  <c r="N257" i="2"/>
  <c r="N136" i="2"/>
  <c r="N48" i="2"/>
  <c r="N192" i="2"/>
  <c r="N271" i="2"/>
  <c r="N319" i="2"/>
  <c r="N261" i="2"/>
  <c r="N338" i="2"/>
  <c r="N53" i="2"/>
  <c r="N82" i="2"/>
  <c r="N342" i="2"/>
  <c r="N300" i="2"/>
  <c r="N288" i="2"/>
  <c r="N139" i="2"/>
  <c r="N74" i="2"/>
  <c r="N266" i="2"/>
  <c r="N246" i="2"/>
  <c r="N316" i="2"/>
  <c r="N274" i="2"/>
  <c r="N176" i="2"/>
  <c r="N127" i="2"/>
  <c r="N57" i="2"/>
  <c r="N344" i="2"/>
  <c r="N283" i="2"/>
  <c r="N89" i="2"/>
  <c r="N137" i="2"/>
  <c r="N36" i="2"/>
  <c r="N263" i="2"/>
  <c r="N324" i="2"/>
  <c r="N156" i="2"/>
  <c r="N85" i="2"/>
  <c r="N239" i="2"/>
  <c r="N94" i="2"/>
  <c r="N65" i="2"/>
  <c r="N112" i="2"/>
  <c r="N147" i="2"/>
  <c r="N130" i="2"/>
  <c r="N56" i="2"/>
  <c r="N318" i="2"/>
  <c r="N194" i="2"/>
  <c r="N98" i="2"/>
  <c r="N21" i="2"/>
  <c r="N180" i="2"/>
  <c r="N200" i="2"/>
  <c r="N256" i="2"/>
  <c r="N289" i="2"/>
  <c r="N247" i="2"/>
  <c r="N174" i="2"/>
  <c r="N135" i="2"/>
  <c r="N306" i="2"/>
  <c r="N100" i="2"/>
  <c r="N83" i="2"/>
  <c r="N297" i="2"/>
</calcChain>
</file>

<file path=xl/sharedStrings.xml><?xml version="1.0" encoding="utf-8"?>
<sst xmlns="http://schemas.openxmlformats.org/spreadsheetml/2006/main" count="4665" uniqueCount="519">
  <si>
    <t>Sandy clay loam</t>
  </si>
  <si>
    <t>mNorth</t>
  </si>
  <si>
    <t>mEast</t>
  </si>
  <si>
    <t>Location:</t>
  </si>
  <si>
    <t>Soil Texture Class</t>
  </si>
  <si>
    <t>% Clay</t>
  </si>
  <si>
    <t>% Silt</t>
  </si>
  <si>
    <t>% Sand</t>
  </si>
  <si>
    <t>Adjusted    2hr. Hydrom.   Reading</t>
  </si>
  <si>
    <t>2hr. Hydrom. Reading</t>
  </si>
  <si>
    <t>2hr.    Temp. (Farenheit)</t>
  </si>
  <si>
    <t>2hr. Temp. (Celcius)</t>
  </si>
  <si>
    <t>Adjusted      40 sec Hydrom. Reading</t>
  </si>
  <si>
    <t>40 sec. Hydrom. Reading</t>
  </si>
  <si>
    <t>40 sec. Farenheit</t>
  </si>
  <si>
    <t>40 sec. Celcius</t>
  </si>
  <si>
    <t>Vol. (mL) (NaPO3)6</t>
  </si>
  <si>
    <t>Soil   Weight gm</t>
  </si>
  <si>
    <t>DEPTH</t>
  </si>
  <si>
    <t>Sample</t>
  </si>
  <si>
    <t>Sandy loam</t>
  </si>
  <si>
    <t>Sandy clay</t>
  </si>
  <si>
    <t xml:space="preserve">Sandy clay </t>
  </si>
  <si>
    <t>Clay loam</t>
  </si>
  <si>
    <t>F11148F</t>
  </si>
  <si>
    <t>F11148E</t>
  </si>
  <si>
    <t>F11148D</t>
  </si>
  <si>
    <t>F11148C</t>
  </si>
  <si>
    <t>F11148B</t>
  </si>
  <si>
    <t>F11148A</t>
  </si>
  <si>
    <t>F11147F</t>
  </si>
  <si>
    <t>F11147E</t>
  </si>
  <si>
    <t>F11147D</t>
  </si>
  <si>
    <t>F11147C</t>
  </si>
  <si>
    <t>F11147B</t>
  </si>
  <si>
    <t>F11147A</t>
  </si>
  <si>
    <t>F11146F</t>
  </si>
  <si>
    <t>F11146E</t>
  </si>
  <si>
    <t>F11146D</t>
  </si>
  <si>
    <t>F11146C</t>
  </si>
  <si>
    <t>F11146B</t>
  </si>
  <si>
    <t>F11146A</t>
  </si>
  <si>
    <t>F11145F</t>
  </si>
  <si>
    <t>F11145E</t>
  </si>
  <si>
    <t>F11145D</t>
  </si>
  <si>
    <t>F11145C</t>
  </si>
  <si>
    <t>F11145B</t>
  </si>
  <si>
    <t>F11145A</t>
  </si>
  <si>
    <t>F11144F</t>
  </si>
  <si>
    <t>F11144E</t>
  </si>
  <si>
    <t>F11144D</t>
  </si>
  <si>
    <t>F11144C</t>
  </si>
  <si>
    <t>F11144B</t>
  </si>
  <si>
    <t>F11144A</t>
  </si>
  <si>
    <t>F11143F</t>
  </si>
  <si>
    <t>F11143E</t>
  </si>
  <si>
    <t>F11143D</t>
  </si>
  <si>
    <t>F11143C</t>
  </si>
  <si>
    <t>F11143B</t>
  </si>
  <si>
    <t>F11143A</t>
  </si>
  <si>
    <t>F11142F</t>
  </si>
  <si>
    <t>F11142E</t>
  </si>
  <si>
    <t>F11142D</t>
  </si>
  <si>
    <t>F11142C</t>
  </si>
  <si>
    <t>F11142B</t>
  </si>
  <si>
    <t>F11142A</t>
  </si>
  <si>
    <t>F11141F</t>
  </si>
  <si>
    <t>F11141E</t>
  </si>
  <si>
    <t>F11141D</t>
  </si>
  <si>
    <t>F11141C</t>
  </si>
  <si>
    <t>F11141B</t>
  </si>
  <si>
    <t>F11141A</t>
  </si>
  <si>
    <t>F11138F</t>
  </si>
  <si>
    <t>F11138E</t>
  </si>
  <si>
    <t>F11138D</t>
  </si>
  <si>
    <t>F11138C</t>
  </si>
  <si>
    <t>F11138B</t>
  </si>
  <si>
    <t>F11138A</t>
  </si>
  <si>
    <t>F11137F</t>
  </si>
  <si>
    <t>F11137E</t>
  </si>
  <si>
    <t>F11137D</t>
  </si>
  <si>
    <t>F11137C</t>
  </si>
  <si>
    <t>F11137B</t>
  </si>
  <si>
    <t>F11137A</t>
  </si>
  <si>
    <t>F11136F</t>
  </si>
  <si>
    <t>F11136E</t>
  </si>
  <si>
    <t>F11136D</t>
  </si>
  <si>
    <t>F11136C</t>
  </si>
  <si>
    <t>F11136B</t>
  </si>
  <si>
    <t>F11136A</t>
  </si>
  <si>
    <t>F11135F</t>
  </si>
  <si>
    <t>F11135E</t>
  </si>
  <si>
    <t>F11135D</t>
  </si>
  <si>
    <t>F11135C</t>
  </si>
  <si>
    <t>clay loam</t>
  </si>
  <si>
    <t>F11135B</t>
  </si>
  <si>
    <t>F11135A</t>
  </si>
  <si>
    <t>F11134F</t>
  </si>
  <si>
    <t>F11134E</t>
  </si>
  <si>
    <t>F11134D</t>
  </si>
  <si>
    <t>F11134C</t>
  </si>
  <si>
    <t>F11134B</t>
  </si>
  <si>
    <t>F11134A</t>
  </si>
  <si>
    <t>F11133F</t>
  </si>
  <si>
    <t>F11133E</t>
  </si>
  <si>
    <t>F11133D</t>
  </si>
  <si>
    <t>F11133C</t>
  </si>
  <si>
    <t>F11133B</t>
  </si>
  <si>
    <t>F11133A</t>
  </si>
  <si>
    <t>F11132F</t>
  </si>
  <si>
    <t>F11132E</t>
  </si>
  <si>
    <t>F11132D</t>
  </si>
  <si>
    <t>F11132C</t>
  </si>
  <si>
    <t>F11132B</t>
  </si>
  <si>
    <t>F11132A</t>
  </si>
  <si>
    <t>F11131F</t>
  </si>
  <si>
    <t>F11131E</t>
  </si>
  <si>
    <t>F11131D</t>
  </si>
  <si>
    <t>F11131C</t>
  </si>
  <si>
    <t>F11131B</t>
  </si>
  <si>
    <t>F11131A</t>
  </si>
  <si>
    <t>F11128F</t>
  </si>
  <si>
    <t>F11128E</t>
  </si>
  <si>
    <t>F11128D</t>
  </si>
  <si>
    <t>F11128C</t>
  </si>
  <si>
    <t>F11128B</t>
  </si>
  <si>
    <t>F11128A</t>
  </si>
  <si>
    <t>F11127F</t>
  </si>
  <si>
    <t>F11127E</t>
  </si>
  <si>
    <t>F11127D</t>
  </si>
  <si>
    <t>F11127C</t>
  </si>
  <si>
    <t>F11127B</t>
  </si>
  <si>
    <t>F11127A</t>
  </si>
  <si>
    <t>F11126F</t>
  </si>
  <si>
    <t>F11126E</t>
  </si>
  <si>
    <t>F11126D</t>
  </si>
  <si>
    <t>F11126C</t>
  </si>
  <si>
    <t>F11126B</t>
  </si>
  <si>
    <t>F11126A</t>
  </si>
  <si>
    <t>F11125F</t>
  </si>
  <si>
    <t>F11125E</t>
  </si>
  <si>
    <t>F11125D</t>
  </si>
  <si>
    <t>F11125C</t>
  </si>
  <si>
    <t>F11125B</t>
  </si>
  <si>
    <t>F11125A</t>
  </si>
  <si>
    <t>F11124F</t>
  </si>
  <si>
    <t>F11124E</t>
  </si>
  <si>
    <t>F11124D</t>
  </si>
  <si>
    <t>F11124C</t>
  </si>
  <si>
    <t>F11124B</t>
  </si>
  <si>
    <t>F11124A</t>
  </si>
  <si>
    <t>F11123F</t>
  </si>
  <si>
    <t>F11123E</t>
  </si>
  <si>
    <t>F11123D</t>
  </si>
  <si>
    <t>F11123C</t>
  </si>
  <si>
    <t>F11123B</t>
  </si>
  <si>
    <t>F11123A</t>
  </si>
  <si>
    <t>F11122F</t>
  </si>
  <si>
    <t>F11122E</t>
  </si>
  <si>
    <t>F11122D</t>
  </si>
  <si>
    <t>F11122C</t>
  </si>
  <si>
    <t>F11122B</t>
  </si>
  <si>
    <t>F11122A</t>
  </si>
  <si>
    <t>F11121F</t>
  </si>
  <si>
    <t>F11121E</t>
  </si>
  <si>
    <t>F11121D</t>
  </si>
  <si>
    <t>F11121C</t>
  </si>
  <si>
    <t>F11121B</t>
  </si>
  <si>
    <t>F11121A</t>
  </si>
  <si>
    <t>F11118F</t>
  </si>
  <si>
    <t>F11118E</t>
  </si>
  <si>
    <t>F11118D</t>
  </si>
  <si>
    <t>F11118C</t>
  </si>
  <si>
    <t>F11118B</t>
  </si>
  <si>
    <t>F11118A</t>
  </si>
  <si>
    <t>F11117F</t>
  </si>
  <si>
    <t>F11117E</t>
  </si>
  <si>
    <t>F11117D</t>
  </si>
  <si>
    <t>F11117C</t>
  </si>
  <si>
    <t>F11117B</t>
  </si>
  <si>
    <t>F11117A</t>
  </si>
  <si>
    <t>F11116F</t>
  </si>
  <si>
    <t>F11116E</t>
  </si>
  <si>
    <t>F11116D</t>
  </si>
  <si>
    <t>F11116C</t>
  </si>
  <si>
    <t>F11116B</t>
  </si>
  <si>
    <t>F11116A</t>
  </si>
  <si>
    <t>F11115F</t>
  </si>
  <si>
    <t>F11115E</t>
  </si>
  <si>
    <t>F11115D</t>
  </si>
  <si>
    <t>F11115C</t>
  </si>
  <si>
    <t>F11115B</t>
  </si>
  <si>
    <t>F11115A</t>
  </si>
  <si>
    <t>F11114F</t>
  </si>
  <si>
    <t>F11114E</t>
  </si>
  <si>
    <t>F11114D</t>
  </si>
  <si>
    <t>F11114C</t>
  </si>
  <si>
    <t>F11114B</t>
  </si>
  <si>
    <t>F11114A</t>
  </si>
  <si>
    <t>F11113F</t>
  </si>
  <si>
    <t>F11113E</t>
  </si>
  <si>
    <t>F11113D</t>
  </si>
  <si>
    <t>F11113C</t>
  </si>
  <si>
    <t>F11113B</t>
  </si>
  <si>
    <t>F11113A</t>
  </si>
  <si>
    <t>F11112F</t>
  </si>
  <si>
    <t>F11112E</t>
  </si>
  <si>
    <t>F11112D</t>
  </si>
  <si>
    <t>F11112C</t>
  </si>
  <si>
    <t>F11112B</t>
  </si>
  <si>
    <t>F11112A</t>
  </si>
  <si>
    <t>F11111F</t>
  </si>
  <si>
    <t>F11111E</t>
  </si>
  <si>
    <t>F11111D</t>
  </si>
  <si>
    <t>F11111C</t>
  </si>
  <si>
    <t>F11111B</t>
  </si>
  <si>
    <t>F11111A</t>
  </si>
  <si>
    <t>F11108F</t>
  </si>
  <si>
    <t>F11108E</t>
  </si>
  <si>
    <t>F11108D</t>
  </si>
  <si>
    <t>F11108C</t>
  </si>
  <si>
    <t>F11108B</t>
  </si>
  <si>
    <t>F11108A</t>
  </si>
  <si>
    <t>F11107F</t>
  </si>
  <si>
    <t>F11107E</t>
  </si>
  <si>
    <t>F11107D</t>
  </si>
  <si>
    <t>F11107C</t>
  </si>
  <si>
    <t>F11107B</t>
  </si>
  <si>
    <t>F11107A</t>
  </si>
  <si>
    <t>F11106F</t>
  </si>
  <si>
    <t>F11106E</t>
  </si>
  <si>
    <t>F11106D</t>
  </si>
  <si>
    <t>WET PLOT</t>
  </si>
  <si>
    <t>F11106C</t>
  </si>
  <si>
    <t>F11106B</t>
  </si>
  <si>
    <t>F11106A</t>
  </si>
  <si>
    <t>F11105F</t>
  </si>
  <si>
    <t>F11105E</t>
  </si>
  <si>
    <t>F11105D</t>
  </si>
  <si>
    <t>F11105C</t>
  </si>
  <si>
    <t>F11105B</t>
  </si>
  <si>
    <t>F11105A</t>
  </si>
  <si>
    <t>F11104F</t>
  </si>
  <si>
    <t>F11104E</t>
  </si>
  <si>
    <t>F11104D</t>
  </si>
  <si>
    <t>F11104C</t>
  </si>
  <si>
    <t>F11104B</t>
  </si>
  <si>
    <t>F11104A</t>
  </si>
  <si>
    <t>F11102F</t>
  </si>
  <si>
    <t>F11102E</t>
  </si>
  <si>
    <t>DRY PLOT</t>
  </si>
  <si>
    <t>F11102D</t>
  </si>
  <si>
    <t>F11102C</t>
  </si>
  <si>
    <t>F11102B</t>
  </si>
  <si>
    <t>F11102A</t>
  </si>
  <si>
    <t>no units</t>
  </si>
  <si>
    <t>cm/day</t>
  </si>
  <si>
    <t>1/cm</t>
  </si>
  <si>
    <t>cm3/cm3</t>
  </si>
  <si>
    <t>L</t>
  </si>
  <si>
    <t>Ko</t>
  </si>
  <si>
    <t>Ks</t>
  </si>
  <si>
    <t>N</t>
  </si>
  <si>
    <t>Alpha</t>
  </si>
  <si>
    <t>Theta_s</t>
  </si>
  <si>
    <t>Theta_r</t>
  </si>
  <si>
    <t>Description</t>
  </si>
  <si>
    <t>Code</t>
  </si>
  <si>
    <t>Rosetta Info</t>
  </si>
  <si>
    <t>Powers</t>
  </si>
  <si>
    <t>Processed by:</t>
  </si>
  <si>
    <t>Camelina 06-07</t>
  </si>
  <si>
    <t>Experiment Info:</t>
  </si>
  <si>
    <t xml:space="preserve">Soil Texture </t>
  </si>
  <si>
    <t>Clay</t>
  </si>
  <si>
    <t>F11148K</t>
  </si>
  <si>
    <t>F11148J</t>
  </si>
  <si>
    <t>F11148H</t>
  </si>
  <si>
    <t>F11148G</t>
  </si>
  <si>
    <t>F11147K</t>
  </si>
  <si>
    <t>F11147J</t>
  </si>
  <si>
    <t>F11147H</t>
  </si>
  <si>
    <t>F11147G</t>
  </si>
  <si>
    <t>F11146K</t>
  </si>
  <si>
    <t>F11146J</t>
  </si>
  <si>
    <t>F11146H</t>
  </si>
  <si>
    <t>F11146G</t>
  </si>
  <si>
    <t>F11145K</t>
  </si>
  <si>
    <t>F11145J</t>
  </si>
  <si>
    <t>F11145H</t>
  </si>
  <si>
    <t>F11145G</t>
  </si>
  <si>
    <t>F11144K</t>
  </si>
  <si>
    <t>F11144J</t>
  </si>
  <si>
    <t>F11144H</t>
  </si>
  <si>
    <t>F11144G</t>
  </si>
  <si>
    <t>F11143K</t>
  </si>
  <si>
    <t>F11143J</t>
  </si>
  <si>
    <t>F11143H</t>
  </si>
  <si>
    <t>F11143G</t>
  </si>
  <si>
    <t>F11142K</t>
  </si>
  <si>
    <t>F11142J</t>
  </si>
  <si>
    <t>F11142H</t>
  </si>
  <si>
    <t>F11142G</t>
  </si>
  <si>
    <t>F11141J</t>
  </si>
  <si>
    <t>F11141H</t>
  </si>
  <si>
    <t>F11141G</t>
  </si>
  <si>
    <t>F11138K</t>
  </si>
  <si>
    <t>F11138J</t>
  </si>
  <si>
    <t>F11138H</t>
  </si>
  <si>
    <t>F11138G</t>
  </si>
  <si>
    <t>F11137K</t>
  </si>
  <si>
    <t>F11137J</t>
  </si>
  <si>
    <t>F11137H</t>
  </si>
  <si>
    <t>F11137G</t>
  </si>
  <si>
    <t>F11136K</t>
  </si>
  <si>
    <t>F11136J</t>
  </si>
  <si>
    <t>F11136H</t>
  </si>
  <si>
    <t>F11136G</t>
  </si>
  <si>
    <t>F11135K</t>
  </si>
  <si>
    <t>F11135J</t>
  </si>
  <si>
    <t>F11135H</t>
  </si>
  <si>
    <t>F11135G</t>
  </si>
  <si>
    <t>F11134K</t>
  </si>
  <si>
    <t>F11134J</t>
  </si>
  <si>
    <t>F11134H</t>
  </si>
  <si>
    <t>F11134G</t>
  </si>
  <si>
    <t>F11133K</t>
  </si>
  <si>
    <t>F11133J</t>
  </si>
  <si>
    <t>F11133H</t>
  </si>
  <si>
    <t>F11133G</t>
  </si>
  <si>
    <t>F11132K</t>
  </si>
  <si>
    <t>F11132J</t>
  </si>
  <si>
    <t>F11132H</t>
  </si>
  <si>
    <t>F11132G</t>
  </si>
  <si>
    <t>F11131K</t>
  </si>
  <si>
    <t>F11131J</t>
  </si>
  <si>
    <t>F11131H</t>
  </si>
  <si>
    <t>F11131G</t>
  </si>
  <si>
    <t>F11128K</t>
  </si>
  <si>
    <t>F11128J</t>
  </si>
  <si>
    <t>F11128H</t>
  </si>
  <si>
    <t>F11128G</t>
  </si>
  <si>
    <t>F11127K</t>
  </si>
  <si>
    <t>F11127J</t>
  </si>
  <si>
    <t>F11127H</t>
  </si>
  <si>
    <t>F11127G</t>
  </si>
  <si>
    <t>F11126K</t>
  </si>
  <si>
    <t>F11126J</t>
  </si>
  <si>
    <t>F11126H</t>
  </si>
  <si>
    <t>F11126G</t>
  </si>
  <si>
    <t>F11125K</t>
  </si>
  <si>
    <t>F11125J</t>
  </si>
  <si>
    <t>F11125H</t>
  </si>
  <si>
    <t>F11125G</t>
  </si>
  <si>
    <t>F11124K</t>
  </si>
  <si>
    <t>F11124J</t>
  </si>
  <si>
    <t>F11124H</t>
  </si>
  <si>
    <t>F11124G</t>
  </si>
  <si>
    <t>F11123K</t>
  </si>
  <si>
    <t>F11123J</t>
  </si>
  <si>
    <t>F11123H</t>
  </si>
  <si>
    <t>F11123G</t>
  </si>
  <si>
    <t>F11122K</t>
  </si>
  <si>
    <t>F11122J</t>
  </si>
  <si>
    <t>F11122H</t>
  </si>
  <si>
    <t>F11122G</t>
  </si>
  <si>
    <t>F11121J</t>
  </si>
  <si>
    <t>F11121H</t>
  </si>
  <si>
    <t>F11121G</t>
  </si>
  <si>
    <t>F11118K</t>
  </si>
  <si>
    <t>F11118J</t>
  </si>
  <si>
    <t>F11118H</t>
  </si>
  <si>
    <t>F11118G</t>
  </si>
  <si>
    <t>F11117J</t>
  </si>
  <si>
    <t>F11117H</t>
  </si>
  <si>
    <t>F11117G</t>
  </si>
  <si>
    <t>F11116K</t>
  </si>
  <si>
    <t>F11116J</t>
  </si>
  <si>
    <t>F11116H</t>
  </si>
  <si>
    <t>F11116G</t>
  </si>
  <si>
    <t>F11115K</t>
  </si>
  <si>
    <t>F11115J</t>
  </si>
  <si>
    <t>F11115H</t>
  </si>
  <si>
    <t>F11115G</t>
  </si>
  <si>
    <t>F11113K</t>
  </si>
  <si>
    <t>F11113J</t>
  </si>
  <si>
    <t>F11113H</t>
  </si>
  <si>
    <t>F11113G</t>
  </si>
  <si>
    <t>F11112K</t>
  </si>
  <si>
    <t>F11112J</t>
  </si>
  <si>
    <t>F11112H</t>
  </si>
  <si>
    <t>F11112G</t>
  </si>
  <si>
    <t>F11111K</t>
  </si>
  <si>
    <t>F11111J</t>
  </si>
  <si>
    <t>F11111H</t>
  </si>
  <si>
    <t>F11111G</t>
  </si>
  <si>
    <t>F11110K</t>
  </si>
  <si>
    <t>F11110J</t>
  </si>
  <si>
    <t>F11110H</t>
  </si>
  <si>
    <t>F11110G</t>
  </si>
  <si>
    <t>F11110F</t>
  </si>
  <si>
    <t>F11110E</t>
  </si>
  <si>
    <t>F11110D</t>
  </si>
  <si>
    <t>F11110C</t>
  </si>
  <si>
    <t>F11110B</t>
  </si>
  <si>
    <t>F11110A</t>
  </si>
  <si>
    <t>F11108K</t>
  </si>
  <si>
    <t>F11108J</t>
  </si>
  <si>
    <t>F11108H</t>
  </si>
  <si>
    <t>F11107H</t>
  </si>
  <si>
    <t>F11107G</t>
  </si>
  <si>
    <t>F11106H</t>
  </si>
  <si>
    <t>F11106G</t>
  </si>
  <si>
    <t>F11105K</t>
  </si>
  <si>
    <t>F11105J</t>
  </si>
  <si>
    <t>F11105H</t>
  </si>
  <si>
    <t>F11105G</t>
  </si>
  <si>
    <t>F11104K</t>
  </si>
  <si>
    <t>F11104J</t>
  </si>
  <si>
    <t>F11104H</t>
  </si>
  <si>
    <t>F11104G</t>
  </si>
  <si>
    <t>F11102J</t>
  </si>
  <si>
    <t>F11102H</t>
  </si>
  <si>
    <t>F11102G</t>
  </si>
  <si>
    <t>Cotton 07</t>
  </si>
  <si>
    <t>3659259.76822418</t>
  </si>
  <si>
    <t>409104.602761061</t>
  </si>
  <si>
    <t>Sandy Clay Loam</t>
  </si>
  <si>
    <r>
      <t>150-</t>
    </r>
    <r>
      <rPr>
        <b/>
        <sz val="10"/>
        <rFont val="Arial"/>
        <family val="2"/>
      </rPr>
      <t>180</t>
    </r>
  </si>
  <si>
    <t>Sandy Loam</t>
  </si>
  <si>
    <r>
      <t>120-</t>
    </r>
    <r>
      <rPr>
        <b/>
        <sz val="10"/>
        <rFont val="Arial"/>
        <family val="2"/>
      </rPr>
      <t>150</t>
    </r>
  </si>
  <si>
    <r>
      <t>90-</t>
    </r>
    <r>
      <rPr>
        <b/>
        <sz val="10"/>
        <rFont val="Arial"/>
        <family val="2"/>
      </rPr>
      <t>120</t>
    </r>
  </si>
  <si>
    <r>
      <t>60-</t>
    </r>
    <r>
      <rPr>
        <b/>
        <sz val="10"/>
        <rFont val="Arial"/>
        <family val="2"/>
      </rPr>
      <t>90</t>
    </r>
  </si>
  <si>
    <r>
      <t>30-</t>
    </r>
    <r>
      <rPr>
        <b/>
        <sz val="10"/>
        <rFont val="Arial"/>
        <family val="2"/>
      </rPr>
      <t>60</t>
    </r>
  </si>
  <si>
    <t>Date</t>
  </si>
  <si>
    <r>
      <t>0-</t>
    </r>
    <r>
      <rPr>
        <b/>
        <sz val="10"/>
        <rFont val="Arial"/>
        <family val="2"/>
      </rPr>
      <t>30</t>
    </r>
  </si>
  <si>
    <t>N/A</t>
  </si>
  <si>
    <t>Adjusted    2hr Hydrometer   Reading</t>
  </si>
  <si>
    <t>2hr Hydrometer Reading</t>
  </si>
  <si>
    <t>2hr    Temp Farenheit</t>
  </si>
  <si>
    <t>2hr Temp Celcius</t>
  </si>
  <si>
    <t>Adjusted      40 sec Hydrometer Reading</t>
  </si>
  <si>
    <t>40 sec Hydrometer Reading</t>
  </si>
  <si>
    <t>Depth</t>
  </si>
  <si>
    <t>3659259.97850446</t>
  </si>
  <si>
    <t>409092.640172514</t>
  </si>
  <si>
    <t>3659260.13587441</t>
  </si>
  <si>
    <t>409080.206200852</t>
  </si>
  <si>
    <t>3659260.48362972</t>
  </si>
  <si>
    <t>409067.863201532</t>
  </si>
  <si>
    <t>Sandy  Clay Loam</t>
  </si>
  <si>
    <t>3659260.75857152</t>
  </si>
  <si>
    <t>409055.905483931</t>
  </si>
  <si>
    <t>Sandy Clay  Loam</t>
  </si>
  <si>
    <t>409043.826002556</t>
  </si>
  <si>
    <t>3659261.32417592</t>
  </si>
  <si>
    <t>409031.100384068</t>
  </si>
  <si>
    <t>3659261.53693162</t>
  </si>
  <si>
    <t>409022.238629539</t>
  </si>
  <si>
    <t>3659278.82724744</t>
  </si>
  <si>
    <t>409104.415157683</t>
  </si>
  <si>
    <t>409092.680278389</t>
  </si>
  <si>
    <t>3659279.29361793</t>
  </si>
  <si>
    <t>409080.254606465</t>
  </si>
  <si>
    <t>3659279.41057998</t>
  </si>
  <si>
    <t>409068.215642972</t>
  </si>
  <si>
    <t>3659279.69479063</t>
  </si>
  <si>
    <t>409056.081363497</t>
  </si>
  <si>
    <t>3659279.74508562</t>
  </si>
  <si>
    <t>3659280.14790518</t>
  </si>
  <si>
    <t>409031.267330568</t>
  </si>
  <si>
    <t>Loam</t>
  </si>
  <si>
    <t>3659280.17346546</t>
  </si>
  <si>
    <t>409022.481186432</t>
  </si>
  <si>
    <t>3659306.33983932</t>
  </si>
  <si>
    <t>409105.246823331</t>
  </si>
  <si>
    <t>409092.894966025</t>
  </si>
  <si>
    <t>409080.863782801</t>
  </si>
  <si>
    <t>Loamy Sand</t>
  </si>
  <si>
    <t>3659306.84936817</t>
  </si>
  <si>
    <t>409068.525072684</t>
  </si>
  <si>
    <t>3659306.87755874</t>
  </si>
  <si>
    <t>409056.172448164</t>
  </si>
  <si>
    <t>Clay Loam</t>
  </si>
  <si>
    <t>3659306.98381429</t>
  </si>
  <si>
    <t>409043.946361793</t>
  </si>
  <si>
    <t>3659307.18332176</t>
  </si>
  <si>
    <t>409031.685649345</t>
  </si>
  <si>
    <t>3659307.14825896</t>
  </si>
  <si>
    <t>409022.797710054</t>
  </si>
  <si>
    <t>3659324.89115889</t>
  </si>
  <si>
    <t>409105.133466636</t>
  </si>
  <si>
    <t>3659324.99985072</t>
  </si>
  <si>
    <t>409092.884064711</t>
  </si>
  <si>
    <t>3659325.19221628</t>
  </si>
  <si>
    <t>409080.678732915</t>
  </si>
  <si>
    <t>3659325.34065512</t>
  </si>
  <si>
    <t>409068.812731649</t>
  </si>
  <si>
    <t>3659325.49822398</t>
  </si>
  <si>
    <t>3659325.63637442</t>
  </si>
  <si>
    <t>409044.423649993</t>
  </si>
  <si>
    <t>3659325.76124418</t>
  </si>
  <si>
    <t>409031.395096809</t>
  </si>
  <si>
    <t>.</t>
  </si>
  <si>
    <t>3659325.90235883</t>
  </si>
  <si>
    <t>409023.025373775</t>
  </si>
  <si>
    <t>3659326.04778084</t>
  </si>
  <si>
    <t>409009.808677289</t>
  </si>
  <si>
    <t>3659351.94143064</t>
  </si>
  <si>
    <t>3659352.07042858</t>
  </si>
  <si>
    <t>409093.313417232</t>
  </si>
  <si>
    <t>3659352.28208804</t>
  </si>
  <si>
    <t>409081.258208692</t>
  </si>
  <si>
    <t>3659352.29854374</t>
  </si>
  <si>
    <t>409069.020203117</t>
  </si>
  <si>
    <t>3659352.34023328</t>
  </si>
  <si>
    <t>409056.883421225</t>
  </si>
  <si>
    <t>409032.350919762</t>
  </si>
  <si>
    <t>F111 - 2009 - Wheat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</si>
</sst>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00000"/>
    <numFmt numFmtId="165" formatCode="0.0"/>
    <numFmt numFmtId="166" formatCode="0.00000"/>
    <numFmt numFmtId="167" formatCode="0.0000"/>
    <numFmt numFmtId="168" formatCode="0.0000000"/>
    <numFmt numFmtId="169" formatCode="0.0000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0"/>
      <name val="Arial"/>
      <family val="2"/>
    </font>
    <font>
      <sz val="11"/>
      <color theme="1"/>
      <name val="Calibri"/>
      <family val="2"/>
    </font>
    <font>
      <b/>
      <sz val="12"/>
      <name val="Arial"/>
      <family val="2"/>
    </font>
    <font>
      <b/>
      <i/>
      <sz val="12"/>
      <name val="Arial"/>
      <family val="2"/>
    </font>
    <font>
      <sz val="10"/>
      <name val="Arial"/>
      <family val="2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2">
    <xf numFmtId="0" fontId="0" fillId="0" borderId="0" xfId="0"/>
    <xf numFmtId="164" fontId="3" fillId="0" borderId="1" xfId="1" applyNumberFormat="1" applyFont="1" applyBorder="1" applyAlignment="1">
      <alignment horizontal="left" vertical="top"/>
    </xf>
    <xf numFmtId="0" fontId="4" fillId="0" borderId="1" xfId="0" applyFont="1" applyBorder="1"/>
    <xf numFmtId="165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165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2" fontId="4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center"/>
    </xf>
    <xf numFmtId="166" fontId="3" fillId="0" borderId="1" xfId="1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3" fontId="3" fillId="0" borderId="5" xfId="1" applyFont="1" applyBorder="1" applyAlignment="1">
      <alignment horizontal="left" vertical="top"/>
    </xf>
    <xf numFmtId="164" fontId="3" fillId="0" borderId="6" xfId="1" applyNumberFormat="1" applyFont="1" applyBorder="1" applyAlignment="1">
      <alignment horizontal="left" vertical="top"/>
    </xf>
    <xf numFmtId="164" fontId="5" fillId="0" borderId="1" xfId="0" applyNumberFormat="1" applyFont="1" applyBorder="1" applyAlignment="1">
      <alignment horizontal="center"/>
    </xf>
    <xf numFmtId="0" fontId="0" fillId="0" borderId="5" xfId="0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165" fontId="4" fillId="0" borderId="9" xfId="0" applyNumberFormat="1" applyFont="1" applyBorder="1" applyAlignment="1">
      <alignment horizontal="center"/>
    </xf>
    <xf numFmtId="165" fontId="4" fillId="0" borderId="9" xfId="0" applyNumberFormat="1" applyFont="1" applyBorder="1" applyAlignment="1">
      <alignment horizontal="left" wrapText="1"/>
    </xf>
    <xf numFmtId="0" fontId="4" fillId="0" borderId="9" xfId="0" applyFont="1" applyBorder="1" applyAlignment="1">
      <alignment horizontal="left" wrapText="1"/>
    </xf>
    <xf numFmtId="2" fontId="4" fillId="0" borderId="9" xfId="0" applyNumberFormat="1" applyFont="1" applyBorder="1" applyAlignment="1">
      <alignment horizontal="left" wrapText="1"/>
    </xf>
    <xf numFmtId="0" fontId="4" fillId="0" borderId="9" xfId="0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0" fontId="0" fillId="0" borderId="9" xfId="0" applyBorder="1"/>
    <xf numFmtId="0" fontId="4" fillId="0" borderId="0" xfId="0" applyFont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43" fontId="3" fillId="0" borderId="1" xfId="1" applyFont="1" applyBorder="1" applyAlignment="1">
      <alignment horizontal="left" vertical="top"/>
    </xf>
    <xf numFmtId="165" fontId="6" fillId="0" borderId="0" xfId="0" applyNumberFormat="1" applyFont="1"/>
    <xf numFmtId="0" fontId="6" fillId="0" borderId="0" xfId="0" applyFont="1"/>
    <xf numFmtId="2" fontId="6" fillId="0" borderId="0" xfId="0" applyNumberFormat="1" applyFont="1"/>
    <xf numFmtId="0" fontId="6" fillId="0" borderId="0" xfId="0" applyFont="1" applyAlignment="1">
      <alignment horizontal="center"/>
    </xf>
    <xf numFmtId="2" fontId="6" fillId="2" borderId="0" xfId="0" applyNumberFormat="1" applyFont="1" applyFill="1"/>
    <xf numFmtId="0" fontId="7" fillId="2" borderId="0" xfId="0" applyFont="1" applyFill="1"/>
    <xf numFmtId="0" fontId="2" fillId="0" borderId="1" xfId="0" applyFont="1" applyBorder="1" applyAlignment="1">
      <alignment horizontal="center"/>
    </xf>
    <xf numFmtId="167" fontId="3" fillId="0" borderId="1" xfId="1" applyNumberFormat="1" applyFont="1" applyBorder="1" applyAlignment="1">
      <alignment horizontal="left" vertical="top"/>
    </xf>
    <xf numFmtId="0" fontId="4" fillId="0" borderId="0" xfId="0" applyFont="1" applyAlignment="1">
      <alignment horizontal="left"/>
    </xf>
    <xf numFmtId="165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2" fontId="4" fillId="0" borderId="0" xfId="0" applyNumberFormat="1" applyFont="1" applyAlignment="1">
      <alignment horizontal="left" wrapText="1"/>
    </xf>
    <xf numFmtId="0" fontId="4" fillId="0" borderId="0" xfId="0" applyFont="1" applyAlignment="1">
      <alignment horizontal="center"/>
    </xf>
    <xf numFmtId="43" fontId="3" fillId="0" borderId="10" xfId="1" applyFont="1" applyBorder="1" applyAlignment="1">
      <alignment horizontal="left" vertical="top"/>
    </xf>
    <xf numFmtId="0" fontId="6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8" fontId="3" fillId="0" borderId="1" xfId="1" applyNumberFormat="1" applyFont="1" applyBorder="1" applyAlignment="1">
      <alignment horizontal="left" vertical="top"/>
    </xf>
    <xf numFmtId="169" fontId="3" fillId="0" borderId="1" xfId="1" applyNumberFormat="1" applyFont="1" applyBorder="1" applyAlignment="1">
      <alignment horizontal="left" vertical="top"/>
    </xf>
    <xf numFmtId="0" fontId="8" fillId="0" borderId="1" xfId="0" applyFont="1" applyBorder="1" applyAlignment="1">
      <alignment horizontal="center"/>
    </xf>
    <xf numFmtId="0" fontId="9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D168E-1C14-4451-8687-0ED0B2C7D662}">
  <dimension ref="A1"/>
  <sheetViews>
    <sheetView tabSelected="1"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17EC0-6805-463B-AD10-337A0F638582}">
  <dimension ref="A1:AB365"/>
  <sheetViews>
    <sheetView topLeftCell="L1" zoomScale="85" zoomScaleNormal="85" workbookViewId="0">
      <selection activeCell="T4" sqref="T4"/>
    </sheetView>
  </sheetViews>
  <sheetFormatPr defaultRowHeight="15" x14ac:dyDescent="0.25"/>
  <cols>
    <col min="1" max="1" width="7.85546875" customWidth="1"/>
    <col min="2" max="2" width="7.140625" bestFit="1" customWidth="1"/>
    <col min="6" max="6" width="10.42578125" customWidth="1"/>
    <col min="8" max="8" width="9.5703125" bestFit="1" customWidth="1"/>
    <col min="10" max="10" width="11.85546875" customWidth="1"/>
    <col min="12" max="12" width="9.5703125" bestFit="1" customWidth="1"/>
    <col min="16" max="16" width="18.28515625" bestFit="1" customWidth="1"/>
    <col min="17" max="18" width="18.42578125" bestFit="1" customWidth="1"/>
  </cols>
  <sheetData>
    <row r="1" spans="1:28" ht="15.75" x14ac:dyDescent="0.25">
      <c r="B1" s="43" t="s">
        <v>273</v>
      </c>
      <c r="C1" s="42"/>
      <c r="D1" s="38"/>
      <c r="E1" s="38"/>
      <c r="F1" s="38"/>
      <c r="G1" s="38"/>
      <c r="H1" s="38"/>
      <c r="I1" s="34"/>
      <c r="J1" s="34"/>
      <c r="K1" s="34"/>
      <c r="L1" s="34"/>
      <c r="M1" s="34"/>
      <c r="N1" s="34"/>
      <c r="O1" s="34"/>
      <c r="P1" s="33"/>
    </row>
    <row r="2" spans="1:28" ht="15.75" x14ac:dyDescent="0.25">
      <c r="A2" s="39"/>
      <c r="B2" s="41"/>
      <c r="C2" s="40"/>
      <c r="D2" s="38"/>
      <c r="E2" s="38"/>
      <c r="F2" s="38"/>
      <c r="G2" s="38"/>
      <c r="H2" s="38"/>
      <c r="I2" s="34"/>
      <c r="J2" s="34"/>
      <c r="K2" s="34"/>
      <c r="L2" s="34"/>
      <c r="M2" s="34"/>
      <c r="N2" s="34"/>
      <c r="O2" s="34"/>
      <c r="P2" s="33"/>
    </row>
    <row r="3" spans="1:28" ht="15.75" x14ac:dyDescent="0.25">
      <c r="B3" s="39" t="s">
        <v>272</v>
      </c>
      <c r="D3" s="38"/>
      <c r="E3" s="40" t="s">
        <v>271</v>
      </c>
      <c r="G3" s="38"/>
      <c r="H3" s="38" t="s">
        <v>270</v>
      </c>
      <c r="I3" s="34"/>
      <c r="J3" s="38" t="s">
        <v>269</v>
      </c>
      <c r="K3" s="34"/>
      <c r="L3" s="34"/>
      <c r="M3" s="34"/>
      <c r="N3" s="34"/>
      <c r="O3" s="34"/>
      <c r="P3" s="33"/>
    </row>
    <row r="4" spans="1:28" ht="15.75" x14ac:dyDescent="0.25">
      <c r="A4" s="39"/>
      <c r="B4" s="41"/>
      <c r="C4" s="40"/>
      <c r="D4" s="39"/>
      <c r="E4" s="38"/>
      <c r="F4" s="38"/>
      <c r="G4" s="38"/>
      <c r="H4" s="38"/>
      <c r="I4" s="34"/>
      <c r="J4" s="34"/>
      <c r="K4" s="34"/>
      <c r="L4" s="34"/>
      <c r="M4" s="34"/>
      <c r="N4" s="34"/>
      <c r="O4" s="34"/>
      <c r="P4" s="33"/>
      <c r="T4" t="s">
        <v>268</v>
      </c>
    </row>
    <row r="5" spans="1:28" ht="51.75" x14ac:dyDescent="0.25">
      <c r="A5" s="15" t="s">
        <v>19</v>
      </c>
      <c r="B5" s="10" t="s">
        <v>18</v>
      </c>
      <c r="C5" s="14" t="s">
        <v>17</v>
      </c>
      <c r="D5" s="13" t="s">
        <v>16</v>
      </c>
      <c r="E5" s="12" t="s">
        <v>15</v>
      </c>
      <c r="F5" s="12" t="s">
        <v>14</v>
      </c>
      <c r="G5" s="12" t="s">
        <v>13</v>
      </c>
      <c r="H5" s="12" t="s">
        <v>12</v>
      </c>
      <c r="I5" s="12" t="s">
        <v>11</v>
      </c>
      <c r="J5" s="12" t="s">
        <v>10</v>
      </c>
      <c r="K5" s="12" t="s">
        <v>9</v>
      </c>
      <c r="L5" s="12" t="s">
        <v>8</v>
      </c>
      <c r="M5" s="11" t="s">
        <v>7</v>
      </c>
      <c r="N5" s="11" t="s">
        <v>6</v>
      </c>
      <c r="O5" s="11" t="s">
        <v>5</v>
      </c>
      <c r="P5" s="10" t="s">
        <v>4</v>
      </c>
      <c r="Q5" s="17" t="s">
        <v>3</v>
      </c>
      <c r="R5" s="17"/>
      <c r="T5" s="4" t="s">
        <v>267</v>
      </c>
      <c r="U5" s="4" t="s">
        <v>266</v>
      </c>
      <c r="V5" s="4" t="s">
        <v>265</v>
      </c>
      <c r="W5" s="4" t="s">
        <v>264</v>
      </c>
      <c r="X5" s="4" t="s">
        <v>263</v>
      </c>
      <c r="Y5" s="4" t="s">
        <v>262</v>
      </c>
      <c r="Z5" s="4" t="s">
        <v>261</v>
      </c>
      <c r="AA5" s="4" t="s">
        <v>260</v>
      </c>
      <c r="AB5" s="4" t="s">
        <v>259</v>
      </c>
    </row>
    <row r="6" spans="1:28" x14ac:dyDescent="0.25">
      <c r="A6" s="15"/>
      <c r="B6" s="10"/>
      <c r="C6" s="14"/>
      <c r="D6" s="13"/>
      <c r="E6" s="12"/>
      <c r="F6" s="12"/>
      <c r="G6" s="12"/>
      <c r="H6" s="12"/>
      <c r="I6" s="12"/>
      <c r="J6" s="12"/>
      <c r="K6" s="12"/>
      <c r="L6" s="12"/>
      <c r="M6" s="11"/>
      <c r="N6" s="11"/>
      <c r="O6" s="11"/>
      <c r="P6" s="10"/>
      <c r="Q6" s="7" t="s">
        <v>2</v>
      </c>
      <c r="R6" s="7" t="s">
        <v>1</v>
      </c>
      <c r="T6" s="4"/>
      <c r="U6" s="4"/>
      <c r="V6" s="4" t="s">
        <v>258</v>
      </c>
      <c r="W6" s="4" t="s">
        <v>258</v>
      </c>
      <c r="X6" s="4" t="s">
        <v>257</v>
      </c>
      <c r="Y6" s="4" t="s">
        <v>255</v>
      </c>
      <c r="Z6" s="4" t="s">
        <v>256</v>
      </c>
      <c r="AA6" s="4" t="s">
        <v>256</v>
      </c>
      <c r="AB6" s="4" t="s">
        <v>255</v>
      </c>
    </row>
    <row r="7" spans="1:28" x14ac:dyDescent="0.25">
      <c r="A7" s="6">
        <v>1</v>
      </c>
      <c r="B7" s="4"/>
      <c r="C7" s="5"/>
      <c r="D7" s="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2"/>
      <c r="Q7" s="21"/>
      <c r="R7" s="21"/>
      <c r="T7" s="4">
        <v>2006111</v>
      </c>
      <c r="U7" s="4" t="s">
        <v>254</v>
      </c>
      <c r="V7" s="4">
        <v>6.3219999999999998E-2</v>
      </c>
      <c r="W7" s="4">
        <v>0.38263000000000003</v>
      </c>
      <c r="X7" s="4">
        <v>2.7660000000000001E-2</v>
      </c>
      <c r="Y7" s="4">
        <v>1.3261000000000001</v>
      </c>
      <c r="Z7" s="4">
        <v>16.477789999999999</v>
      </c>
      <c r="AA7" s="4">
        <v>9.6793800000000001</v>
      </c>
      <c r="AB7" s="4">
        <v>-1.5333000000000001</v>
      </c>
    </row>
    <row r="8" spans="1:28" x14ac:dyDescent="0.25">
      <c r="A8" s="6">
        <v>1</v>
      </c>
      <c r="B8" s="4"/>
      <c r="C8" s="5"/>
      <c r="D8" s="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2"/>
      <c r="Q8" s="21"/>
      <c r="R8" s="21"/>
      <c r="T8" s="4">
        <v>2006111</v>
      </c>
      <c r="U8" s="4" t="s">
        <v>253</v>
      </c>
      <c r="V8" s="4">
        <v>6.8709999999999993E-2</v>
      </c>
      <c r="W8" s="4">
        <v>0.38846000000000003</v>
      </c>
      <c r="X8" s="4">
        <v>2.6179999999999998E-2</v>
      </c>
      <c r="Y8" s="4">
        <v>1.30566</v>
      </c>
      <c r="Z8" s="4">
        <v>12.23574</v>
      </c>
      <c r="AA8" s="4">
        <v>8.2882300000000004</v>
      </c>
      <c r="AB8" s="4">
        <v>-1.63663</v>
      </c>
    </row>
    <row r="9" spans="1:28" x14ac:dyDescent="0.25">
      <c r="A9" s="6">
        <v>1</v>
      </c>
      <c r="B9" s="4"/>
      <c r="C9" s="5"/>
      <c r="D9" s="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2"/>
      <c r="Q9" s="21"/>
      <c r="R9" s="21"/>
      <c r="T9" s="4">
        <v>2006111</v>
      </c>
      <c r="U9" s="4" t="s">
        <v>252</v>
      </c>
      <c r="V9" s="4">
        <v>7.5929999999999997E-2</v>
      </c>
      <c r="W9" s="4">
        <v>0.40400000000000003</v>
      </c>
      <c r="X9" s="4">
        <v>2.333E-2</v>
      </c>
      <c r="Y9" s="4">
        <v>1.30026</v>
      </c>
      <c r="Z9" s="4">
        <v>8.0543499999999995</v>
      </c>
      <c r="AA9" s="4">
        <v>6.7539899999999999</v>
      </c>
      <c r="AB9" s="4">
        <v>-1.58521</v>
      </c>
    </row>
    <row r="10" spans="1:28" x14ac:dyDescent="0.25">
      <c r="A10" s="6">
        <v>1</v>
      </c>
      <c r="B10" s="4"/>
      <c r="C10" s="5"/>
      <c r="D10" s="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2"/>
      <c r="Q10" s="21"/>
      <c r="R10" s="21"/>
      <c r="T10" s="4">
        <v>2006111</v>
      </c>
      <c r="U10" s="4" t="s">
        <v>251</v>
      </c>
      <c r="V10" s="4">
        <v>7.8789999999999999E-2</v>
      </c>
      <c r="W10" s="4">
        <v>0.4123</v>
      </c>
      <c r="X10" s="4">
        <v>2.188E-2</v>
      </c>
      <c r="Y10" s="4">
        <v>1.30236</v>
      </c>
      <c r="Z10" s="4">
        <v>6.6968800000000002</v>
      </c>
      <c r="AA10" s="4">
        <v>6.1430999999999996</v>
      </c>
      <c r="AB10" s="4">
        <v>-1.51413</v>
      </c>
    </row>
    <row r="11" spans="1:28" x14ac:dyDescent="0.25">
      <c r="A11" s="6">
        <v>1</v>
      </c>
      <c r="B11" s="4"/>
      <c r="C11" s="5"/>
      <c r="D11" s="4" t="s">
        <v>250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2"/>
      <c r="Q11" s="21"/>
      <c r="R11" s="21"/>
      <c r="T11" s="4">
        <v>2006111</v>
      </c>
      <c r="U11" s="4" t="s">
        <v>249</v>
      </c>
      <c r="V11" s="4">
        <v>7.0269999999999999E-2</v>
      </c>
      <c r="W11" s="4">
        <v>0.37935000000000002</v>
      </c>
      <c r="X11" s="4">
        <v>2.6890000000000001E-2</v>
      </c>
      <c r="Y11" s="4">
        <v>1.2759499999999999</v>
      </c>
      <c r="Z11" s="4">
        <v>13.564</v>
      </c>
      <c r="AA11" s="4">
        <v>7.7434200000000004</v>
      </c>
      <c r="AB11" s="4">
        <v>-1.93347</v>
      </c>
    </row>
    <row r="12" spans="1:28" x14ac:dyDescent="0.25">
      <c r="A12" s="6">
        <v>1</v>
      </c>
      <c r="B12" s="4"/>
      <c r="C12" s="5"/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2"/>
      <c r="Q12" s="4"/>
      <c r="R12" s="4"/>
      <c r="T12" s="4">
        <v>2006111</v>
      </c>
      <c r="U12" s="4" t="s">
        <v>248</v>
      </c>
      <c r="V12" s="4">
        <v>6.3890000000000002E-2</v>
      </c>
      <c r="W12" s="4">
        <v>0.37392999999999998</v>
      </c>
      <c r="X12" s="4">
        <v>2.726E-2</v>
      </c>
      <c r="Y12" s="4">
        <v>1.3303400000000001</v>
      </c>
      <c r="Z12" s="4">
        <v>17.299669999999999</v>
      </c>
      <c r="AA12" s="4">
        <v>9.1436700000000002</v>
      </c>
      <c r="AB12" s="4">
        <v>-1.53834</v>
      </c>
    </row>
    <row r="13" spans="1:28" x14ac:dyDescent="0.25">
      <c r="A13" s="6">
        <v>1</v>
      </c>
      <c r="B13" s="4"/>
      <c r="C13" s="5"/>
      <c r="D13" s="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2"/>
      <c r="Q13" s="4"/>
      <c r="R13" s="4"/>
      <c r="T13" s="4">
        <v>2006111</v>
      </c>
      <c r="U13" s="4" t="s">
        <v>247</v>
      </c>
      <c r="V13" s="4">
        <v>6.6220000000000001E-2</v>
      </c>
      <c r="W13" s="4">
        <v>0.38729000000000002</v>
      </c>
      <c r="X13" s="4">
        <v>2.6259999999999999E-2</v>
      </c>
      <c r="Y13" s="4">
        <v>1.31931</v>
      </c>
      <c r="Z13" s="4">
        <v>13.68905</v>
      </c>
      <c r="AA13" s="4">
        <v>8.7571100000000008</v>
      </c>
      <c r="AB13" s="4">
        <v>-1.53912</v>
      </c>
    </row>
    <row r="14" spans="1:28" x14ac:dyDescent="0.25">
      <c r="A14" s="36"/>
      <c r="C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3"/>
      <c r="T14" s="4">
        <v>2006111</v>
      </c>
      <c r="U14" s="4" t="s">
        <v>246</v>
      </c>
      <c r="V14" s="4">
        <v>6.5759999999999999E-2</v>
      </c>
      <c r="W14" s="4">
        <v>0.38185000000000002</v>
      </c>
      <c r="X14" s="4">
        <v>2.7470000000000001E-2</v>
      </c>
      <c r="Y14" s="4">
        <v>1.30975</v>
      </c>
      <c r="Z14" s="4">
        <v>14.64475</v>
      </c>
      <c r="AA14" s="4">
        <v>9.0135500000000004</v>
      </c>
      <c r="AB14" s="4">
        <v>-1.64737</v>
      </c>
    </row>
    <row r="15" spans="1:28" ht="51.75" x14ac:dyDescent="0.25">
      <c r="A15" s="15" t="s">
        <v>19</v>
      </c>
      <c r="B15" s="10" t="s">
        <v>18</v>
      </c>
      <c r="C15" s="14" t="s">
        <v>17</v>
      </c>
      <c r="D15" s="13" t="s">
        <v>16</v>
      </c>
      <c r="E15" s="12" t="s">
        <v>15</v>
      </c>
      <c r="F15" s="12" t="s">
        <v>14</v>
      </c>
      <c r="G15" s="12" t="s">
        <v>13</v>
      </c>
      <c r="H15" s="12" t="s">
        <v>12</v>
      </c>
      <c r="I15" s="12" t="s">
        <v>11</v>
      </c>
      <c r="J15" s="12" t="s">
        <v>10</v>
      </c>
      <c r="K15" s="12" t="s">
        <v>9</v>
      </c>
      <c r="L15" s="12" t="s">
        <v>8</v>
      </c>
      <c r="M15" s="11" t="s">
        <v>7</v>
      </c>
      <c r="N15" s="11" t="s">
        <v>6</v>
      </c>
      <c r="O15" s="11" t="s">
        <v>5</v>
      </c>
      <c r="P15" s="10" t="s">
        <v>4</v>
      </c>
      <c r="Q15" s="17" t="s">
        <v>3</v>
      </c>
      <c r="R15" s="17"/>
      <c r="T15" s="4">
        <v>2006111</v>
      </c>
      <c r="U15" s="4" t="s">
        <v>245</v>
      </c>
      <c r="V15" s="4">
        <v>6.5740000000000007E-2</v>
      </c>
      <c r="W15" s="4">
        <v>0.38052999999999998</v>
      </c>
      <c r="X15" s="4">
        <v>2.7560000000000001E-2</v>
      </c>
      <c r="Y15" s="4">
        <v>1.30843</v>
      </c>
      <c r="Z15" s="4">
        <v>14.817780000000001</v>
      </c>
      <c r="AA15" s="4">
        <v>8.9909999999999997</v>
      </c>
      <c r="AB15" s="4">
        <v>-1.66296</v>
      </c>
    </row>
    <row r="16" spans="1:28" x14ac:dyDescent="0.25">
      <c r="A16" s="15"/>
      <c r="B16" s="10"/>
      <c r="C16" s="14"/>
      <c r="D16" s="13"/>
      <c r="E16" s="12"/>
      <c r="F16" s="12"/>
      <c r="G16" s="12"/>
      <c r="H16" s="12"/>
      <c r="I16" s="12"/>
      <c r="J16" s="12"/>
      <c r="K16" s="12"/>
      <c r="L16" s="12"/>
      <c r="M16" s="11"/>
      <c r="N16" s="11"/>
      <c r="O16" s="11"/>
      <c r="P16" s="10"/>
      <c r="Q16" s="7" t="s">
        <v>2</v>
      </c>
      <c r="R16" s="7" t="s">
        <v>1</v>
      </c>
      <c r="T16" s="4">
        <v>2006111</v>
      </c>
      <c r="U16" s="4" t="s">
        <v>244</v>
      </c>
      <c r="V16" s="4">
        <v>7.1809999999999999E-2</v>
      </c>
      <c r="W16" s="4">
        <v>0.38839000000000001</v>
      </c>
      <c r="X16" s="4">
        <v>2.6759999999999999E-2</v>
      </c>
      <c r="Y16" s="4">
        <v>1.28023</v>
      </c>
      <c r="Z16" s="4">
        <v>11.79982</v>
      </c>
      <c r="AA16" s="4">
        <v>7.8386199999999997</v>
      </c>
      <c r="AB16" s="4">
        <v>-1.8741099999999999</v>
      </c>
    </row>
    <row r="17" spans="1:28" x14ac:dyDescent="0.25">
      <c r="A17" s="6">
        <v>2</v>
      </c>
      <c r="B17" s="4">
        <v>30</v>
      </c>
      <c r="C17" s="5">
        <v>50</v>
      </c>
      <c r="D17" s="4">
        <v>20</v>
      </c>
      <c r="E17" s="3">
        <v>24</v>
      </c>
      <c r="F17" s="3">
        <f>1.8*E17+32</f>
        <v>75.2</v>
      </c>
      <c r="G17" s="3">
        <v>17</v>
      </c>
      <c r="H17" s="3">
        <f>IF(F17&gt;68,G17+(F17-68)*0.2,#REF!-(68-F17)*0.2)</f>
        <v>18.440000000000001</v>
      </c>
      <c r="I17" s="3">
        <v>24</v>
      </c>
      <c r="J17" s="3">
        <f>1.8*I17+32</f>
        <v>75.2</v>
      </c>
      <c r="K17" s="3">
        <v>10</v>
      </c>
      <c r="L17" s="3">
        <f>IF(J17&gt;68,K17+(J17-68)*0.2,K17-(68-J17)*0.2)</f>
        <v>11.440000000000001</v>
      </c>
      <c r="M17" s="3">
        <f>(C17-H17)/C17*100</f>
        <v>63.12</v>
      </c>
      <c r="N17" s="3">
        <f>100-(M17+O17)</f>
        <v>14</v>
      </c>
      <c r="O17" s="3">
        <f>L17/C17*100</f>
        <v>22.880000000000003</v>
      </c>
      <c r="P17" s="2" t="s">
        <v>0</v>
      </c>
      <c r="Q17" s="1">
        <v>409032.11118200002</v>
      </c>
      <c r="R17" s="1">
        <v>3659353.700433</v>
      </c>
      <c r="T17" s="4">
        <v>2006111</v>
      </c>
      <c r="U17" s="4" t="s">
        <v>243</v>
      </c>
      <c r="V17" s="4">
        <v>7.1010000000000004E-2</v>
      </c>
      <c r="W17" s="4">
        <v>0.38990999999999998</v>
      </c>
      <c r="X17" s="4">
        <v>2.623E-2</v>
      </c>
      <c r="Y17" s="4">
        <v>1.2919700000000001</v>
      </c>
      <c r="Z17" s="4">
        <v>11.384639999999999</v>
      </c>
      <c r="AA17" s="4">
        <v>7.9219600000000003</v>
      </c>
      <c r="AB17" s="4">
        <v>-1.7492399999999999</v>
      </c>
    </row>
    <row r="18" spans="1:28" x14ac:dyDescent="0.25">
      <c r="A18" s="6">
        <v>2</v>
      </c>
      <c r="B18" s="4">
        <v>60</v>
      </c>
      <c r="C18" s="5">
        <v>50.01</v>
      </c>
      <c r="D18" s="4">
        <v>20</v>
      </c>
      <c r="E18" s="3">
        <v>24</v>
      </c>
      <c r="F18" s="3">
        <f>1.8*E18+32</f>
        <v>75.2</v>
      </c>
      <c r="G18" s="3">
        <v>19.5</v>
      </c>
      <c r="H18" s="3">
        <f>IF(F18&gt;68,G18+(F18-68)*0.2,#REF!-(68-F18)*0.2)</f>
        <v>20.94</v>
      </c>
      <c r="I18" s="3">
        <v>24</v>
      </c>
      <c r="J18" s="3">
        <f>1.8*I18+32</f>
        <v>75.2</v>
      </c>
      <c r="K18" s="3">
        <v>12</v>
      </c>
      <c r="L18" s="3">
        <f>IF(J18&gt;68,K18+(J18-68)*0.2,K18-(68-J18)*0.2)</f>
        <v>13.440000000000001</v>
      </c>
      <c r="M18" s="3">
        <f>(C18-H18)/C18*100</f>
        <v>58.12837432513497</v>
      </c>
      <c r="N18" s="3">
        <f>100-(M18+O18)</f>
        <v>14.997000599880025</v>
      </c>
      <c r="O18" s="3">
        <f>L18/C18*100</f>
        <v>26.874625074985008</v>
      </c>
      <c r="P18" s="2" t="s">
        <v>0</v>
      </c>
      <c r="Q18" s="1">
        <v>409032.11118200002</v>
      </c>
      <c r="R18" s="1">
        <v>3659353.700433</v>
      </c>
      <c r="T18" s="4">
        <v>2006111</v>
      </c>
      <c r="U18" s="4" t="s">
        <v>242</v>
      </c>
      <c r="V18" s="4">
        <v>6.8059999999999996E-2</v>
      </c>
      <c r="W18" s="4">
        <v>0.37980999999999998</v>
      </c>
      <c r="X18" s="4">
        <v>2.724E-2</v>
      </c>
      <c r="Y18" s="4">
        <v>1.2921400000000001</v>
      </c>
      <c r="Z18" s="4">
        <v>13.85528</v>
      </c>
      <c r="AA18" s="4">
        <v>8.3412100000000002</v>
      </c>
      <c r="AB18" s="4">
        <v>-1.78898</v>
      </c>
    </row>
    <row r="19" spans="1:28" x14ac:dyDescent="0.25">
      <c r="A19" s="6">
        <v>2</v>
      </c>
      <c r="B19" s="4">
        <v>90</v>
      </c>
      <c r="C19" s="5">
        <v>50</v>
      </c>
      <c r="D19" s="4">
        <v>20</v>
      </c>
      <c r="E19" s="3">
        <v>24</v>
      </c>
      <c r="F19" s="3">
        <f>1.8*E19+32</f>
        <v>75.2</v>
      </c>
      <c r="G19" s="3">
        <v>24</v>
      </c>
      <c r="H19" s="3">
        <f>IF(F19&gt;68,G19+(F19-68)*0.2,#REF!-(68-F19)*0.2)</f>
        <v>25.44</v>
      </c>
      <c r="I19" s="3">
        <v>24</v>
      </c>
      <c r="J19" s="3">
        <f>1.8*I19+32</f>
        <v>75.2</v>
      </c>
      <c r="K19" s="3">
        <v>14.5</v>
      </c>
      <c r="L19" s="3">
        <f>IF(J19&gt;68,K19+(J19-68)*0.2,K19-(68-J19)*0.2)</f>
        <v>15.940000000000001</v>
      </c>
      <c r="M19" s="3">
        <f>(C19-H19)/C19*100</f>
        <v>49.12</v>
      </c>
      <c r="N19" s="3">
        <f>100-(M19+O19)</f>
        <v>19</v>
      </c>
      <c r="O19" s="3">
        <f>L19/C19*100</f>
        <v>31.880000000000003</v>
      </c>
      <c r="P19" s="2" t="s">
        <v>0</v>
      </c>
      <c r="Q19" s="1">
        <v>409032.11118200002</v>
      </c>
      <c r="R19" s="1">
        <v>3659353.700433</v>
      </c>
      <c r="T19" s="4">
        <v>2006111</v>
      </c>
      <c r="U19" s="4" t="s">
        <v>241</v>
      </c>
      <c r="V19" s="4">
        <v>6.5839999999999996E-2</v>
      </c>
      <c r="W19" s="4">
        <v>0.38321</v>
      </c>
      <c r="X19" s="4">
        <v>2.7279999999999999E-2</v>
      </c>
      <c r="Y19" s="4">
        <v>1.31145</v>
      </c>
      <c r="Z19" s="4">
        <v>14.43444</v>
      </c>
      <c r="AA19" s="4">
        <v>8.9966699999999999</v>
      </c>
      <c r="AB19" s="4">
        <v>-1.62717</v>
      </c>
    </row>
    <row r="20" spans="1:28" x14ac:dyDescent="0.25">
      <c r="A20" s="6">
        <v>2</v>
      </c>
      <c r="B20" s="4">
        <v>120</v>
      </c>
      <c r="C20" s="5">
        <v>50.02</v>
      </c>
      <c r="D20" s="4">
        <v>20</v>
      </c>
      <c r="E20" s="3">
        <v>24</v>
      </c>
      <c r="F20" s="3">
        <f>1.8*E20+32</f>
        <v>75.2</v>
      </c>
      <c r="G20" s="3">
        <v>26</v>
      </c>
      <c r="H20" s="3">
        <f>IF(F20&gt;68,G20+(F20-68)*0.2,#REF!-(68-F20)*0.2)</f>
        <v>27.44</v>
      </c>
      <c r="I20" s="3">
        <v>24</v>
      </c>
      <c r="J20" s="3">
        <f>1.8*I20+32</f>
        <v>75.2</v>
      </c>
      <c r="K20" s="3">
        <v>15.5</v>
      </c>
      <c r="L20" s="3">
        <f>IF(J20&gt;68,K20+(J20-68)*0.2,K20-(68-J20)*0.2)</f>
        <v>16.940000000000001</v>
      </c>
      <c r="M20" s="3">
        <f>(C20-H20)/C20*100</f>
        <v>45.141943222710914</v>
      </c>
      <c r="N20" s="3">
        <f>100-(M20+O20)</f>
        <v>20.991603358656533</v>
      </c>
      <c r="O20" s="3">
        <f>L20/C20*100</f>
        <v>33.866453418632545</v>
      </c>
      <c r="P20" s="2" t="s">
        <v>23</v>
      </c>
      <c r="Q20" s="1">
        <v>409032.11118200002</v>
      </c>
      <c r="R20" s="1">
        <v>3659353.700433</v>
      </c>
      <c r="T20" s="4">
        <v>2006111</v>
      </c>
      <c r="U20" s="4" t="s">
        <v>240</v>
      </c>
      <c r="V20" s="4">
        <v>6.5720000000000001E-2</v>
      </c>
      <c r="W20" s="4">
        <v>0.38051000000000001</v>
      </c>
      <c r="X20" s="4">
        <v>2.7560000000000001E-2</v>
      </c>
      <c r="Y20" s="4">
        <v>1.3085</v>
      </c>
      <c r="Z20" s="4">
        <v>14.82714</v>
      </c>
      <c r="AA20" s="4">
        <v>8.9939</v>
      </c>
      <c r="AB20" s="4">
        <v>-1.66255</v>
      </c>
    </row>
    <row r="21" spans="1:28" x14ac:dyDescent="0.25">
      <c r="A21" s="6">
        <v>2</v>
      </c>
      <c r="B21" s="4">
        <v>150</v>
      </c>
      <c r="C21" s="5">
        <v>50</v>
      </c>
      <c r="D21" s="4">
        <v>20</v>
      </c>
      <c r="E21" s="3">
        <v>24</v>
      </c>
      <c r="F21" s="3">
        <f>1.8*E21+32</f>
        <v>75.2</v>
      </c>
      <c r="G21" s="3">
        <v>16.5</v>
      </c>
      <c r="H21" s="3">
        <f>IF(F21&gt;68,G21+(F21-68)*0.2,#REF!-(68-F21)*0.2)</f>
        <v>17.940000000000001</v>
      </c>
      <c r="I21" s="3">
        <v>24</v>
      </c>
      <c r="J21" s="3">
        <f>1.8*I21+32</f>
        <v>75.2</v>
      </c>
      <c r="K21" s="3">
        <v>13</v>
      </c>
      <c r="L21" s="3">
        <f>IF(J21&gt;68,K21+(J21-68)*0.2,K21-(68-J21)*0.2)</f>
        <v>14.440000000000001</v>
      </c>
      <c r="M21" s="3">
        <f>(C21-H21)/C21*100</f>
        <v>64.12</v>
      </c>
      <c r="N21" s="3">
        <f>100-(M21+O21)</f>
        <v>7</v>
      </c>
      <c r="O21" s="3">
        <f>L21/C21*100</f>
        <v>28.88</v>
      </c>
      <c r="P21" s="2" t="s">
        <v>0</v>
      </c>
      <c r="Q21" s="1">
        <v>409032.11118200002</v>
      </c>
      <c r="R21" s="1">
        <v>3659353.700433</v>
      </c>
      <c r="T21" s="4">
        <v>2006111</v>
      </c>
      <c r="U21" s="4" t="s">
        <v>239</v>
      </c>
      <c r="V21" s="4">
        <v>6.055E-2</v>
      </c>
      <c r="W21" s="4">
        <v>0.37894</v>
      </c>
      <c r="X21" s="4">
        <v>2.8760000000000001E-2</v>
      </c>
      <c r="Y21" s="4">
        <v>1.3411900000000001</v>
      </c>
      <c r="Z21" s="4">
        <v>19.828589999999998</v>
      </c>
      <c r="AA21" s="4">
        <v>10.61767</v>
      </c>
      <c r="AB21" s="4">
        <v>-1.4789300000000001</v>
      </c>
    </row>
    <row r="22" spans="1:28" x14ac:dyDescent="0.25">
      <c r="A22" s="6">
        <v>2</v>
      </c>
      <c r="B22" s="4">
        <v>180</v>
      </c>
      <c r="C22" s="5">
        <v>50.02</v>
      </c>
      <c r="D22" s="4">
        <v>20</v>
      </c>
      <c r="E22" s="3">
        <v>24</v>
      </c>
      <c r="F22" s="3">
        <f>1.8*E22+32</f>
        <v>75.2</v>
      </c>
      <c r="G22" s="3">
        <v>13.5</v>
      </c>
      <c r="H22" s="3">
        <f>IF(F22&gt;68,G22+(F22-68)*0.2,#REF!-(68-F22)*0.2)</f>
        <v>14.940000000000001</v>
      </c>
      <c r="I22" s="3">
        <v>24</v>
      </c>
      <c r="J22" s="3">
        <f>1.8*I22+32</f>
        <v>75.2</v>
      </c>
      <c r="K22" s="3">
        <v>10</v>
      </c>
      <c r="L22" s="3">
        <f>IF(J22&gt;68,K22+(J22-68)*0.2,K22-(68-J22)*0.2)</f>
        <v>11.440000000000001</v>
      </c>
      <c r="M22" s="3">
        <f>(C22-H22)/C22*100</f>
        <v>70.131947221111545</v>
      </c>
      <c r="N22" s="3">
        <f>100-(M22+O22)</f>
        <v>6.9972011195521873</v>
      </c>
      <c r="O22" s="3">
        <f>L22/C22*100</f>
        <v>22.870851659336267</v>
      </c>
      <c r="P22" s="2" t="s">
        <v>0</v>
      </c>
      <c r="Q22" s="1">
        <v>409032.11118200002</v>
      </c>
      <c r="R22" s="1">
        <v>3659353.700433</v>
      </c>
      <c r="T22" s="4">
        <v>2006111</v>
      </c>
      <c r="U22" s="4" t="s">
        <v>238</v>
      </c>
      <c r="V22" s="4">
        <v>5.8439999999999999E-2</v>
      </c>
      <c r="W22" s="4">
        <v>0.37614999999999998</v>
      </c>
      <c r="X22" s="4">
        <v>2.9389999999999999E-2</v>
      </c>
      <c r="Y22" s="4">
        <v>1.36998</v>
      </c>
      <c r="Z22" s="4">
        <v>24.408110000000001</v>
      </c>
      <c r="AA22" s="4">
        <v>11.52704</v>
      </c>
      <c r="AB22" s="4">
        <v>-1.3727400000000001</v>
      </c>
    </row>
    <row r="23" spans="1:28" x14ac:dyDescent="0.25">
      <c r="A23" s="36"/>
      <c r="C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3"/>
      <c r="T23" s="4">
        <v>2006111</v>
      </c>
      <c r="U23" s="4" t="s">
        <v>237</v>
      </c>
      <c r="V23" s="4">
        <v>6.855E-2</v>
      </c>
      <c r="W23" s="4">
        <v>0.38701000000000002</v>
      </c>
      <c r="X23" s="4">
        <v>2.6540000000000001E-2</v>
      </c>
      <c r="Y23" s="4">
        <v>1.30237</v>
      </c>
      <c r="Z23" s="4">
        <v>12.54247</v>
      </c>
      <c r="AA23" s="4">
        <v>8.3699999999999992</v>
      </c>
      <c r="AB23" s="4">
        <v>-1.6734899999999999</v>
      </c>
    </row>
    <row r="24" spans="1:28" ht="51.75" x14ac:dyDescent="0.25">
      <c r="A24" s="15" t="s">
        <v>19</v>
      </c>
      <c r="B24" s="10" t="s">
        <v>18</v>
      </c>
      <c r="C24" s="14" t="s">
        <v>17</v>
      </c>
      <c r="D24" s="13" t="s">
        <v>16</v>
      </c>
      <c r="E24" s="12" t="s">
        <v>15</v>
      </c>
      <c r="F24" s="12" t="s">
        <v>14</v>
      </c>
      <c r="G24" s="12" t="s">
        <v>13</v>
      </c>
      <c r="H24" s="12" t="s">
        <v>12</v>
      </c>
      <c r="I24" s="12" t="s">
        <v>11</v>
      </c>
      <c r="J24" s="12" t="s">
        <v>10</v>
      </c>
      <c r="K24" s="12" t="s">
        <v>9</v>
      </c>
      <c r="L24" s="12" t="s">
        <v>8</v>
      </c>
      <c r="M24" s="11" t="s">
        <v>7</v>
      </c>
      <c r="N24" s="11" t="s">
        <v>6</v>
      </c>
      <c r="O24" s="11" t="s">
        <v>5</v>
      </c>
      <c r="P24" s="10" t="s">
        <v>4</v>
      </c>
      <c r="Q24" s="17" t="s">
        <v>3</v>
      </c>
      <c r="R24" s="17"/>
      <c r="T24" s="4">
        <v>2006111</v>
      </c>
      <c r="U24" s="4" t="s">
        <v>236</v>
      </c>
      <c r="V24" s="4">
        <v>6.5759999999999999E-2</v>
      </c>
      <c r="W24" s="4">
        <v>0.38185000000000002</v>
      </c>
      <c r="X24" s="4">
        <v>2.7470000000000001E-2</v>
      </c>
      <c r="Y24" s="4">
        <v>1.30975</v>
      </c>
      <c r="Z24" s="4">
        <v>14.64475</v>
      </c>
      <c r="AA24" s="4">
        <v>9.0135500000000004</v>
      </c>
      <c r="AB24" s="4">
        <v>-1.64737</v>
      </c>
    </row>
    <row r="25" spans="1:28" x14ac:dyDescent="0.25">
      <c r="A25" s="6"/>
      <c r="B25" s="4"/>
      <c r="C25" s="5"/>
      <c r="D25" s="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2"/>
      <c r="Q25" s="7" t="s">
        <v>2</v>
      </c>
      <c r="R25" s="7" t="s">
        <v>1</v>
      </c>
      <c r="T25" s="4">
        <v>2006111</v>
      </c>
      <c r="U25" s="4" t="s">
        <v>235</v>
      </c>
      <c r="V25" s="4">
        <v>6.5960000000000005E-2</v>
      </c>
      <c r="W25" s="4">
        <v>0.38006000000000001</v>
      </c>
      <c r="X25" s="4">
        <v>2.7539999999999999E-2</v>
      </c>
      <c r="Y25" s="4">
        <v>1.3065800000000001</v>
      </c>
      <c r="Z25" s="4">
        <v>14.74066</v>
      </c>
      <c r="AA25" s="4">
        <v>8.9119499999999992</v>
      </c>
      <c r="AB25" s="4">
        <v>-1.67774</v>
      </c>
    </row>
    <row r="26" spans="1:28" x14ac:dyDescent="0.25">
      <c r="A26" s="6">
        <v>3</v>
      </c>
      <c r="B26" s="4"/>
      <c r="C26" s="5"/>
      <c r="D26" s="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2"/>
      <c r="Q26" s="37"/>
      <c r="R26" s="37"/>
      <c r="T26" s="4">
        <v>2006111</v>
      </c>
      <c r="U26" s="4" t="s">
        <v>234</v>
      </c>
      <c r="V26" s="4">
        <v>6.8890000000000007E-2</v>
      </c>
      <c r="W26" s="4">
        <v>0.38804</v>
      </c>
      <c r="X26" s="4">
        <v>2.632E-2</v>
      </c>
      <c r="Y26" s="4">
        <v>1.30298</v>
      </c>
      <c r="Z26" s="4">
        <v>12.242330000000001</v>
      </c>
      <c r="AA26" s="4">
        <v>8.2802000000000007</v>
      </c>
      <c r="AB26" s="4">
        <v>-1.6617599999999999</v>
      </c>
    </row>
    <row r="27" spans="1:28" x14ac:dyDescent="0.25">
      <c r="A27" s="6">
        <v>3</v>
      </c>
      <c r="B27" s="4"/>
      <c r="C27" s="5"/>
      <c r="D27" s="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2"/>
      <c r="Q27" s="37"/>
      <c r="R27" s="37"/>
      <c r="T27" s="4">
        <v>2006111</v>
      </c>
      <c r="U27" s="4" t="s">
        <v>233</v>
      </c>
      <c r="V27" s="4">
        <v>6.4820000000000003E-2</v>
      </c>
      <c r="W27" s="4">
        <v>0.3831</v>
      </c>
      <c r="X27" s="4">
        <v>2.7390000000000001E-2</v>
      </c>
      <c r="Y27" s="4">
        <v>1.3175300000000001</v>
      </c>
      <c r="Z27" s="4">
        <v>15.14038</v>
      </c>
      <c r="AA27" s="4">
        <v>9.2478099999999994</v>
      </c>
      <c r="AB27" s="4">
        <v>-1.58538</v>
      </c>
    </row>
    <row r="28" spans="1:28" x14ac:dyDescent="0.25">
      <c r="A28" s="6">
        <v>3</v>
      </c>
      <c r="B28" s="4"/>
      <c r="C28" s="5"/>
      <c r="D28" s="4" t="s">
        <v>232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2"/>
      <c r="Q28" s="37"/>
      <c r="R28" s="37"/>
      <c r="T28" s="4">
        <v>2006111</v>
      </c>
      <c r="U28" s="4" t="s">
        <v>231</v>
      </c>
      <c r="V28" s="4">
        <v>6.8890000000000007E-2</v>
      </c>
      <c r="W28" s="4">
        <v>0.38804</v>
      </c>
      <c r="X28" s="4">
        <v>2.632E-2</v>
      </c>
      <c r="Y28" s="4">
        <v>1.30298</v>
      </c>
      <c r="Z28" s="4">
        <v>12.242330000000001</v>
      </c>
      <c r="AA28" s="4">
        <v>8.2802000000000007</v>
      </c>
      <c r="AB28" s="4">
        <v>-1.6617599999999999</v>
      </c>
    </row>
    <row r="29" spans="1:28" x14ac:dyDescent="0.25">
      <c r="A29" s="6">
        <v>3</v>
      </c>
      <c r="B29" s="4"/>
      <c r="C29" s="5"/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2"/>
      <c r="Q29" s="37"/>
      <c r="R29" s="37"/>
      <c r="T29" s="4">
        <v>2006111</v>
      </c>
      <c r="U29" s="4" t="s">
        <v>230</v>
      </c>
      <c r="V29" s="4">
        <v>6.5040000000000001E-2</v>
      </c>
      <c r="W29" s="4">
        <v>0.38573000000000002</v>
      </c>
      <c r="X29" s="4">
        <v>2.6720000000000001E-2</v>
      </c>
      <c r="Y29" s="4">
        <v>1.32212</v>
      </c>
      <c r="Z29" s="4">
        <v>14.671379999999999</v>
      </c>
      <c r="AA29" s="4">
        <v>9.0863200000000006</v>
      </c>
      <c r="AB29" s="4">
        <v>-1.5323500000000001</v>
      </c>
    </row>
    <row r="30" spans="1:28" x14ac:dyDescent="0.25">
      <c r="A30" s="6">
        <v>3</v>
      </c>
      <c r="B30" s="4"/>
      <c r="C30" s="5"/>
      <c r="D30" s="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2"/>
      <c r="Q30" s="37"/>
      <c r="R30" s="37"/>
      <c r="T30" s="4">
        <v>2006111</v>
      </c>
      <c r="U30" s="4" t="s">
        <v>229</v>
      </c>
      <c r="V30" s="4">
        <v>6.3450000000000006E-2</v>
      </c>
      <c r="W30" s="4">
        <v>0.37969000000000003</v>
      </c>
      <c r="X30" s="4">
        <v>2.8000000000000001E-2</v>
      </c>
      <c r="Y30" s="4">
        <v>1.3224899999999999</v>
      </c>
      <c r="Z30" s="4">
        <v>16.618659999999998</v>
      </c>
      <c r="AA30" s="4">
        <v>9.6333500000000001</v>
      </c>
      <c r="AB30" s="4">
        <v>-1.5753999999999999</v>
      </c>
    </row>
    <row r="31" spans="1:28" x14ac:dyDescent="0.25">
      <c r="A31" s="6">
        <v>3</v>
      </c>
      <c r="B31" s="4"/>
      <c r="C31" s="5"/>
      <c r="D31" s="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2"/>
      <c r="Q31" s="37"/>
      <c r="R31" s="37"/>
      <c r="T31" s="4">
        <v>2006111</v>
      </c>
      <c r="U31" s="4" t="s">
        <v>228</v>
      </c>
      <c r="V31" s="4">
        <v>6.6909999999999997E-2</v>
      </c>
      <c r="W31" s="4">
        <v>0.37974000000000002</v>
      </c>
      <c r="X31" s="4">
        <v>2.7390000000000001E-2</v>
      </c>
      <c r="Y31" s="4">
        <v>1.3000700000000001</v>
      </c>
      <c r="Z31" s="4">
        <v>14.298220000000001</v>
      </c>
      <c r="AA31" s="4">
        <v>8.6414100000000005</v>
      </c>
      <c r="AB31" s="4">
        <v>-1.72644</v>
      </c>
    </row>
    <row r="32" spans="1:28" x14ac:dyDescent="0.25">
      <c r="A32" s="36"/>
      <c r="C32" s="35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3"/>
      <c r="T32" s="4">
        <v>2006111</v>
      </c>
      <c r="U32" s="4" t="s">
        <v>227</v>
      </c>
      <c r="V32" s="4">
        <v>6.8339999999999998E-2</v>
      </c>
      <c r="W32" s="4">
        <v>0.38512999999999997</v>
      </c>
      <c r="X32" s="4">
        <v>2.6919999999999999E-2</v>
      </c>
      <c r="Y32" s="4">
        <v>1.2987899999999999</v>
      </c>
      <c r="Z32" s="4">
        <v>12.933249999999999</v>
      </c>
      <c r="AA32" s="4">
        <v>8.4378700000000002</v>
      </c>
      <c r="AB32" s="4">
        <v>-1.71465</v>
      </c>
    </row>
    <row r="33" spans="1:28" ht="51.75" x14ac:dyDescent="0.25">
      <c r="A33" s="15" t="s">
        <v>19</v>
      </c>
      <c r="B33" s="10" t="s">
        <v>18</v>
      </c>
      <c r="C33" s="14" t="s">
        <v>17</v>
      </c>
      <c r="D33" s="13" t="s">
        <v>16</v>
      </c>
      <c r="E33" s="12" t="s">
        <v>15</v>
      </c>
      <c r="F33" s="12" t="s">
        <v>14</v>
      </c>
      <c r="G33" s="12" t="s">
        <v>13</v>
      </c>
      <c r="H33" s="12" t="s">
        <v>12</v>
      </c>
      <c r="I33" s="12" t="s">
        <v>11</v>
      </c>
      <c r="J33" s="12" t="s">
        <v>10</v>
      </c>
      <c r="K33" s="12" t="s">
        <v>9</v>
      </c>
      <c r="L33" s="12" t="s">
        <v>8</v>
      </c>
      <c r="M33" s="11" t="s">
        <v>7</v>
      </c>
      <c r="N33" s="11" t="s">
        <v>6</v>
      </c>
      <c r="O33" s="11" t="s">
        <v>5</v>
      </c>
      <c r="P33" s="10" t="s">
        <v>4</v>
      </c>
      <c r="Q33" s="17" t="s">
        <v>3</v>
      </c>
      <c r="R33" s="17"/>
      <c r="T33" s="4">
        <v>2006111</v>
      </c>
      <c r="U33" s="4" t="s">
        <v>226</v>
      </c>
      <c r="V33" s="4">
        <v>6.8489999999999995E-2</v>
      </c>
      <c r="W33" s="4">
        <v>0.38657999999999998</v>
      </c>
      <c r="X33" s="4">
        <v>2.664E-2</v>
      </c>
      <c r="Y33" s="4">
        <v>1.3015699999999999</v>
      </c>
      <c r="Z33" s="4">
        <v>12.63818</v>
      </c>
      <c r="AA33" s="4">
        <v>8.3917800000000007</v>
      </c>
      <c r="AB33" s="4">
        <v>-1.6828799999999999</v>
      </c>
    </row>
    <row r="34" spans="1:28" x14ac:dyDescent="0.25">
      <c r="A34" s="4"/>
      <c r="B34" s="4"/>
      <c r="C34" s="5"/>
      <c r="D34" s="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2"/>
      <c r="Q34" s="7" t="s">
        <v>2</v>
      </c>
      <c r="R34" s="7" t="s">
        <v>1</v>
      </c>
      <c r="T34" s="4">
        <v>2006111</v>
      </c>
      <c r="U34" s="4" t="s">
        <v>225</v>
      </c>
      <c r="V34" s="4">
        <v>7.6369999999999993E-2</v>
      </c>
      <c r="W34" s="4">
        <v>0.40203</v>
      </c>
      <c r="X34" s="4">
        <v>2.4649999999999998E-2</v>
      </c>
      <c r="Y34" s="4">
        <v>1.2844800000000001</v>
      </c>
      <c r="Z34" s="4">
        <v>8.7897300000000005</v>
      </c>
      <c r="AA34" s="4">
        <v>6.99925</v>
      </c>
      <c r="AB34" s="4">
        <v>-1.7589900000000001</v>
      </c>
    </row>
    <row r="35" spans="1:28" x14ac:dyDescent="0.25">
      <c r="A35" s="6">
        <v>4</v>
      </c>
      <c r="B35" s="4">
        <v>30</v>
      </c>
      <c r="C35" s="5">
        <v>50.01</v>
      </c>
      <c r="D35" s="4">
        <v>20</v>
      </c>
      <c r="E35" s="3">
        <v>24</v>
      </c>
      <c r="F35" s="3">
        <f>1.8*E35+32</f>
        <v>75.2</v>
      </c>
      <c r="G35" s="3">
        <v>19</v>
      </c>
      <c r="H35" s="3">
        <f>IF(F35&gt;68,G35+(F35-68)*0.2,G140-(68-F35)*0.2)</f>
        <v>20.440000000000001</v>
      </c>
      <c r="I35" s="3">
        <v>24</v>
      </c>
      <c r="J35" s="3">
        <f>1.8*I35+32</f>
        <v>75.2</v>
      </c>
      <c r="K35" s="3">
        <v>11</v>
      </c>
      <c r="L35" s="3">
        <f>IF(J35&gt;68,K35+(J35-68)*0.2,K35-(68-J35)*0.2)</f>
        <v>12.440000000000001</v>
      </c>
      <c r="M35" s="3">
        <f>(C35-H35)/C35*100</f>
        <v>59.128174365126974</v>
      </c>
      <c r="N35" s="3">
        <f>100-(M35+O35)</f>
        <v>15.996800639872021</v>
      </c>
      <c r="O35" s="3">
        <f>L35/C35*100</f>
        <v>24.875024995001002</v>
      </c>
      <c r="P35" s="2" t="s">
        <v>0</v>
      </c>
      <c r="Q35" s="1">
        <v>409056.483557</v>
      </c>
      <c r="R35" s="1">
        <v>3659353.2763550002</v>
      </c>
      <c r="T35" s="4">
        <v>2006111</v>
      </c>
      <c r="U35" s="4" t="s">
        <v>224</v>
      </c>
      <c r="V35" s="4">
        <v>7.016E-2</v>
      </c>
      <c r="W35" s="4">
        <v>0.39105000000000001</v>
      </c>
      <c r="X35" s="4">
        <v>2.5659999999999999E-2</v>
      </c>
      <c r="Y35" s="4">
        <v>1.3032699999999999</v>
      </c>
      <c r="Z35" s="4">
        <v>11.29208</v>
      </c>
      <c r="AA35" s="4">
        <v>7.9639899999999999</v>
      </c>
      <c r="AB35" s="4">
        <v>-1.6395299999999999</v>
      </c>
    </row>
    <row r="36" spans="1:28" x14ac:dyDescent="0.25">
      <c r="A36" s="6">
        <v>4</v>
      </c>
      <c r="B36" s="4">
        <v>60</v>
      </c>
      <c r="C36" s="5">
        <v>50</v>
      </c>
      <c r="D36" s="4">
        <v>20</v>
      </c>
      <c r="E36" s="3">
        <v>24</v>
      </c>
      <c r="F36" s="3">
        <f>1.8*E36+32</f>
        <v>75.2</v>
      </c>
      <c r="G36" s="3">
        <v>17</v>
      </c>
      <c r="H36" s="3">
        <f>IF(F36&gt;68,G36+(F36-68)*0.2,G187-(68-F36)*0.2)</f>
        <v>18.440000000000001</v>
      </c>
      <c r="I36" s="3">
        <v>24</v>
      </c>
      <c r="J36" s="3">
        <f>1.8*I36+32</f>
        <v>75.2</v>
      </c>
      <c r="K36" s="3">
        <v>11</v>
      </c>
      <c r="L36" s="3">
        <f>IF(J36&gt;68,K36+(J36-68)*0.2,K36-(68-J36)*0.2)</f>
        <v>12.440000000000001</v>
      </c>
      <c r="M36" s="3">
        <f>(C36-H36)/C36*100</f>
        <v>63.12</v>
      </c>
      <c r="N36" s="3">
        <f>100-(M36+O36)</f>
        <v>12</v>
      </c>
      <c r="O36" s="3">
        <f>L36/C36*100</f>
        <v>24.880000000000003</v>
      </c>
      <c r="P36" s="2" t="s">
        <v>0</v>
      </c>
      <c r="Q36" s="1">
        <v>409056.483557</v>
      </c>
      <c r="R36" s="1">
        <v>3659353.2763550002</v>
      </c>
      <c r="T36" s="4">
        <v>2006111</v>
      </c>
      <c r="U36" s="4" t="s">
        <v>223</v>
      </c>
      <c r="V36" s="4">
        <v>8.1360000000000002E-2</v>
      </c>
      <c r="W36" s="4">
        <v>0.40887000000000001</v>
      </c>
      <c r="X36" s="4">
        <v>2.6980000000000001E-2</v>
      </c>
      <c r="Y36" s="4">
        <v>1.2408999999999999</v>
      </c>
      <c r="Z36" s="4">
        <v>11.606619999999999</v>
      </c>
      <c r="AA36" s="4">
        <v>6.9433699999999998</v>
      </c>
      <c r="AB36" s="4">
        <v>-2.3397100000000002</v>
      </c>
    </row>
    <row r="37" spans="1:28" x14ac:dyDescent="0.25">
      <c r="A37" s="6">
        <v>4</v>
      </c>
      <c r="B37" s="4">
        <v>90</v>
      </c>
      <c r="C37" s="5">
        <v>49.98</v>
      </c>
      <c r="D37" s="4">
        <v>20</v>
      </c>
      <c r="E37" s="3">
        <v>24</v>
      </c>
      <c r="F37" s="3">
        <f>1.8*E37+32</f>
        <v>75.2</v>
      </c>
      <c r="G37" s="3">
        <v>16.5</v>
      </c>
      <c r="H37" s="3">
        <f>IF(F37&gt;68,G37+(F37-68)*0.2,G188-(68-F37)*0.2)</f>
        <v>17.940000000000001</v>
      </c>
      <c r="I37" s="3">
        <v>24</v>
      </c>
      <c r="J37" s="3">
        <f>1.8*I37+32</f>
        <v>75.2</v>
      </c>
      <c r="K37" s="3">
        <v>11</v>
      </c>
      <c r="L37" s="3">
        <f>IF(J37&gt;68,K37+(J37-68)*0.2,K37-(68-J37)*0.2)</f>
        <v>12.440000000000001</v>
      </c>
      <c r="M37" s="3">
        <f>(C37-H37)/C37*100</f>
        <v>64.105642256902755</v>
      </c>
      <c r="N37" s="3">
        <f>100-(M37+O37)</f>
        <v>11.004401760704283</v>
      </c>
      <c r="O37" s="3">
        <f>L37/C37*100</f>
        <v>24.889955982392962</v>
      </c>
      <c r="P37" s="2" t="s">
        <v>0</v>
      </c>
      <c r="Q37" s="1">
        <v>409056.483557</v>
      </c>
      <c r="R37" s="1">
        <v>3659353.2763550002</v>
      </c>
      <c r="T37" s="4">
        <v>2006111</v>
      </c>
      <c r="U37" s="4" t="s">
        <v>222</v>
      </c>
      <c r="V37" s="4">
        <v>6.6040000000000001E-2</v>
      </c>
      <c r="W37" s="4">
        <v>0.38556000000000001</v>
      </c>
      <c r="X37" s="4">
        <v>2.6769999999999999E-2</v>
      </c>
      <c r="Y37" s="4">
        <v>1.31545</v>
      </c>
      <c r="Z37" s="4">
        <v>14.020949999999999</v>
      </c>
      <c r="AA37" s="4">
        <v>8.8900199999999998</v>
      </c>
      <c r="AB37" s="4">
        <v>-1.5812999999999999</v>
      </c>
    </row>
    <row r="38" spans="1:28" x14ac:dyDescent="0.25">
      <c r="A38" s="6">
        <v>4</v>
      </c>
      <c r="B38" s="4">
        <v>120</v>
      </c>
      <c r="C38" s="5">
        <v>50.02</v>
      </c>
      <c r="D38" s="4">
        <v>20</v>
      </c>
      <c r="E38" s="3">
        <v>24</v>
      </c>
      <c r="F38" s="3">
        <f>1.8*E38+32</f>
        <v>75.2</v>
      </c>
      <c r="G38" s="3">
        <v>19.5</v>
      </c>
      <c r="H38" s="3">
        <f>IF(F38&gt;68,G38+(F38-68)*0.2,G189-(68-F38)*0.2)</f>
        <v>20.94</v>
      </c>
      <c r="I38" s="3">
        <v>24</v>
      </c>
      <c r="J38" s="3">
        <f>1.8*I38+32</f>
        <v>75.2</v>
      </c>
      <c r="K38" s="3">
        <v>13.5</v>
      </c>
      <c r="L38" s="3">
        <f>IF(J38&gt;68,K38+(J38-68)*0.2,K38-(68-J38)*0.2)</f>
        <v>14.940000000000001</v>
      </c>
      <c r="M38" s="3">
        <f>(C38-H38)/C38*100</f>
        <v>58.136745301879245</v>
      </c>
      <c r="N38" s="3">
        <f>100-(M38+O38)</f>
        <v>11.995201919232315</v>
      </c>
      <c r="O38" s="3">
        <f>L38/C38*100</f>
        <v>29.868052778888444</v>
      </c>
      <c r="P38" s="2" t="s">
        <v>0</v>
      </c>
      <c r="Q38" s="1">
        <v>409056.483557</v>
      </c>
      <c r="R38" s="1">
        <v>3659353.2763550002</v>
      </c>
      <c r="T38" s="4">
        <v>2006111</v>
      </c>
      <c r="U38" s="4" t="s">
        <v>221</v>
      </c>
      <c r="V38" s="4">
        <v>6.9760000000000003E-2</v>
      </c>
      <c r="W38" s="4">
        <v>0.38801000000000002</v>
      </c>
      <c r="X38" s="4">
        <v>2.6460000000000001E-2</v>
      </c>
      <c r="Y38" s="4">
        <v>1.29613</v>
      </c>
      <c r="Z38" s="4">
        <v>11.995469999999999</v>
      </c>
      <c r="AA38" s="4">
        <v>8.1477500000000003</v>
      </c>
      <c r="AB38" s="4">
        <v>-1.7216199999999999</v>
      </c>
    </row>
    <row r="39" spans="1:28" x14ac:dyDescent="0.25">
      <c r="A39" s="6">
        <v>4</v>
      </c>
      <c r="B39" s="4">
        <v>150</v>
      </c>
      <c r="C39" s="5">
        <v>50.02</v>
      </c>
      <c r="D39" s="4">
        <v>20</v>
      </c>
      <c r="E39" s="3">
        <v>24</v>
      </c>
      <c r="F39" s="3">
        <f>1.8*E39+32</f>
        <v>75.2</v>
      </c>
      <c r="G39" s="3">
        <v>20</v>
      </c>
      <c r="H39" s="3">
        <f>IF(F39&gt;68,G39+(F39-68)*0.2,G190-(68-F39)*0.2)</f>
        <v>21.44</v>
      </c>
      <c r="I39" s="3">
        <v>24</v>
      </c>
      <c r="J39" s="3">
        <f>1.8*I39+32</f>
        <v>75.2</v>
      </c>
      <c r="K39" s="3">
        <v>13</v>
      </c>
      <c r="L39" s="3">
        <f>IF(J39&gt;68,K39+(J39-68)*0.2,K39-(68-J39)*0.2)</f>
        <v>14.440000000000001</v>
      </c>
      <c r="M39" s="3">
        <f>(C39-H39)/C39*100</f>
        <v>57.137145141943222</v>
      </c>
      <c r="N39" s="3">
        <f>100-(M39+O39)</f>
        <v>13.99440223910436</v>
      </c>
      <c r="O39" s="3">
        <f>L39/C39*100</f>
        <v>28.868452618952418</v>
      </c>
      <c r="P39" s="2" t="s">
        <v>0</v>
      </c>
      <c r="Q39" s="1">
        <v>409056.483557</v>
      </c>
      <c r="R39" s="1">
        <v>3659353.2763550002</v>
      </c>
      <c r="T39" s="4">
        <v>2006111</v>
      </c>
      <c r="U39" s="4" t="s">
        <v>220</v>
      </c>
      <c r="V39" s="4">
        <v>6.8669999999999995E-2</v>
      </c>
      <c r="W39" s="4">
        <v>0.38807000000000003</v>
      </c>
      <c r="X39" s="4">
        <v>2.6280000000000001E-2</v>
      </c>
      <c r="Y39" s="4">
        <v>1.30467</v>
      </c>
      <c r="Z39" s="4">
        <v>12.31555</v>
      </c>
      <c r="AA39" s="4">
        <v>8.3115500000000004</v>
      </c>
      <c r="AB39" s="4">
        <v>-1.64741</v>
      </c>
    </row>
    <row r="40" spans="1:28" x14ac:dyDescent="0.25">
      <c r="A40" s="6">
        <v>4</v>
      </c>
      <c r="B40" s="4">
        <v>180</v>
      </c>
      <c r="C40" s="5">
        <v>50.02</v>
      </c>
      <c r="D40" s="4">
        <v>20</v>
      </c>
      <c r="E40" s="3">
        <v>24</v>
      </c>
      <c r="F40" s="3">
        <f>1.8*E40+32</f>
        <v>75.2</v>
      </c>
      <c r="G40" s="3">
        <v>16.5</v>
      </c>
      <c r="H40" s="3">
        <f>IF(F40&gt;68,G40+(F40-68)*0.2,G191-(68-F40)*0.2)</f>
        <v>17.940000000000001</v>
      </c>
      <c r="I40" s="3">
        <v>24</v>
      </c>
      <c r="J40" s="3">
        <f>1.8*I40+32</f>
        <v>75.2</v>
      </c>
      <c r="K40" s="3">
        <v>12</v>
      </c>
      <c r="L40" s="3">
        <f>IF(J40&gt;68,K40+(J40-68)*0.2,K40-(68-J40)*0.2)</f>
        <v>13.440000000000001</v>
      </c>
      <c r="M40" s="3">
        <f>(C40-H40)/C40*100</f>
        <v>64.134346261495395</v>
      </c>
      <c r="N40" s="3">
        <f>100-(M40+O40)</f>
        <v>8.9964014394242326</v>
      </c>
      <c r="O40" s="3">
        <f>L40/C40*100</f>
        <v>26.869252299080372</v>
      </c>
      <c r="P40" s="2" t="s">
        <v>0</v>
      </c>
      <c r="Q40" s="1">
        <v>409056.483557</v>
      </c>
      <c r="R40" s="1">
        <v>3659353.2763550002</v>
      </c>
      <c r="T40" s="4">
        <v>2006111</v>
      </c>
      <c r="U40" s="4" t="s">
        <v>219</v>
      </c>
      <c r="V40" s="4">
        <v>6.9959999999999994E-2</v>
      </c>
      <c r="W40" s="4">
        <v>0.38952999999999999</v>
      </c>
      <c r="X40" s="4">
        <v>2.6089999999999999E-2</v>
      </c>
      <c r="Y40" s="4">
        <v>1.29952</v>
      </c>
      <c r="Z40" s="4">
        <v>11.64335</v>
      </c>
      <c r="AA40" s="4">
        <v>8.0683399999999992</v>
      </c>
      <c r="AB40" s="4">
        <v>-1.68224</v>
      </c>
    </row>
    <row r="41" spans="1:28" x14ac:dyDescent="0.25">
      <c r="T41" s="4">
        <v>2006111</v>
      </c>
      <c r="U41" s="4" t="s">
        <v>218</v>
      </c>
      <c r="V41" s="4">
        <v>7.1639999999999995E-2</v>
      </c>
      <c r="W41" s="4">
        <v>0.39421</v>
      </c>
      <c r="X41" s="4">
        <v>2.5010000000000001E-2</v>
      </c>
      <c r="Y41" s="4">
        <v>1.3027299999999999</v>
      </c>
      <c r="Z41" s="4">
        <v>10.33672</v>
      </c>
      <c r="AA41" s="4">
        <v>7.62582</v>
      </c>
      <c r="AB41" s="4">
        <v>-1.62364</v>
      </c>
    </row>
    <row r="42" spans="1:28" ht="51.75" x14ac:dyDescent="0.25">
      <c r="A42" s="15" t="s">
        <v>19</v>
      </c>
      <c r="B42" s="10" t="s">
        <v>18</v>
      </c>
      <c r="C42" s="14" t="s">
        <v>17</v>
      </c>
      <c r="D42" s="13" t="s">
        <v>16</v>
      </c>
      <c r="E42" s="12" t="s">
        <v>15</v>
      </c>
      <c r="F42" s="12" t="s">
        <v>14</v>
      </c>
      <c r="G42" s="12" t="s">
        <v>13</v>
      </c>
      <c r="H42" s="12" t="s">
        <v>12</v>
      </c>
      <c r="I42" s="12" t="s">
        <v>11</v>
      </c>
      <c r="J42" s="12" t="s">
        <v>10</v>
      </c>
      <c r="K42" s="12" t="s">
        <v>9</v>
      </c>
      <c r="L42" s="12" t="s">
        <v>8</v>
      </c>
      <c r="M42" s="11" t="s">
        <v>7</v>
      </c>
      <c r="N42" s="11" t="s">
        <v>6</v>
      </c>
      <c r="O42" s="11" t="s">
        <v>5</v>
      </c>
      <c r="P42" s="10" t="s">
        <v>4</v>
      </c>
      <c r="Q42" s="17" t="s">
        <v>3</v>
      </c>
      <c r="R42" s="17"/>
      <c r="T42" s="4">
        <v>2006111</v>
      </c>
      <c r="U42" s="4" t="s">
        <v>217</v>
      </c>
      <c r="V42" s="4">
        <v>6.7349999999999993E-2</v>
      </c>
      <c r="W42" s="4">
        <v>0.38671</v>
      </c>
      <c r="X42" s="4">
        <v>2.6519999999999998E-2</v>
      </c>
      <c r="Y42" s="4">
        <v>1.31003</v>
      </c>
      <c r="Z42" s="4">
        <v>13.120609999999999</v>
      </c>
      <c r="AA42" s="4">
        <v>8.5898000000000003</v>
      </c>
      <c r="AB42" s="4">
        <v>-1.6136200000000001</v>
      </c>
    </row>
    <row r="43" spans="1:28" x14ac:dyDescent="0.25">
      <c r="A43" s="4"/>
      <c r="B43" s="4"/>
      <c r="C43" s="5"/>
      <c r="D43" s="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2"/>
      <c r="Q43" s="7" t="s">
        <v>2</v>
      </c>
      <c r="R43" s="7" t="s">
        <v>1</v>
      </c>
      <c r="T43" s="4">
        <v>2006111</v>
      </c>
      <c r="U43" s="4" t="s">
        <v>216</v>
      </c>
      <c r="V43" s="4">
        <v>6.3619999999999996E-2</v>
      </c>
      <c r="W43" s="4">
        <v>0.38331999999999999</v>
      </c>
      <c r="X43" s="4">
        <v>2.7459999999999998E-2</v>
      </c>
      <c r="Y43" s="4">
        <v>1.32491</v>
      </c>
      <c r="Z43" s="4">
        <v>16.050830000000001</v>
      </c>
      <c r="AA43" s="4">
        <v>9.5446100000000005</v>
      </c>
      <c r="AB43" s="4">
        <v>-1.53495</v>
      </c>
    </row>
    <row r="44" spans="1:28" x14ac:dyDescent="0.25">
      <c r="A44" s="6">
        <v>5</v>
      </c>
      <c r="B44" s="4">
        <v>30</v>
      </c>
      <c r="C44" s="5">
        <v>49.99</v>
      </c>
      <c r="D44" s="4">
        <v>20</v>
      </c>
      <c r="E44" s="3">
        <v>24</v>
      </c>
      <c r="F44" s="3">
        <f>1.8*E44+32</f>
        <v>75.2</v>
      </c>
      <c r="G44" s="3">
        <v>17.5</v>
      </c>
      <c r="H44" s="3">
        <f>IF(F44&gt;68,G44+(F44-68)*0.2,#REF!-(68-F44)*0.2)</f>
        <v>18.940000000000001</v>
      </c>
      <c r="I44" s="3">
        <v>24</v>
      </c>
      <c r="J44" s="3">
        <f>1.8*I44+32</f>
        <v>75.2</v>
      </c>
      <c r="K44" s="3">
        <v>11</v>
      </c>
      <c r="L44" s="3">
        <f>IF(J44&gt;68,K44+(J44-68)*0.2,K44-(68-J44)*0.2)</f>
        <v>12.440000000000001</v>
      </c>
      <c r="M44" s="3">
        <f>(C44-H44)/C44*100</f>
        <v>62.112422484496896</v>
      </c>
      <c r="N44" s="3">
        <f>100-(M44+O44)</f>
        <v>13.002600520104025</v>
      </c>
      <c r="O44" s="3">
        <f>L44/C44*100</f>
        <v>24.884976995399079</v>
      </c>
      <c r="P44" s="2" t="s">
        <v>0</v>
      </c>
      <c r="Q44" s="21">
        <v>409068.60310399998</v>
      </c>
      <c r="R44" s="21">
        <v>3659353.0659079999</v>
      </c>
      <c r="T44" s="4">
        <v>2006111</v>
      </c>
      <c r="U44" s="4" t="s">
        <v>215</v>
      </c>
      <c r="V44" s="4">
        <v>6.6299999999999998E-2</v>
      </c>
      <c r="W44" s="4">
        <v>0.38486999999999999</v>
      </c>
      <c r="X44" s="4">
        <v>2.6939999999999999E-2</v>
      </c>
      <c r="Y44" s="4">
        <v>1.31202</v>
      </c>
      <c r="Z44" s="4">
        <v>13.944900000000001</v>
      </c>
      <c r="AA44" s="4">
        <v>8.8599499999999995</v>
      </c>
      <c r="AB44" s="4">
        <v>-1.6117300000000001</v>
      </c>
    </row>
    <row r="45" spans="1:28" x14ac:dyDescent="0.25">
      <c r="A45" s="6">
        <v>5</v>
      </c>
      <c r="B45" s="4">
        <v>60</v>
      </c>
      <c r="C45" s="5">
        <v>50</v>
      </c>
      <c r="D45" s="4">
        <v>20</v>
      </c>
      <c r="E45" s="3">
        <v>24</v>
      </c>
      <c r="F45" s="3">
        <f>1.8*E45+32</f>
        <v>75.2</v>
      </c>
      <c r="G45" s="3">
        <v>16.5</v>
      </c>
      <c r="H45" s="3">
        <f>IF(F45&gt;68,G45+(F45-68)*0.2,G132-(68-F45)*0.2)</f>
        <v>17.940000000000001</v>
      </c>
      <c r="I45" s="3">
        <v>24</v>
      </c>
      <c r="J45" s="3">
        <f>1.8*I45+32</f>
        <v>75.2</v>
      </c>
      <c r="K45" s="3">
        <v>11</v>
      </c>
      <c r="L45" s="3">
        <f>IF(J45&gt;68,K45+(J45-68)*0.2,K45-(68-J45)*0.2)</f>
        <v>12.440000000000001</v>
      </c>
      <c r="M45" s="3">
        <f>(C45-H45)/C45*100</f>
        <v>64.12</v>
      </c>
      <c r="N45" s="3">
        <f>100-(M45+O45)</f>
        <v>11</v>
      </c>
      <c r="O45" s="3">
        <f>L45/C45*100</f>
        <v>24.880000000000003</v>
      </c>
      <c r="P45" s="2" t="s">
        <v>0</v>
      </c>
      <c r="Q45" s="21">
        <v>409068.60310399998</v>
      </c>
      <c r="R45" s="21">
        <v>3659353.0659079999</v>
      </c>
      <c r="T45" s="4">
        <v>2006111</v>
      </c>
      <c r="U45" s="4" t="s">
        <v>214</v>
      </c>
      <c r="V45" s="4">
        <v>7.6850000000000002E-2</v>
      </c>
      <c r="W45" s="4">
        <v>0.39885999999999999</v>
      </c>
      <c r="X45" s="4">
        <v>2.631E-2</v>
      </c>
      <c r="Y45" s="4">
        <v>1.2641199999999999</v>
      </c>
      <c r="Z45" s="4">
        <v>10.49004</v>
      </c>
      <c r="AA45" s="4">
        <v>7.2214999999999998</v>
      </c>
      <c r="AB45" s="4">
        <v>-2.0217499999999999</v>
      </c>
    </row>
    <row r="46" spans="1:28" x14ac:dyDescent="0.25">
      <c r="A46" s="6">
        <v>5</v>
      </c>
      <c r="B46" s="4">
        <v>90</v>
      </c>
      <c r="C46" s="5">
        <v>50</v>
      </c>
      <c r="D46" s="4">
        <v>20</v>
      </c>
      <c r="E46" s="3">
        <v>24</v>
      </c>
      <c r="F46" s="3">
        <f>1.8*E46+32</f>
        <v>75.2</v>
      </c>
      <c r="G46" s="3">
        <v>15</v>
      </c>
      <c r="H46" s="3">
        <f>IF(F46&gt;68,G46+(F46-68)*0.2,G133-(68-F46)*0.2)</f>
        <v>16.440000000000001</v>
      </c>
      <c r="I46" s="3">
        <v>24</v>
      </c>
      <c r="J46" s="3">
        <f>1.8*I46+32</f>
        <v>75.2</v>
      </c>
      <c r="K46" s="3">
        <v>9</v>
      </c>
      <c r="L46" s="3">
        <f>IF(J46&gt;68,K46+(J46-68)*0.2,K46-(68-J46)*0.2)</f>
        <v>10.440000000000001</v>
      </c>
      <c r="M46" s="3">
        <f>(C46-H46)/C46*100</f>
        <v>67.12</v>
      </c>
      <c r="N46" s="3">
        <f>100-(M46+O46)</f>
        <v>12</v>
      </c>
      <c r="O46" s="3">
        <f>L46/C46*100</f>
        <v>20.880000000000003</v>
      </c>
      <c r="P46" s="2" t="s">
        <v>0</v>
      </c>
      <c r="Q46" s="21">
        <v>409068.60310399998</v>
      </c>
      <c r="R46" s="21">
        <v>3659353.0659079999</v>
      </c>
      <c r="T46" s="4">
        <v>2006111</v>
      </c>
      <c r="U46" s="4" t="s">
        <v>213</v>
      </c>
      <c r="V46" s="4">
        <v>7.6069999999999999E-2</v>
      </c>
      <c r="W46" s="4">
        <v>0.39865</v>
      </c>
      <c r="X46" s="4">
        <v>2.5819999999999999E-2</v>
      </c>
      <c r="Y46" s="4">
        <v>1.2730600000000001</v>
      </c>
      <c r="Z46" s="4">
        <v>9.9303699999999999</v>
      </c>
      <c r="AA46" s="4">
        <v>7.2333800000000004</v>
      </c>
      <c r="AB46" s="4">
        <v>-1.9088499999999999</v>
      </c>
    </row>
    <row r="47" spans="1:28" x14ac:dyDescent="0.25">
      <c r="A47" s="6">
        <v>5</v>
      </c>
      <c r="B47" s="4">
        <v>120</v>
      </c>
      <c r="C47" s="5">
        <v>49.99</v>
      </c>
      <c r="D47" s="4">
        <v>20</v>
      </c>
      <c r="E47" s="3">
        <v>24</v>
      </c>
      <c r="F47" s="3">
        <f>1.8*E47+32</f>
        <v>75.2</v>
      </c>
      <c r="G47" s="3">
        <v>13</v>
      </c>
      <c r="H47" s="3">
        <f>IF(F47&gt;68,G47+(F47-68)*0.2,G134-(68-F47)*0.2)</f>
        <v>14.440000000000001</v>
      </c>
      <c r="I47" s="3">
        <v>24</v>
      </c>
      <c r="J47" s="3">
        <f>1.8*I47+32</f>
        <v>75.2</v>
      </c>
      <c r="K47" s="3">
        <v>8</v>
      </c>
      <c r="L47" s="3">
        <f>IF(J47&gt;68,K47+(J47-68)*0.2,K47-(68-J47)*0.2)</f>
        <v>9.4400000000000013</v>
      </c>
      <c r="M47" s="3">
        <f>(C47-H47)/C47*100</f>
        <v>71.114222844568914</v>
      </c>
      <c r="N47" s="3">
        <f>100-(M47+O47)</f>
        <v>10.002000400080021</v>
      </c>
      <c r="O47" s="3">
        <f>L47/C47*100</f>
        <v>18.883776755351072</v>
      </c>
      <c r="P47" s="2" t="s">
        <v>20</v>
      </c>
      <c r="Q47" s="21">
        <v>409068.60310399998</v>
      </c>
      <c r="R47" s="21">
        <v>3659353.0659079999</v>
      </c>
      <c r="T47" s="4">
        <v>2006111</v>
      </c>
      <c r="U47" s="4" t="s">
        <v>212</v>
      </c>
      <c r="V47" s="4">
        <v>7.4310000000000001E-2</v>
      </c>
      <c r="W47" s="4">
        <v>0.39777000000000001</v>
      </c>
      <c r="X47" s="4">
        <v>2.4969999999999999E-2</v>
      </c>
      <c r="Y47" s="4">
        <v>1.2902899999999999</v>
      </c>
      <c r="Z47" s="4">
        <v>9.4645399999999995</v>
      </c>
      <c r="AA47" s="4">
        <v>7.2822199999999997</v>
      </c>
      <c r="AB47" s="4">
        <v>-1.72119</v>
      </c>
    </row>
    <row r="48" spans="1:28" x14ac:dyDescent="0.25">
      <c r="A48" s="6">
        <v>5</v>
      </c>
      <c r="B48" s="4">
        <v>150</v>
      </c>
      <c r="C48" s="5">
        <v>49.99</v>
      </c>
      <c r="D48" s="4">
        <v>20</v>
      </c>
      <c r="E48" s="3">
        <v>24</v>
      </c>
      <c r="F48" s="3">
        <f>1.8*E48+32</f>
        <v>75.2</v>
      </c>
      <c r="G48" s="3">
        <v>19</v>
      </c>
      <c r="H48" s="3">
        <f>IF(F48&gt;68,G48+(F48-68)*0.2,G135-(68-F48)*0.2)</f>
        <v>20.440000000000001</v>
      </c>
      <c r="I48" s="3">
        <v>24</v>
      </c>
      <c r="J48" s="3">
        <f>1.8*I48+32</f>
        <v>75.2</v>
      </c>
      <c r="K48" s="3">
        <v>12</v>
      </c>
      <c r="L48" s="3">
        <f>IF(J48&gt;68,K48+(J48-68)*0.2,K48-(68-J48)*0.2)</f>
        <v>13.440000000000001</v>
      </c>
      <c r="M48" s="3">
        <f>(C48-H48)/C48*100</f>
        <v>59.1118223644729</v>
      </c>
      <c r="N48" s="3">
        <f>100-(M48+O48)</f>
        <v>14.002800560112007</v>
      </c>
      <c r="O48" s="3">
        <f>L48/C48*100</f>
        <v>26.885377075415086</v>
      </c>
      <c r="P48" s="2" t="s">
        <v>0</v>
      </c>
      <c r="Q48" s="21">
        <v>409068.60310399998</v>
      </c>
      <c r="R48" s="21">
        <v>3659353.0659079999</v>
      </c>
      <c r="T48" s="4">
        <v>2006111</v>
      </c>
      <c r="U48" s="4" t="s">
        <v>211</v>
      </c>
      <c r="V48" s="4">
        <v>6.608E-2</v>
      </c>
      <c r="W48" s="4">
        <v>0.38138</v>
      </c>
      <c r="X48" s="4">
        <v>2.7470000000000001E-2</v>
      </c>
      <c r="Y48" s="4">
        <v>1.30704</v>
      </c>
      <c r="Z48" s="4">
        <v>14.509359999999999</v>
      </c>
      <c r="AA48" s="4">
        <v>8.9212299999999995</v>
      </c>
      <c r="AB48" s="4">
        <v>-1.6692199999999999</v>
      </c>
    </row>
    <row r="49" spans="1:28" x14ac:dyDescent="0.25">
      <c r="A49" s="6">
        <v>5</v>
      </c>
      <c r="B49" s="4">
        <v>180</v>
      </c>
      <c r="C49" s="5">
        <v>50</v>
      </c>
      <c r="D49" s="4">
        <v>20</v>
      </c>
      <c r="E49" s="3">
        <v>24</v>
      </c>
      <c r="F49" s="3">
        <f>1.8*E49+32</f>
        <v>75.2</v>
      </c>
      <c r="G49" s="3">
        <v>17</v>
      </c>
      <c r="H49" s="3">
        <f>IF(F49&gt;68,G49+(F49-68)*0.2,G136-(68-F49)*0.2)</f>
        <v>18.440000000000001</v>
      </c>
      <c r="I49" s="3">
        <v>24</v>
      </c>
      <c r="J49" s="3">
        <f>1.8*I49+32</f>
        <v>75.2</v>
      </c>
      <c r="K49" s="3">
        <v>11</v>
      </c>
      <c r="L49" s="3">
        <f>IF(J49&gt;68,K49+(J49-68)*0.2,K49-(68-J49)*0.2)</f>
        <v>12.440000000000001</v>
      </c>
      <c r="M49" s="3">
        <f>(C49-H49)/C49*100</f>
        <v>63.12</v>
      </c>
      <c r="N49" s="3">
        <f>100-(M49+O49)</f>
        <v>12</v>
      </c>
      <c r="O49" s="3">
        <f>L49/C49*100</f>
        <v>24.880000000000003</v>
      </c>
      <c r="P49" s="2" t="s">
        <v>0</v>
      </c>
      <c r="Q49" s="21">
        <v>409068.60310399998</v>
      </c>
      <c r="R49" s="21">
        <v>3659353.0659079999</v>
      </c>
      <c r="T49" s="4">
        <v>2006111</v>
      </c>
      <c r="U49" s="4" t="s">
        <v>210</v>
      </c>
      <c r="V49" s="4">
        <v>6.3189999999999996E-2</v>
      </c>
      <c r="W49" s="4">
        <v>0.38191999999999998</v>
      </c>
      <c r="X49" s="4">
        <v>2.7799999999999998E-2</v>
      </c>
      <c r="Y49" s="4">
        <v>1.3253900000000001</v>
      </c>
      <c r="Z49" s="4">
        <v>16.5899</v>
      </c>
      <c r="AA49" s="4">
        <v>9.7091499999999993</v>
      </c>
      <c r="AB49" s="4">
        <v>-1.5434300000000001</v>
      </c>
    </row>
    <row r="50" spans="1:28" x14ac:dyDescent="0.25">
      <c r="T50" s="4">
        <v>2006111</v>
      </c>
      <c r="U50" s="4" t="s">
        <v>209</v>
      </c>
      <c r="V50" s="4">
        <v>6.5860000000000002E-2</v>
      </c>
      <c r="W50" s="4">
        <v>0.38378000000000001</v>
      </c>
      <c r="X50" s="4">
        <v>2.7179999999999999E-2</v>
      </c>
      <c r="Y50" s="4">
        <v>1.31243</v>
      </c>
      <c r="Z50" s="4">
        <v>14.35286</v>
      </c>
      <c r="AA50" s="4">
        <v>8.9843399999999995</v>
      </c>
      <c r="AB50" s="4">
        <v>-1.61632</v>
      </c>
    </row>
    <row r="51" spans="1:28" ht="51.75" x14ac:dyDescent="0.25">
      <c r="A51" s="15" t="s">
        <v>19</v>
      </c>
      <c r="B51" s="10" t="s">
        <v>18</v>
      </c>
      <c r="C51" s="14" t="s">
        <v>17</v>
      </c>
      <c r="D51" s="13" t="s">
        <v>16</v>
      </c>
      <c r="E51" s="12" t="s">
        <v>15</v>
      </c>
      <c r="F51" s="12" t="s">
        <v>14</v>
      </c>
      <c r="G51" s="12" t="s">
        <v>13</v>
      </c>
      <c r="H51" s="12" t="s">
        <v>12</v>
      </c>
      <c r="I51" s="12" t="s">
        <v>11</v>
      </c>
      <c r="J51" s="12" t="s">
        <v>10</v>
      </c>
      <c r="K51" s="12" t="s">
        <v>9</v>
      </c>
      <c r="L51" s="12" t="s">
        <v>8</v>
      </c>
      <c r="M51" s="11" t="s">
        <v>7</v>
      </c>
      <c r="N51" s="11" t="s">
        <v>6</v>
      </c>
      <c r="O51" s="11" t="s">
        <v>5</v>
      </c>
      <c r="P51" s="10" t="s">
        <v>4</v>
      </c>
      <c r="Q51" s="17" t="s">
        <v>3</v>
      </c>
      <c r="R51" s="17"/>
      <c r="T51" s="4">
        <v>2006111</v>
      </c>
      <c r="U51" s="4" t="s">
        <v>208</v>
      </c>
      <c r="V51" s="4">
        <v>6.062E-2</v>
      </c>
      <c r="W51" s="4">
        <v>0.37830000000000003</v>
      </c>
      <c r="X51" s="4">
        <v>2.8760000000000001E-2</v>
      </c>
      <c r="Y51" s="4">
        <v>1.3419300000000001</v>
      </c>
      <c r="Z51" s="4">
        <v>19.898019999999999</v>
      </c>
      <c r="AA51" s="4">
        <v>10.591839999999999</v>
      </c>
      <c r="AB51" s="4">
        <v>-1.4788600000000001</v>
      </c>
    </row>
    <row r="52" spans="1:28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7" t="s">
        <v>2</v>
      </c>
      <c r="R52" s="7" t="s">
        <v>1</v>
      </c>
      <c r="T52" s="4">
        <v>2006111</v>
      </c>
      <c r="U52" s="4" t="s">
        <v>207</v>
      </c>
      <c r="V52" s="4">
        <v>6.1850000000000002E-2</v>
      </c>
      <c r="W52" s="4">
        <v>0.38</v>
      </c>
      <c r="X52" s="4">
        <v>2.8330000000000001E-2</v>
      </c>
      <c r="Y52" s="4">
        <v>1.33226</v>
      </c>
      <c r="Z52" s="4">
        <v>18.13777</v>
      </c>
      <c r="AA52" s="4">
        <v>10.15202</v>
      </c>
      <c r="AB52" s="4">
        <v>-1.5178700000000001</v>
      </c>
    </row>
    <row r="53" spans="1:28" x14ac:dyDescent="0.25">
      <c r="A53" s="6">
        <v>6</v>
      </c>
      <c r="B53" s="4">
        <v>30</v>
      </c>
      <c r="C53" s="4">
        <v>50</v>
      </c>
      <c r="D53" s="4">
        <v>20</v>
      </c>
      <c r="E53" s="4">
        <v>25</v>
      </c>
      <c r="F53" s="3">
        <f>1.8*E53+32</f>
        <v>77</v>
      </c>
      <c r="G53" s="4">
        <v>16</v>
      </c>
      <c r="H53" s="3">
        <f>IF(F53&gt;68,G53+(F53-68)*0.2,G140-(68-F53)*0.2)</f>
        <v>17.8</v>
      </c>
      <c r="I53" s="4">
        <v>21.5</v>
      </c>
      <c r="J53" s="3">
        <f>1.8*I53+32</f>
        <v>70.7</v>
      </c>
      <c r="K53" s="4">
        <v>12</v>
      </c>
      <c r="L53" s="3">
        <f>IF(J53&gt;68,K53+(J53-68)*0.2,K53-(68-J53)*0.2)</f>
        <v>12.540000000000001</v>
      </c>
      <c r="M53" s="3">
        <f>(C53-H53)/C53*100</f>
        <v>64.400000000000006</v>
      </c>
      <c r="N53" s="3">
        <f>100-(M53+O53)</f>
        <v>10.519999999999996</v>
      </c>
      <c r="O53" s="3">
        <f>L53/C53*100</f>
        <v>25.080000000000002</v>
      </c>
      <c r="P53" s="2" t="s">
        <v>0</v>
      </c>
      <c r="Q53" s="1">
        <v>409080.86133699998</v>
      </c>
      <c r="R53" s="1">
        <v>3659352.8544410001</v>
      </c>
      <c r="T53" s="4">
        <v>2006111</v>
      </c>
      <c r="U53" s="4" t="s">
        <v>206</v>
      </c>
      <c r="V53" s="4">
        <v>6.8449999999999997E-2</v>
      </c>
      <c r="W53" s="4">
        <v>0.38618000000000002</v>
      </c>
      <c r="X53" s="4">
        <v>2.6720000000000001E-2</v>
      </c>
      <c r="Y53" s="4">
        <v>1.30074</v>
      </c>
      <c r="Z53" s="4">
        <v>12.71909</v>
      </c>
      <c r="AA53" s="4">
        <v>8.4065899999999996</v>
      </c>
      <c r="AB53" s="4">
        <v>-1.69228</v>
      </c>
    </row>
    <row r="54" spans="1:28" x14ac:dyDescent="0.25">
      <c r="A54" s="6">
        <v>6</v>
      </c>
      <c r="B54" s="4">
        <v>60</v>
      </c>
      <c r="C54" s="4">
        <v>50</v>
      </c>
      <c r="D54" s="4">
        <v>20</v>
      </c>
      <c r="E54" s="4">
        <v>25</v>
      </c>
      <c r="F54" s="3">
        <f>1.8*E54+32</f>
        <v>77</v>
      </c>
      <c r="G54" s="4">
        <v>19</v>
      </c>
      <c r="H54" s="3">
        <f>IF(F54&gt;68,G54+(F54-68)*0.2,G187-(68-F54)*0.2)</f>
        <v>20.8</v>
      </c>
      <c r="I54" s="4">
        <v>21.5</v>
      </c>
      <c r="J54" s="3">
        <f>1.8*I54+32</f>
        <v>70.7</v>
      </c>
      <c r="K54" s="4">
        <v>13</v>
      </c>
      <c r="L54" s="3">
        <f>IF(J54&gt;68,K54+(J54-68)*0.2,K54-(68-J54)*0.2)</f>
        <v>13.540000000000001</v>
      </c>
      <c r="M54" s="3">
        <f>(C54-H54)/C54*100</f>
        <v>58.4</v>
      </c>
      <c r="N54" s="3">
        <f>100-(M54+O54)</f>
        <v>14.519999999999996</v>
      </c>
      <c r="O54" s="3">
        <f>L54/C54*100</f>
        <v>27.080000000000005</v>
      </c>
      <c r="P54" s="2" t="s">
        <v>0</v>
      </c>
      <c r="Q54" s="1">
        <v>409080.86133699998</v>
      </c>
      <c r="R54" s="1">
        <v>3659352.8544410001</v>
      </c>
      <c r="T54" s="4">
        <v>2006111</v>
      </c>
      <c r="U54" s="4" t="s">
        <v>205</v>
      </c>
      <c r="V54" s="4">
        <v>6.7180000000000004E-2</v>
      </c>
      <c r="W54" s="4">
        <v>0.37530000000000002</v>
      </c>
      <c r="X54" s="4">
        <v>2.674E-2</v>
      </c>
      <c r="Y54" s="4">
        <v>1.29989</v>
      </c>
      <c r="Z54" s="4">
        <v>14.72334</v>
      </c>
      <c r="AA54" s="4">
        <v>8.2149000000000001</v>
      </c>
      <c r="AB54" s="4">
        <v>-1.7247399999999999</v>
      </c>
    </row>
    <row r="55" spans="1:28" x14ac:dyDescent="0.25">
      <c r="A55" s="6">
        <v>6</v>
      </c>
      <c r="B55" s="4">
        <v>90</v>
      </c>
      <c r="C55" s="4">
        <v>50</v>
      </c>
      <c r="D55" s="4">
        <v>20</v>
      </c>
      <c r="E55" s="4">
        <v>25</v>
      </c>
      <c r="F55" s="3">
        <f>1.8*E55+32</f>
        <v>77</v>
      </c>
      <c r="G55" s="4">
        <v>17</v>
      </c>
      <c r="H55" s="3">
        <f>IF(F55&gt;68,G55+(F55-68)*0.2,G188-(68-F55)*0.2)</f>
        <v>18.8</v>
      </c>
      <c r="I55" s="4">
        <v>21.5</v>
      </c>
      <c r="J55" s="3">
        <f>1.8*I55+32</f>
        <v>70.7</v>
      </c>
      <c r="K55" s="4">
        <v>11.5</v>
      </c>
      <c r="L55" s="3">
        <f>IF(J55&gt;68,K55+(J55-68)*0.2,K55-(68-J55)*0.2)</f>
        <v>12.040000000000001</v>
      </c>
      <c r="M55" s="3">
        <f>(C55-H55)/C55*100</f>
        <v>62.4</v>
      </c>
      <c r="N55" s="3">
        <f>100-(M55+O55)</f>
        <v>13.519999999999996</v>
      </c>
      <c r="O55" s="3">
        <f>L55/C55*100</f>
        <v>24.080000000000002</v>
      </c>
      <c r="P55" s="2" t="s">
        <v>0</v>
      </c>
      <c r="Q55" s="1">
        <v>409080.86133699998</v>
      </c>
      <c r="R55" s="1">
        <v>3659352.8544410001</v>
      </c>
      <c r="T55" s="4">
        <v>2006111</v>
      </c>
      <c r="U55" s="4" t="s">
        <v>204</v>
      </c>
      <c r="V55" s="4">
        <v>6.225E-2</v>
      </c>
      <c r="W55" s="4">
        <v>0.37947999999999998</v>
      </c>
      <c r="X55" s="4">
        <v>2.828E-2</v>
      </c>
      <c r="Y55" s="4">
        <v>1.3300099999999999</v>
      </c>
      <c r="Z55" s="4">
        <v>17.800249999999998</v>
      </c>
      <c r="AA55" s="4">
        <v>10.018649999999999</v>
      </c>
      <c r="AB55" s="4">
        <v>-1.53338</v>
      </c>
    </row>
    <row r="56" spans="1:28" x14ac:dyDescent="0.25">
      <c r="A56" s="6">
        <v>6</v>
      </c>
      <c r="B56" s="4">
        <v>120</v>
      </c>
      <c r="C56" s="4">
        <v>50</v>
      </c>
      <c r="D56" s="4">
        <v>20</v>
      </c>
      <c r="E56" s="4">
        <v>25</v>
      </c>
      <c r="F56" s="3">
        <f>1.8*E56+32</f>
        <v>77</v>
      </c>
      <c r="G56" s="4">
        <v>19</v>
      </c>
      <c r="H56" s="3">
        <f>IF(F56&gt;68,G56+(F56-68)*0.2,G189-(68-F56)*0.2)</f>
        <v>20.8</v>
      </c>
      <c r="I56" s="4">
        <v>21.5</v>
      </c>
      <c r="J56" s="3">
        <f>1.8*I56+32</f>
        <v>70.7</v>
      </c>
      <c r="K56" s="4">
        <v>13</v>
      </c>
      <c r="L56" s="3">
        <f>IF(J56&gt;68,K56+(J56-68)*0.2,K56-(68-J56)*0.2)</f>
        <v>13.540000000000001</v>
      </c>
      <c r="M56" s="3">
        <f>(C56-H56)/C56*100</f>
        <v>58.4</v>
      </c>
      <c r="N56" s="3">
        <f>100-(M56+O56)</f>
        <v>14.519999999999996</v>
      </c>
      <c r="O56" s="3">
        <f>L56/C56*100</f>
        <v>27.080000000000005</v>
      </c>
      <c r="P56" s="2" t="s">
        <v>0</v>
      </c>
      <c r="Q56" s="1">
        <v>409080.86133699998</v>
      </c>
      <c r="R56" s="1">
        <v>3659352.8544410001</v>
      </c>
      <c r="T56" s="4">
        <v>2006111</v>
      </c>
      <c r="U56" s="4" t="s">
        <v>203</v>
      </c>
      <c r="V56" s="4">
        <v>6.3549999999999995E-2</v>
      </c>
      <c r="W56" s="4">
        <v>0.38142999999999999</v>
      </c>
      <c r="X56" s="4">
        <v>2.7820000000000001E-2</v>
      </c>
      <c r="Y56" s="4">
        <v>1.3227500000000001</v>
      </c>
      <c r="Z56" s="4">
        <v>16.328009999999999</v>
      </c>
      <c r="AA56" s="4">
        <v>9.6123200000000004</v>
      </c>
      <c r="AB56" s="4">
        <v>-1.56338</v>
      </c>
    </row>
    <row r="57" spans="1:28" x14ac:dyDescent="0.25">
      <c r="A57" s="6">
        <v>6</v>
      </c>
      <c r="B57" s="4">
        <v>150</v>
      </c>
      <c r="C57" s="4">
        <v>50</v>
      </c>
      <c r="D57" s="4">
        <v>20</v>
      </c>
      <c r="E57" s="4">
        <v>25</v>
      </c>
      <c r="F57" s="3">
        <f>1.8*E57+32</f>
        <v>77</v>
      </c>
      <c r="G57" s="4">
        <v>18</v>
      </c>
      <c r="H57" s="3">
        <f>IF(F57&gt;68,G57+(F57-68)*0.2,G190-(68-F57)*0.2)</f>
        <v>19.8</v>
      </c>
      <c r="I57" s="4">
        <v>21.5</v>
      </c>
      <c r="J57" s="3">
        <f>1.8*I57+32</f>
        <v>70.7</v>
      </c>
      <c r="K57" s="4">
        <v>11.5</v>
      </c>
      <c r="L57" s="3">
        <f>IF(J57&gt;68,K57+(J57-68)*0.2,K57-(68-J57)*0.2)</f>
        <v>12.040000000000001</v>
      </c>
      <c r="M57" s="3">
        <f>(C57-H57)/C57*100</f>
        <v>60.4</v>
      </c>
      <c r="N57" s="3">
        <f>100-(M57+O57)</f>
        <v>15.519999999999996</v>
      </c>
      <c r="O57" s="3">
        <f>L57/C57*100</f>
        <v>24.080000000000002</v>
      </c>
      <c r="P57" s="2" t="s">
        <v>0</v>
      </c>
      <c r="Q57" s="1">
        <v>409080.86133699998</v>
      </c>
      <c r="R57" s="1">
        <v>3659352.8544410001</v>
      </c>
      <c r="T57" s="4">
        <v>2006111</v>
      </c>
      <c r="U57" s="4" t="s">
        <v>202</v>
      </c>
      <c r="V57" s="4">
        <v>5.7029999999999997E-2</v>
      </c>
      <c r="W57" s="4">
        <v>0.37774000000000002</v>
      </c>
      <c r="X57" s="4">
        <v>0.03</v>
      </c>
      <c r="Y57" s="4">
        <v>1.3718999999999999</v>
      </c>
      <c r="Z57" s="4">
        <v>25.943660000000001</v>
      </c>
      <c r="AA57" s="4">
        <v>12.1881</v>
      </c>
      <c r="AB57" s="4">
        <v>-1.3607</v>
      </c>
    </row>
    <row r="58" spans="1:28" x14ac:dyDescent="0.25">
      <c r="A58" s="6">
        <v>6</v>
      </c>
      <c r="B58" s="4">
        <v>180</v>
      </c>
      <c r="C58" s="4">
        <v>50</v>
      </c>
      <c r="D58" s="4">
        <v>20</v>
      </c>
      <c r="E58" s="4">
        <v>25</v>
      </c>
      <c r="F58" s="3">
        <f>1.8*E58+32</f>
        <v>77</v>
      </c>
      <c r="G58" s="4">
        <v>15.5</v>
      </c>
      <c r="H58" s="3">
        <f>IF(F58&gt;68,G58+(F58-68)*0.2,G191-(68-F58)*0.2)</f>
        <v>17.3</v>
      </c>
      <c r="I58" s="4">
        <v>21.5</v>
      </c>
      <c r="J58" s="3">
        <f>1.8*I58+32</f>
        <v>70.7</v>
      </c>
      <c r="K58" s="4">
        <v>11</v>
      </c>
      <c r="L58" s="3">
        <f>IF(J58&gt;68,K58+(J58-68)*0.2,K58-(68-J58)*0.2)</f>
        <v>11.540000000000001</v>
      </c>
      <c r="M58" s="3">
        <f>(C58-H58)/C58*100</f>
        <v>65.400000000000006</v>
      </c>
      <c r="N58" s="3">
        <f>100-(M58+O58)</f>
        <v>11.519999999999996</v>
      </c>
      <c r="O58" s="3">
        <f>L58/C58*100</f>
        <v>23.080000000000002</v>
      </c>
      <c r="P58" s="2" t="s">
        <v>0</v>
      </c>
      <c r="Q58" s="1">
        <v>409080.86133699998</v>
      </c>
      <c r="R58" s="1">
        <v>3659352.8544410001</v>
      </c>
      <c r="T58" s="4">
        <v>2006111</v>
      </c>
      <c r="U58" s="4" t="s">
        <v>201</v>
      </c>
      <c r="V58" s="4">
        <v>5.3030000000000001E-2</v>
      </c>
      <c r="W58" s="4">
        <v>0.37813999999999998</v>
      </c>
      <c r="X58" s="4">
        <v>3.1789999999999999E-2</v>
      </c>
      <c r="Y58" s="4">
        <v>1.4153199999999999</v>
      </c>
      <c r="Z58" s="4">
        <v>36.011560000000003</v>
      </c>
      <c r="AA58" s="4">
        <v>14.66133</v>
      </c>
      <c r="AB58" s="4">
        <v>-1.2358499999999999</v>
      </c>
    </row>
    <row r="59" spans="1:28" x14ac:dyDescent="0.25">
      <c r="T59" s="4">
        <v>2006111</v>
      </c>
      <c r="U59" s="4" t="s">
        <v>200</v>
      </c>
      <c r="V59" s="4">
        <v>5.3030000000000001E-2</v>
      </c>
      <c r="W59" s="4">
        <v>0.37813999999999998</v>
      </c>
      <c r="X59" s="4">
        <v>3.1789999999999999E-2</v>
      </c>
      <c r="Y59" s="4">
        <v>1.4153199999999999</v>
      </c>
      <c r="Z59" s="4">
        <v>36.011560000000003</v>
      </c>
      <c r="AA59" s="4">
        <v>14.66133</v>
      </c>
      <c r="AB59" s="4">
        <v>-1.2358499999999999</v>
      </c>
    </row>
    <row r="60" spans="1:28" ht="51.75" x14ac:dyDescent="0.25">
      <c r="A60" s="15" t="s">
        <v>19</v>
      </c>
      <c r="B60" s="10" t="s">
        <v>18</v>
      </c>
      <c r="C60" s="14" t="s">
        <v>17</v>
      </c>
      <c r="D60" s="13" t="s">
        <v>16</v>
      </c>
      <c r="E60" s="12" t="s">
        <v>15</v>
      </c>
      <c r="F60" s="12" t="s">
        <v>14</v>
      </c>
      <c r="G60" s="12" t="s">
        <v>13</v>
      </c>
      <c r="H60" s="12" t="s">
        <v>12</v>
      </c>
      <c r="I60" s="12" t="s">
        <v>11</v>
      </c>
      <c r="J60" s="12" t="s">
        <v>10</v>
      </c>
      <c r="K60" s="12" t="s">
        <v>9</v>
      </c>
      <c r="L60" s="12" t="s">
        <v>8</v>
      </c>
      <c r="M60" s="11" t="s">
        <v>7</v>
      </c>
      <c r="N60" s="11" t="s">
        <v>6</v>
      </c>
      <c r="O60" s="11" t="s">
        <v>5</v>
      </c>
      <c r="P60" s="10" t="s">
        <v>4</v>
      </c>
      <c r="Q60" s="17" t="s">
        <v>3</v>
      </c>
      <c r="R60" s="17"/>
      <c r="T60" s="4">
        <v>2006111</v>
      </c>
      <c r="U60" s="4" t="s">
        <v>199</v>
      </c>
      <c r="V60" s="4">
        <v>5.3030000000000001E-2</v>
      </c>
      <c r="W60" s="4">
        <v>0.37813999999999998</v>
      </c>
      <c r="X60" s="4">
        <v>3.1789999999999999E-2</v>
      </c>
      <c r="Y60" s="4">
        <v>1.4153199999999999</v>
      </c>
      <c r="Z60" s="4">
        <v>36.011560000000003</v>
      </c>
      <c r="AA60" s="4">
        <v>14.66133</v>
      </c>
      <c r="AB60" s="4">
        <v>-1.2358499999999999</v>
      </c>
    </row>
    <row r="61" spans="1:28" x14ac:dyDescent="0.25">
      <c r="A61" s="4"/>
      <c r="B61" s="4"/>
      <c r="C61" s="5"/>
      <c r="D61" s="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2"/>
      <c r="Q61" s="7" t="s">
        <v>2</v>
      </c>
      <c r="R61" s="7" t="s">
        <v>1</v>
      </c>
      <c r="T61" s="4">
        <v>2006111</v>
      </c>
      <c r="U61" s="4" t="s">
        <v>198</v>
      </c>
      <c r="V61" s="4">
        <v>6.2429999999999999E-2</v>
      </c>
      <c r="W61" s="4">
        <v>0.37724000000000002</v>
      </c>
      <c r="X61" s="4">
        <v>2.8219999999999999E-2</v>
      </c>
      <c r="Y61" s="4">
        <v>1.33148</v>
      </c>
      <c r="Z61" s="4">
        <v>17.98685</v>
      </c>
      <c r="AA61" s="4">
        <v>9.8941800000000004</v>
      </c>
      <c r="AB61" s="4">
        <v>-1.5344899999999999</v>
      </c>
    </row>
    <row r="62" spans="1:28" x14ac:dyDescent="0.25">
      <c r="A62" s="6">
        <v>7</v>
      </c>
      <c r="B62" s="4">
        <v>30</v>
      </c>
      <c r="C62" s="5">
        <v>50.02</v>
      </c>
      <c r="D62" s="4">
        <v>20</v>
      </c>
      <c r="E62" s="3">
        <v>25</v>
      </c>
      <c r="F62" s="3">
        <f>1.8*E62+32</f>
        <v>77</v>
      </c>
      <c r="G62" s="3">
        <v>16</v>
      </c>
      <c r="H62" s="3">
        <f>IF(F62&gt;68,G62+(F62-68)*0.2,#REF!-(68-F62)*0.2)</f>
        <v>17.8</v>
      </c>
      <c r="I62" s="3">
        <v>24</v>
      </c>
      <c r="J62" s="3">
        <f>1.8*I62+32</f>
        <v>75.2</v>
      </c>
      <c r="K62" s="3">
        <v>11.5</v>
      </c>
      <c r="L62" s="3">
        <f>IF(J62&gt;68,K62+(J62-68)*0.2,K62-(68-J62)*0.2)</f>
        <v>12.940000000000001</v>
      </c>
      <c r="M62" s="3">
        <f>(C62-H62)/C62*100</f>
        <v>64.414234306277478</v>
      </c>
      <c r="N62" s="3">
        <f>100-(M62+O62)</f>
        <v>9.7161135545781718</v>
      </c>
      <c r="O62" s="3">
        <f>L62/C62*100</f>
        <v>25.869652139144346</v>
      </c>
      <c r="P62" s="2" t="s">
        <v>0</v>
      </c>
      <c r="Q62" s="1">
        <v>409093.03341099998</v>
      </c>
      <c r="R62" s="1">
        <v>3659352.6436029999</v>
      </c>
      <c r="T62" s="4">
        <v>2006111</v>
      </c>
      <c r="U62" s="4" t="s">
        <v>197</v>
      </c>
      <c r="V62" s="4">
        <v>6.2420000000000003E-2</v>
      </c>
      <c r="W62" s="4">
        <v>0.37723000000000001</v>
      </c>
      <c r="X62" s="4">
        <v>2.8219999999999999E-2</v>
      </c>
      <c r="Y62" s="4">
        <v>1.3315699999999999</v>
      </c>
      <c r="Z62" s="4">
        <v>17.9998</v>
      </c>
      <c r="AA62" s="4">
        <v>9.8973899999999997</v>
      </c>
      <c r="AB62" s="4">
        <v>-1.53403</v>
      </c>
    </row>
    <row r="63" spans="1:28" x14ac:dyDescent="0.25">
      <c r="A63" s="6">
        <v>7</v>
      </c>
      <c r="B63" s="4">
        <v>60</v>
      </c>
      <c r="C63" s="5">
        <v>50</v>
      </c>
      <c r="D63" s="4">
        <v>20</v>
      </c>
      <c r="E63" s="3">
        <v>25</v>
      </c>
      <c r="F63" s="3">
        <f>1.8*E63+32</f>
        <v>77</v>
      </c>
      <c r="G63" s="3">
        <v>18</v>
      </c>
      <c r="H63" s="3">
        <f>IF(F63&gt;68,G63+(F63-68)*0.2,G160-(68-F63)*0.2)</f>
        <v>19.8</v>
      </c>
      <c r="I63" s="3">
        <v>24</v>
      </c>
      <c r="J63" s="3">
        <f>1.8*I63+32</f>
        <v>75.2</v>
      </c>
      <c r="K63" s="3">
        <v>12</v>
      </c>
      <c r="L63" s="3">
        <f>IF(J63&gt;68,K63+(J63-68)*0.2,K63-(68-J63)*0.2)</f>
        <v>13.440000000000001</v>
      </c>
      <c r="M63" s="3">
        <f>(C63-H63)/C63*100</f>
        <v>60.4</v>
      </c>
      <c r="N63" s="3">
        <f>100-(M63+O63)</f>
        <v>12.719999999999999</v>
      </c>
      <c r="O63" s="3">
        <f>L63/C63*100</f>
        <v>26.880000000000003</v>
      </c>
      <c r="P63" s="2" t="s">
        <v>0</v>
      </c>
      <c r="Q63" s="1">
        <v>409093.03341099998</v>
      </c>
      <c r="R63" s="1">
        <v>3659352.6436029999</v>
      </c>
      <c r="T63" s="4">
        <v>2006111</v>
      </c>
      <c r="U63" s="4" t="s">
        <v>196</v>
      </c>
      <c r="V63" s="4">
        <v>7.2639999999999996E-2</v>
      </c>
      <c r="W63" s="4">
        <v>0.39267000000000002</v>
      </c>
      <c r="X63" s="4">
        <v>2.596E-2</v>
      </c>
      <c r="Y63" s="4">
        <v>1.28691</v>
      </c>
      <c r="Z63" s="4">
        <v>10.68929</v>
      </c>
      <c r="AA63" s="4">
        <v>7.6552499999999997</v>
      </c>
      <c r="AB63" s="4">
        <v>-1.78423</v>
      </c>
    </row>
    <row r="64" spans="1:28" x14ac:dyDescent="0.25">
      <c r="A64" s="6">
        <v>7</v>
      </c>
      <c r="B64" s="4">
        <v>90</v>
      </c>
      <c r="C64" s="5">
        <v>50.01</v>
      </c>
      <c r="D64" s="4">
        <v>20</v>
      </c>
      <c r="E64" s="3">
        <v>25</v>
      </c>
      <c r="F64" s="3">
        <f>1.8*E64+32</f>
        <v>77</v>
      </c>
      <c r="G64" s="3">
        <v>18.5</v>
      </c>
      <c r="H64" s="3">
        <f>IF(F64&gt;68,G64+(F64-68)*0.2,G161-(68-F64)*0.2)</f>
        <v>20.3</v>
      </c>
      <c r="I64" s="3">
        <v>24</v>
      </c>
      <c r="J64" s="3">
        <f>1.8*I64+32</f>
        <v>75.2</v>
      </c>
      <c r="K64" s="3">
        <v>12</v>
      </c>
      <c r="L64" s="3">
        <f>IF(J64&gt;68,K64+(J64-68)*0.2,K64-(68-J64)*0.2)</f>
        <v>13.440000000000001</v>
      </c>
      <c r="M64" s="3">
        <f>(C64-H64)/C64*100</f>
        <v>59.408118376324737</v>
      </c>
      <c r="N64" s="3">
        <f>100-(M64+O64)</f>
        <v>13.717256548690258</v>
      </c>
      <c r="O64" s="3">
        <f>L64/C64*100</f>
        <v>26.874625074985008</v>
      </c>
      <c r="P64" s="2" t="s">
        <v>0</v>
      </c>
      <c r="Q64" s="1">
        <v>409093.03341099998</v>
      </c>
      <c r="R64" s="1">
        <v>3659352.6436029999</v>
      </c>
      <c r="T64" s="4">
        <v>2006111</v>
      </c>
      <c r="U64" s="4" t="s">
        <v>195</v>
      </c>
      <c r="V64" s="4">
        <v>6.6640000000000005E-2</v>
      </c>
      <c r="W64" s="4">
        <v>0.38362000000000002</v>
      </c>
      <c r="X64" s="4">
        <v>2.717E-2</v>
      </c>
      <c r="Y64" s="4">
        <v>1.30708</v>
      </c>
      <c r="Z64" s="4">
        <v>13.91737</v>
      </c>
      <c r="AA64" s="4">
        <v>8.80701</v>
      </c>
      <c r="AB64" s="4">
        <v>-1.6569700000000001</v>
      </c>
    </row>
    <row r="65" spans="1:28" x14ac:dyDescent="0.25">
      <c r="A65" s="6">
        <v>7</v>
      </c>
      <c r="B65" s="4">
        <v>120</v>
      </c>
      <c r="C65" s="5">
        <v>50.03</v>
      </c>
      <c r="D65" s="4">
        <v>20</v>
      </c>
      <c r="E65" s="3">
        <v>25</v>
      </c>
      <c r="F65" s="3">
        <f>1.8*E65+32</f>
        <v>77</v>
      </c>
      <c r="G65" s="3">
        <v>23</v>
      </c>
      <c r="H65" s="3">
        <f>IF(F65&gt;68,G65+(F65-68)*0.2,G162-(68-F65)*0.2)</f>
        <v>24.8</v>
      </c>
      <c r="I65" s="3">
        <v>24</v>
      </c>
      <c r="J65" s="3">
        <f>1.8*I65+32</f>
        <v>75.2</v>
      </c>
      <c r="K65" s="3">
        <v>15</v>
      </c>
      <c r="L65" s="3">
        <f>IF(J65&gt;68,K65+(J65-68)*0.2,K65-(68-J65)*0.2)</f>
        <v>16.440000000000001</v>
      </c>
      <c r="M65" s="3">
        <f>(C65-H65)/C65*100</f>
        <v>50.429742154707178</v>
      </c>
      <c r="N65" s="3">
        <f>100-(M65+O65)</f>
        <v>16.709974015590632</v>
      </c>
      <c r="O65" s="3">
        <f>L65/C65*100</f>
        <v>32.860283829702183</v>
      </c>
      <c r="P65" s="2" t="s">
        <v>0</v>
      </c>
      <c r="Q65" s="1">
        <v>409093.03341099998</v>
      </c>
      <c r="R65" s="1">
        <v>3659352.6436029999</v>
      </c>
      <c r="T65" s="4">
        <v>2006111</v>
      </c>
      <c r="U65" s="4" t="s">
        <v>194</v>
      </c>
      <c r="V65" s="4">
        <v>7.0970000000000005E-2</v>
      </c>
      <c r="W65" s="4">
        <v>0.39215</v>
      </c>
      <c r="X65" s="4">
        <v>2.5520000000000001E-2</v>
      </c>
      <c r="Y65" s="4">
        <v>1.30054</v>
      </c>
      <c r="Z65" s="4">
        <v>10.885439999999999</v>
      </c>
      <c r="AA65" s="4">
        <v>7.8190299999999997</v>
      </c>
      <c r="AB65" s="4">
        <v>-1.6565000000000001</v>
      </c>
    </row>
    <row r="66" spans="1:28" x14ac:dyDescent="0.25">
      <c r="A66" s="6">
        <v>7</v>
      </c>
      <c r="B66" s="4">
        <v>150</v>
      </c>
      <c r="C66" s="5">
        <v>49.99</v>
      </c>
      <c r="D66" s="4">
        <v>20</v>
      </c>
      <c r="E66" s="3">
        <v>25</v>
      </c>
      <c r="F66" s="3">
        <f>1.8*E66+32</f>
        <v>77</v>
      </c>
      <c r="G66" s="3">
        <v>20</v>
      </c>
      <c r="H66" s="3">
        <f>IF(F66&gt;68,G66+(F66-68)*0.2,G163-(68-F66)*0.2)</f>
        <v>21.8</v>
      </c>
      <c r="I66" s="3">
        <v>24</v>
      </c>
      <c r="J66" s="3">
        <f>1.8*I66+32</f>
        <v>75.2</v>
      </c>
      <c r="K66" s="3">
        <v>12.5</v>
      </c>
      <c r="L66" s="3">
        <f>IF(J66&gt;68,K66+(J66-68)*0.2,K66-(68-J66)*0.2)</f>
        <v>13.940000000000001</v>
      </c>
      <c r="M66" s="3">
        <f>(C66-H66)/C66*100</f>
        <v>56.39127825565113</v>
      </c>
      <c r="N66" s="3">
        <f>100-(M66+O66)</f>
        <v>15.72314462892578</v>
      </c>
      <c r="O66" s="3">
        <f>L66/C66*100</f>
        <v>27.885577115423089</v>
      </c>
      <c r="P66" s="2" t="s">
        <v>0</v>
      </c>
      <c r="Q66" s="1">
        <v>409093.03341099998</v>
      </c>
      <c r="R66" s="1">
        <v>3659352.6436029999</v>
      </c>
      <c r="T66" s="4">
        <v>2006111</v>
      </c>
      <c r="U66" s="4" t="s">
        <v>193</v>
      </c>
      <c r="V66" s="4">
        <v>6.923E-2</v>
      </c>
      <c r="W66" s="4">
        <v>0.40085999999999999</v>
      </c>
      <c r="X66" s="4">
        <v>2.026E-2</v>
      </c>
      <c r="Y66" s="4">
        <v>1.3597600000000001</v>
      </c>
      <c r="Z66" s="4">
        <v>9.9855800000000006</v>
      </c>
      <c r="AA66" s="4">
        <v>6.5820400000000001</v>
      </c>
      <c r="AB66" s="4">
        <v>-1.1374599999999999</v>
      </c>
    </row>
    <row r="67" spans="1:28" x14ac:dyDescent="0.25">
      <c r="A67" s="6">
        <v>7</v>
      </c>
      <c r="B67" s="4">
        <v>180</v>
      </c>
      <c r="C67" s="5">
        <v>50.02</v>
      </c>
      <c r="D67" s="4">
        <v>20</v>
      </c>
      <c r="E67" s="3">
        <v>25</v>
      </c>
      <c r="F67" s="3">
        <f>1.8*E67+32</f>
        <v>77</v>
      </c>
      <c r="G67" s="3">
        <v>24</v>
      </c>
      <c r="H67" s="3">
        <f>IF(F67&gt;68,G67+(F67-68)*0.2,G164-(68-F67)*0.2)</f>
        <v>25.8</v>
      </c>
      <c r="I67" s="3">
        <v>24</v>
      </c>
      <c r="J67" s="3">
        <f>1.8*I67+32</f>
        <v>75.2</v>
      </c>
      <c r="K67" s="3">
        <v>18</v>
      </c>
      <c r="L67" s="3">
        <f>IF(J67&gt;68,K67+(J67-68)*0.2,K67-(68-J67)*0.2)</f>
        <v>19.440000000000001</v>
      </c>
      <c r="M67" s="3">
        <f>(C67-H67)/C67*100</f>
        <v>48.42063174730108</v>
      </c>
      <c r="N67" s="3">
        <f>100-(M67+O67)</f>
        <v>12.71491403438624</v>
      </c>
      <c r="O67" s="3">
        <f>L67/C67*100</f>
        <v>38.86445421831268</v>
      </c>
      <c r="P67" s="2" t="s">
        <v>22</v>
      </c>
      <c r="Q67" s="1">
        <v>409093.03341099998</v>
      </c>
      <c r="R67" s="1">
        <v>3659352.6436029999</v>
      </c>
      <c r="T67" s="4">
        <v>2006111</v>
      </c>
      <c r="U67" s="4" t="s">
        <v>192</v>
      </c>
      <c r="V67" s="4">
        <v>6.2429999999999999E-2</v>
      </c>
      <c r="W67" s="4">
        <v>0.37724000000000002</v>
      </c>
      <c r="X67" s="4">
        <v>2.8219999999999999E-2</v>
      </c>
      <c r="Y67" s="4">
        <v>1.33148</v>
      </c>
      <c r="Z67" s="4">
        <v>17.98685</v>
      </c>
      <c r="AA67" s="4">
        <v>9.8941800000000004</v>
      </c>
      <c r="AB67" s="4">
        <v>-1.5344899999999999</v>
      </c>
    </row>
    <row r="68" spans="1:28" x14ac:dyDescent="0.25">
      <c r="T68" s="4">
        <v>2006111</v>
      </c>
      <c r="U68" s="4" t="s">
        <v>191</v>
      </c>
      <c r="V68" s="4">
        <v>5.9470000000000002E-2</v>
      </c>
      <c r="W68" s="4">
        <v>0.37972</v>
      </c>
      <c r="X68" s="4">
        <v>2.8989999999999998E-2</v>
      </c>
      <c r="Y68" s="4">
        <v>1.3467199999999999</v>
      </c>
      <c r="Z68" s="4">
        <v>21.00947</v>
      </c>
      <c r="AA68" s="4">
        <v>11.011570000000001</v>
      </c>
      <c r="AB68" s="4">
        <v>-1.44737</v>
      </c>
    </row>
    <row r="69" spans="1:28" ht="51.75" x14ac:dyDescent="0.25">
      <c r="A69" s="15" t="s">
        <v>19</v>
      </c>
      <c r="B69" s="10" t="s">
        <v>18</v>
      </c>
      <c r="C69" s="14" t="s">
        <v>17</v>
      </c>
      <c r="D69" s="13" t="s">
        <v>16</v>
      </c>
      <c r="E69" s="12" t="s">
        <v>15</v>
      </c>
      <c r="F69" s="12" t="s">
        <v>14</v>
      </c>
      <c r="G69" s="12" t="s">
        <v>13</v>
      </c>
      <c r="H69" s="12" t="s">
        <v>12</v>
      </c>
      <c r="I69" s="12" t="s">
        <v>11</v>
      </c>
      <c r="J69" s="12" t="s">
        <v>10</v>
      </c>
      <c r="K69" s="12" t="s">
        <v>9</v>
      </c>
      <c r="L69" s="12" t="s">
        <v>8</v>
      </c>
      <c r="M69" s="11" t="s">
        <v>7</v>
      </c>
      <c r="N69" s="11" t="s">
        <v>6</v>
      </c>
      <c r="O69" s="11" t="s">
        <v>5</v>
      </c>
      <c r="P69" s="10" t="s">
        <v>4</v>
      </c>
      <c r="Q69" s="17" t="s">
        <v>3</v>
      </c>
      <c r="R69" s="17"/>
      <c r="T69" s="4">
        <v>2006111</v>
      </c>
      <c r="U69" s="4" t="s">
        <v>190</v>
      </c>
      <c r="V69" s="4">
        <v>6.2219999999999998E-2</v>
      </c>
      <c r="W69" s="4">
        <v>0.38206000000000001</v>
      </c>
      <c r="X69" s="4">
        <v>2.793E-2</v>
      </c>
      <c r="Y69" s="4">
        <v>1.33097</v>
      </c>
      <c r="Z69" s="4">
        <v>17.4663</v>
      </c>
      <c r="AA69" s="4">
        <v>9.9857499999999995</v>
      </c>
      <c r="AB69" s="4">
        <v>-1.50891</v>
      </c>
    </row>
    <row r="70" spans="1:28" x14ac:dyDescent="0.25">
      <c r="A70" s="4"/>
      <c r="B70" s="4"/>
      <c r="C70" s="5"/>
      <c r="D70" s="4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2"/>
      <c r="Q70" s="7" t="s">
        <v>2</v>
      </c>
      <c r="R70" s="7" t="s">
        <v>1</v>
      </c>
      <c r="T70" s="4">
        <v>2006111</v>
      </c>
      <c r="U70" s="4" t="s">
        <v>189</v>
      </c>
      <c r="V70" s="4">
        <v>6.8489999999999995E-2</v>
      </c>
      <c r="W70" s="4">
        <v>0.38657999999999998</v>
      </c>
      <c r="X70" s="4">
        <v>2.664E-2</v>
      </c>
      <c r="Y70" s="4">
        <v>1.3015699999999999</v>
      </c>
      <c r="Z70" s="4">
        <v>12.63818</v>
      </c>
      <c r="AA70" s="4">
        <v>8.3917800000000007</v>
      </c>
      <c r="AB70" s="4">
        <v>-1.6828799999999999</v>
      </c>
    </row>
    <row r="71" spans="1:28" x14ac:dyDescent="0.25">
      <c r="A71" s="6">
        <v>8</v>
      </c>
      <c r="B71" s="4">
        <v>30</v>
      </c>
      <c r="C71" s="5">
        <v>49.98</v>
      </c>
      <c r="D71" s="4">
        <v>20</v>
      </c>
      <c r="E71" s="3">
        <v>25</v>
      </c>
      <c r="F71" s="3">
        <f>1.8*E71+32</f>
        <v>77</v>
      </c>
      <c r="G71" s="3">
        <v>18</v>
      </c>
      <c r="H71" s="3">
        <f>IF(F71&gt;68,G71+(F71-68)*0.2,#REF!-(68-F71)*0.2)</f>
        <v>19.8</v>
      </c>
      <c r="I71" s="3">
        <v>24</v>
      </c>
      <c r="J71" s="3">
        <f>1.8*I71+32</f>
        <v>75.2</v>
      </c>
      <c r="K71" s="3">
        <v>11</v>
      </c>
      <c r="L71" s="3">
        <f>IF(J71&gt;68,K71+(J71-68)*0.2,K71-(68-J71)*0.2)</f>
        <v>12.440000000000001</v>
      </c>
      <c r="M71" s="3">
        <f>(C71-H71)/C71*100</f>
        <v>60.38415366146458</v>
      </c>
      <c r="N71" s="3">
        <f>100-(M71+O71)</f>
        <v>14.725890356142457</v>
      </c>
      <c r="O71" s="3">
        <f>L71/C71*100</f>
        <v>24.889955982392962</v>
      </c>
      <c r="P71" s="2" t="s">
        <v>0</v>
      </c>
      <c r="Q71" s="1">
        <v>409105.23853199999</v>
      </c>
      <c r="R71" s="1">
        <v>3659352.430106</v>
      </c>
      <c r="T71" s="4">
        <v>2006111</v>
      </c>
      <c r="U71" s="4" t="s">
        <v>188</v>
      </c>
      <c r="V71" s="4">
        <v>6.6989999999999994E-2</v>
      </c>
      <c r="W71" s="4">
        <v>0.38252000000000003</v>
      </c>
      <c r="X71" s="4">
        <v>2.7289999999999998E-2</v>
      </c>
      <c r="Y71" s="4">
        <v>1.3026899999999999</v>
      </c>
      <c r="Z71" s="4">
        <v>13.884679999999999</v>
      </c>
      <c r="AA71" s="4">
        <v>8.7164000000000001</v>
      </c>
      <c r="AB71" s="4">
        <v>-1.6965600000000001</v>
      </c>
    </row>
    <row r="72" spans="1:28" x14ac:dyDescent="0.25">
      <c r="A72" s="6">
        <v>8</v>
      </c>
      <c r="B72" s="4">
        <v>60</v>
      </c>
      <c r="C72" s="5">
        <v>49.98</v>
      </c>
      <c r="D72" s="4">
        <v>20</v>
      </c>
      <c r="E72" s="3">
        <v>25</v>
      </c>
      <c r="F72" s="3">
        <f>1.8*E72+32</f>
        <v>77</v>
      </c>
      <c r="G72" s="3">
        <v>19</v>
      </c>
      <c r="H72" s="3">
        <f>IF(F72&gt;68,G72+(F72-68)*0.2,#REF!-(68-F72)*0.2)</f>
        <v>20.8</v>
      </c>
      <c r="I72" s="3">
        <v>24</v>
      </c>
      <c r="J72" s="3">
        <f>1.8*I72+32</f>
        <v>75.2</v>
      </c>
      <c r="K72" s="3">
        <v>12.5</v>
      </c>
      <c r="L72" s="3">
        <f>IF(J72&gt;68,K72+(J72-68)*0.2,K72-(68-J72)*0.2)</f>
        <v>13.940000000000001</v>
      </c>
      <c r="M72" s="3">
        <f>(C72-H72)/C72*100</f>
        <v>58.38335334133653</v>
      </c>
      <c r="N72" s="3">
        <f>100-(M72+O72)</f>
        <v>13.725490196078425</v>
      </c>
      <c r="O72" s="3">
        <f>L72/C72*100</f>
        <v>27.891156462585037</v>
      </c>
      <c r="P72" s="2" t="s">
        <v>0</v>
      </c>
      <c r="Q72" s="1">
        <v>409105.23853199999</v>
      </c>
      <c r="R72" s="1">
        <v>3659352.430106</v>
      </c>
      <c r="T72" s="4">
        <v>2006111</v>
      </c>
      <c r="U72" s="4" t="s">
        <v>187</v>
      </c>
      <c r="V72" s="4">
        <v>6.4549999999999996E-2</v>
      </c>
      <c r="W72" s="4">
        <v>0.378</v>
      </c>
      <c r="X72" s="4">
        <v>2.775E-2</v>
      </c>
      <c r="Y72" s="4">
        <v>1.3158799999999999</v>
      </c>
      <c r="Z72" s="4">
        <v>15.93943</v>
      </c>
      <c r="AA72" s="4">
        <v>9.2298600000000004</v>
      </c>
      <c r="AB72" s="4">
        <v>-1.62155</v>
      </c>
    </row>
    <row r="73" spans="1:28" x14ac:dyDescent="0.25">
      <c r="A73" s="6">
        <v>8</v>
      </c>
      <c r="B73" s="4">
        <v>90</v>
      </c>
      <c r="C73" s="5">
        <v>49.99</v>
      </c>
      <c r="D73" s="4">
        <v>20</v>
      </c>
      <c r="E73" s="3">
        <v>25</v>
      </c>
      <c r="F73" s="3">
        <f>1.8*E73+32</f>
        <v>77</v>
      </c>
      <c r="G73" s="3">
        <v>19</v>
      </c>
      <c r="H73" s="3">
        <f>IF(F73&gt;68,G73+(F73-68)*0.2,#REF!-(68-F73)*0.2)</f>
        <v>20.8</v>
      </c>
      <c r="I73" s="3">
        <v>24</v>
      </c>
      <c r="J73" s="3">
        <f>1.8*I73+32</f>
        <v>75.2</v>
      </c>
      <c r="K73" s="3">
        <v>12</v>
      </c>
      <c r="L73" s="3">
        <f>IF(J73&gt;68,K73+(J73-68)*0.2,K73-(68-J73)*0.2)</f>
        <v>13.440000000000001</v>
      </c>
      <c r="M73" s="3">
        <f>(C73-H73)/C73*100</f>
        <v>58.39167833566713</v>
      </c>
      <c r="N73" s="3">
        <f>100-(M73+O73)</f>
        <v>14.722944588917784</v>
      </c>
      <c r="O73" s="3">
        <f>L73/C73*100</f>
        <v>26.885377075415086</v>
      </c>
      <c r="P73" s="2" t="s">
        <v>0</v>
      </c>
      <c r="Q73" s="1">
        <v>409105.23853199999</v>
      </c>
      <c r="R73" s="1">
        <v>3659352.430106</v>
      </c>
      <c r="T73" s="4">
        <v>2006111</v>
      </c>
      <c r="U73" s="4" t="s">
        <v>186</v>
      </c>
      <c r="V73" s="4">
        <v>6.1240000000000003E-2</v>
      </c>
      <c r="W73" s="4">
        <v>0.38305</v>
      </c>
      <c r="X73" s="4">
        <v>2.784E-2</v>
      </c>
      <c r="Y73" s="4">
        <v>1.33735</v>
      </c>
      <c r="Z73" s="4">
        <v>18.251639999999998</v>
      </c>
      <c r="AA73" s="4">
        <v>10.21161</v>
      </c>
      <c r="AB73" s="4">
        <v>-1.4622599999999999</v>
      </c>
    </row>
    <row r="74" spans="1:28" x14ac:dyDescent="0.25">
      <c r="A74" s="6">
        <v>8</v>
      </c>
      <c r="B74" s="4">
        <v>120</v>
      </c>
      <c r="C74" s="5">
        <v>49.98</v>
      </c>
      <c r="D74" s="4">
        <v>20</v>
      </c>
      <c r="E74" s="3">
        <v>25</v>
      </c>
      <c r="F74" s="3">
        <f>1.8*E74+32</f>
        <v>77</v>
      </c>
      <c r="G74" s="3">
        <v>19.5</v>
      </c>
      <c r="H74" s="3">
        <f>IF(F74&gt;68,G74+(F74-68)*0.2,#REF!-(68-F74)*0.2)</f>
        <v>21.3</v>
      </c>
      <c r="I74" s="3">
        <v>24</v>
      </c>
      <c r="J74" s="3">
        <f>1.8*I74+32</f>
        <v>75.2</v>
      </c>
      <c r="K74" s="3">
        <v>12.5</v>
      </c>
      <c r="L74" s="3">
        <f>IF(J74&gt;68,K74+(J74-68)*0.2,K74-(68-J74)*0.2)</f>
        <v>13.940000000000001</v>
      </c>
      <c r="M74" s="3">
        <f>(C74-H74)/C74*100</f>
        <v>57.382953181272498</v>
      </c>
      <c r="N74" s="3">
        <f>100-(M74+O74)</f>
        <v>14.725890356142457</v>
      </c>
      <c r="O74" s="3">
        <f>L74/C74*100</f>
        <v>27.891156462585037</v>
      </c>
      <c r="P74" s="2" t="s">
        <v>0</v>
      </c>
      <c r="Q74" s="1">
        <v>409105.23853199999</v>
      </c>
      <c r="R74" s="1">
        <v>3659352.430106</v>
      </c>
      <c r="T74" s="4">
        <v>2006111</v>
      </c>
      <c r="U74" s="4" t="s">
        <v>185</v>
      </c>
      <c r="V74" s="4">
        <v>6.3920000000000005E-2</v>
      </c>
      <c r="W74" s="4">
        <v>0.38147999999999999</v>
      </c>
      <c r="X74" s="4">
        <v>2.775E-2</v>
      </c>
      <c r="Y74" s="4">
        <v>1.3206199999999999</v>
      </c>
      <c r="Z74" s="4">
        <v>16.012260000000001</v>
      </c>
      <c r="AA74" s="4">
        <v>9.5069900000000001</v>
      </c>
      <c r="AB74" s="4">
        <v>-1.5763499999999999</v>
      </c>
    </row>
    <row r="75" spans="1:28" x14ac:dyDescent="0.25">
      <c r="A75" s="6">
        <v>8</v>
      </c>
      <c r="B75" s="4">
        <v>150</v>
      </c>
      <c r="C75" s="5">
        <v>50.03</v>
      </c>
      <c r="D75" s="4">
        <v>20</v>
      </c>
      <c r="E75" s="3">
        <v>25</v>
      </c>
      <c r="F75" s="3">
        <f>1.8*E75+32</f>
        <v>77</v>
      </c>
      <c r="G75" s="3">
        <v>21</v>
      </c>
      <c r="H75" s="3">
        <f>IF(F75&gt;68,G75+(F75-68)*0.2,#REF!-(68-F75)*0.2)</f>
        <v>22.8</v>
      </c>
      <c r="I75" s="3">
        <v>24</v>
      </c>
      <c r="J75" s="3">
        <f>1.8*I75+32</f>
        <v>75.2</v>
      </c>
      <c r="K75" s="3">
        <v>13</v>
      </c>
      <c r="L75" s="3">
        <f>IF(J75&gt;68,K75+(J75-68)*0.2,K75-(68-J75)*0.2)</f>
        <v>14.440000000000001</v>
      </c>
      <c r="M75" s="3">
        <f>(C75-H75)/C75*100</f>
        <v>54.427343593843688</v>
      </c>
      <c r="N75" s="3">
        <f>100-(M75+O75)</f>
        <v>16.709974015590646</v>
      </c>
      <c r="O75" s="3">
        <f>L75/C75*100</f>
        <v>28.862682390565663</v>
      </c>
      <c r="P75" s="2" t="s">
        <v>0</v>
      </c>
      <c r="Q75" s="1">
        <v>409105.23853199999</v>
      </c>
      <c r="R75" s="1">
        <v>3659352.430106</v>
      </c>
      <c r="T75" s="4">
        <v>2006111</v>
      </c>
      <c r="U75" s="4" t="s">
        <v>184</v>
      </c>
      <c r="V75" s="4">
        <v>5.9279999999999999E-2</v>
      </c>
      <c r="W75" s="4">
        <v>0.3775</v>
      </c>
      <c r="X75" s="4">
        <v>2.9190000000000001E-2</v>
      </c>
      <c r="Y75" s="4">
        <v>1.3542000000000001</v>
      </c>
      <c r="Z75" s="4">
        <v>22.075469999999999</v>
      </c>
      <c r="AA75" s="4">
        <v>11.1351</v>
      </c>
      <c r="AB75" s="4">
        <v>-1.4284399999999999</v>
      </c>
    </row>
    <row r="76" spans="1:28" x14ac:dyDescent="0.25">
      <c r="A76" s="6">
        <v>8</v>
      </c>
      <c r="B76" s="4">
        <v>180</v>
      </c>
      <c r="C76" s="5">
        <v>50.02</v>
      </c>
      <c r="D76" s="4">
        <v>20</v>
      </c>
      <c r="E76" s="3">
        <v>25</v>
      </c>
      <c r="F76" s="3">
        <f>1.8*E76+32</f>
        <v>77</v>
      </c>
      <c r="G76" s="3">
        <v>18.5</v>
      </c>
      <c r="H76" s="3">
        <f>IF(F76&gt;68,G76+(F76-68)*0.2,#REF!-(68-F76)*0.2)</f>
        <v>20.3</v>
      </c>
      <c r="I76" s="3">
        <v>24</v>
      </c>
      <c r="J76" s="3">
        <f>1.8*I76+32</f>
        <v>75.2</v>
      </c>
      <c r="K76" s="3">
        <v>11.5</v>
      </c>
      <c r="L76" s="3">
        <f>IF(J76&gt;68,K76+(J76-68)*0.2,K76-(68-J76)*0.2)</f>
        <v>12.940000000000001</v>
      </c>
      <c r="M76" s="3">
        <f>(C76-H76)/C76*100</f>
        <v>59.416233506597358</v>
      </c>
      <c r="N76" s="3">
        <f>100-(M76+O76)</f>
        <v>14.714114354258299</v>
      </c>
      <c r="O76" s="3">
        <f>L76/C76*100</f>
        <v>25.869652139144346</v>
      </c>
      <c r="P76" s="2" t="s">
        <v>0</v>
      </c>
      <c r="Q76" s="1">
        <v>409105.23853199999</v>
      </c>
      <c r="R76" s="1">
        <v>3659352.430106</v>
      </c>
      <c r="T76" s="4">
        <v>2006111</v>
      </c>
      <c r="U76" s="4" t="s">
        <v>183</v>
      </c>
      <c r="V76" s="4">
        <v>6.0359999999999997E-2</v>
      </c>
      <c r="W76" s="4">
        <v>0.37980000000000003</v>
      </c>
      <c r="X76" s="4">
        <v>2.8729999999999999E-2</v>
      </c>
      <c r="Y76" s="4">
        <v>1.34124</v>
      </c>
      <c r="Z76" s="4">
        <v>19.859570000000001</v>
      </c>
      <c r="AA76" s="4">
        <v>10.672890000000001</v>
      </c>
      <c r="AB76" s="4">
        <v>-1.4728600000000001</v>
      </c>
    </row>
    <row r="77" spans="1:28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T77" s="4">
        <v>2006111</v>
      </c>
      <c r="U77" s="4" t="s">
        <v>182</v>
      </c>
      <c r="V77" s="4">
        <v>6.0810000000000003E-2</v>
      </c>
      <c r="W77" s="4">
        <v>0.38188</v>
      </c>
      <c r="X77" s="4">
        <v>2.8240000000000001E-2</v>
      </c>
      <c r="Y77" s="4">
        <v>1.3384</v>
      </c>
      <c r="Z77" s="4">
        <v>18.914560000000002</v>
      </c>
      <c r="AA77" s="4">
        <v>10.426410000000001</v>
      </c>
      <c r="AB77" s="4">
        <v>-1.46888</v>
      </c>
    </row>
    <row r="78" spans="1:28" ht="51.75" x14ac:dyDescent="0.25">
      <c r="A78" s="15" t="s">
        <v>19</v>
      </c>
      <c r="B78" s="10" t="s">
        <v>18</v>
      </c>
      <c r="C78" s="14" t="s">
        <v>17</v>
      </c>
      <c r="D78" s="13" t="s">
        <v>16</v>
      </c>
      <c r="E78" s="12" t="s">
        <v>15</v>
      </c>
      <c r="F78" s="12" t="s">
        <v>14</v>
      </c>
      <c r="G78" s="12" t="s">
        <v>13</v>
      </c>
      <c r="H78" s="12" t="s">
        <v>12</v>
      </c>
      <c r="I78" s="12" t="s">
        <v>11</v>
      </c>
      <c r="J78" s="12" t="s">
        <v>10</v>
      </c>
      <c r="K78" s="12" t="s">
        <v>9</v>
      </c>
      <c r="L78" s="12" t="s">
        <v>8</v>
      </c>
      <c r="M78" s="11" t="s">
        <v>7</v>
      </c>
      <c r="N78" s="11" t="s">
        <v>6</v>
      </c>
      <c r="O78" s="11" t="s">
        <v>5</v>
      </c>
      <c r="P78" s="10" t="s">
        <v>4</v>
      </c>
      <c r="Q78" s="17" t="s">
        <v>3</v>
      </c>
      <c r="R78" s="17"/>
      <c r="T78" s="4">
        <v>2006111</v>
      </c>
      <c r="U78" s="4" t="s">
        <v>181</v>
      </c>
      <c r="V78" s="4">
        <v>6.4930000000000002E-2</v>
      </c>
      <c r="W78" s="4">
        <v>0.38334000000000001</v>
      </c>
      <c r="X78" s="4">
        <v>2.733E-2</v>
      </c>
      <c r="Y78" s="4">
        <v>1.3172999999999999</v>
      </c>
      <c r="Z78" s="4">
        <v>15.03145</v>
      </c>
      <c r="AA78" s="4">
        <v>9.2147000000000006</v>
      </c>
      <c r="AB78" s="4">
        <v>-1.5850900000000001</v>
      </c>
    </row>
    <row r="79" spans="1:28" x14ac:dyDescent="0.25">
      <c r="A79" s="4"/>
      <c r="B79" s="4"/>
      <c r="C79" s="5"/>
      <c r="D79" s="4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2"/>
      <c r="Q79" s="7" t="s">
        <v>2</v>
      </c>
      <c r="R79" s="7" t="s">
        <v>1</v>
      </c>
      <c r="T79" s="4">
        <v>2006111</v>
      </c>
      <c r="U79" s="4" t="s">
        <v>180</v>
      </c>
      <c r="V79" s="4">
        <v>6.3909999999999995E-2</v>
      </c>
      <c r="W79" s="4">
        <v>0.38057000000000002</v>
      </c>
      <c r="X79" s="4">
        <v>2.7859999999999999E-2</v>
      </c>
      <c r="Y79" s="4">
        <v>1.31995</v>
      </c>
      <c r="Z79" s="4">
        <v>16.124369999999999</v>
      </c>
      <c r="AA79" s="4">
        <v>9.5079600000000006</v>
      </c>
      <c r="AB79" s="4">
        <v>-1.58622</v>
      </c>
    </row>
    <row r="80" spans="1:28" x14ac:dyDescent="0.25">
      <c r="A80" s="6">
        <v>11</v>
      </c>
      <c r="B80" s="4">
        <v>30</v>
      </c>
      <c r="C80" s="5">
        <v>50.01</v>
      </c>
      <c r="D80" s="4">
        <v>20</v>
      </c>
      <c r="E80" s="3">
        <v>23.5</v>
      </c>
      <c r="F80" s="3">
        <f>1.8*E80+32</f>
        <v>74.300000000000011</v>
      </c>
      <c r="G80" s="3">
        <v>17.5</v>
      </c>
      <c r="H80" s="3">
        <f>IF(F80&gt;68,G80+(F80-68)*0.2,#REF!-(68-F80)*0.2)</f>
        <v>18.760000000000002</v>
      </c>
      <c r="I80" s="3">
        <v>23</v>
      </c>
      <c r="J80" s="3">
        <f>1.8*I80+32</f>
        <v>73.400000000000006</v>
      </c>
      <c r="K80" s="3">
        <v>10.5</v>
      </c>
      <c r="L80" s="3">
        <f>IF(J80&gt;68,K80+(J80-68)*0.2,K80-(68-J80)*0.2)</f>
        <v>11.580000000000002</v>
      </c>
      <c r="M80" s="3">
        <f>(C80-H80)/C80*100</f>
        <v>62.487502499500089</v>
      </c>
      <c r="N80" s="3">
        <f>100-(M80+O80)</f>
        <v>14.357128574285156</v>
      </c>
      <c r="O80" s="3">
        <f>L80/C80*100</f>
        <v>23.155368926214763</v>
      </c>
      <c r="P80" s="2" t="s">
        <v>0</v>
      </c>
      <c r="Q80" s="1">
        <v>409019.59473700001</v>
      </c>
      <c r="R80" s="1">
        <v>3659326.872068</v>
      </c>
      <c r="T80" s="4">
        <v>2006111</v>
      </c>
      <c r="U80" s="4" t="s">
        <v>179</v>
      </c>
      <c r="V80" s="4">
        <v>6.012E-2</v>
      </c>
      <c r="W80" s="4">
        <v>0.37762000000000001</v>
      </c>
      <c r="X80" s="4">
        <v>2.8920000000000001E-2</v>
      </c>
      <c r="Y80" s="4">
        <v>1.3473200000000001</v>
      </c>
      <c r="Z80" s="4">
        <v>20.772860000000001</v>
      </c>
      <c r="AA80" s="4">
        <v>10.7842</v>
      </c>
      <c r="AB80" s="4">
        <v>-1.4572799999999999</v>
      </c>
    </row>
    <row r="81" spans="1:28" x14ac:dyDescent="0.25">
      <c r="A81" s="6">
        <v>11</v>
      </c>
      <c r="B81" s="4">
        <v>60</v>
      </c>
      <c r="C81" s="5">
        <v>50</v>
      </c>
      <c r="D81" s="4">
        <v>20</v>
      </c>
      <c r="E81" s="3">
        <v>23</v>
      </c>
      <c r="F81" s="3">
        <f>1.8*E81+32</f>
        <v>73.400000000000006</v>
      </c>
      <c r="G81" s="3">
        <v>18.5</v>
      </c>
      <c r="H81" s="3">
        <f>IF(F81&gt;68,G81+(F81-68)*0.2,#REF!-(68-F81)*0.2)</f>
        <v>19.580000000000002</v>
      </c>
      <c r="I81" s="3">
        <v>23</v>
      </c>
      <c r="J81" s="3">
        <f>1.8*I81+32</f>
        <v>73.400000000000006</v>
      </c>
      <c r="K81" s="3">
        <v>11.5</v>
      </c>
      <c r="L81" s="3">
        <f>IF(J81&gt;68,K81+(J81-68)*0.2,K81-(68-J81)*0.2)</f>
        <v>12.580000000000002</v>
      </c>
      <c r="M81" s="3">
        <f>(C81-H81)/C81*100</f>
        <v>60.839999999999996</v>
      </c>
      <c r="N81" s="3">
        <f>100-(M81+O81)</f>
        <v>14</v>
      </c>
      <c r="O81" s="3">
        <f>L81/C81*100</f>
        <v>25.160000000000004</v>
      </c>
      <c r="P81" s="2" t="s">
        <v>0</v>
      </c>
      <c r="Q81" s="1">
        <v>409019.59473700001</v>
      </c>
      <c r="R81" s="1">
        <v>3659326.872068</v>
      </c>
      <c r="T81" s="4">
        <v>2006111</v>
      </c>
      <c r="U81" s="4" t="s">
        <v>178</v>
      </c>
      <c r="V81" s="4">
        <v>6.3930000000000001E-2</v>
      </c>
      <c r="W81" s="4">
        <v>0.37930000000000003</v>
      </c>
      <c r="X81" s="4">
        <v>2.7910000000000001E-2</v>
      </c>
      <c r="Y81" s="4">
        <v>1.3194900000000001</v>
      </c>
      <c r="Z81" s="4">
        <v>16.259219999999999</v>
      </c>
      <c r="AA81" s="4">
        <v>9.4765499999999996</v>
      </c>
      <c r="AB81" s="4">
        <v>-1.5953200000000001</v>
      </c>
    </row>
    <row r="82" spans="1:28" x14ac:dyDescent="0.25">
      <c r="A82" s="6">
        <v>11</v>
      </c>
      <c r="B82" s="4">
        <v>90</v>
      </c>
      <c r="C82" s="5">
        <v>50.01</v>
      </c>
      <c r="D82" s="4">
        <v>20</v>
      </c>
      <c r="E82" s="3">
        <v>23.5</v>
      </c>
      <c r="F82" s="3">
        <f>1.8*E82+32</f>
        <v>74.300000000000011</v>
      </c>
      <c r="G82" s="3">
        <v>22.5</v>
      </c>
      <c r="H82" s="3">
        <f>IF(F82&gt;68,G82+(F82-68)*0.2,#REF!-(68-F82)*0.2)</f>
        <v>23.76</v>
      </c>
      <c r="I82" s="3">
        <v>23</v>
      </c>
      <c r="J82" s="3">
        <f>1.8*I82+32</f>
        <v>73.400000000000006</v>
      </c>
      <c r="K82" s="3">
        <v>16</v>
      </c>
      <c r="L82" s="3">
        <f>IF(J82&gt;68,K82+(J82-68)*0.2,K82-(68-J82)*0.2)</f>
        <v>17.080000000000002</v>
      </c>
      <c r="M82" s="3">
        <f>(C82-H82)/C82*100</f>
        <v>52.489502099580079</v>
      </c>
      <c r="N82" s="3">
        <f>100-(M82+O82)</f>
        <v>13.357328534293146</v>
      </c>
      <c r="O82" s="3">
        <f>L82/C82*100</f>
        <v>34.153169366126775</v>
      </c>
      <c r="P82" s="2" t="s">
        <v>0</v>
      </c>
      <c r="Q82" s="1">
        <v>409019.59473700001</v>
      </c>
      <c r="R82" s="1">
        <v>3659326.872068</v>
      </c>
      <c r="T82" s="4">
        <v>2006111</v>
      </c>
      <c r="U82" s="4" t="s">
        <v>177</v>
      </c>
      <c r="V82" s="4">
        <v>6.3909999999999995E-2</v>
      </c>
      <c r="W82" s="4">
        <v>0.38094</v>
      </c>
      <c r="X82" s="4">
        <v>2.7820000000000001E-2</v>
      </c>
      <c r="Y82" s="4">
        <v>1.32019</v>
      </c>
      <c r="Z82" s="4">
        <v>16.07995</v>
      </c>
      <c r="AA82" s="4">
        <v>9.5099300000000007</v>
      </c>
      <c r="AB82" s="4">
        <v>-1.58249</v>
      </c>
    </row>
    <row r="83" spans="1:28" x14ac:dyDescent="0.25">
      <c r="A83" s="6">
        <v>11</v>
      </c>
      <c r="B83" s="4">
        <v>120</v>
      </c>
      <c r="C83" s="5">
        <v>50</v>
      </c>
      <c r="D83" s="4">
        <v>20</v>
      </c>
      <c r="E83" s="3">
        <v>25</v>
      </c>
      <c r="F83" s="3">
        <f>1.8*E83+32</f>
        <v>77</v>
      </c>
      <c r="G83" s="3">
        <v>22</v>
      </c>
      <c r="H83" s="3">
        <f>IF(F83&gt;68,G83+(F83-68)*0.2,#REF!-(68-F83)*0.2)</f>
        <v>23.8</v>
      </c>
      <c r="I83" s="3">
        <v>23</v>
      </c>
      <c r="J83" s="3">
        <f>1.8*I83+32</f>
        <v>73.400000000000006</v>
      </c>
      <c r="K83" s="3">
        <v>15.5</v>
      </c>
      <c r="L83" s="3">
        <f>IF(J83&gt;68,K83+(J83-68)*0.2,K83-(68-J83)*0.2)</f>
        <v>16.580000000000002</v>
      </c>
      <c r="M83" s="3">
        <f>(C83-H83)/C83*100</f>
        <v>52.400000000000006</v>
      </c>
      <c r="N83" s="3">
        <f>100-(M83+O83)</f>
        <v>14.439999999999998</v>
      </c>
      <c r="O83" s="3">
        <f>L83/C83*100</f>
        <v>33.160000000000004</v>
      </c>
      <c r="P83" s="2" t="s">
        <v>0</v>
      </c>
      <c r="Q83" s="1">
        <v>409019.59473700001</v>
      </c>
      <c r="R83" s="1">
        <v>3659326.872068</v>
      </c>
      <c r="T83" s="4">
        <v>2006111</v>
      </c>
      <c r="U83" s="4" t="s">
        <v>176</v>
      </c>
      <c r="V83" s="4">
        <v>6.7890000000000006E-2</v>
      </c>
      <c r="W83" s="4">
        <v>0.38561000000000001</v>
      </c>
      <c r="X83" s="4">
        <v>2.681E-2</v>
      </c>
      <c r="Y83" s="4">
        <v>1.30321</v>
      </c>
      <c r="Z83" s="4">
        <v>13.02971</v>
      </c>
      <c r="AA83" s="4">
        <v>8.52135</v>
      </c>
      <c r="AB83" s="4">
        <v>-1.6752899999999999</v>
      </c>
    </row>
    <row r="84" spans="1:28" x14ac:dyDescent="0.25">
      <c r="A84" s="6">
        <v>11</v>
      </c>
      <c r="B84" s="4">
        <v>150</v>
      </c>
      <c r="C84" s="5">
        <v>50</v>
      </c>
      <c r="D84" s="4">
        <v>20</v>
      </c>
      <c r="E84" s="3">
        <v>24.8</v>
      </c>
      <c r="F84" s="3">
        <f>1.8*E84+32</f>
        <v>76.64</v>
      </c>
      <c r="G84" s="3">
        <v>22</v>
      </c>
      <c r="H84" s="3">
        <f>IF(F84&gt;68,G84+(F84-68)*0.2,#REF!-(68-F84)*0.2)</f>
        <v>23.728000000000002</v>
      </c>
      <c r="I84" s="3">
        <v>23</v>
      </c>
      <c r="J84" s="3">
        <f>1.8*I84+32</f>
        <v>73.400000000000006</v>
      </c>
      <c r="K84" s="3">
        <v>14.5</v>
      </c>
      <c r="L84" s="3">
        <f>IF(J84&gt;68,K84+(J84-68)*0.2,K84-(68-J84)*0.2)</f>
        <v>15.580000000000002</v>
      </c>
      <c r="M84" s="3">
        <f>(C84-H84)/C84*100</f>
        <v>52.544000000000004</v>
      </c>
      <c r="N84" s="3">
        <f>100-(M84+O84)</f>
        <v>16.295999999999992</v>
      </c>
      <c r="O84" s="3">
        <f>L84/C84*100</f>
        <v>31.160000000000004</v>
      </c>
      <c r="P84" s="2" t="s">
        <v>0</v>
      </c>
      <c r="Q84" s="1">
        <v>409019.59473700001</v>
      </c>
      <c r="R84" s="1">
        <v>3659326.872068</v>
      </c>
      <c r="T84" s="4">
        <v>2006111</v>
      </c>
      <c r="U84" s="4" t="s">
        <v>175</v>
      </c>
      <c r="V84" s="4">
        <v>5.9650000000000002E-2</v>
      </c>
      <c r="W84" s="4">
        <v>0.37452999999999997</v>
      </c>
      <c r="X84" s="4">
        <v>2.869E-2</v>
      </c>
      <c r="Y84" s="4">
        <v>1.3705000000000001</v>
      </c>
      <c r="Z84" s="4">
        <v>23.287040000000001</v>
      </c>
      <c r="AA84" s="4">
        <v>10.912369999999999</v>
      </c>
      <c r="AB84" s="4">
        <v>-1.3716999999999999</v>
      </c>
    </row>
    <row r="85" spans="1:28" x14ac:dyDescent="0.25">
      <c r="A85" s="6">
        <v>11</v>
      </c>
      <c r="B85" s="4">
        <v>180</v>
      </c>
      <c r="C85" s="5">
        <v>50</v>
      </c>
      <c r="D85" s="4">
        <v>20</v>
      </c>
      <c r="E85" s="3">
        <v>25</v>
      </c>
      <c r="F85" s="3">
        <f>1.8*E85+32</f>
        <v>77</v>
      </c>
      <c r="G85" s="3">
        <v>16.5</v>
      </c>
      <c r="H85" s="3">
        <f>IF(F85&gt;68,G85+(F85-68)*0.2,#REF!-(68-F85)*0.2)</f>
        <v>18.3</v>
      </c>
      <c r="I85" s="3">
        <v>23</v>
      </c>
      <c r="J85" s="3">
        <f>1.8*I85+32</f>
        <v>73.400000000000006</v>
      </c>
      <c r="K85" s="3">
        <v>11.5</v>
      </c>
      <c r="L85" s="3">
        <f>IF(J85&gt;68,K85+(J85-68)*0.2,K85-(68-J85)*0.2)</f>
        <v>12.580000000000002</v>
      </c>
      <c r="M85" s="3">
        <f>(C85-H85)/C85*100</f>
        <v>63.4</v>
      </c>
      <c r="N85" s="3">
        <f>100-(M85+O85)</f>
        <v>11.439999999999998</v>
      </c>
      <c r="O85" s="3">
        <f>L85/C85*100</f>
        <v>25.160000000000004</v>
      </c>
      <c r="P85" s="2" t="s">
        <v>0</v>
      </c>
      <c r="Q85" s="1">
        <v>409019.59473700001</v>
      </c>
      <c r="R85" s="1">
        <v>3659326.872068</v>
      </c>
      <c r="T85" s="4">
        <v>2006111</v>
      </c>
      <c r="U85" s="4" t="s">
        <v>174</v>
      </c>
      <c r="V85" s="4">
        <v>6.4399999999999999E-2</v>
      </c>
      <c r="W85" s="4">
        <v>0.37874999999999998</v>
      </c>
      <c r="X85" s="4">
        <v>2.7810000000000001E-2</v>
      </c>
      <c r="Y85" s="4">
        <v>1.3165199999999999</v>
      </c>
      <c r="Z85" s="4">
        <v>15.95139</v>
      </c>
      <c r="AA85" s="4">
        <v>9.3116400000000006</v>
      </c>
      <c r="AB85" s="4">
        <v>-1.6156699999999999</v>
      </c>
    </row>
    <row r="86" spans="1:28" x14ac:dyDescent="0.25">
      <c r="T86" s="4">
        <v>2006111</v>
      </c>
      <c r="U86" s="4" t="s">
        <v>173</v>
      </c>
      <c r="V86" s="4">
        <v>6.6189999999999999E-2</v>
      </c>
      <c r="W86" s="4">
        <v>0.38349</v>
      </c>
      <c r="X86" s="4">
        <v>2.7220000000000001E-2</v>
      </c>
      <c r="Y86" s="4">
        <v>1.30975</v>
      </c>
      <c r="Z86" s="4">
        <v>14.18779</v>
      </c>
      <c r="AA86" s="4">
        <v>8.9116400000000002</v>
      </c>
      <c r="AB86" s="4">
        <v>-1.63778</v>
      </c>
    </row>
    <row r="87" spans="1:28" ht="51.75" x14ac:dyDescent="0.25">
      <c r="A87" s="15" t="s">
        <v>19</v>
      </c>
      <c r="B87" s="10" t="s">
        <v>18</v>
      </c>
      <c r="C87" s="14" t="s">
        <v>17</v>
      </c>
      <c r="D87" s="13" t="s">
        <v>16</v>
      </c>
      <c r="E87" s="12" t="s">
        <v>15</v>
      </c>
      <c r="F87" s="12" t="s">
        <v>14</v>
      </c>
      <c r="G87" s="12" t="s">
        <v>13</v>
      </c>
      <c r="H87" s="12" t="s">
        <v>12</v>
      </c>
      <c r="I87" s="12" t="s">
        <v>11</v>
      </c>
      <c r="J87" s="12" t="s">
        <v>10</v>
      </c>
      <c r="K87" s="12" t="s">
        <v>9</v>
      </c>
      <c r="L87" s="12" t="s">
        <v>8</v>
      </c>
      <c r="M87" s="11" t="s">
        <v>7</v>
      </c>
      <c r="N87" s="11" t="s">
        <v>6</v>
      </c>
      <c r="O87" s="11" t="s">
        <v>5</v>
      </c>
      <c r="P87" s="10" t="s">
        <v>4</v>
      </c>
      <c r="Q87" s="17" t="s">
        <v>3</v>
      </c>
      <c r="R87" s="17"/>
      <c r="T87" s="4">
        <v>2006111</v>
      </c>
      <c r="U87" s="4" t="s">
        <v>172</v>
      </c>
      <c r="V87" s="4">
        <v>7.2789999999999994E-2</v>
      </c>
      <c r="W87" s="4">
        <v>0.39369999999999999</v>
      </c>
      <c r="X87" s="4">
        <v>2.5690000000000001E-2</v>
      </c>
      <c r="Y87" s="4">
        <v>1.28945</v>
      </c>
      <c r="Z87" s="4">
        <v>10.412459999999999</v>
      </c>
      <c r="AA87" s="4">
        <v>7.5956599999999996</v>
      </c>
      <c r="AB87" s="4">
        <v>-1.75288</v>
      </c>
    </row>
    <row r="88" spans="1:28" x14ac:dyDescent="0.25">
      <c r="A88" s="4"/>
      <c r="B88" s="4"/>
      <c r="C88" s="5"/>
      <c r="D88" s="4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2"/>
      <c r="Q88" s="7" t="s">
        <v>2</v>
      </c>
      <c r="R88" s="7" t="s">
        <v>1</v>
      </c>
      <c r="T88" s="4">
        <v>2006111</v>
      </c>
      <c r="U88" s="4" t="s">
        <v>171</v>
      </c>
      <c r="V88" s="4">
        <v>7.6050000000000006E-2</v>
      </c>
      <c r="W88" s="4">
        <v>0.39850999999999998</v>
      </c>
      <c r="X88" s="4">
        <v>2.5850000000000001E-2</v>
      </c>
      <c r="Y88" s="4">
        <v>1.2727299999999999</v>
      </c>
      <c r="Z88" s="4">
        <v>9.9745299999999997</v>
      </c>
      <c r="AA88" s="4">
        <v>7.2408700000000001</v>
      </c>
      <c r="AB88" s="4">
        <v>-1.9135599999999999</v>
      </c>
    </row>
    <row r="89" spans="1:28" x14ac:dyDescent="0.25">
      <c r="A89" s="6">
        <v>12</v>
      </c>
      <c r="B89" s="4">
        <v>30</v>
      </c>
      <c r="C89" s="5">
        <v>50.01</v>
      </c>
      <c r="D89" s="4">
        <v>20</v>
      </c>
      <c r="E89" s="3">
        <v>26</v>
      </c>
      <c r="F89" s="3">
        <f>1.8*E89+32</f>
        <v>78.800000000000011</v>
      </c>
      <c r="G89" s="3">
        <v>16</v>
      </c>
      <c r="H89" s="3">
        <f>IF(F89&gt;68,G89+(F89-68)*0.2,#REF!-(68-F89)*0.2)</f>
        <v>18.160000000000004</v>
      </c>
      <c r="I89" s="3">
        <v>24</v>
      </c>
      <c r="J89" s="3">
        <f>1.8*I89+32</f>
        <v>75.2</v>
      </c>
      <c r="K89" s="3">
        <v>10</v>
      </c>
      <c r="L89" s="3">
        <f>IF(J89&gt;68,K89+(J89-68)*0.2,K89-(68-J89)*0.2)</f>
        <v>11.440000000000001</v>
      </c>
      <c r="M89" s="3">
        <f>(C89-H89)/C89*100</f>
        <v>63.687262547490498</v>
      </c>
      <c r="N89" s="3">
        <f>100-(M89+O89)</f>
        <v>13.437312537492502</v>
      </c>
      <c r="O89" s="3">
        <f>L89/C89*100</f>
        <v>22.875424915017</v>
      </c>
      <c r="P89" s="2" t="s">
        <v>0</v>
      </c>
      <c r="Q89" s="1">
        <v>409031.76515400002</v>
      </c>
      <c r="R89" s="1">
        <v>3659326.6671259999</v>
      </c>
      <c r="T89" s="4">
        <v>2006111</v>
      </c>
      <c r="U89" s="4" t="s">
        <v>170</v>
      </c>
      <c r="V89" s="4">
        <v>7.6600000000000001E-2</v>
      </c>
      <c r="W89" s="4">
        <v>0.40205999999999997</v>
      </c>
      <c r="X89" s="4">
        <v>2.4840000000000001E-2</v>
      </c>
      <c r="Y89" s="4">
        <v>1.28149</v>
      </c>
      <c r="Z89" s="4">
        <v>8.9042399999999997</v>
      </c>
      <c r="AA89" s="4">
        <v>7.0127199999999998</v>
      </c>
      <c r="AB89" s="4">
        <v>-1.7922199999999999</v>
      </c>
    </row>
    <row r="90" spans="1:28" x14ac:dyDescent="0.25">
      <c r="A90" s="6">
        <v>12</v>
      </c>
      <c r="B90" s="4">
        <v>60</v>
      </c>
      <c r="C90" s="5">
        <v>50.02</v>
      </c>
      <c r="D90" s="4">
        <v>20</v>
      </c>
      <c r="E90" s="3">
        <v>26</v>
      </c>
      <c r="F90" s="3">
        <f>1.8*E90+32</f>
        <v>78.800000000000011</v>
      </c>
      <c r="G90" s="3">
        <v>17</v>
      </c>
      <c r="H90" s="3">
        <f>IF(F90&gt;68,G90+(F90-68)*0.2,#REF!-(68-F90)*0.2)</f>
        <v>19.160000000000004</v>
      </c>
      <c r="I90" s="3">
        <v>24</v>
      </c>
      <c r="J90" s="3">
        <f>1.8*I90+32</f>
        <v>75.2</v>
      </c>
      <c r="K90" s="3">
        <v>11</v>
      </c>
      <c r="L90" s="3">
        <f>IF(J90&gt;68,K90+(J90-68)*0.2,K90-(68-J90)*0.2)</f>
        <v>12.440000000000001</v>
      </c>
      <c r="M90" s="3">
        <f>(C90-H90)/C90*100</f>
        <v>61.695321871251494</v>
      </c>
      <c r="N90" s="3">
        <f>100-(M90+O90)</f>
        <v>13.434626149540179</v>
      </c>
      <c r="O90" s="3">
        <f>L90/C90*100</f>
        <v>24.87005197920832</v>
      </c>
      <c r="P90" s="2" t="s">
        <v>0</v>
      </c>
      <c r="Q90" s="1">
        <v>409031.76515400002</v>
      </c>
      <c r="R90" s="1">
        <v>3659326.6671259999</v>
      </c>
      <c r="T90" s="4">
        <v>2006111</v>
      </c>
      <c r="U90" s="4" t="s">
        <v>169</v>
      </c>
      <c r="V90" s="4">
        <v>6.7269999999999996E-2</v>
      </c>
      <c r="W90" s="4">
        <v>0.37817000000000001</v>
      </c>
      <c r="X90" s="4">
        <v>2.7220000000000001E-2</v>
      </c>
      <c r="Y90" s="4">
        <v>1.2970699999999999</v>
      </c>
      <c r="Z90" s="4">
        <v>14.342650000000001</v>
      </c>
      <c r="AA90" s="4">
        <v>8.4412900000000004</v>
      </c>
      <c r="AB90" s="4">
        <v>-1.75078</v>
      </c>
    </row>
    <row r="91" spans="1:28" x14ac:dyDescent="0.25">
      <c r="A91" s="6">
        <v>12</v>
      </c>
      <c r="B91" s="4">
        <v>90</v>
      </c>
      <c r="C91" s="5">
        <v>50</v>
      </c>
      <c r="D91" s="4">
        <v>20</v>
      </c>
      <c r="E91" s="3">
        <v>26</v>
      </c>
      <c r="F91" s="3">
        <f>1.8*E91+32</f>
        <v>78.800000000000011</v>
      </c>
      <c r="G91" s="3">
        <v>14</v>
      </c>
      <c r="H91" s="3">
        <f>IF(F91&gt;68,G91+(F91-68)*0.2,#REF!-(68-F91)*0.2)</f>
        <v>16.160000000000004</v>
      </c>
      <c r="I91" s="3">
        <v>24</v>
      </c>
      <c r="J91" s="3">
        <f>1.8*I91+32</f>
        <v>75.2</v>
      </c>
      <c r="K91" s="3">
        <v>9</v>
      </c>
      <c r="L91" s="3">
        <f>IF(J91&gt;68,K91+(J91-68)*0.2,K91-(68-J91)*0.2)</f>
        <v>10.440000000000001</v>
      </c>
      <c r="M91" s="3">
        <f>(C91-H91)/C91*100</f>
        <v>67.679999999999993</v>
      </c>
      <c r="N91" s="3">
        <f>100-(M91+O91)</f>
        <v>11.439999999999998</v>
      </c>
      <c r="O91" s="3">
        <f>L91/C91*100</f>
        <v>20.880000000000003</v>
      </c>
      <c r="P91" s="2" t="s">
        <v>0</v>
      </c>
      <c r="Q91" s="1">
        <v>409031.76515400002</v>
      </c>
      <c r="R91" s="1">
        <v>3659326.6671259999</v>
      </c>
      <c r="T91" s="4">
        <v>2006111</v>
      </c>
      <c r="U91" s="4" t="s">
        <v>168</v>
      </c>
      <c r="V91" s="4">
        <v>6.4049999999999996E-2</v>
      </c>
      <c r="W91" s="4">
        <v>0.37891000000000002</v>
      </c>
      <c r="X91" s="4">
        <v>2.7890000000000002E-2</v>
      </c>
      <c r="Y91" s="4">
        <v>1.3187599999999999</v>
      </c>
      <c r="Z91" s="4">
        <v>16.207920000000001</v>
      </c>
      <c r="AA91" s="4">
        <v>9.4255399999999998</v>
      </c>
      <c r="AB91" s="4">
        <v>-1.60128</v>
      </c>
    </row>
    <row r="92" spans="1:28" x14ac:dyDescent="0.25">
      <c r="A92" s="6">
        <v>12</v>
      </c>
      <c r="B92" s="4">
        <v>120</v>
      </c>
      <c r="C92" s="5">
        <v>50</v>
      </c>
      <c r="D92" s="4">
        <v>20</v>
      </c>
      <c r="E92" s="3">
        <v>26</v>
      </c>
      <c r="F92" s="3">
        <f>1.8*E92+32</f>
        <v>78.800000000000011</v>
      </c>
      <c r="G92" s="3">
        <v>15</v>
      </c>
      <c r="H92" s="3">
        <f>IF(F92&gt;68,G92+(F92-68)*0.2,#REF!-(68-F92)*0.2)</f>
        <v>17.160000000000004</v>
      </c>
      <c r="I92" s="3">
        <v>24</v>
      </c>
      <c r="J92" s="3">
        <f>1.8*I92+32</f>
        <v>75.2</v>
      </c>
      <c r="K92" s="3">
        <v>9.5</v>
      </c>
      <c r="L92" s="3">
        <f>IF(J92&gt;68,K92+(J92-68)*0.2,K92-(68-J92)*0.2)</f>
        <v>10.940000000000001</v>
      </c>
      <c r="M92" s="3">
        <f>(C92-H92)/C92*100</f>
        <v>65.679999999999993</v>
      </c>
      <c r="N92" s="3">
        <f>100-(M92+O92)</f>
        <v>12.439999999999998</v>
      </c>
      <c r="O92" s="3">
        <f>L92/C92*100</f>
        <v>21.880000000000003</v>
      </c>
      <c r="P92" s="2" t="s">
        <v>0</v>
      </c>
      <c r="Q92" s="1">
        <v>409031.76515400002</v>
      </c>
      <c r="R92" s="1">
        <v>3659326.6671259999</v>
      </c>
      <c r="T92" s="4">
        <v>2006111</v>
      </c>
      <c r="U92" s="4" t="s">
        <v>167</v>
      </c>
      <c r="V92" s="4">
        <v>6.8019999999999997E-2</v>
      </c>
      <c r="W92" s="4">
        <v>0.38600000000000001</v>
      </c>
      <c r="X92" s="4">
        <v>2.673E-2</v>
      </c>
      <c r="Y92" s="4">
        <v>1.30331</v>
      </c>
      <c r="Z92" s="4">
        <v>12.91338</v>
      </c>
      <c r="AA92" s="4">
        <v>8.4888100000000009</v>
      </c>
      <c r="AB92" s="4">
        <v>-1.67204</v>
      </c>
    </row>
    <row r="93" spans="1:28" x14ac:dyDescent="0.25">
      <c r="A93" s="6">
        <v>12</v>
      </c>
      <c r="B93" s="4">
        <v>150</v>
      </c>
      <c r="C93" s="5">
        <v>50</v>
      </c>
      <c r="D93" s="4">
        <v>20</v>
      </c>
      <c r="E93" s="3">
        <v>26</v>
      </c>
      <c r="F93" s="3">
        <f>1.8*E93+32</f>
        <v>78.800000000000011</v>
      </c>
      <c r="G93" s="3">
        <v>18</v>
      </c>
      <c r="H93" s="3">
        <f>IF(F93&gt;68,G93+(F93-68)*0.2,#REF!-(68-F93)*0.2)</f>
        <v>20.160000000000004</v>
      </c>
      <c r="I93" s="3">
        <v>24</v>
      </c>
      <c r="J93" s="3">
        <f>1.8*I93+32</f>
        <v>75.2</v>
      </c>
      <c r="K93" s="3">
        <v>12</v>
      </c>
      <c r="L93" s="3">
        <f>IF(J93&gt;68,K93+(J93-68)*0.2,K93-(68-J93)*0.2)</f>
        <v>13.440000000000001</v>
      </c>
      <c r="M93" s="3">
        <f>(C93-H93)/C93*100</f>
        <v>59.679999999999986</v>
      </c>
      <c r="N93" s="3">
        <f>100-(M93+O93)</f>
        <v>13.440000000000012</v>
      </c>
      <c r="O93" s="3">
        <f>L93/C93*100</f>
        <v>26.880000000000003</v>
      </c>
      <c r="P93" s="2" t="s">
        <v>0</v>
      </c>
      <c r="Q93" s="1">
        <v>409031.76515400002</v>
      </c>
      <c r="R93" s="1">
        <v>3659326.6671259999</v>
      </c>
      <c r="T93" s="4">
        <v>2006111</v>
      </c>
      <c r="U93" s="4" t="s">
        <v>166</v>
      </c>
      <c r="V93" s="4">
        <v>6.5290000000000001E-2</v>
      </c>
      <c r="W93" s="4">
        <v>0.37972</v>
      </c>
      <c r="X93" s="4">
        <v>2.7650000000000001E-2</v>
      </c>
      <c r="Y93" s="4">
        <v>1.31084</v>
      </c>
      <c r="Z93" s="4">
        <v>15.20013</v>
      </c>
      <c r="AA93" s="4">
        <v>9.0885999999999996</v>
      </c>
      <c r="AB93" s="4">
        <v>-1.6494200000000001</v>
      </c>
    </row>
    <row r="94" spans="1:28" x14ac:dyDescent="0.25">
      <c r="A94" s="6">
        <v>12</v>
      </c>
      <c r="B94" s="4">
        <v>180</v>
      </c>
      <c r="C94" s="5">
        <v>50</v>
      </c>
      <c r="D94" s="4">
        <v>20</v>
      </c>
      <c r="E94" s="3">
        <v>26</v>
      </c>
      <c r="F94" s="3">
        <f>1.8*E94+32</f>
        <v>78.800000000000011</v>
      </c>
      <c r="G94" s="3">
        <v>14</v>
      </c>
      <c r="H94" s="3">
        <f>IF(F94&gt;68,G94+(F94-68)*0.2,#REF!-(68-F94)*0.2)</f>
        <v>16.160000000000004</v>
      </c>
      <c r="I94" s="3">
        <v>24</v>
      </c>
      <c r="J94" s="3">
        <f>1.8*I94+32</f>
        <v>75.2</v>
      </c>
      <c r="K94" s="3">
        <v>11.5</v>
      </c>
      <c r="L94" s="3">
        <f>IF(J94&gt;68,K94+(J94-68)*0.2,K94-(68-J94)*0.2)</f>
        <v>12.940000000000001</v>
      </c>
      <c r="M94" s="3">
        <f>(C94-H94)/C94*100</f>
        <v>67.679999999999993</v>
      </c>
      <c r="N94" s="3">
        <f>100-(M94+O94)</f>
        <v>6.4399999999999977</v>
      </c>
      <c r="O94" s="3">
        <f>L94/C94*100</f>
        <v>25.880000000000003</v>
      </c>
      <c r="P94" s="2" t="s">
        <v>0</v>
      </c>
      <c r="Q94" s="1">
        <v>409031.76515400002</v>
      </c>
      <c r="R94" s="1">
        <v>3659326.6671259999</v>
      </c>
      <c r="T94" s="4">
        <v>2006111</v>
      </c>
      <c r="U94" s="4" t="s">
        <v>165</v>
      </c>
      <c r="V94" s="4">
        <v>7.1190000000000003E-2</v>
      </c>
      <c r="W94" s="4">
        <v>0.39351000000000003</v>
      </c>
      <c r="X94" s="4">
        <v>2.5100000000000001E-2</v>
      </c>
      <c r="Y94" s="4">
        <v>1.30402</v>
      </c>
      <c r="Z94" s="4">
        <v>10.56354</v>
      </c>
      <c r="AA94" s="4">
        <v>7.7061599999999997</v>
      </c>
      <c r="AB94" s="4">
        <v>-1.6167100000000001</v>
      </c>
    </row>
    <row r="95" spans="1:28" x14ac:dyDescent="0.2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22"/>
      <c r="R95" s="22"/>
      <c r="T95" s="4">
        <v>2006111</v>
      </c>
      <c r="U95" s="4" t="s">
        <v>164</v>
      </c>
      <c r="V95" s="4">
        <v>6.948E-2</v>
      </c>
      <c r="W95" s="4">
        <v>0.38885999999999998</v>
      </c>
      <c r="X95" s="4">
        <v>2.6190000000000001E-2</v>
      </c>
      <c r="Y95" s="4">
        <v>1.3010900000000001</v>
      </c>
      <c r="Z95" s="4">
        <v>11.902150000000001</v>
      </c>
      <c r="AA95" s="4">
        <v>8.1607599999999998</v>
      </c>
      <c r="AB95" s="4">
        <v>-1.6726799999999999</v>
      </c>
    </row>
    <row r="96" spans="1:28" ht="51.75" x14ac:dyDescent="0.25">
      <c r="A96" s="15" t="s">
        <v>19</v>
      </c>
      <c r="B96" s="10" t="s">
        <v>18</v>
      </c>
      <c r="C96" s="14" t="s">
        <v>17</v>
      </c>
      <c r="D96" s="13" t="s">
        <v>16</v>
      </c>
      <c r="E96" s="12" t="s">
        <v>15</v>
      </c>
      <c r="F96" s="12" t="s">
        <v>14</v>
      </c>
      <c r="G96" s="12" t="s">
        <v>13</v>
      </c>
      <c r="H96" s="12" t="s">
        <v>12</v>
      </c>
      <c r="I96" s="12" t="s">
        <v>11</v>
      </c>
      <c r="J96" s="12" t="s">
        <v>10</v>
      </c>
      <c r="K96" s="12" t="s">
        <v>9</v>
      </c>
      <c r="L96" s="12" t="s">
        <v>8</v>
      </c>
      <c r="M96" s="11" t="s">
        <v>7</v>
      </c>
      <c r="N96" s="11" t="s">
        <v>6</v>
      </c>
      <c r="O96" s="11" t="s">
        <v>5</v>
      </c>
      <c r="P96" s="10" t="s">
        <v>4</v>
      </c>
      <c r="Q96" s="24" t="s">
        <v>3</v>
      </c>
      <c r="R96" s="23"/>
      <c r="T96" s="4">
        <v>2006111</v>
      </c>
      <c r="U96" s="4" t="s">
        <v>163</v>
      </c>
      <c r="V96" s="4">
        <v>6.7040000000000002E-2</v>
      </c>
      <c r="W96" s="4">
        <v>0.38758999999999999</v>
      </c>
      <c r="X96" s="4">
        <v>2.623E-2</v>
      </c>
      <c r="Y96" s="4">
        <v>1.31481</v>
      </c>
      <c r="Z96" s="4">
        <v>13.165570000000001</v>
      </c>
      <c r="AA96" s="4">
        <v>8.5979299999999999</v>
      </c>
      <c r="AB96" s="4">
        <v>-1.57029</v>
      </c>
    </row>
    <row r="97" spans="1:28" x14ac:dyDescent="0.25">
      <c r="A97" s="4"/>
      <c r="B97" s="4"/>
      <c r="C97" s="5"/>
      <c r="D97" s="4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2"/>
      <c r="Q97" s="7" t="s">
        <v>2</v>
      </c>
      <c r="R97" s="7" t="s">
        <v>1</v>
      </c>
      <c r="T97" s="4">
        <v>2006111</v>
      </c>
      <c r="U97" s="4" t="s">
        <v>162</v>
      </c>
      <c r="V97" s="4">
        <v>6.5299999999999997E-2</v>
      </c>
      <c r="W97" s="4">
        <v>0.38196000000000002</v>
      </c>
      <c r="X97" s="4">
        <v>2.751E-2</v>
      </c>
      <c r="Y97" s="4">
        <v>1.3128</v>
      </c>
      <c r="Z97" s="4">
        <v>14.929650000000001</v>
      </c>
      <c r="AA97" s="4">
        <v>9.1336999999999993</v>
      </c>
      <c r="AB97" s="4">
        <v>-1.6253</v>
      </c>
    </row>
    <row r="98" spans="1:28" x14ac:dyDescent="0.25">
      <c r="A98" s="6">
        <v>13</v>
      </c>
      <c r="B98" s="4">
        <v>30</v>
      </c>
      <c r="C98" s="5">
        <v>50</v>
      </c>
      <c r="D98" s="4">
        <v>20</v>
      </c>
      <c r="E98" s="3">
        <v>22.8</v>
      </c>
      <c r="F98" s="3">
        <f>1.8*E98+32</f>
        <v>73.039999999999992</v>
      </c>
      <c r="G98" s="3">
        <v>16</v>
      </c>
      <c r="H98" s="3">
        <f>IF(F98&gt;68,G98+(F98-68)*0.2,#REF!-(68-F98)*0.2)</f>
        <v>17.007999999999999</v>
      </c>
      <c r="I98" s="3">
        <v>23</v>
      </c>
      <c r="J98" s="3">
        <f>1.8*I98+32</f>
        <v>73.400000000000006</v>
      </c>
      <c r="K98" s="3">
        <v>10</v>
      </c>
      <c r="L98" s="3">
        <f>IF(J98&gt;68,K98+(J98-68)*0.2,K98-(68-J98)*0.2)</f>
        <v>11.080000000000002</v>
      </c>
      <c r="M98" s="3">
        <f>(C98-H98)/C98*100</f>
        <v>65.984000000000009</v>
      </c>
      <c r="N98" s="3">
        <f>100-(M98+O98)</f>
        <v>11.855999999999995</v>
      </c>
      <c r="O98" s="3">
        <f>L98/C98*100</f>
        <v>22.160000000000004</v>
      </c>
      <c r="P98" s="2" t="s">
        <v>0</v>
      </c>
      <c r="Q98" s="21">
        <v>409043.96113499999</v>
      </c>
      <c r="R98" s="21">
        <v>3659326.4617539998</v>
      </c>
      <c r="T98" s="4">
        <v>2006111</v>
      </c>
      <c r="U98" s="4" t="s">
        <v>161</v>
      </c>
      <c r="V98" s="4">
        <v>6.5390000000000004E-2</v>
      </c>
      <c r="W98" s="4">
        <v>0.38331999999999999</v>
      </c>
      <c r="X98" s="4">
        <v>2.7300000000000001E-2</v>
      </c>
      <c r="Y98" s="4">
        <v>1.3144400000000001</v>
      </c>
      <c r="Z98" s="4">
        <v>14.713089999999999</v>
      </c>
      <c r="AA98" s="4">
        <v>9.1030599999999993</v>
      </c>
      <c r="AB98" s="4">
        <v>-1.6051299999999999</v>
      </c>
    </row>
    <row r="99" spans="1:28" x14ac:dyDescent="0.25">
      <c r="A99" s="6">
        <v>13</v>
      </c>
      <c r="B99" s="4">
        <v>60</v>
      </c>
      <c r="C99" s="5">
        <v>50</v>
      </c>
      <c r="D99" s="4">
        <v>20</v>
      </c>
      <c r="E99" s="3">
        <v>22.8</v>
      </c>
      <c r="F99" s="3">
        <f>1.8*E99+32</f>
        <v>73.039999999999992</v>
      </c>
      <c r="G99" s="3">
        <v>17</v>
      </c>
      <c r="H99" s="3">
        <f>IF(F99&gt;68,G99+(F99-68)*0.2,#REF!-(68-F99)*0.2)</f>
        <v>18.007999999999999</v>
      </c>
      <c r="I99" s="3">
        <v>23</v>
      </c>
      <c r="J99" s="3">
        <f>1.8*I99+32</f>
        <v>73.400000000000006</v>
      </c>
      <c r="K99" s="3">
        <v>10.5</v>
      </c>
      <c r="L99" s="3">
        <f>IF(J99&gt;68,K99+(J99-68)*0.2,K99-(68-J99)*0.2)</f>
        <v>11.580000000000002</v>
      </c>
      <c r="M99" s="3">
        <f>(C99-H99)/C99*100</f>
        <v>63.983999999999995</v>
      </c>
      <c r="N99" s="3">
        <f>100-(M99+O99)</f>
        <v>12.855999999999995</v>
      </c>
      <c r="O99" s="3">
        <f>L99/C99*100</f>
        <v>23.160000000000004</v>
      </c>
      <c r="P99" s="2" t="s">
        <v>0</v>
      </c>
      <c r="Q99" s="21">
        <v>409043.96113499999</v>
      </c>
      <c r="R99" s="21">
        <v>3659326.4617539998</v>
      </c>
      <c r="T99" s="4">
        <v>2006111</v>
      </c>
      <c r="U99" s="4" t="s">
        <v>160</v>
      </c>
      <c r="V99" s="4">
        <v>6.8150000000000002E-2</v>
      </c>
      <c r="W99" s="4">
        <v>0.38705000000000001</v>
      </c>
      <c r="X99" s="4">
        <v>2.649E-2</v>
      </c>
      <c r="Y99" s="4">
        <v>1.30542</v>
      </c>
      <c r="Z99" s="4">
        <v>12.694710000000001</v>
      </c>
      <c r="AA99" s="4">
        <v>8.4369099999999992</v>
      </c>
      <c r="AB99" s="4">
        <v>-1.64801</v>
      </c>
    </row>
    <row r="100" spans="1:28" x14ac:dyDescent="0.25">
      <c r="A100" s="6">
        <v>13</v>
      </c>
      <c r="B100" s="4">
        <v>90</v>
      </c>
      <c r="C100" s="5">
        <v>50.01</v>
      </c>
      <c r="D100" s="4">
        <v>20</v>
      </c>
      <c r="E100" s="3">
        <v>22.5</v>
      </c>
      <c r="F100" s="3">
        <f>1.8*E100+32</f>
        <v>72.5</v>
      </c>
      <c r="G100" s="3">
        <v>14</v>
      </c>
      <c r="H100" s="3">
        <f>IF(F100&gt;68,G100+(F100-68)*0.2,G286-(68-F100)*0.2)</f>
        <v>14.9</v>
      </c>
      <c r="I100" s="3">
        <v>23</v>
      </c>
      <c r="J100" s="3">
        <f>1.8*I100+32</f>
        <v>73.400000000000006</v>
      </c>
      <c r="K100" s="3">
        <v>8</v>
      </c>
      <c r="L100" s="3">
        <f>IF(J100&gt;68,K100+(J100-68)*0.2,K100-(68-J100)*0.2)</f>
        <v>9.0800000000000018</v>
      </c>
      <c r="M100" s="3">
        <f>(C100-H100)/C100*100</f>
        <v>70.20595880823835</v>
      </c>
      <c r="N100" s="3">
        <f>100-(M100+O100)</f>
        <v>11.637672465506895</v>
      </c>
      <c r="O100" s="3">
        <f>L100/C100*100</f>
        <v>18.156368726254755</v>
      </c>
      <c r="P100" s="2" t="s">
        <v>0</v>
      </c>
      <c r="Q100" s="21">
        <v>409043.96113499999</v>
      </c>
      <c r="R100" s="21">
        <v>3659326.4617539998</v>
      </c>
      <c r="T100" s="4">
        <v>2006111</v>
      </c>
      <c r="U100" s="4" t="s">
        <v>159</v>
      </c>
      <c r="V100" s="4">
        <v>8.0740000000000006E-2</v>
      </c>
      <c r="W100" s="4">
        <v>0.41387000000000002</v>
      </c>
      <c r="X100" s="4">
        <v>2.3630000000000002E-2</v>
      </c>
      <c r="Y100" s="4">
        <v>1.27637</v>
      </c>
      <c r="Z100" s="4">
        <v>7.5147700000000004</v>
      </c>
      <c r="AA100" s="4">
        <v>6.4039000000000001</v>
      </c>
      <c r="AB100" s="4">
        <v>-1.7872699999999999</v>
      </c>
    </row>
    <row r="101" spans="1:28" x14ac:dyDescent="0.25">
      <c r="A101" s="6">
        <v>13</v>
      </c>
      <c r="B101" s="4">
        <v>120</v>
      </c>
      <c r="C101" s="5">
        <v>50</v>
      </c>
      <c r="D101" s="4">
        <v>20</v>
      </c>
      <c r="E101" s="3">
        <v>23</v>
      </c>
      <c r="F101" s="3">
        <f>1.8*E101+32</f>
        <v>73.400000000000006</v>
      </c>
      <c r="G101" s="3">
        <v>12.5</v>
      </c>
      <c r="H101" s="3">
        <f>IF(F101&gt;68,G101+(F101-68)*0.2,G287-(68-F101)*0.2)</f>
        <v>13.580000000000002</v>
      </c>
      <c r="I101" s="3">
        <v>23</v>
      </c>
      <c r="J101" s="3">
        <f>1.8*I101+32</f>
        <v>73.400000000000006</v>
      </c>
      <c r="K101" s="3">
        <v>6.5</v>
      </c>
      <c r="L101" s="3">
        <f>IF(J101&gt;68,K101+(J101-68)*0.2,K101-(68-J101)*0.2)</f>
        <v>7.580000000000001</v>
      </c>
      <c r="M101" s="3">
        <f>(C101-H101)/C101*100</f>
        <v>72.84</v>
      </c>
      <c r="N101" s="3">
        <f>100-(M101+O101)</f>
        <v>12</v>
      </c>
      <c r="O101" s="3">
        <f>L101/C101*100</f>
        <v>15.160000000000002</v>
      </c>
      <c r="P101" s="2" t="s">
        <v>20</v>
      </c>
      <c r="Q101" s="21">
        <v>409043.96113499999</v>
      </c>
      <c r="R101" s="21">
        <v>3659326.4617539998</v>
      </c>
      <c r="T101" s="4">
        <v>2006111</v>
      </c>
      <c r="U101" s="4" t="s">
        <v>158</v>
      </c>
      <c r="V101" s="4">
        <v>6.7849999999999994E-2</v>
      </c>
      <c r="W101" s="4">
        <v>0.38416</v>
      </c>
      <c r="X101" s="4">
        <v>2.7060000000000001E-2</v>
      </c>
      <c r="Y101" s="4">
        <v>1.30003</v>
      </c>
      <c r="Z101" s="4">
        <v>13.272790000000001</v>
      </c>
      <c r="AA101" s="4">
        <v>8.5393500000000007</v>
      </c>
      <c r="AB101" s="4">
        <v>-1.7095199999999999</v>
      </c>
    </row>
    <row r="102" spans="1:28" x14ac:dyDescent="0.25">
      <c r="A102" s="6">
        <v>13</v>
      </c>
      <c r="B102" s="4">
        <v>150</v>
      </c>
      <c r="C102" s="5">
        <v>50</v>
      </c>
      <c r="D102" s="4">
        <v>20</v>
      </c>
      <c r="E102" s="3">
        <v>23</v>
      </c>
      <c r="F102" s="3">
        <f>1.8*E102+32</f>
        <v>73.400000000000006</v>
      </c>
      <c r="G102" s="3">
        <v>12.5</v>
      </c>
      <c r="H102" s="3">
        <f>IF(F102&gt;68,G102+(F102-68)*0.2,G288-(68-F102)*0.2)</f>
        <v>13.580000000000002</v>
      </c>
      <c r="I102" s="3">
        <v>23</v>
      </c>
      <c r="J102" s="3">
        <f>1.8*I102+32</f>
        <v>73.400000000000006</v>
      </c>
      <c r="K102" s="3">
        <v>6.5</v>
      </c>
      <c r="L102" s="3">
        <f>IF(J102&gt;68,K102+(J102-68)*0.2,K102-(68-J102)*0.2)</f>
        <v>7.580000000000001</v>
      </c>
      <c r="M102" s="3">
        <f>(C102-H102)/C102*100</f>
        <v>72.84</v>
      </c>
      <c r="N102" s="3">
        <f>100-(M102+O102)</f>
        <v>12</v>
      </c>
      <c r="O102" s="3">
        <f>L102/C102*100</f>
        <v>15.160000000000002</v>
      </c>
      <c r="P102" s="2" t="s">
        <v>20</v>
      </c>
      <c r="Q102" s="21">
        <v>409043.96113499999</v>
      </c>
      <c r="R102" s="21">
        <v>3659326.4617539998</v>
      </c>
      <c r="T102" s="4">
        <v>2006111</v>
      </c>
      <c r="U102" s="4" t="s">
        <v>157</v>
      </c>
      <c r="V102" s="4">
        <v>6.4100000000000004E-2</v>
      </c>
      <c r="W102" s="4">
        <v>0.37173</v>
      </c>
      <c r="X102" s="4">
        <v>2.6509999999999999E-2</v>
      </c>
      <c r="Y102" s="4">
        <v>1.3413600000000001</v>
      </c>
      <c r="Z102" s="4">
        <v>17.921520000000001</v>
      </c>
      <c r="AA102" s="4">
        <v>8.8475300000000008</v>
      </c>
      <c r="AB102" s="4">
        <v>-1.4755799999999999</v>
      </c>
    </row>
    <row r="103" spans="1:28" x14ac:dyDescent="0.25">
      <c r="A103" s="6">
        <v>13</v>
      </c>
      <c r="B103" s="4">
        <v>180</v>
      </c>
      <c r="C103" s="5">
        <v>50</v>
      </c>
      <c r="D103" s="4">
        <v>20</v>
      </c>
      <c r="E103" s="3">
        <v>23</v>
      </c>
      <c r="F103" s="3">
        <f>1.8*E103+32</f>
        <v>73.400000000000006</v>
      </c>
      <c r="G103" s="3">
        <v>12.5</v>
      </c>
      <c r="H103" s="3">
        <f>IF(F103&gt;68,G103+(F103-68)*0.2,G289-(68-F103)*0.2)</f>
        <v>13.580000000000002</v>
      </c>
      <c r="I103" s="3">
        <v>23</v>
      </c>
      <c r="J103" s="3">
        <f>1.8*I103+32</f>
        <v>73.400000000000006</v>
      </c>
      <c r="K103" s="3">
        <v>6.5</v>
      </c>
      <c r="L103" s="3">
        <f>IF(J103&gt;68,K103+(J103-68)*0.2,K103-(68-J103)*0.2)</f>
        <v>7.580000000000001</v>
      </c>
      <c r="M103" s="3">
        <f>(C103-H103)/C103*100</f>
        <v>72.84</v>
      </c>
      <c r="N103" s="3">
        <f>100-(M103+O103)</f>
        <v>12</v>
      </c>
      <c r="O103" s="3">
        <f>L103/C103*100</f>
        <v>15.160000000000002</v>
      </c>
      <c r="P103" s="2" t="s">
        <v>20</v>
      </c>
      <c r="Q103" s="21">
        <v>409043.96113499999</v>
      </c>
      <c r="R103" s="21">
        <v>3659326.4617539998</v>
      </c>
      <c r="T103" s="4">
        <v>2006111</v>
      </c>
      <c r="U103" s="4" t="s">
        <v>156</v>
      </c>
      <c r="V103" s="4">
        <v>6.0729999999999999E-2</v>
      </c>
      <c r="W103" s="4">
        <v>0.38027</v>
      </c>
      <c r="X103" s="4">
        <v>2.8570000000000002E-2</v>
      </c>
      <c r="Y103" s="4">
        <v>1.3387500000000001</v>
      </c>
      <c r="Z103" s="4">
        <v>19.328060000000001</v>
      </c>
      <c r="AA103" s="4">
        <v>10.52942</v>
      </c>
      <c r="AB103" s="4">
        <v>-1.4816800000000001</v>
      </c>
    </row>
    <row r="104" spans="1:28" x14ac:dyDescent="0.25">
      <c r="Q104" s="22"/>
      <c r="R104" s="22"/>
      <c r="T104" s="4">
        <v>2006111</v>
      </c>
      <c r="U104" s="4" t="s">
        <v>155</v>
      </c>
      <c r="V104" s="4">
        <v>6.0749999999999998E-2</v>
      </c>
      <c r="W104" s="4">
        <v>0.38384000000000001</v>
      </c>
      <c r="X104" s="4">
        <v>2.7640000000000001E-2</v>
      </c>
      <c r="Y104" s="4">
        <v>1.3409899999999999</v>
      </c>
      <c r="Z104" s="4">
        <v>18.558050000000001</v>
      </c>
      <c r="AA104" s="4">
        <v>10.27407</v>
      </c>
      <c r="AB104" s="4">
        <v>-1.4322900000000001</v>
      </c>
    </row>
    <row r="105" spans="1:28" ht="51.75" x14ac:dyDescent="0.25">
      <c r="A105" s="15" t="s">
        <v>19</v>
      </c>
      <c r="B105" s="10" t="s">
        <v>18</v>
      </c>
      <c r="C105" s="14" t="s">
        <v>17</v>
      </c>
      <c r="D105" s="13" t="s">
        <v>16</v>
      </c>
      <c r="E105" s="12" t="s">
        <v>15</v>
      </c>
      <c r="F105" s="12" t="s">
        <v>14</v>
      </c>
      <c r="G105" s="12" t="s">
        <v>13</v>
      </c>
      <c r="H105" s="12" t="s">
        <v>12</v>
      </c>
      <c r="I105" s="12" t="s">
        <v>11</v>
      </c>
      <c r="J105" s="12" t="s">
        <v>10</v>
      </c>
      <c r="K105" s="12" t="s">
        <v>9</v>
      </c>
      <c r="L105" s="12" t="s">
        <v>8</v>
      </c>
      <c r="M105" s="11" t="s">
        <v>7</v>
      </c>
      <c r="N105" s="11" t="s">
        <v>6</v>
      </c>
      <c r="O105" s="11" t="s">
        <v>5</v>
      </c>
      <c r="P105" s="10" t="s">
        <v>4</v>
      </c>
      <c r="Q105" s="24" t="s">
        <v>3</v>
      </c>
      <c r="R105" s="23"/>
      <c r="T105" s="4">
        <v>2006111</v>
      </c>
      <c r="U105" s="4" t="s">
        <v>154</v>
      </c>
      <c r="V105" s="4">
        <v>5.4429999999999999E-2</v>
      </c>
      <c r="W105" s="4">
        <v>0.37864999999999999</v>
      </c>
      <c r="X105" s="4">
        <v>3.1040000000000002E-2</v>
      </c>
      <c r="Y105" s="4">
        <v>1.3894</v>
      </c>
      <c r="Z105" s="4">
        <v>30.65474</v>
      </c>
      <c r="AA105" s="4">
        <v>13.552099999999999</v>
      </c>
      <c r="AB105" s="4">
        <v>-1.2998099999999999</v>
      </c>
    </row>
    <row r="106" spans="1:28" x14ac:dyDescent="0.25">
      <c r="A106" s="4"/>
      <c r="B106" s="4"/>
      <c r="C106" s="5"/>
      <c r="D106" s="4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2"/>
      <c r="Q106" s="7" t="s">
        <v>2</v>
      </c>
      <c r="R106" s="7" t="s">
        <v>1</v>
      </c>
      <c r="T106" s="4">
        <v>2006111</v>
      </c>
      <c r="U106" s="4" t="s">
        <v>153</v>
      </c>
      <c r="V106" s="4">
        <v>5.1839999999999997E-2</v>
      </c>
      <c r="W106" s="4">
        <v>0.37875999999999999</v>
      </c>
      <c r="X106" s="4">
        <v>3.236E-2</v>
      </c>
      <c r="Y106" s="4">
        <v>1.42296</v>
      </c>
      <c r="Z106" s="4">
        <v>38.483820000000001</v>
      </c>
      <c r="AA106" s="4">
        <v>15.44289</v>
      </c>
      <c r="AB106" s="4">
        <v>-1.2152400000000001</v>
      </c>
    </row>
    <row r="107" spans="1:28" x14ac:dyDescent="0.25">
      <c r="A107" s="6">
        <v>14</v>
      </c>
      <c r="B107" s="4">
        <v>30</v>
      </c>
      <c r="C107" s="5">
        <v>50</v>
      </c>
      <c r="D107" s="4">
        <v>20</v>
      </c>
      <c r="E107" s="3">
        <v>23</v>
      </c>
      <c r="F107" s="3">
        <f>1.8*E107+32</f>
        <v>73.400000000000006</v>
      </c>
      <c r="G107" s="3">
        <v>15</v>
      </c>
      <c r="H107" s="3">
        <f>IF(F107&gt;68,G107+(F107-68)*0.2,G399-(68-F107)*0.2)</f>
        <v>16.080000000000002</v>
      </c>
      <c r="I107" s="3">
        <v>23</v>
      </c>
      <c r="J107" s="3">
        <f>1.8*I107+32</f>
        <v>73.400000000000006</v>
      </c>
      <c r="K107" s="3">
        <v>10</v>
      </c>
      <c r="L107" s="3">
        <f>IF(J107&gt;68,K107+(J107-68)*0.2,K107-(68-J107)*0.2)</f>
        <v>11.080000000000002</v>
      </c>
      <c r="M107" s="3">
        <f>(C107-H107)/C107*100</f>
        <v>67.84</v>
      </c>
      <c r="N107" s="3">
        <f>100-(M107+O107)</f>
        <v>10</v>
      </c>
      <c r="O107" s="3">
        <f>L107/C107*100</f>
        <v>22.160000000000004</v>
      </c>
      <c r="P107" s="2" t="s">
        <v>0</v>
      </c>
      <c r="Q107" s="31">
        <v>409056.11751000001</v>
      </c>
      <c r="R107" s="21">
        <v>3659326.2570480001</v>
      </c>
      <c r="T107" s="4">
        <v>2006111</v>
      </c>
      <c r="U107" s="4" t="s">
        <v>152</v>
      </c>
      <c r="V107" s="4">
        <v>5.8740000000000001E-2</v>
      </c>
      <c r="W107" s="4">
        <v>0.37779000000000001</v>
      </c>
      <c r="X107" s="4">
        <v>2.937E-2</v>
      </c>
      <c r="Y107" s="4">
        <v>1.3571599999999999</v>
      </c>
      <c r="Z107" s="4">
        <v>22.800619999999999</v>
      </c>
      <c r="AA107" s="4">
        <v>11.367419999999999</v>
      </c>
      <c r="AB107" s="4">
        <v>-1.4151499999999999</v>
      </c>
    </row>
    <row r="108" spans="1:28" x14ac:dyDescent="0.25">
      <c r="A108" s="6">
        <v>14</v>
      </c>
      <c r="B108" s="4">
        <v>60</v>
      </c>
      <c r="C108" s="5">
        <v>50.02</v>
      </c>
      <c r="D108" s="4">
        <v>20</v>
      </c>
      <c r="E108" s="3">
        <v>23</v>
      </c>
      <c r="F108" s="3">
        <f>1.8*E108+32</f>
        <v>73.400000000000006</v>
      </c>
      <c r="G108" s="3">
        <v>15</v>
      </c>
      <c r="H108" s="3">
        <f>IF(F108&gt;68,G108+(F108-68)*0.2,G400-(68-F108)*0.2)</f>
        <v>16.080000000000002</v>
      </c>
      <c r="I108" s="3">
        <v>23</v>
      </c>
      <c r="J108" s="3">
        <f>1.8*I108+32</f>
        <v>73.400000000000006</v>
      </c>
      <c r="K108" s="3">
        <v>10</v>
      </c>
      <c r="L108" s="3">
        <f>IF(J108&gt;68,K108+(J108-68)*0.2,K108-(68-J108)*0.2)</f>
        <v>11.080000000000002</v>
      </c>
      <c r="M108" s="3">
        <f>(C108-H108)/C108*100</f>
        <v>67.852858856457416</v>
      </c>
      <c r="N108" s="3">
        <f>100-(M108+O108)</f>
        <v>9.9960015993602553</v>
      </c>
      <c r="O108" s="3">
        <f>L108/C108*100</f>
        <v>22.151139544182328</v>
      </c>
      <c r="P108" s="2" t="s">
        <v>0</v>
      </c>
      <c r="Q108" s="31">
        <v>409056.11751000001</v>
      </c>
      <c r="R108" s="21">
        <v>3659326.2570480001</v>
      </c>
      <c r="T108" s="4">
        <v>2006111</v>
      </c>
      <c r="U108" s="4" t="s">
        <v>151</v>
      </c>
      <c r="V108" s="4">
        <v>6.4159999999999995E-2</v>
      </c>
      <c r="W108" s="4">
        <v>0.37624000000000002</v>
      </c>
      <c r="X108" s="4">
        <v>2.7660000000000001E-2</v>
      </c>
      <c r="Y108" s="4">
        <v>1.3208599999999999</v>
      </c>
      <c r="Z108" s="4">
        <v>16.517759999999999</v>
      </c>
      <c r="AA108" s="4">
        <v>9.2418399999999998</v>
      </c>
      <c r="AB108" s="4">
        <v>-1.5934200000000001</v>
      </c>
    </row>
    <row r="109" spans="1:28" x14ac:dyDescent="0.25">
      <c r="A109" s="6">
        <v>14</v>
      </c>
      <c r="B109" s="4">
        <v>90</v>
      </c>
      <c r="C109" s="5">
        <v>50</v>
      </c>
      <c r="D109" s="4">
        <v>20</v>
      </c>
      <c r="E109" s="3">
        <v>23.5</v>
      </c>
      <c r="F109" s="3">
        <f>1.8*E109+32</f>
        <v>74.300000000000011</v>
      </c>
      <c r="G109" s="3">
        <v>21</v>
      </c>
      <c r="H109" s="3">
        <f>IF(F109&gt;68,G109+(F109-68)*0.2,G401-(68-F109)*0.2)</f>
        <v>22.26</v>
      </c>
      <c r="I109" s="3">
        <v>23</v>
      </c>
      <c r="J109" s="3">
        <f>1.8*I109+32</f>
        <v>73.400000000000006</v>
      </c>
      <c r="K109" s="3">
        <v>14</v>
      </c>
      <c r="L109" s="3">
        <f>IF(J109&gt;68,K109+(J109-68)*0.2,K109-(68-J109)*0.2)</f>
        <v>15.080000000000002</v>
      </c>
      <c r="M109" s="3">
        <f>(C109-H109)/C109*100</f>
        <v>55.48</v>
      </c>
      <c r="N109" s="3">
        <f>100-(M109+O109)</f>
        <v>14.36</v>
      </c>
      <c r="O109" s="3">
        <f>L109/C109*100</f>
        <v>30.160000000000004</v>
      </c>
      <c r="P109" s="2" t="s">
        <v>0</v>
      </c>
      <c r="Q109" s="31">
        <v>409056.11751000001</v>
      </c>
      <c r="R109" s="21">
        <v>3659326.2570480001</v>
      </c>
      <c r="T109" s="4">
        <v>2006111</v>
      </c>
      <c r="U109" s="4" t="s">
        <v>150</v>
      </c>
      <c r="V109" s="4">
        <v>6.3219999999999998E-2</v>
      </c>
      <c r="W109" s="4">
        <v>0.38263000000000003</v>
      </c>
      <c r="X109" s="4">
        <v>2.7660000000000001E-2</v>
      </c>
      <c r="Y109" s="4">
        <v>1.3261000000000001</v>
      </c>
      <c r="Z109" s="4">
        <v>16.477789999999999</v>
      </c>
      <c r="AA109" s="4">
        <v>9.6793800000000001</v>
      </c>
      <c r="AB109" s="4">
        <v>-1.5333000000000001</v>
      </c>
    </row>
    <row r="110" spans="1:28" x14ac:dyDescent="0.25">
      <c r="A110" s="6">
        <v>14</v>
      </c>
      <c r="B110" s="4">
        <v>120</v>
      </c>
      <c r="C110" s="5">
        <v>50</v>
      </c>
      <c r="D110" s="4">
        <v>20</v>
      </c>
      <c r="E110" s="3">
        <v>26</v>
      </c>
      <c r="F110" s="3">
        <f>1.8*E110+32</f>
        <v>78.800000000000011</v>
      </c>
      <c r="G110" s="3">
        <v>17</v>
      </c>
      <c r="H110" s="3">
        <f>IF(F110&gt;68,G110+(F110-68)*0.2,G402-(68-F110)*0.2)</f>
        <v>19.160000000000004</v>
      </c>
      <c r="I110" s="3">
        <v>23.5</v>
      </c>
      <c r="J110" s="3">
        <f>1.8*I110+32</f>
        <v>74.300000000000011</v>
      </c>
      <c r="K110" s="3">
        <v>11.5</v>
      </c>
      <c r="L110" s="3">
        <f>IF(J110&gt;68,K110+(J110-68)*0.2,K110-(68-J110)*0.2)</f>
        <v>12.760000000000002</v>
      </c>
      <c r="M110" s="3">
        <f>(C110-H110)/C110*100</f>
        <v>61.679999999999993</v>
      </c>
      <c r="N110" s="3">
        <f>100-(M110+O110)</f>
        <v>12.800000000000011</v>
      </c>
      <c r="O110" s="3">
        <f>L110/C110*100</f>
        <v>25.520000000000003</v>
      </c>
      <c r="P110" s="2" t="s">
        <v>0</v>
      </c>
      <c r="Q110" s="31">
        <v>409056.11751000001</v>
      </c>
      <c r="R110" s="21">
        <v>3659326.2570480001</v>
      </c>
      <c r="T110" s="4">
        <v>2006111</v>
      </c>
      <c r="U110" s="4" t="s">
        <v>149</v>
      </c>
      <c r="V110" s="4">
        <v>6.4680000000000001E-2</v>
      </c>
      <c r="W110" s="4">
        <v>0.38483000000000001</v>
      </c>
      <c r="X110" s="4">
        <v>2.699E-2</v>
      </c>
      <c r="Y110" s="4">
        <v>1.32192</v>
      </c>
      <c r="Z110" s="4">
        <v>15.03776</v>
      </c>
      <c r="AA110" s="4">
        <v>9.2154900000000008</v>
      </c>
      <c r="AB110" s="4">
        <v>-1.54159</v>
      </c>
    </row>
    <row r="111" spans="1:28" x14ac:dyDescent="0.25">
      <c r="A111" s="6">
        <v>14</v>
      </c>
      <c r="B111" s="4">
        <v>150</v>
      </c>
      <c r="C111" s="5">
        <v>50.02</v>
      </c>
      <c r="D111" s="4">
        <v>20</v>
      </c>
      <c r="E111" s="3">
        <v>26</v>
      </c>
      <c r="F111" s="3">
        <f>1.8*E111+32</f>
        <v>78.800000000000011</v>
      </c>
      <c r="G111" s="3">
        <v>20</v>
      </c>
      <c r="H111" s="3">
        <f>IF(F111&gt;68,G111+(F111-68)*0.2,G403-(68-F111)*0.2)</f>
        <v>22.160000000000004</v>
      </c>
      <c r="I111" s="3">
        <v>23.5</v>
      </c>
      <c r="J111" s="3">
        <f>1.8*I111+32</f>
        <v>74.300000000000011</v>
      </c>
      <c r="K111" s="3">
        <v>13</v>
      </c>
      <c r="L111" s="3">
        <f>IF(J111&gt;68,K111+(J111-68)*0.2,K111-(68-J111)*0.2)</f>
        <v>14.260000000000002</v>
      </c>
      <c r="M111" s="3">
        <f>(C111-H111)/C111*100</f>
        <v>55.697720911635344</v>
      </c>
      <c r="N111" s="3">
        <f>100-(M111+O111)</f>
        <v>15.793682526989215</v>
      </c>
      <c r="O111" s="3">
        <f>L111/C111*100</f>
        <v>28.508596561375448</v>
      </c>
      <c r="P111" s="2" t="s">
        <v>0</v>
      </c>
      <c r="Q111" s="31">
        <v>409056.11751000001</v>
      </c>
      <c r="R111" s="21">
        <v>3659326.2570480001</v>
      </c>
      <c r="T111" s="4">
        <v>2006111</v>
      </c>
      <c r="U111" s="4" t="s">
        <v>148</v>
      </c>
      <c r="V111" s="4">
        <v>8.2610000000000003E-2</v>
      </c>
      <c r="W111" s="4">
        <v>0.42082999999999998</v>
      </c>
      <c r="X111" s="4">
        <v>2.2530000000000001E-2</v>
      </c>
      <c r="Y111" s="4">
        <v>1.2789600000000001</v>
      </c>
      <c r="Z111" s="4">
        <v>6.7044300000000003</v>
      </c>
      <c r="AA111" s="4">
        <v>6.0202900000000001</v>
      </c>
      <c r="AB111" s="4">
        <v>-1.71495</v>
      </c>
    </row>
    <row r="112" spans="1:28" x14ac:dyDescent="0.25">
      <c r="A112" s="6">
        <v>14</v>
      </c>
      <c r="B112" s="4">
        <v>180</v>
      </c>
      <c r="C112" s="5">
        <v>50.01</v>
      </c>
      <c r="D112" s="4">
        <v>20</v>
      </c>
      <c r="E112" s="3">
        <v>26</v>
      </c>
      <c r="F112" s="3">
        <f>1.8*E112+32</f>
        <v>78.800000000000011</v>
      </c>
      <c r="G112" s="3">
        <v>23</v>
      </c>
      <c r="H112" s="3">
        <f>IF(F112&gt;68,G112+(F112-68)*0.2,G404-(68-F112)*0.2)</f>
        <v>25.160000000000004</v>
      </c>
      <c r="I112" s="3">
        <v>23.5</v>
      </c>
      <c r="J112" s="3">
        <f>1.8*I112+32</f>
        <v>74.300000000000011</v>
      </c>
      <c r="K112" s="3">
        <v>11.5</v>
      </c>
      <c r="L112" s="3">
        <f>IF(J112&gt;68,K112+(J112-68)*0.2,K112-(68-J112)*0.2)</f>
        <v>12.760000000000002</v>
      </c>
      <c r="M112" s="3">
        <f>(C112-H112)/C112*100</f>
        <v>49.690061987602469</v>
      </c>
      <c r="N112" s="3">
        <f>100-(M112+O112)</f>
        <v>24.795040991801642</v>
      </c>
      <c r="O112" s="3">
        <f>L112/C112*100</f>
        <v>25.514897020595882</v>
      </c>
      <c r="P112" s="2" t="s">
        <v>0</v>
      </c>
      <c r="Q112" s="31">
        <v>409056.11751000001</v>
      </c>
      <c r="R112" s="21">
        <v>3659326.2570480001</v>
      </c>
      <c r="T112" s="4">
        <v>2006111</v>
      </c>
      <c r="U112" s="4" t="s">
        <v>147</v>
      </c>
      <c r="V112" s="4">
        <v>7.5899999999999995E-2</v>
      </c>
      <c r="W112" s="4">
        <v>0.40394000000000002</v>
      </c>
      <c r="X112" s="4">
        <v>2.334E-2</v>
      </c>
      <c r="Y112" s="4">
        <v>1.3002800000000001</v>
      </c>
      <c r="Z112" s="4">
        <v>8.0657300000000003</v>
      </c>
      <c r="AA112" s="4">
        <v>6.7586000000000004</v>
      </c>
      <c r="AB112" s="4">
        <v>-1.58535</v>
      </c>
    </row>
    <row r="113" spans="1:28" x14ac:dyDescent="0.25">
      <c r="Q113" s="22"/>
      <c r="R113" s="22"/>
      <c r="T113" s="4">
        <v>2006111</v>
      </c>
      <c r="U113" s="4" t="s">
        <v>146</v>
      </c>
      <c r="V113" s="4">
        <v>6.8709999999999993E-2</v>
      </c>
      <c r="W113" s="4">
        <v>0.38846000000000003</v>
      </c>
      <c r="X113" s="4">
        <v>2.6179999999999998E-2</v>
      </c>
      <c r="Y113" s="4">
        <v>1.30566</v>
      </c>
      <c r="Z113" s="4">
        <v>12.23574</v>
      </c>
      <c r="AA113" s="4">
        <v>8.2882300000000004</v>
      </c>
      <c r="AB113" s="4">
        <v>-1.63663</v>
      </c>
    </row>
    <row r="114" spans="1:28" ht="51.75" x14ac:dyDescent="0.25">
      <c r="A114" s="15" t="s">
        <v>19</v>
      </c>
      <c r="B114" s="10" t="s">
        <v>18</v>
      </c>
      <c r="C114" s="14" t="s">
        <v>17</v>
      </c>
      <c r="D114" s="13" t="s">
        <v>16</v>
      </c>
      <c r="E114" s="12" t="s">
        <v>15</v>
      </c>
      <c r="F114" s="12" t="s">
        <v>14</v>
      </c>
      <c r="G114" s="12" t="s">
        <v>13</v>
      </c>
      <c r="H114" s="12" t="s">
        <v>12</v>
      </c>
      <c r="I114" s="12" t="s">
        <v>11</v>
      </c>
      <c r="J114" s="12" t="s">
        <v>10</v>
      </c>
      <c r="K114" s="12" t="s">
        <v>9</v>
      </c>
      <c r="L114" s="12" t="s">
        <v>8</v>
      </c>
      <c r="M114" s="11" t="s">
        <v>7</v>
      </c>
      <c r="N114" s="11" t="s">
        <v>6</v>
      </c>
      <c r="O114" s="11" t="s">
        <v>5</v>
      </c>
      <c r="P114" s="10" t="s">
        <v>4</v>
      </c>
      <c r="Q114" s="24" t="s">
        <v>3</v>
      </c>
      <c r="R114" s="23"/>
      <c r="T114" s="4">
        <v>2006111</v>
      </c>
      <c r="U114" s="4" t="s">
        <v>145</v>
      </c>
      <c r="V114" s="4">
        <v>5.74E-2</v>
      </c>
      <c r="W114" s="4">
        <v>0.38224000000000002</v>
      </c>
      <c r="X114" s="4">
        <v>2.8910000000000002E-2</v>
      </c>
      <c r="Y114" s="4">
        <v>1.35551</v>
      </c>
      <c r="Z114" s="4">
        <v>22.690480000000001</v>
      </c>
      <c r="AA114" s="4">
        <v>11.556089999999999</v>
      </c>
      <c r="AB114" s="4">
        <v>-1.37862</v>
      </c>
    </row>
    <row r="115" spans="1:28" x14ac:dyDescent="0.25">
      <c r="A115" s="4"/>
      <c r="B115" s="4"/>
      <c r="C115" s="5"/>
      <c r="D115" s="4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2"/>
      <c r="Q115" s="7" t="s">
        <v>2</v>
      </c>
      <c r="R115" s="7" t="s">
        <v>1</v>
      </c>
      <c r="T115" s="4">
        <v>2006111</v>
      </c>
      <c r="U115" s="4" t="s">
        <v>144</v>
      </c>
      <c r="V115" s="4">
        <v>6.3240000000000005E-2</v>
      </c>
      <c r="W115" s="4">
        <v>0.37855</v>
      </c>
      <c r="X115" s="4">
        <v>2.8070000000000001E-2</v>
      </c>
      <c r="Y115" s="4">
        <v>1.3242</v>
      </c>
      <c r="Z115" s="4">
        <v>16.958539999999999</v>
      </c>
      <c r="AA115" s="4">
        <v>9.6699900000000003</v>
      </c>
      <c r="AB115" s="4">
        <v>-1.57033</v>
      </c>
    </row>
    <row r="116" spans="1:28" x14ac:dyDescent="0.25">
      <c r="A116" s="6">
        <v>15</v>
      </c>
      <c r="B116" s="4">
        <v>30</v>
      </c>
      <c r="C116" s="5">
        <v>50</v>
      </c>
      <c r="D116" s="4">
        <v>20</v>
      </c>
      <c r="E116" s="3">
        <v>23</v>
      </c>
      <c r="F116" s="3">
        <f>1.8*E116+32</f>
        <v>73.400000000000006</v>
      </c>
      <c r="G116" s="3">
        <v>15</v>
      </c>
      <c r="H116" s="3">
        <f>IF(F116&gt;68,G116+(F116-68)*0.2,#REF!-(68-F116)*0.2)</f>
        <v>16.080000000000002</v>
      </c>
      <c r="I116" s="3">
        <v>23</v>
      </c>
      <c r="J116" s="3">
        <f>1.8*I116+32</f>
        <v>73.400000000000006</v>
      </c>
      <c r="K116" s="3">
        <v>10</v>
      </c>
      <c r="L116" s="3">
        <f>IF(J116&gt;68,K116+(J116-68)*0.2,K116-(68-J116)*0.2)</f>
        <v>11.080000000000002</v>
      </c>
      <c r="M116" s="3">
        <f>(C116-H116)/C116*100</f>
        <v>67.84</v>
      </c>
      <c r="N116" s="3">
        <f>100-(M116+O116)</f>
        <v>10</v>
      </c>
      <c r="O116" s="3">
        <f>L116/C116*100</f>
        <v>22.160000000000004</v>
      </c>
      <c r="P116" s="2" t="s">
        <v>0</v>
      </c>
      <c r="Q116" s="1">
        <v>409068.30770499998</v>
      </c>
      <c r="R116" s="1">
        <v>3659326.0517739998</v>
      </c>
      <c r="T116" s="4">
        <v>2006111</v>
      </c>
      <c r="U116" s="4" t="s">
        <v>143</v>
      </c>
      <c r="V116" s="4">
        <v>6.0409999999999998E-2</v>
      </c>
      <c r="W116" s="4">
        <v>0.38119999999999998</v>
      </c>
      <c r="X116" s="4">
        <v>2.8479999999999998E-2</v>
      </c>
      <c r="Y116" s="4">
        <v>1.34032</v>
      </c>
      <c r="Z116" s="4">
        <v>19.491340000000001</v>
      </c>
      <c r="AA116" s="4">
        <v>10.59811</v>
      </c>
      <c r="AB116" s="4">
        <v>-1.4654499999999999</v>
      </c>
    </row>
    <row r="117" spans="1:28" x14ac:dyDescent="0.25">
      <c r="A117" s="6">
        <v>15</v>
      </c>
      <c r="B117" s="4">
        <v>60</v>
      </c>
      <c r="C117" s="5">
        <v>50.01</v>
      </c>
      <c r="D117" s="4">
        <v>20</v>
      </c>
      <c r="E117" s="3">
        <v>23</v>
      </c>
      <c r="F117" s="3">
        <f>1.8*E117+32</f>
        <v>73.400000000000006</v>
      </c>
      <c r="G117" s="3">
        <v>15.5</v>
      </c>
      <c r="H117" s="3">
        <f>IF(F117&gt;68,G117+(F117-68)*0.2,#REF!-(68-F117)*0.2)</f>
        <v>16.580000000000002</v>
      </c>
      <c r="I117" s="3">
        <v>23</v>
      </c>
      <c r="J117" s="3">
        <f>1.8*I117+32</f>
        <v>73.400000000000006</v>
      </c>
      <c r="K117" s="3">
        <v>9</v>
      </c>
      <c r="L117" s="3">
        <f>IF(J117&gt;68,K117+(J117-68)*0.2,K117-(68-J117)*0.2)</f>
        <v>10.080000000000002</v>
      </c>
      <c r="M117" s="3">
        <f>(C117-H117)/C117*100</f>
        <v>66.846630673865221</v>
      </c>
      <c r="N117" s="3">
        <f>100-(M117+O117)</f>
        <v>12.997400519896019</v>
      </c>
      <c r="O117" s="3">
        <f>L117/C117*100</f>
        <v>20.155968806238754</v>
      </c>
      <c r="P117" s="2" t="s">
        <v>0</v>
      </c>
      <c r="Q117" s="1">
        <v>409068.30770499998</v>
      </c>
      <c r="R117" s="1">
        <v>3659326.0517739998</v>
      </c>
      <c r="T117" s="4">
        <v>2006111</v>
      </c>
      <c r="U117" s="4" t="s">
        <v>142</v>
      </c>
      <c r="V117" s="4">
        <v>6.0429999999999998E-2</v>
      </c>
      <c r="W117" s="4">
        <v>0.38089000000000001</v>
      </c>
      <c r="X117" s="4">
        <v>2.8539999999999999E-2</v>
      </c>
      <c r="Y117" s="4">
        <v>1.34026</v>
      </c>
      <c r="Z117" s="4">
        <v>19.54269</v>
      </c>
      <c r="AA117" s="4">
        <v>10.609400000000001</v>
      </c>
      <c r="AB117" s="4">
        <v>-1.46868</v>
      </c>
    </row>
    <row r="118" spans="1:28" x14ac:dyDescent="0.25">
      <c r="A118" s="6">
        <v>15</v>
      </c>
      <c r="B118" s="4">
        <v>90</v>
      </c>
      <c r="C118" s="5">
        <v>50</v>
      </c>
      <c r="D118" s="4">
        <v>20</v>
      </c>
      <c r="E118" s="3">
        <v>23</v>
      </c>
      <c r="F118" s="3">
        <f>1.8*E118+32</f>
        <v>73.400000000000006</v>
      </c>
      <c r="G118" s="3">
        <v>17</v>
      </c>
      <c r="H118" s="3">
        <f>IF(F118&gt;68,G118+(F118-68)*0.2,#REF!-(68-F118)*0.2)</f>
        <v>18.080000000000002</v>
      </c>
      <c r="I118" s="3">
        <v>23</v>
      </c>
      <c r="J118" s="3">
        <f>1.8*I118+32</f>
        <v>73.400000000000006</v>
      </c>
      <c r="K118" s="3">
        <v>10</v>
      </c>
      <c r="L118" s="3">
        <f>IF(J118&gt;68,K118+(J118-68)*0.2,K118-(68-J118)*0.2)</f>
        <v>11.080000000000002</v>
      </c>
      <c r="M118" s="3">
        <f>(C118-H118)/C118*100</f>
        <v>63.839999999999996</v>
      </c>
      <c r="N118" s="3">
        <f>100-(M118+O118)</f>
        <v>14</v>
      </c>
      <c r="O118" s="3">
        <f>L118/C118*100</f>
        <v>22.160000000000004</v>
      </c>
      <c r="P118" s="2" t="s">
        <v>0</v>
      </c>
      <c r="Q118" s="1">
        <v>409068.30770499998</v>
      </c>
      <c r="R118" s="1">
        <v>3659326.0517739998</v>
      </c>
      <c r="T118" s="4">
        <v>2006111</v>
      </c>
      <c r="U118" s="4" t="s">
        <v>141</v>
      </c>
      <c r="V118" s="4">
        <v>6.1550000000000001E-2</v>
      </c>
      <c r="W118" s="4">
        <v>0.38451000000000002</v>
      </c>
      <c r="X118" s="4">
        <v>2.7300000000000001E-2</v>
      </c>
      <c r="Y118" s="4">
        <v>1.33829</v>
      </c>
      <c r="Z118" s="4">
        <v>17.670590000000001</v>
      </c>
      <c r="AA118" s="4">
        <v>9.9875900000000009</v>
      </c>
      <c r="AB118" s="4">
        <v>-1.4401299999999999</v>
      </c>
    </row>
    <row r="119" spans="1:28" x14ac:dyDescent="0.25">
      <c r="A119" s="6">
        <v>15</v>
      </c>
      <c r="B119" s="4">
        <v>120</v>
      </c>
      <c r="C119" s="5">
        <v>50.01</v>
      </c>
      <c r="D119" s="4">
        <v>20</v>
      </c>
      <c r="E119" s="3">
        <v>25</v>
      </c>
      <c r="F119" s="3">
        <f>1.8*E119+32</f>
        <v>77</v>
      </c>
      <c r="G119" s="3">
        <v>18.5</v>
      </c>
      <c r="H119" s="3">
        <f>IF(F119&gt;68,G119+(F119-68)*0.2,#REF!-(68-F119)*0.2)</f>
        <v>20.3</v>
      </c>
      <c r="I119" s="3">
        <v>24</v>
      </c>
      <c r="J119" s="3">
        <f>1.8*I119+32</f>
        <v>75.2</v>
      </c>
      <c r="K119" s="3">
        <v>12</v>
      </c>
      <c r="L119" s="3">
        <f>IF(J119&gt;68,K119+(J119-68)*0.2,K119-(68-J119)*0.2)</f>
        <v>13.440000000000001</v>
      </c>
      <c r="M119" s="3">
        <f>(C119-H119)/C119*100</f>
        <v>59.408118376324737</v>
      </c>
      <c r="N119" s="3">
        <f>100-(M119+O119)</f>
        <v>13.717256548690258</v>
      </c>
      <c r="O119" s="3">
        <f>L119/C119*100</f>
        <v>26.874625074985008</v>
      </c>
      <c r="P119" s="2" t="s">
        <v>0</v>
      </c>
      <c r="Q119" s="1">
        <v>409068.30770499998</v>
      </c>
      <c r="R119" s="1">
        <v>3659326.0517739998</v>
      </c>
      <c r="T119" s="4">
        <v>2006111</v>
      </c>
      <c r="U119" s="4" t="s">
        <v>140</v>
      </c>
      <c r="V119" s="4">
        <v>5.7959999999999998E-2</v>
      </c>
      <c r="W119" s="4">
        <v>0.38323000000000002</v>
      </c>
      <c r="X119" s="4">
        <v>2.835E-2</v>
      </c>
      <c r="Y119" s="4">
        <v>1.3532200000000001</v>
      </c>
      <c r="Z119" s="4">
        <v>21.611940000000001</v>
      </c>
      <c r="AA119" s="4">
        <v>11.197340000000001</v>
      </c>
      <c r="AB119" s="4">
        <v>-1.37466</v>
      </c>
    </row>
    <row r="120" spans="1:28" x14ac:dyDescent="0.25">
      <c r="A120" s="6">
        <v>15</v>
      </c>
      <c r="B120" s="4">
        <v>150</v>
      </c>
      <c r="C120" s="5">
        <v>50</v>
      </c>
      <c r="D120" s="4">
        <v>20</v>
      </c>
      <c r="E120" s="3">
        <v>25</v>
      </c>
      <c r="F120" s="3">
        <f>1.8*E120+32</f>
        <v>77</v>
      </c>
      <c r="G120" s="3">
        <v>17</v>
      </c>
      <c r="H120" s="3">
        <f>IF(F120&gt;68,G120+(F120-68)*0.2,#REF!-(68-F120)*0.2)</f>
        <v>18.8</v>
      </c>
      <c r="I120" s="3">
        <v>24</v>
      </c>
      <c r="J120" s="3">
        <f>1.8*I120+32</f>
        <v>75.2</v>
      </c>
      <c r="K120" s="3">
        <v>11.5</v>
      </c>
      <c r="L120" s="3">
        <f>IF(J120&gt;68,K120+(J120-68)*0.2,K120-(68-J120)*0.2)</f>
        <v>12.940000000000001</v>
      </c>
      <c r="M120" s="3">
        <f>(C120-H120)/C120*100</f>
        <v>62.4</v>
      </c>
      <c r="N120" s="3">
        <f>100-(M120+O120)</f>
        <v>11.719999999999999</v>
      </c>
      <c r="O120" s="3">
        <f>L120/C120*100</f>
        <v>25.880000000000003</v>
      </c>
      <c r="P120" s="2" t="s">
        <v>0</v>
      </c>
      <c r="Q120" s="1">
        <v>409068.30770499998</v>
      </c>
      <c r="R120" s="1">
        <v>3659326.0517739998</v>
      </c>
      <c r="T120" s="4">
        <v>2006111</v>
      </c>
      <c r="U120" s="4" t="s">
        <v>139</v>
      </c>
      <c r="V120" s="4">
        <v>5.9589999999999997E-2</v>
      </c>
      <c r="W120" s="4">
        <v>0.37952999999999998</v>
      </c>
      <c r="X120" s="4">
        <v>2.8979999999999999E-2</v>
      </c>
      <c r="Y120" s="4">
        <v>1.3462499999999999</v>
      </c>
      <c r="Z120" s="4">
        <v>20.901509999999998</v>
      </c>
      <c r="AA120" s="4">
        <v>10.970409999999999</v>
      </c>
      <c r="AB120" s="4">
        <v>-1.45099</v>
      </c>
    </row>
    <row r="121" spans="1:28" x14ac:dyDescent="0.25">
      <c r="A121" s="6">
        <v>15</v>
      </c>
      <c r="B121" s="4">
        <v>180</v>
      </c>
      <c r="C121" s="5">
        <v>50</v>
      </c>
      <c r="D121" s="4">
        <v>20</v>
      </c>
      <c r="E121" s="3">
        <v>25</v>
      </c>
      <c r="F121" s="3">
        <f>1.8*E121+32</f>
        <v>77</v>
      </c>
      <c r="G121" s="3">
        <v>15</v>
      </c>
      <c r="H121" s="3">
        <f>IF(F121&gt;68,G121+(F121-68)*0.2,#REF!-(68-F121)*0.2)</f>
        <v>16.8</v>
      </c>
      <c r="I121" s="3">
        <v>24</v>
      </c>
      <c r="J121" s="3">
        <f>1.8*I121+32</f>
        <v>75.2</v>
      </c>
      <c r="K121" s="3">
        <v>10.5</v>
      </c>
      <c r="L121" s="3">
        <f>IF(J121&gt;68,K121+(J121-68)*0.2,K121-(68-J121)*0.2)</f>
        <v>11.940000000000001</v>
      </c>
      <c r="M121" s="3">
        <f>(C121-H121)/C121*100</f>
        <v>66.400000000000006</v>
      </c>
      <c r="N121" s="3">
        <f>100-(M121+O121)</f>
        <v>9.7199999999999989</v>
      </c>
      <c r="O121" s="3">
        <f>L121/C121*100</f>
        <v>23.880000000000003</v>
      </c>
      <c r="P121" s="2" t="s">
        <v>0</v>
      </c>
      <c r="Q121" s="1">
        <v>409068.30770499998</v>
      </c>
      <c r="R121" s="1">
        <v>3659326.0517739998</v>
      </c>
      <c r="T121" s="4">
        <v>2006111</v>
      </c>
      <c r="U121" s="4" t="s">
        <v>138</v>
      </c>
      <c r="V121" s="4">
        <v>6.0420000000000001E-2</v>
      </c>
      <c r="W121" s="4">
        <v>0.37914999999999999</v>
      </c>
      <c r="X121" s="4">
        <v>2.878E-2</v>
      </c>
      <c r="Y121" s="4">
        <v>1.34169</v>
      </c>
      <c r="Z121" s="4">
        <v>19.941120000000002</v>
      </c>
      <c r="AA121" s="4">
        <v>10.66417</v>
      </c>
      <c r="AB121" s="4">
        <v>-1.47522</v>
      </c>
    </row>
    <row r="122" spans="1:28" x14ac:dyDescent="0.25">
      <c r="Q122" s="22"/>
      <c r="R122" s="22"/>
      <c r="T122" s="4">
        <v>2006111</v>
      </c>
      <c r="U122" s="4" t="s">
        <v>137</v>
      </c>
      <c r="V122" s="4">
        <v>5.9560000000000002E-2</v>
      </c>
      <c r="W122" s="4">
        <v>0.37631999999999999</v>
      </c>
      <c r="X122" s="4">
        <v>2.9020000000000001E-2</v>
      </c>
      <c r="Y122" s="4">
        <v>1.35772</v>
      </c>
      <c r="Z122" s="4">
        <v>22.19969</v>
      </c>
      <c r="AA122" s="4">
        <v>11.00465</v>
      </c>
      <c r="AB122" s="4">
        <v>-1.4177900000000001</v>
      </c>
    </row>
    <row r="123" spans="1:28" ht="51.75" x14ac:dyDescent="0.25">
      <c r="A123" s="15" t="s">
        <v>19</v>
      </c>
      <c r="B123" s="10" t="s">
        <v>18</v>
      </c>
      <c r="C123" s="14" t="s">
        <v>17</v>
      </c>
      <c r="D123" s="13" t="s">
        <v>16</v>
      </c>
      <c r="E123" s="12" t="s">
        <v>15</v>
      </c>
      <c r="F123" s="12" t="s">
        <v>14</v>
      </c>
      <c r="G123" s="12" t="s">
        <v>13</v>
      </c>
      <c r="H123" s="12" t="s">
        <v>12</v>
      </c>
      <c r="I123" s="12" t="s">
        <v>11</v>
      </c>
      <c r="J123" s="12" t="s">
        <v>10</v>
      </c>
      <c r="K123" s="12" t="s">
        <v>9</v>
      </c>
      <c r="L123" s="12" t="s">
        <v>8</v>
      </c>
      <c r="M123" s="11" t="s">
        <v>7</v>
      </c>
      <c r="N123" s="11" t="s">
        <v>6</v>
      </c>
      <c r="O123" s="11" t="s">
        <v>5</v>
      </c>
      <c r="P123" s="10" t="s">
        <v>4</v>
      </c>
      <c r="Q123" s="24" t="s">
        <v>3</v>
      </c>
      <c r="R123" s="23"/>
      <c r="T123" s="4">
        <v>2006111</v>
      </c>
      <c r="U123" s="4" t="s">
        <v>136</v>
      </c>
      <c r="V123" s="4">
        <v>5.6489999999999999E-2</v>
      </c>
      <c r="W123" s="4">
        <v>0.37705</v>
      </c>
      <c r="X123" s="4">
        <v>3.0210000000000001E-2</v>
      </c>
      <c r="Y123" s="4">
        <v>1.38323</v>
      </c>
      <c r="Z123" s="4">
        <v>27.84515</v>
      </c>
      <c r="AA123" s="4">
        <v>12.52318</v>
      </c>
      <c r="AB123" s="4">
        <v>-1.32674</v>
      </c>
    </row>
    <row r="124" spans="1:28" x14ac:dyDescent="0.25">
      <c r="A124" s="4"/>
      <c r="B124" s="4"/>
      <c r="C124" s="5"/>
      <c r="D124" s="4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2"/>
      <c r="Q124" s="7" t="s">
        <v>2</v>
      </c>
      <c r="R124" s="7" t="s">
        <v>1</v>
      </c>
      <c r="T124" s="4">
        <v>2006111</v>
      </c>
      <c r="U124" s="4" t="s">
        <v>135</v>
      </c>
      <c r="V124" s="4">
        <v>5.9749999999999998E-2</v>
      </c>
      <c r="W124" s="4">
        <v>0.37762000000000001</v>
      </c>
      <c r="X124" s="4">
        <v>2.903E-2</v>
      </c>
      <c r="Y124" s="4">
        <v>1.3501000000000001</v>
      </c>
      <c r="Z124" s="4">
        <v>21.30782</v>
      </c>
      <c r="AA124" s="4">
        <v>10.93552</v>
      </c>
      <c r="AB124" s="4">
        <v>-1.44519</v>
      </c>
    </row>
    <row r="125" spans="1:28" x14ac:dyDescent="0.25">
      <c r="A125" s="6">
        <v>16</v>
      </c>
      <c r="B125" s="4">
        <v>30</v>
      </c>
      <c r="C125" s="5">
        <v>50</v>
      </c>
      <c r="D125" s="4">
        <v>20</v>
      </c>
      <c r="E125" s="3">
        <v>23.8</v>
      </c>
      <c r="F125" s="3">
        <f>1.8*E125+32</f>
        <v>74.84</v>
      </c>
      <c r="G125" s="3">
        <v>17</v>
      </c>
      <c r="H125" s="3">
        <f>IF(F125&gt;68,G125+(F125-68)*0.2,G390-(68-F125)*0.2)</f>
        <v>18.368000000000002</v>
      </c>
      <c r="I125" s="3">
        <v>22</v>
      </c>
      <c r="J125" s="3">
        <f>1.8*I125+32</f>
        <v>71.599999999999994</v>
      </c>
      <c r="K125" s="3">
        <v>10</v>
      </c>
      <c r="L125" s="3">
        <f>IF(J125&gt;68,K125+(J125-68)*0.2,K125-(68-J125)*0.2)</f>
        <v>10.719999999999999</v>
      </c>
      <c r="M125" s="3">
        <f>(C125-H125)/C125*100</f>
        <v>63.263999999999996</v>
      </c>
      <c r="N125" s="3">
        <f>100-(M125+O125)</f>
        <v>15.296000000000006</v>
      </c>
      <c r="O125" s="3">
        <f>L125/C125*100</f>
        <v>21.439999999999998</v>
      </c>
      <c r="P125" s="2" t="s">
        <v>0</v>
      </c>
      <c r="Q125" s="1">
        <v>409080.52600499999</v>
      </c>
      <c r="R125" s="1">
        <v>3659325.8460249999</v>
      </c>
      <c r="T125" s="4">
        <v>2006111</v>
      </c>
      <c r="U125" s="4" t="s">
        <v>134</v>
      </c>
      <c r="V125" s="4">
        <v>5.9360000000000003E-2</v>
      </c>
      <c r="W125" s="4">
        <v>0.38174000000000002</v>
      </c>
      <c r="X125" s="4">
        <v>2.8590000000000001E-2</v>
      </c>
      <c r="Y125" s="4">
        <v>1.3459000000000001</v>
      </c>
      <c r="Z125" s="4">
        <v>20.549469999999999</v>
      </c>
      <c r="AA125" s="4">
        <v>10.917759999999999</v>
      </c>
      <c r="AB125" s="4">
        <v>-1.4313499999999999</v>
      </c>
    </row>
    <row r="126" spans="1:28" x14ac:dyDescent="0.25">
      <c r="A126" s="6">
        <v>16</v>
      </c>
      <c r="B126" s="4">
        <v>60</v>
      </c>
      <c r="C126" s="5">
        <v>50</v>
      </c>
      <c r="D126" s="4">
        <v>20</v>
      </c>
      <c r="E126" s="3">
        <v>23</v>
      </c>
      <c r="F126" s="3">
        <f>1.8*E126+32</f>
        <v>73.400000000000006</v>
      </c>
      <c r="G126" s="3">
        <v>17</v>
      </c>
      <c r="H126" s="3">
        <f>IF(F126&gt;68,G126+(F126-68)*0.2,G391-(68-F126)*0.2)</f>
        <v>18.080000000000002</v>
      </c>
      <c r="I126" s="3">
        <v>22</v>
      </c>
      <c r="J126" s="3">
        <f>1.8*I126+32</f>
        <v>71.599999999999994</v>
      </c>
      <c r="K126" s="3">
        <v>11</v>
      </c>
      <c r="L126" s="3">
        <f>IF(J126&gt;68,K126+(J126-68)*0.2,K126-(68-J126)*0.2)</f>
        <v>11.719999999999999</v>
      </c>
      <c r="M126" s="3">
        <f>(C126-H126)/C126*100</f>
        <v>63.839999999999996</v>
      </c>
      <c r="N126" s="3">
        <f>100-(M126+O126)</f>
        <v>12.719999999999999</v>
      </c>
      <c r="O126" s="3">
        <f>L126/C126*100</f>
        <v>23.439999999999998</v>
      </c>
      <c r="P126" s="2" t="s">
        <v>0</v>
      </c>
      <c r="Q126" s="1">
        <v>409080.52600499999</v>
      </c>
      <c r="R126" s="1">
        <v>3659325.8460249999</v>
      </c>
      <c r="T126" s="4">
        <v>2006111</v>
      </c>
      <c r="U126" s="4" t="s">
        <v>133</v>
      </c>
      <c r="V126" s="4">
        <v>6.4949999999999994E-2</v>
      </c>
      <c r="W126" s="4">
        <v>0.38362000000000002</v>
      </c>
      <c r="X126" s="4">
        <v>2.7269999999999999E-2</v>
      </c>
      <c r="Y126" s="4">
        <v>1.31772</v>
      </c>
      <c r="Z126" s="4">
        <v>14.987069999999999</v>
      </c>
      <c r="AA126" s="4">
        <v>9.2032100000000003</v>
      </c>
      <c r="AB126" s="4">
        <v>-1.5802099999999999</v>
      </c>
    </row>
    <row r="127" spans="1:28" x14ac:dyDescent="0.25">
      <c r="A127" s="6">
        <v>16</v>
      </c>
      <c r="B127" s="4">
        <v>90</v>
      </c>
      <c r="C127" s="5">
        <v>50.02</v>
      </c>
      <c r="D127" s="4">
        <v>20</v>
      </c>
      <c r="E127" s="3">
        <v>24</v>
      </c>
      <c r="F127" s="3">
        <f>1.8*E127+32</f>
        <v>75.2</v>
      </c>
      <c r="G127" s="3">
        <v>14</v>
      </c>
      <c r="H127" s="3">
        <f>IF(F127&gt;68,G127+(F127-68)*0.2,G392-(68-F127)*0.2)</f>
        <v>15.440000000000001</v>
      </c>
      <c r="I127" s="3">
        <v>22.5</v>
      </c>
      <c r="J127" s="3">
        <f>1.8*I127+32</f>
        <v>72.5</v>
      </c>
      <c r="K127" s="3">
        <v>9</v>
      </c>
      <c r="L127" s="3">
        <f>IF(J127&gt;68,K127+(J127-68)*0.2,K127-(68-J127)*0.2)</f>
        <v>9.9</v>
      </c>
      <c r="M127" s="3">
        <f>(C127-H127)/C127*100</f>
        <v>69.132347061175523</v>
      </c>
      <c r="N127" s="3">
        <f>100-(M127+O127)</f>
        <v>11.075569772091171</v>
      </c>
      <c r="O127" s="3">
        <f>L127/C127*100</f>
        <v>19.792083166733306</v>
      </c>
      <c r="P127" s="2" t="s">
        <v>0</v>
      </c>
      <c r="Q127" s="1">
        <v>409080.52600499999</v>
      </c>
      <c r="R127" s="1">
        <v>3659325.8460249999</v>
      </c>
      <c r="T127" s="4">
        <v>2006111</v>
      </c>
      <c r="U127" s="4" t="s">
        <v>132</v>
      </c>
      <c r="V127" s="4">
        <v>6.1710000000000001E-2</v>
      </c>
      <c r="W127" s="4">
        <v>0.38102999999999998</v>
      </c>
      <c r="X127" s="4">
        <v>2.8230000000000002E-2</v>
      </c>
      <c r="Y127" s="4">
        <v>1.3331200000000001</v>
      </c>
      <c r="Z127" s="4">
        <v>18.124669999999998</v>
      </c>
      <c r="AA127" s="4">
        <v>10.17892</v>
      </c>
      <c r="AB127" s="4">
        <v>-1.5054700000000001</v>
      </c>
    </row>
    <row r="128" spans="1:28" x14ac:dyDescent="0.25">
      <c r="A128" s="6">
        <v>16</v>
      </c>
      <c r="B128" s="4">
        <v>120</v>
      </c>
      <c r="C128" s="5">
        <v>50.01</v>
      </c>
      <c r="D128" s="4">
        <v>20</v>
      </c>
      <c r="E128" s="3">
        <v>25</v>
      </c>
      <c r="F128" s="3">
        <f>1.8*E128+32</f>
        <v>77</v>
      </c>
      <c r="G128" s="3">
        <v>15</v>
      </c>
      <c r="H128" s="3">
        <f>IF(F128&gt;68,G128+(F128-68)*0.2,G393-(68-F128)*0.2)</f>
        <v>16.8</v>
      </c>
      <c r="I128" s="3">
        <v>22.5</v>
      </c>
      <c r="J128" s="3">
        <f>1.8*I128+32</f>
        <v>72.5</v>
      </c>
      <c r="K128" s="3">
        <v>9.5</v>
      </c>
      <c r="L128" s="3">
        <f>IF(J128&gt;68,K128+(J128-68)*0.2,K128-(68-J128)*0.2)</f>
        <v>10.4</v>
      </c>
      <c r="M128" s="3">
        <f>(C128-H128)/C128*100</f>
        <v>66.406718656268737</v>
      </c>
      <c r="N128" s="3">
        <f>100-(M128+O128)</f>
        <v>12.797440511897634</v>
      </c>
      <c r="O128" s="3">
        <f>L128/C128*100</f>
        <v>20.795840831833633</v>
      </c>
      <c r="P128" s="2" t="s">
        <v>0</v>
      </c>
      <c r="Q128" s="1">
        <v>409080.52600499999</v>
      </c>
      <c r="R128" s="1">
        <v>3659325.8460249999</v>
      </c>
      <c r="T128" s="4">
        <v>2006111</v>
      </c>
      <c r="U128" s="4" t="s">
        <v>131</v>
      </c>
      <c r="V128" s="4">
        <v>6.3079999999999997E-2</v>
      </c>
      <c r="W128" s="4">
        <v>0.38175999999999999</v>
      </c>
      <c r="X128" s="4">
        <v>2.785E-2</v>
      </c>
      <c r="Y128" s="4">
        <v>1.32585</v>
      </c>
      <c r="Z128" s="4">
        <v>16.708580000000001</v>
      </c>
      <c r="AA128" s="4">
        <v>9.7447900000000001</v>
      </c>
      <c r="AB128" s="4">
        <v>-1.5418499999999999</v>
      </c>
    </row>
    <row r="129" spans="1:28" x14ac:dyDescent="0.25">
      <c r="A129" s="6">
        <v>16</v>
      </c>
      <c r="B129" s="4">
        <v>150</v>
      </c>
      <c r="C129" s="5">
        <v>50</v>
      </c>
      <c r="D129" s="4">
        <v>20</v>
      </c>
      <c r="E129" s="3">
        <v>25</v>
      </c>
      <c r="F129" s="3">
        <f>1.8*E129+32</f>
        <v>77</v>
      </c>
      <c r="G129" s="3">
        <v>16</v>
      </c>
      <c r="H129" s="3">
        <f>IF(F129&gt;68,G129+(F129-68)*0.2,G394-(68-F129)*0.2)</f>
        <v>17.8</v>
      </c>
      <c r="I129" s="3">
        <v>23</v>
      </c>
      <c r="J129" s="3">
        <f>1.8*I129+32</f>
        <v>73.400000000000006</v>
      </c>
      <c r="K129" s="3">
        <v>9.5</v>
      </c>
      <c r="L129" s="3">
        <f>IF(J129&gt;68,K129+(J129-68)*0.2,K129-(68-J129)*0.2)</f>
        <v>10.580000000000002</v>
      </c>
      <c r="M129" s="3">
        <f>(C129-H129)/C129*100</f>
        <v>64.400000000000006</v>
      </c>
      <c r="N129" s="3">
        <f>100-(M129+O129)</f>
        <v>14.439999999999998</v>
      </c>
      <c r="O129" s="3">
        <f>L129/C129*100</f>
        <v>21.160000000000004</v>
      </c>
      <c r="P129" s="2" t="s">
        <v>0</v>
      </c>
      <c r="Q129" s="1">
        <v>409080.52600499999</v>
      </c>
      <c r="R129" s="1">
        <v>3659325.8460249999</v>
      </c>
      <c r="T129" s="4">
        <v>2006111</v>
      </c>
      <c r="U129" s="4" t="s">
        <v>130</v>
      </c>
      <c r="V129" s="4">
        <v>5.636E-2</v>
      </c>
      <c r="W129" s="4">
        <v>0.37840000000000001</v>
      </c>
      <c r="X129" s="4">
        <v>3.023E-2</v>
      </c>
      <c r="Y129" s="4">
        <v>1.3732500000000001</v>
      </c>
      <c r="Z129" s="4">
        <v>26.679950000000002</v>
      </c>
      <c r="AA129" s="4">
        <v>12.481820000000001</v>
      </c>
      <c r="AB129" s="4">
        <v>-1.35225</v>
      </c>
    </row>
    <row r="130" spans="1:28" x14ac:dyDescent="0.25">
      <c r="A130" s="6">
        <v>16</v>
      </c>
      <c r="B130" s="4">
        <v>180</v>
      </c>
      <c r="C130" s="5">
        <v>50.01</v>
      </c>
      <c r="D130" s="4">
        <v>20</v>
      </c>
      <c r="E130" s="3">
        <v>25.3</v>
      </c>
      <c r="F130" s="3">
        <f>1.8*E130+32</f>
        <v>77.539999999999992</v>
      </c>
      <c r="G130" s="3">
        <v>17</v>
      </c>
      <c r="H130" s="3">
        <f>IF(F130&gt;68,G130+(F130-68)*0.2,G395-(68-F130)*0.2)</f>
        <v>18.907999999999998</v>
      </c>
      <c r="I130" s="3">
        <v>23</v>
      </c>
      <c r="J130" s="3">
        <f>1.8*I130+32</f>
        <v>73.400000000000006</v>
      </c>
      <c r="K130" s="3">
        <v>11</v>
      </c>
      <c r="L130" s="3">
        <f>IF(J130&gt;68,K130+(J130-68)*0.2,K130-(68-J130)*0.2)</f>
        <v>12.080000000000002</v>
      </c>
      <c r="M130" s="3">
        <f>(C130-H130)/C130*100</f>
        <v>62.191561687662464</v>
      </c>
      <c r="N130" s="3">
        <f>100-(M130+O130)</f>
        <v>13.65326934613077</v>
      </c>
      <c r="O130" s="3">
        <f>L130/C130*100</f>
        <v>24.155168966206762</v>
      </c>
      <c r="P130" s="2" t="s">
        <v>0</v>
      </c>
      <c r="Q130" s="1">
        <v>409080.52600499999</v>
      </c>
      <c r="R130" s="1">
        <v>3659325.8460249999</v>
      </c>
      <c r="T130" s="4">
        <v>2006111</v>
      </c>
      <c r="U130" s="4" t="s">
        <v>129</v>
      </c>
      <c r="V130" s="4">
        <v>7.3830000000000007E-2</v>
      </c>
      <c r="W130" s="4">
        <v>0.39463999999999999</v>
      </c>
      <c r="X130" s="4">
        <v>2.5860000000000001E-2</v>
      </c>
      <c r="Y130" s="4">
        <v>1.28241</v>
      </c>
      <c r="Z130" s="4">
        <v>10.329470000000001</v>
      </c>
      <c r="AA130" s="4">
        <v>7.49038</v>
      </c>
      <c r="AB130" s="4">
        <v>-1.8212999999999999</v>
      </c>
    </row>
    <row r="131" spans="1:28" x14ac:dyDescent="0.25">
      <c r="Q131" s="22"/>
      <c r="R131" s="22"/>
      <c r="T131" s="4">
        <v>2006111</v>
      </c>
      <c r="U131" s="4" t="s">
        <v>128</v>
      </c>
      <c r="V131" s="4">
        <v>7.2429999999999994E-2</v>
      </c>
      <c r="W131" s="4">
        <v>0.39118000000000003</v>
      </c>
      <c r="X131" s="4">
        <v>2.631E-2</v>
      </c>
      <c r="Y131" s="4">
        <v>1.2835099999999999</v>
      </c>
      <c r="Z131" s="4">
        <v>11.093909999999999</v>
      </c>
      <c r="AA131" s="4">
        <v>7.7251300000000001</v>
      </c>
      <c r="AB131" s="4">
        <v>-1.82707</v>
      </c>
    </row>
    <row r="132" spans="1:28" ht="51.75" x14ac:dyDescent="0.25">
      <c r="A132" s="15" t="s">
        <v>19</v>
      </c>
      <c r="B132" s="10" t="s">
        <v>18</v>
      </c>
      <c r="C132" s="14" t="s">
        <v>17</v>
      </c>
      <c r="D132" s="13" t="s">
        <v>16</v>
      </c>
      <c r="E132" s="12" t="s">
        <v>15</v>
      </c>
      <c r="F132" s="12" t="s">
        <v>14</v>
      </c>
      <c r="G132" s="12" t="s">
        <v>13</v>
      </c>
      <c r="H132" s="12" t="s">
        <v>12</v>
      </c>
      <c r="I132" s="12" t="s">
        <v>11</v>
      </c>
      <c r="J132" s="12" t="s">
        <v>10</v>
      </c>
      <c r="K132" s="12" t="s">
        <v>9</v>
      </c>
      <c r="L132" s="12" t="s">
        <v>8</v>
      </c>
      <c r="M132" s="11" t="s">
        <v>7</v>
      </c>
      <c r="N132" s="11" t="s">
        <v>6</v>
      </c>
      <c r="O132" s="11" t="s">
        <v>5</v>
      </c>
      <c r="P132" s="10" t="s">
        <v>4</v>
      </c>
      <c r="Q132" s="9" t="s">
        <v>3</v>
      </c>
      <c r="R132" s="8"/>
      <c r="T132" s="4">
        <v>2006111</v>
      </c>
      <c r="U132" s="4" t="s">
        <v>127</v>
      </c>
      <c r="V132" s="4">
        <v>6.0049999999999999E-2</v>
      </c>
      <c r="W132" s="4">
        <v>0.37109999999999999</v>
      </c>
      <c r="X132" s="4">
        <v>2.7400000000000001E-2</v>
      </c>
      <c r="Y132" s="4">
        <v>1.42337</v>
      </c>
      <c r="Z132" s="4">
        <v>28.170839999999998</v>
      </c>
      <c r="AA132" s="4">
        <v>10.644629999999999</v>
      </c>
      <c r="AB132" s="4">
        <v>-1.2182599999999999</v>
      </c>
    </row>
    <row r="133" spans="1:28" x14ac:dyDescent="0.25">
      <c r="A133" s="4"/>
      <c r="B133" s="4"/>
      <c r="C133" s="5"/>
      <c r="D133" s="4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2"/>
      <c r="Q133" s="7" t="s">
        <v>2</v>
      </c>
      <c r="R133" s="7" t="s">
        <v>1</v>
      </c>
      <c r="T133" s="4">
        <v>2006111</v>
      </c>
      <c r="U133" s="4" t="s">
        <v>126</v>
      </c>
      <c r="V133" s="4">
        <v>6.1330000000000003E-2</v>
      </c>
      <c r="W133" s="4">
        <v>0.38086999999999999</v>
      </c>
      <c r="X133" s="4">
        <v>2.8330000000000001E-2</v>
      </c>
      <c r="Y133" s="4">
        <v>1.3351900000000001</v>
      </c>
      <c r="Z133" s="4">
        <v>18.54487</v>
      </c>
      <c r="AA133" s="4">
        <v>10.30531</v>
      </c>
      <c r="AB133" s="4">
        <v>-1.4955400000000001</v>
      </c>
    </row>
    <row r="134" spans="1:28" x14ac:dyDescent="0.25">
      <c r="A134" s="6">
        <v>17</v>
      </c>
      <c r="B134" s="4">
        <v>30</v>
      </c>
      <c r="C134" s="5">
        <v>50</v>
      </c>
      <c r="D134" s="4">
        <v>20</v>
      </c>
      <c r="E134" s="3">
        <v>22</v>
      </c>
      <c r="F134" s="3">
        <f>1.8*E134+32</f>
        <v>71.599999999999994</v>
      </c>
      <c r="G134" s="3">
        <v>17</v>
      </c>
      <c r="H134" s="3">
        <f>IF(F134&gt;68,G134+(F134-68)*0.2,#REF!-(68-F134)*0.2)</f>
        <v>17.72</v>
      </c>
      <c r="I134" s="3">
        <v>22</v>
      </c>
      <c r="J134" s="3">
        <f>1.8*I134+32</f>
        <v>71.599999999999994</v>
      </c>
      <c r="K134" s="3">
        <v>11</v>
      </c>
      <c r="L134" s="3">
        <f>IF(J134&gt;68,K134+(J134-68)*0.2,K134-(68-J134)*0.2)</f>
        <v>11.719999999999999</v>
      </c>
      <c r="M134" s="3">
        <f>(C134-H134)/C134*100</f>
        <v>64.56</v>
      </c>
      <c r="N134" s="3">
        <f>100-(M134+O134)</f>
        <v>12</v>
      </c>
      <c r="O134" s="3">
        <f>L134/C134*100</f>
        <v>23.439999999999998</v>
      </c>
      <c r="P134" s="2" t="s">
        <v>0</v>
      </c>
      <c r="Q134" s="1">
        <v>409092.70562800003</v>
      </c>
      <c r="R134" s="1">
        <v>3659325.6409260002</v>
      </c>
      <c r="T134" s="4">
        <v>2006111</v>
      </c>
      <c r="U134" s="4" t="s">
        <v>125</v>
      </c>
      <c r="V134" s="4">
        <v>7.0480000000000001E-2</v>
      </c>
      <c r="W134" s="4">
        <v>0.38840999999999998</v>
      </c>
      <c r="X134" s="4">
        <v>2.649E-2</v>
      </c>
      <c r="Y134" s="4">
        <v>1.29159</v>
      </c>
      <c r="Z134" s="4">
        <v>11.78654</v>
      </c>
      <c r="AA134" s="4">
        <v>8.0320900000000002</v>
      </c>
      <c r="AB134" s="4">
        <v>-1.76105</v>
      </c>
    </row>
    <row r="135" spans="1:28" x14ac:dyDescent="0.25">
      <c r="A135" s="6">
        <v>17</v>
      </c>
      <c r="B135" s="4">
        <v>60</v>
      </c>
      <c r="C135" s="5">
        <v>50.01</v>
      </c>
      <c r="D135" s="4">
        <v>20</v>
      </c>
      <c r="E135" s="3">
        <v>22</v>
      </c>
      <c r="F135" s="3">
        <f>1.8*E135+32</f>
        <v>71.599999999999994</v>
      </c>
      <c r="G135" s="3">
        <v>15</v>
      </c>
      <c r="H135" s="3">
        <f>IF(F135&gt;68,G135+(F135-68)*0.2,#REF!-(68-F135)*0.2)</f>
        <v>15.719999999999999</v>
      </c>
      <c r="I135" s="3">
        <v>22</v>
      </c>
      <c r="J135" s="3">
        <f>1.8*I135+32</f>
        <v>71.599999999999994</v>
      </c>
      <c r="K135" s="3">
        <v>9.5</v>
      </c>
      <c r="L135" s="3">
        <f>IF(J135&gt;68,K135+(J135-68)*0.2,K135-(68-J135)*0.2)</f>
        <v>10.219999999999999</v>
      </c>
      <c r="M135" s="3">
        <f>(C135-H135)/C135*100</f>
        <v>68.566286742651471</v>
      </c>
      <c r="N135" s="3">
        <f>100-(M135+O135)</f>
        <v>10.997800439912027</v>
      </c>
      <c r="O135" s="3">
        <f>L135/C135*100</f>
        <v>20.43591281743651</v>
      </c>
      <c r="P135" s="2" t="s">
        <v>0</v>
      </c>
      <c r="Q135" s="1">
        <v>409092.70562800003</v>
      </c>
      <c r="R135" s="1">
        <v>3659325.6409260002</v>
      </c>
      <c r="T135" s="4">
        <v>2006111</v>
      </c>
      <c r="U135" s="4" t="s">
        <v>124</v>
      </c>
      <c r="V135" s="4">
        <v>7.009E-2</v>
      </c>
      <c r="W135" s="4">
        <v>0.39301000000000003</v>
      </c>
      <c r="X135" s="4">
        <v>2.4899999999999999E-2</v>
      </c>
      <c r="Y135" s="4">
        <v>1.31176</v>
      </c>
      <c r="Z135" s="4">
        <v>10.964930000000001</v>
      </c>
      <c r="AA135" s="4">
        <v>7.8201200000000002</v>
      </c>
      <c r="AB135" s="4">
        <v>-1.5539499999999999</v>
      </c>
    </row>
    <row r="136" spans="1:28" x14ac:dyDescent="0.25">
      <c r="A136" s="6">
        <v>17</v>
      </c>
      <c r="B136" s="4">
        <v>90</v>
      </c>
      <c r="C136" s="5">
        <v>50</v>
      </c>
      <c r="D136" s="4">
        <v>20</v>
      </c>
      <c r="E136" s="3">
        <v>22</v>
      </c>
      <c r="F136" s="3">
        <f>1.8*E136+32</f>
        <v>71.599999999999994</v>
      </c>
      <c r="G136" s="3">
        <v>16.5</v>
      </c>
      <c r="H136" s="3">
        <f>IF(F136&gt;68,G136+(F136-68)*0.2,#REF!-(68-F136)*0.2)</f>
        <v>17.22</v>
      </c>
      <c r="I136" s="3">
        <v>22</v>
      </c>
      <c r="J136" s="3">
        <f>1.8*I136+32</f>
        <v>71.599999999999994</v>
      </c>
      <c r="K136" s="3">
        <v>11</v>
      </c>
      <c r="L136" s="3">
        <f>IF(J136&gt;68,K136+(J136-68)*0.2,K136-(68-J136)*0.2)</f>
        <v>11.719999999999999</v>
      </c>
      <c r="M136" s="3">
        <f>(C136-H136)/C136*100</f>
        <v>65.56</v>
      </c>
      <c r="N136" s="3">
        <f>100-(M136+O136)</f>
        <v>11</v>
      </c>
      <c r="O136" s="3">
        <f>L136/C136*100</f>
        <v>23.439999999999998</v>
      </c>
      <c r="P136" s="2" t="s">
        <v>0</v>
      </c>
      <c r="Q136" s="1">
        <v>409092.70562800003</v>
      </c>
      <c r="R136" s="1">
        <v>3659325.6409260002</v>
      </c>
      <c r="T136" s="4">
        <v>2006111</v>
      </c>
      <c r="U136" s="4" t="s">
        <v>123</v>
      </c>
      <c r="V136" s="4">
        <v>7.4730000000000005E-2</v>
      </c>
      <c r="W136" s="4">
        <v>0.40353</v>
      </c>
      <c r="X136" s="4">
        <v>2.256E-2</v>
      </c>
      <c r="Y136" s="4">
        <v>1.3135600000000001</v>
      </c>
      <c r="Z136" s="4">
        <v>8.1199399999999997</v>
      </c>
      <c r="AA136" s="4">
        <v>6.6879099999999996</v>
      </c>
      <c r="AB136" s="4">
        <v>-1.46732</v>
      </c>
    </row>
    <row r="137" spans="1:28" x14ac:dyDescent="0.25">
      <c r="A137" s="6">
        <v>17</v>
      </c>
      <c r="B137" s="4">
        <v>120</v>
      </c>
      <c r="C137" s="5">
        <v>50</v>
      </c>
      <c r="D137" s="4">
        <v>20</v>
      </c>
      <c r="E137" s="3">
        <v>23.8</v>
      </c>
      <c r="F137" s="3">
        <f>1.8*E137+32</f>
        <v>74.84</v>
      </c>
      <c r="G137" s="3">
        <v>16.5</v>
      </c>
      <c r="H137" s="3">
        <f>IF(F137&gt;68,G137+(F137-68)*0.2,#REF!-(68-F137)*0.2)</f>
        <v>17.868000000000002</v>
      </c>
      <c r="I137" s="3">
        <v>22</v>
      </c>
      <c r="J137" s="3">
        <f>1.8*I137+32</f>
        <v>71.599999999999994</v>
      </c>
      <c r="K137" s="3">
        <v>11</v>
      </c>
      <c r="L137" s="3">
        <f>IF(J137&gt;68,K137+(J137-68)*0.2,K137-(68-J137)*0.2)</f>
        <v>11.719999999999999</v>
      </c>
      <c r="M137" s="3">
        <f>(C137-H137)/C137*100</f>
        <v>64.263999999999996</v>
      </c>
      <c r="N137" s="3">
        <f>100-(M137+O137)</f>
        <v>12.296000000000006</v>
      </c>
      <c r="O137" s="3">
        <f>L137/C137*100</f>
        <v>23.439999999999998</v>
      </c>
      <c r="P137" s="2" t="s">
        <v>0</v>
      </c>
      <c r="Q137" s="1">
        <v>409092.70562800003</v>
      </c>
      <c r="R137" s="1">
        <v>3659325.6409260002</v>
      </c>
      <c r="T137" s="4">
        <v>2006111</v>
      </c>
      <c r="U137" s="4" t="s">
        <v>122</v>
      </c>
      <c r="V137" s="4">
        <v>6.5320000000000003E-2</v>
      </c>
      <c r="W137" s="4">
        <v>0.38199</v>
      </c>
      <c r="X137" s="4">
        <v>2.75E-2</v>
      </c>
      <c r="Y137" s="4">
        <v>1.31271</v>
      </c>
      <c r="Z137" s="4">
        <v>14.9139</v>
      </c>
      <c r="AA137" s="4">
        <v>9.1287699999999994</v>
      </c>
      <c r="AB137" s="4">
        <v>-1.6257699999999999</v>
      </c>
    </row>
    <row r="138" spans="1:28" x14ac:dyDescent="0.25">
      <c r="A138" s="6">
        <v>17</v>
      </c>
      <c r="B138" s="4">
        <v>150</v>
      </c>
      <c r="C138" s="5">
        <v>50</v>
      </c>
      <c r="D138" s="4">
        <v>20</v>
      </c>
      <c r="E138" s="3">
        <v>24</v>
      </c>
      <c r="F138" s="3">
        <f>1.8*E138+32</f>
        <v>75.2</v>
      </c>
      <c r="G138" s="3">
        <v>18.5</v>
      </c>
      <c r="H138" s="3">
        <f>IF(F138&gt;68,G138+(F138-68)*0.2,#REF!-(68-F138)*0.2)</f>
        <v>19.940000000000001</v>
      </c>
      <c r="I138" s="3">
        <v>22</v>
      </c>
      <c r="J138" s="3">
        <f>1.8*I138+32</f>
        <v>71.599999999999994</v>
      </c>
      <c r="K138" s="3">
        <v>12.5</v>
      </c>
      <c r="L138" s="3">
        <f>IF(J138&gt;68,K138+(J138-68)*0.2,K138-(68-J138)*0.2)</f>
        <v>13.219999999999999</v>
      </c>
      <c r="M138" s="3">
        <f>(C138-H138)/C138*100</f>
        <v>60.12</v>
      </c>
      <c r="N138" s="3">
        <f>100-(M138+O138)</f>
        <v>13.439999999999998</v>
      </c>
      <c r="O138" s="3">
        <f>L138/C138*100</f>
        <v>26.439999999999998</v>
      </c>
      <c r="P138" s="2" t="s">
        <v>0</v>
      </c>
      <c r="Q138" s="1">
        <v>409092.70562800003</v>
      </c>
      <c r="R138" s="1">
        <v>3659325.6409260002</v>
      </c>
      <c r="T138" s="4">
        <v>2006111</v>
      </c>
      <c r="U138" s="4" t="s">
        <v>121</v>
      </c>
      <c r="V138" s="4">
        <v>6.3159999999999994E-2</v>
      </c>
      <c r="W138" s="4">
        <v>0.37542999999999999</v>
      </c>
      <c r="X138" s="4">
        <v>2.7789999999999999E-2</v>
      </c>
      <c r="Y138" s="4">
        <v>1.3307599999999999</v>
      </c>
      <c r="Z138" s="4">
        <v>17.630990000000001</v>
      </c>
      <c r="AA138" s="4">
        <v>9.52834</v>
      </c>
      <c r="AB138" s="4">
        <v>-1.5394600000000001</v>
      </c>
    </row>
    <row r="139" spans="1:28" x14ac:dyDescent="0.25">
      <c r="A139" s="6">
        <v>17</v>
      </c>
      <c r="B139" s="4">
        <v>180</v>
      </c>
      <c r="C139" s="5">
        <v>50</v>
      </c>
      <c r="D139" s="4">
        <v>20</v>
      </c>
      <c r="E139" s="3">
        <v>24</v>
      </c>
      <c r="F139" s="3">
        <f>1.8*E139+32</f>
        <v>75.2</v>
      </c>
      <c r="G139" s="3">
        <v>12.5</v>
      </c>
      <c r="H139" s="3">
        <f>IF(F139&gt;68,G139+(F139-68)*0.2,#REF!-(68-F139)*0.2)</f>
        <v>13.940000000000001</v>
      </c>
      <c r="I139" s="3">
        <v>22</v>
      </c>
      <c r="J139" s="3">
        <f>1.8*I139+32</f>
        <v>71.599999999999994</v>
      </c>
      <c r="K139" s="3">
        <v>9</v>
      </c>
      <c r="L139" s="3">
        <f>IF(J139&gt;68,K139+(J139-68)*0.2,K139-(68-J139)*0.2)</f>
        <v>9.7199999999999989</v>
      </c>
      <c r="M139" s="3">
        <f>(C139-H139)/C139*100</f>
        <v>72.12</v>
      </c>
      <c r="N139" s="3">
        <f>100-(M139+O139)</f>
        <v>8.4399999999999977</v>
      </c>
      <c r="O139" s="3">
        <f>L139/C139*100</f>
        <v>19.439999999999998</v>
      </c>
      <c r="P139" s="2" t="s">
        <v>20</v>
      </c>
      <c r="Q139" s="1">
        <v>409092.70562800003</v>
      </c>
      <c r="R139" s="1">
        <v>3659325.6409260002</v>
      </c>
      <c r="T139" s="4">
        <v>2006111</v>
      </c>
      <c r="U139" s="4" t="s">
        <v>120</v>
      </c>
      <c r="V139" s="4">
        <v>6.2710000000000002E-2</v>
      </c>
      <c r="W139" s="4">
        <v>0.37989000000000001</v>
      </c>
      <c r="X139" s="4">
        <v>2.8150000000000001E-2</v>
      </c>
      <c r="Y139" s="4">
        <v>1.32707</v>
      </c>
      <c r="Z139" s="4">
        <v>17.281289999999998</v>
      </c>
      <c r="AA139" s="4">
        <v>9.8702900000000007</v>
      </c>
      <c r="AB139" s="4">
        <v>-1.5475399999999999</v>
      </c>
    </row>
    <row r="140" spans="1:28" x14ac:dyDescent="0.25">
      <c r="Q140" s="22"/>
      <c r="R140" s="22"/>
      <c r="T140" s="4">
        <v>2006111</v>
      </c>
      <c r="U140" s="4" t="s">
        <v>119</v>
      </c>
      <c r="V140" s="4">
        <v>6.5290000000000001E-2</v>
      </c>
      <c r="W140" s="4">
        <v>0.37885999999999997</v>
      </c>
      <c r="X140" s="4">
        <v>2.7640000000000001E-2</v>
      </c>
      <c r="Y140" s="4">
        <v>1.3106500000000001</v>
      </c>
      <c r="Z140" s="4">
        <v>15.30613</v>
      </c>
      <c r="AA140" s="4">
        <v>9.0509400000000007</v>
      </c>
      <c r="AB140" s="4">
        <v>-1.65324</v>
      </c>
    </row>
    <row r="141" spans="1:28" ht="51.75" x14ac:dyDescent="0.25">
      <c r="A141" s="15" t="s">
        <v>19</v>
      </c>
      <c r="B141" s="10" t="s">
        <v>18</v>
      </c>
      <c r="C141" s="14" t="s">
        <v>17</v>
      </c>
      <c r="D141" s="13" t="s">
        <v>16</v>
      </c>
      <c r="E141" s="12" t="s">
        <v>15</v>
      </c>
      <c r="F141" s="12" t="s">
        <v>14</v>
      </c>
      <c r="G141" s="12" t="s">
        <v>13</v>
      </c>
      <c r="H141" s="12" t="s">
        <v>12</v>
      </c>
      <c r="I141" s="12" t="s">
        <v>11</v>
      </c>
      <c r="J141" s="12" t="s">
        <v>10</v>
      </c>
      <c r="K141" s="12" t="s">
        <v>9</v>
      </c>
      <c r="L141" s="12" t="s">
        <v>8</v>
      </c>
      <c r="M141" s="11" t="s">
        <v>7</v>
      </c>
      <c r="N141" s="11" t="s">
        <v>6</v>
      </c>
      <c r="O141" s="11" t="s">
        <v>5</v>
      </c>
      <c r="P141" s="10" t="s">
        <v>4</v>
      </c>
      <c r="Q141" s="24" t="s">
        <v>3</v>
      </c>
      <c r="R141" s="23"/>
      <c r="T141" s="4">
        <v>2006111</v>
      </c>
      <c r="U141" s="4" t="s">
        <v>118</v>
      </c>
      <c r="V141" s="4">
        <v>6.4019999999999994E-2</v>
      </c>
      <c r="W141" s="4">
        <v>0.37935000000000002</v>
      </c>
      <c r="X141" s="4">
        <v>2.7900000000000001E-2</v>
      </c>
      <c r="Y141" s="4">
        <v>1.3189200000000001</v>
      </c>
      <c r="Z141" s="4">
        <v>16.180209999999999</v>
      </c>
      <c r="AA141" s="4">
        <v>9.4507200000000005</v>
      </c>
      <c r="AB141" s="4">
        <v>-1.5986199999999999</v>
      </c>
    </row>
    <row r="142" spans="1:28" x14ac:dyDescent="0.25">
      <c r="A142" s="4"/>
      <c r="B142" s="4"/>
      <c r="C142" s="5"/>
      <c r="D142" s="4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2"/>
      <c r="Q142" s="7" t="s">
        <v>2</v>
      </c>
      <c r="R142" s="7" t="s">
        <v>1</v>
      </c>
      <c r="T142" s="4">
        <v>2006111</v>
      </c>
      <c r="U142" s="4" t="s">
        <v>117</v>
      </c>
      <c r="V142" s="4">
        <v>7.3459999999999998E-2</v>
      </c>
      <c r="W142" s="4">
        <v>0.39600000000000002</v>
      </c>
      <c r="X142" s="4">
        <v>2.5180000000000001E-2</v>
      </c>
      <c r="Y142" s="4">
        <v>1.29196</v>
      </c>
      <c r="Z142" s="4">
        <v>9.8386700000000005</v>
      </c>
      <c r="AA142" s="4">
        <v>7.4228500000000004</v>
      </c>
      <c r="AB142" s="4">
        <v>-1.7145300000000001</v>
      </c>
    </row>
    <row r="143" spans="1:28" x14ac:dyDescent="0.25">
      <c r="A143" s="6">
        <v>18</v>
      </c>
      <c r="B143" s="4">
        <v>30</v>
      </c>
      <c r="C143" s="5">
        <v>50.01</v>
      </c>
      <c r="D143" s="4">
        <v>20</v>
      </c>
      <c r="E143" s="3">
        <v>23</v>
      </c>
      <c r="F143" s="3">
        <f>1.8*E143+32</f>
        <v>73.400000000000006</v>
      </c>
      <c r="G143" s="3">
        <v>16</v>
      </c>
      <c r="H143" s="3">
        <f>IF(F143&gt;68,G143+(F143-68)*0.2,#REF!-(68-F143)*0.2)</f>
        <v>17.080000000000002</v>
      </c>
      <c r="I143" s="3">
        <v>22.5</v>
      </c>
      <c r="J143" s="3">
        <f>1.8*I143+32</f>
        <v>72.5</v>
      </c>
      <c r="K143" s="3">
        <v>11</v>
      </c>
      <c r="L143" s="3">
        <f>IF(J143&gt;68,K143+(J143-68)*0.2,K143-(68-J143)*0.2)</f>
        <v>11.9</v>
      </c>
      <c r="M143" s="3">
        <f>(C143-H143)/C143*100</f>
        <v>65.846830633873211</v>
      </c>
      <c r="N143" s="3">
        <f>100-(M143+O143)</f>
        <v>10.357928414317144</v>
      </c>
      <c r="O143" s="3">
        <f>L143/C143*100</f>
        <v>23.795240951809639</v>
      </c>
      <c r="P143" s="2" t="s">
        <v>0</v>
      </c>
      <c r="Q143" s="1">
        <v>409104.88351900002</v>
      </c>
      <c r="R143" s="1">
        <v>3659325.4358580001</v>
      </c>
      <c r="T143" s="4">
        <v>2006111</v>
      </c>
      <c r="U143" s="4" t="s">
        <v>116</v>
      </c>
      <c r="V143" s="4">
        <v>6.404E-2</v>
      </c>
      <c r="W143" s="4">
        <v>0.37936999999999999</v>
      </c>
      <c r="X143" s="4">
        <v>2.7890000000000002E-2</v>
      </c>
      <c r="Y143" s="4">
        <v>1.31881</v>
      </c>
      <c r="Z143" s="4">
        <v>16.163599999999999</v>
      </c>
      <c r="AA143" s="4">
        <v>9.4459599999999995</v>
      </c>
      <c r="AB143" s="4">
        <v>-1.5992299999999999</v>
      </c>
    </row>
    <row r="144" spans="1:28" x14ac:dyDescent="0.25">
      <c r="A144" s="6">
        <v>18</v>
      </c>
      <c r="B144" s="4">
        <v>60</v>
      </c>
      <c r="C144" s="5">
        <v>50.01</v>
      </c>
      <c r="D144" s="4">
        <v>20</v>
      </c>
      <c r="E144" s="3">
        <v>23</v>
      </c>
      <c r="F144" s="3">
        <f>1.8*E144+32</f>
        <v>73.400000000000006</v>
      </c>
      <c r="G144" s="3">
        <v>18</v>
      </c>
      <c r="H144" s="3">
        <f>IF(F144&gt;68,G144+(F144-68)*0.2,#REF!-(68-F144)*0.2)</f>
        <v>19.080000000000002</v>
      </c>
      <c r="I144" s="3">
        <v>23</v>
      </c>
      <c r="J144" s="3">
        <f>1.8*I144+32</f>
        <v>73.400000000000006</v>
      </c>
      <c r="K144" s="3">
        <v>11.5</v>
      </c>
      <c r="L144" s="3">
        <f>IF(J144&gt;68,K144+(J144-68)*0.2,K144-(68-J144)*0.2)</f>
        <v>12.580000000000002</v>
      </c>
      <c r="M144" s="3">
        <f>(C144-H144)/C144*100</f>
        <v>61.847630473905213</v>
      </c>
      <c r="N144" s="3">
        <f>100-(M144+O144)</f>
        <v>12.997400519896019</v>
      </c>
      <c r="O144" s="3">
        <f>L144/C144*100</f>
        <v>25.154969006198762</v>
      </c>
      <c r="P144" s="2" t="s">
        <v>0</v>
      </c>
      <c r="Q144" s="1">
        <v>409104.88351900002</v>
      </c>
      <c r="R144" s="1">
        <v>3659325.4358580001</v>
      </c>
      <c r="T144" s="4">
        <v>2006111</v>
      </c>
      <c r="U144" s="4" t="s">
        <v>115</v>
      </c>
      <c r="V144" s="4">
        <v>6.5559999999999993E-2</v>
      </c>
      <c r="W144" s="4">
        <v>0.38550000000000001</v>
      </c>
      <c r="X144" s="4">
        <v>2.6790000000000001E-2</v>
      </c>
      <c r="Y144" s="4">
        <v>1.3183100000000001</v>
      </c>
      <c r="Z144" s="4">
        <v>14.34014</v>
      </c>
      <c r="AA144" s="4">
        <v>8.9915500000000002</v>
      </c>
      <c r="AB144" s="4">
        <v>-1.5611999999999999</v>
      </c>
    </row>
    <row r="145" spans="1:28" x14ac:dyDescent="0.25">
      <c r="A145" s="6">
        <v>18</v>
      </c>
      <c r="B145" s="4">
        <v>90</v>
      </c>
      <c r="C145" s="5">
        <v>50.01</v>
      </c>
      <c r="D145" s="4">
        <v>20</v>
      </c>
      <c r="E145" s="3">
        <v>23</v>
      </c>
      <c r="F145" s="3">
        <f>1.8*E145+32</f>
        <v>73.400000000000006</v>
      </c>
      <c r="G145" s="3">
        <v>21.5</v>
      </c>
      <c r="H145" s="3">
        <f>IF(F145&gt;68,G145+(F145-68)*0.2,#REF!-(68-F145)*0.2)</f>
        <v>22.580000000000002</v>
      </c>
      <c r="I145" s="3">
        <v>23</v>
      </c>
      <c r="J145" s="3">
        <f>1.8*I145+32</f>
        <v>73.400000000000006</v>
      </c>
      <c r="K145" s="3">
        <v>14</v>
      </c>
      <c r="L145" s="3">
        <f>IF(J145&gt;68,K145+(J145-68)*0.2,K145-(68-J145)*0.2)</f>
        <v>15.080000000000002</v>
      </c>
      <c r="M145" s="3">
        <f>(C145-H145)/C145*100</f>
        <v>54.849030193961198</v>
      </c>
      <c r="N145" s="3">
        <f>100-(M145+O145)</f>
        <v>14.997000599880039</v>
      </c>
      <c r="O145" s="3">
        <f>L145/C145*100</f>
        <v>30.15396920615877</v>
      </c>
      <c r="P145" s="2" t="s">
        <v>0</v>
      </c>
      <c r="Q145" s="1">
        <v>409104.88351900002</v>
      </c>
      <c r="R145" s="1">
        <v>3659325.4358580001</v>
      </c>
      <c r="T145" s="4">
        <v>2006111</v>
      </c>
      <c r="U145" s="4" t="s">
        <v>114</v>
      </c>
      <c r="V145" s="4">
        <v>6.5759999999999999E-2</v>
      </c>
      <c r="W145" s="4">
        <v>0.38185999999999998</v>
      </c>
      <c r="X145" s="4">
        <v>2.7470000000000001E-2</v>
      </c>
      <c r="Y145" s="4">
        <v>1.30972</v>
      </c>
      <c r="Z145" s="4">
        <v>14.639799999999999</v>
      </c>
      <c r="AA145" s="4">
        <v>9.0119900000000008</v>
      </c>
      <c r="AB145" s="4">
        <v>-1.64754</v>
      </c>
    </row>
    <row r="146" spans="1:28" x14ac:dyDescent="0.25">
      <c r="A146" s="6">
        <v>18</v>
      </c>
      <c r="B146" s="4">
        <v>120</v>
      </c>
      <c r="C146" s="5">
        <v>50</v>
      </c>
      <c r="D146" s="4">
        <v>20</v>
      </c>
      <c r="E146" s="3">
        <v>23.5</v>
      </c>
      <c r="F146" s="3">
        <f>1.8*E146+32</f>
        <v>74.300000000000011</v>
      </c>
      <c r="G146" s="3">
        <v>22.5</v>
      </c>
      <c r="H146" s="3">
        <f>IF(F146&gt;68,G146+(F146-68)*0.2,#REF!-(68-F146)*0.2)</f>
        <v>23.76</v>
      </c>
      <c r="I146" s="3">
        <v>23</v>
      </c>
      <c r="J146" s="3">
        <f>1.8*I146+32</f>
        <v>73.400000000000006</v>
      </c>
      <c r="K146" s="3">
        <v>15.5</v>
      </c>
      <c r="L146" s="3">
        <f>IF(J146&gt;68,K146+(J146-68)*0.2,K146-(68-J146)*0.2)</f>
        <v>16.580000000000002</v>
      </c>
      <c r="M146" s="3">
        <f>(C146-H146)/C146*100</f>
        <v>52.47999999999999</v>
      </c>
      <c r="N146" s="3">
        <f>100-(M146+O146)</f>
        <v>14.360000000000014</v>
      </c>
      <c r="O146" s="3">
        <f>L146/C146*100</f>
        <v>33.160000000000004</v>
      </c>
      <c r="P146" s="2" t="s">
        <v>0</v>
      </c>
      <c r="Q146" s="1">
        <v>409104.88351900002</v>
      </c>
      <c r="R146" s="1">
        <v>3659325.4358580001</v>
      </c>
      <c r="T146" s="4">
        <v>2006111</v>
      </c>
      <c r="U146" s="4" t="s">
        <v>113</v>
      </c>
      <c r="V146" s="4">
        <v>6.4490000000000006E-2</v>
      </c>
      <c r="W146" s="4">
        <v>0.37964999999999999</v>
      </c>
      <c r="X146" s="4">
        <v>2.7799999999999998E-2</v>
      </c>
      <c r="Y146" s="4">
        <v>1.31596</v>
      </c>
      <c r="Z146" s="4">
        <v>15.77458</v>
      </c>
      <c r="AA146" s="4">
        <v>9.3187700000000007</v>
      </c>
      <c r="AB146" s="4">
        <v>-1.61595</v>
      </c>
    </row>
    <row r="147" spans="1:28" x14ac:dyDescent="0.25">
      <c r="A147" s="6">
        <v>18</v>
      </c>
      <c r="B147" s="4">
        <v>150</v>
      </c>
      <c r="C147" s="5">
        <v>50</v>
      </c>
      <c r="D147" s="4">
        <v>20</v>
      </c>
      <c r="E147" s="3">
        <v>23.5</v>
      </c>
      <c r="F147" s="3">
        <f>1.8*E147+32</f>
        <v>74.300000000000011</v>
      </c>
      <c r="G147" s="3">
        <v>23.5</v>
      </c>
      <c r="H147" s="3">
        <f>IF(F147&gt;68,G147+(F147-68)*0.2,#REF!-(68-F147)*0.2)</f>
        <v>24.76</v>
      </c>
      <c r="I147" s="3">
        <v>23</v>
      </c>
      <c r="J147" s="3">
        <f>1.8*I147+32</f>
        <v>73.400000000000006</v>
      </c>
      <c r="K147" s="3">
        <v>15.5</v>
      </c>
      <c r="L147" s="3">
        <f>IF(J147&gt;68,K147+(J147-68)*0.2,K147-(68-J147)*0.2)</f>
        <v>16.580000000000002</v>
      </c>
      <c r="M147" s="3">
        <f>(C147-H147)/C147*100</f>
        <v>50.47999999999999</v>
      </c>
      <c r="N147" s="3">
        <f>100-(M147+O147)</f>
        <v>16.360000000000014</v>
      </c>
      <c r="O147" s="3">
        <f>L147/C147*100</f>
        <v>33.160000000000004</v>
      </c>
      <c r="P147" s="2" t="s">
        <v>0</v>
      </c>
      <c r="Q147" s="1">
        <v>409104.88351900002</v>
      </c>
      <c r="R147" s="1">
        <v>3659325.4358580001</v>
      </c>
      <c r="T147" s="4">
        <v>2006111</v>
      </c>
      <c r="U147" s="4" t="s">
        <v>112</v>
      </c>
      <c r="V147" s="4">
        <v>7.102E-2</v>
      </c>
      <c r="W147" s="4">
        <v>0.38993</v>
      </c>
      <c r="X147" s="4">
        <v>2.623E-2</v>
      </c>
      <c r="Y147" s="4">
        <v>1.2919499999999999</v>
      </c>
      <c r="Z147" s="4">
        <v>11.380800000000001</v>
      </c>
      <c r="AA147" s="4">
        <v>7.9206000000000003</v>
      </c>
      <c r="AB147" s="4">
        <v>-1.74935</v>
      </c>
    </row>
    <row r="148" spans="1:28" x14ac:dyDescent="0.25">
      <c r="A148" s="6">
        <v>18</v>
      </c>
      <c r="B148" s="4">
        <v>180</v>
      </c>
      <c r="C148" s="5">
        <v>50.01</v>
      </c>
      <c r="D148" s="4">
        <v>20</v>
      </c>
      <c r="E148" s="3">
        <v>23.5</v>
      </c>
      <c r="F148" s="3">
        <f>1.8*E148+32</f>
        <v>74.300000000000011</v>
      </c>
      <c r="G148" s="3">
        <v>16</v>
      </c>
      <c r="H148" s="3">
        <f>IF(F148&gt;68,G148+(F148-68)*0.2,#REF!-(68-F148)*0.2)</f>
        <v>17.260000000000002</v>
      </c>
      <c r="I148" s="3">
        <v>23</v>
      </c>
      <c r="J148" s="3">
        <f>1.8*I148+32</f>
        <v>73.400000000000006</v>
      </c>
      <c r="K148" s="3">
        <v>12</v>
      </c>
      <c r="L148" s="3">
        <f>IF(J148&gt;68,K148+(J148-68)*0.2,K148-(68-J148)*0.2)</f>
        <v>13.080000000000002</v>
      </c>
      <c r="M148" s="3">
        <f>(C148-H148)/C148*100</f>
        <v>65.486902619476112</v>
      </c>
      <c r="N148" s="3">
        <f>100-(M148+O148)</f>
        <v>8.3583283343331232</v>
      </c>
      <c r="O148" s="3">
        <f>L148/C148*100</f>
        <v>26.154769046190768</v>
      </c>
      <c r="P148" s="2" t="s">
        <v>0</v>
      </c>
      <c r="Q148" s="1">
        <v>409104.88351900002</v>
      </c>
      <c r="R148" s="1">
        <v>3659325.4358580001</v>
      </c>
      <c r="T148" s="4">
        <v>2006111</v>
      </c>
      <c r="U148" s="4" t="s">
        <v>111</v>
      </c>
      <c r="V148" s="4">
        <v>8.3540000000000003E-2</v>
      </c>
      <c r="W148" s="4">
        <v>0.42353000000000002</v>
      </c>
      <c r="X148" s="4">
        <v>2.256E-2</v>
      </c>
      <c r="Y148" s="4">
        <v>1.2746299999999999</v>
      </c>
      <c r="Z148" s="4">
        <v>6.7702799999999996</v>
      </c>
      <c r="AA148" s="4">
        <v>5.9661400000000002</v>
      </c>
      <c r="AB148" s="4">
        <v>-1.75244</v>
      </c>
    </row>
    <row r="149" spans="1:28" x14ac:dyDescent="0.25">
      <c r="A149" s="30"/>
      <c r="B149" s="25"/>
      <c r="C149" s="29"/>
      <c r="D149" s="28"/>
      <c r="E149" s="27"/>
      <c r="F149" s="27"/>
      <c r="G149" s="27"/>
      <c r="H149" s="27"/>
      <c r="I149" s="27"/>
      <c r="J149" s="27"/>
      <c r="K149" s="27"/>
      <c r="L149" s="27"/>
      <c r="M149" s="26"/>
      <c r="N149" s="26"/>
      <c r="O149" s="26"/>
      <c r="P149" s="25"/>
      <c r="Q149" s="22"/>
      <c r="R149" s="22"/>
      <c r="T149" s="4">
        <v>2006111</v>
      </c>
      <c r="U149" s="4" t="s">
        <v>110</v>
      </c>
      <c r="V149" s="4">
        <v>8.3500000000000005E-2</v>
      </c>
      <c r="W149" s="4">
        <v>0.40104000000000001</v>
      </c>
      <c r="X149" s="4">
        <v>2.8989999999999998E-2</v>
      </c>
      <c r="Y149" s="4">
        <v>1.19194</v>
      </c>
      <c r="Z149" s="4">
        <v>18.327850000000002</v>
      </c>
      <c r="AA149" s="4">
        <v>6.2987700000000002</v>
      </c>
      <c r="AB149" s="4">
        <v>-3.5012500000000002</v>
      </c>
    </row>
    <row r="150" spans="1:28" ht="51.75" x14ac:dyDescent="0.25">
      <c r="A150" s="15" t="s">
        <v>19</v>
      </c>
      <c r="B150" s="10" t="s">
        <v>18</v>
      </c>
      <c r="C150" s="14" t="s">
        <v>17</v>
      </c>
      <c r="D150" s="13" t="s">
        <v>16</v>
      </c>
      <c r="E150" s="12" t="s">
        <v>15</v>
      </c>
      <c r="F150" s="12" t="s">
        <v>14</v>
      </c>
      <c r="G150" s="12" t="s">
        <v>13</v>
      </c>
      <c r="H150" s="12" t="s">
        <v>12</v>
      </c>
      <c r="I150" s="12" t="s">
        <v>11</v>
      </c>
      <c r="J150" s="12" t="s">
        <v>10</v>
      </c>
      <c r="K150" s="12" t="s">
        <v>9</v>
      </c>
      <c r="L150" s="12" t="s">
        <v>8</v>
      </c>
      <c r="M150" s="11" t="s">
        <v>7</v>
      </c>
      <c r="N150" s="11" t="s">
        <v>6</v>
      </c>
      <c r="O150" s="11" t="s">
        <v>5</v>
      </c>
      <c r="P150" s="10" t="s">
        <v>4</v>
      </c>
      <c r="Q150" s="24" t="s">
        <v>3</v>
      </c>
      <c r="R150" s="23"/>
      <c r="T150" s="4">
        <v>2006111</v>
      </c>
      <c r="U150" s="4" t="s">
        <v>109</v>
      </c>
      <c r="V150" s="4">
        <v>6.4630000000000007E-2</v>
      </c>
      <c r="W150" s="4">
        <v>0.37708000000000003</v>
      </c>
      <c r="X150" s="4">
        <v>2.7650000000000001E-2</v>
      </c>
      <c r="Y150" s="4">
        <v>1.3161400000000001</v>
      </c>
      <c r="Z150" s="4">
        <v>16.00703</v>
      </c>
      <c r="AA150" s="4">
        <v>9.14893</v>
      </c>
      <c r="AB150" s="4">
        <v>-1.6211100000000001</v>
      </c>
    </row>
    <row r="151" spans="1:28" x14ac:dyDescent="0.25">
      <c r="A151" s="4"/>
      <c r="B151" s="4"/>
      <c r="C151" s="4"/>
      <c r="D151" s="4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2"/>
      <c r="Q151" s="7" t="s">
        <v>2</v>
      </c>
      <c r="R151" s="7" t="s">
        <v>1</v>
      </c>
      <c r="T151" s="4">
        <v>2006111</v>
      </c>
      <c r="U151" s="4" t="s">
        <v>108</v>
      </c>
      <c r="V151" s="4">
        <v>5.9229999999999998E-2</v>
      </c>
      <c r="W151" s="4">
        <v>0.37780999999999998</v>
      </c>
      <c r="X151" s="4">
        <v>2.92E-2</v>
      </c>
      <c r="Y151" s="4">
        <v>1.35331</v>
      </c>
      <c r="Z151" s="4">
        <v>22.015450000000001</v>
      </c>
      <c r="AA151" s="4">
        <v>11.154030000000001</v>
      </c>
      <c r="AB151" s="4">
        <v>-1.43076</v>
      </c>
    </row>
    <row r="152" spans="1:28" x14ac:dyDescent="0.25">
      <c r="A152" s="6">
        <v>21</v>
      </c>
      <c r="B152" s="4">
        <v>30</v>
      </c>
      <c r="C152" s="4">
        <v>49.99</v>
      </c>
      <c r="D152" s="4">
        <v>20</v>
      </c>
      <c r="E152" s="3">
        <v>23</v>
      </c>
      <c r="F152" s="3">
        <f>1.8*E152+32</f>
        <v>73.400000000000006</v>
      </c>
      <c r="G152" s="3">
        <v>16</v>
      </c>
      <c r="H152" s="3">
        <f>IF(F152&gt;68,G152+(F152-68)*0.2,#REF!-(68-F152)*0.2)</f>
        <v>17.080000000000002</v>
      </c>
      <c r="I152" s="3">
        <v>23.5</v>
      </c>
      <c r="J152" s="3">
        <f>1.8*I152+32</f>
        <v>74.300000000000011</v>
      </c>
      <c r="K152" s="3">
        <v>10.5</v>
      </c>
      <c r="L152" s="3">
        <f>IF(J152&gt;68,K152+(J152-68)*0.2,K152-(68-J152)*0.2)</f>
        <v>11.760000000000002</v>
      </c>
      <c r="M152" s="3">
        <f>(C152-H152)/C152*100</f>
        <v>65.833166633326655</v>
      </c>
      <c r="N152" s="3">
        <f>100-(M152+O152)</f>
        <v>10.642128425685144</v>
      </c>
      <c r="O152" s="3">
        <f>L152/C152*100</f>
        <v>23.524704940988201</v>
      </c>
      <c r="P152" s="2" t="s">
        <v>0</v>
      </c>
      <c r="Q152" s="1">
        <v>409019.38414400001</v>
      </c>
      <c r="R152" s="1">
        <v>3659308.3456910001</v>
      </c>
      <c r="T152" s="4">
        <v>2006111</v>
      </c>
      <c r="U152" s="4" t="s">
        <v>107</v>
      </c>
      <c r="V152" s="4">
        <v>6.2239999999999997E-2</v>
      </c>
      <c r="W152" s="4">
        <v>0.37964999999999999</v>
      </c>
      <c r="X152" s="4">
        <v>2.827E-2</v>
      </c>
      <c r="Y152" s="4">
        <v>1.32999</v>
      </c>
      <c r="Z152" s="4">
        <v>17.782689999999999</v>
      </c>
      <c r="AA152" s="4">
        <v>10.02229</v>
      </c>
      <c r="AB152" s="4">
        <v>-1.5324899999999999</v>
      </c>
    </row>
    <row r="153" spans="1:28" x14ac:dyDescent="0.25">
      <c r="A153" s="6">
        <v>21</v>
      </c>
      <c r="B153" s="4">
        <v>60</v>
      </c>
      <c r="C153" s="4">
        <v>50</v>
      </c>
      <c r="D153" s="4">
        <v>20</v>
      </c>
      <c r="E153" s="3">
        <v>23</v>
      </c>
      <c r="F153" s="3">
        <f>1.8*E153+32</f>
        <v>73.400000000000006</v>
      </c>
      <c r="G153" s="3">
        <v>19</v>
      </c>
      <c r="H153" s="3">
        <f>IF(F153&gt;68,G153+(F153-68)*0.2,#REF!-(68-F153)*0.2)</f>
        <v>20.080000000000002</v>
      </c>
      <c r="I153" s="3">
        <v>23.5</v>
      </c>
      <c r="J153" s="3">
        <f>1.8*I153+32</f>
        <v>74.300000000000011</v>
      </c>
      <c r="K153" s="3">
        <v>12</v>
      </c>
      <c r="L153" s="3">
        <f>IF(J153&gt;68,K153+(J153-68)*0.2,K153-(68-J153)*0.2)</f>
        <v>13.260000000000002</v>
      </c>
      <c r="M153" s="3">
        <f>(C153-H153)/C153*100</f>
        <v>59.839999999999996</v>
      </c>
      <c r="N153" s="3">
        <f>100-(M153+O153)</f>
        <v>13.64</v>
      </c>
      <c r="O153" s="3">
        <f>L153/C153*100</f>
        <v>26.520000000000003</v>
      </c>
      <c r="P153" s="2" t="s">
        <v>0</v>
      </c>
      <c r="Q153" s="1">
        <v>409019.38414400001</v>
      </c>
      <c r="R153" s="1">
        <v>3659308.3456910001</v>
      </c>
      <c r="T153" s="4">
        <v>2006111</v>
      </c>
      <c r="U153" s="4" t="s">
        <v>106</v>
      </c>
      <c r="V153" s="4">
        <v>6.3560000000000005E-2</v>
      </c>
      <c r="W153" s="4">
        <v>0.38161</v>
      </c>
      <c r="X153" s="4">
        <v>2.7789999999999999E-2</v>
      </c>
      <c r="Y153" s="4">
        <v>1.3229</v>
      </c>
      <c r="Z153" s="4">
        <v>16.30415</v>
      </c>
      <c r="AA153" s="4">
        <v>9.6092899999999997</v>
      </c>
      <c r="AB153" s="4">
        <v>-1.56115</v>
      </c>
    </row>
    <row r="154" spans="1:28" x14ac:dyDescent="0.25">
      <c r="A154" s="6">
        <v>21</v>
      </c>
      <c r="B154" s="4">
        <v>30</v>
      </c>
      <c r="C154" s="4">
        <v>50</v>
      </c>
      <c r="D154" s="4">
        <v>20</v>
      </c>
      <c r="E154" s="4">
        <v>23</v>
      </c>
      <c r="F154" s="3">
        <f>1.8*E154+32</f>
        <v>73.400000000000006</v>
      </c>
      <c r="G154" s="4">
        <v>19</v>
      </c>
      <c r="H154" s="3">
        <f>IF(F154&gt;68,G154+(F154-68)*0.2,#REF!-(68-F154)*0.2)</f>
        <v>20.080000000000002</v>
      </c>
      <c r="I154" s="4">
        <v>23.5</v>
      </c>
      <c r="J154" s="3">
        <f>1.8*I154+32</f>
        <v>74.300000000000011</v>
      </c>
      <c r="K154" s="4">
        <v>12</v>
      </c>
      <c r="L154" s="3">
        <f>IF(J154&gt;68,K154+(J154-68)*0.2,K154-(68-J154)*0.2)</f>
        <v>13.260000000000002</v>
      </c>
      <c r="M154" s="3">
        <f>(C154-H154)/C154*100</f>
        <v>59.839999999999996</v>
      </c>
      <c r="N154" s="3">
        <f>100-(M154+O154)</f>
        <v>13.64</v>
      </c>
      <c r="O154" s="3">
        <f>L154/C154*100</f>
        <v>26.520000000000003</v>
      </c>
      <c r="P154" s="2" t="s">
        <v>0</v>
      </c>
      <c r="Q154" s="1">
        <v>409019.38414400001</v>
      </c>
      <c r="R154" s="1">
        <v>3659308.3456910001</v>
      </c>
      <c r="T154" s="4">
        <v>2006111</v>
      </c>
      <c r="U154" s="4" t="s">
        <v>105</v>
      </c>
      <c r="V154" s="4">
        <v>7.4620000000000006E-2</v>
      </c>
      <c r="W154" s="4">
        <v>0.39972000000000002</v>
      </c>
      <c r="X154" s="4">
        <v>2.4340000000000001E-2</v>
      </c>
      <c r="Y154" s="4">
        <v>1.2956300000000001</v>
      </c>
      <c r="Z154" s="4">
        <v>8.9669799999999995</v>
      </c>
      <c r="AA154" s="4">
        <v>7.1192700000000002</v>
      </c>
      <c r="AB154" s="4">
        <v>-1.6561600000000001</v>
      </c>
    </row>
    <row r="155" spans="1:28" x14ac:dyDescent="0.25">
      <c r="A155" s="6">
        <v>21</v>
      </c>
      <c r="B155" s="4">
        <v>90</v>
      </c>
      <c r="C155" s="4">
        <v>49.99</v>
      </c>
      <c r="D155" s="4">
        <v>20</v>
      </c>
      <c r="E155" s="3">
        <v>23</v>
      </c>
      <c r="F155" s="3">
        <f>1.8*E155+32</f>
        <v>73.400000000000006</v>
      </c>
      <c r="G155" s="3">
        <v>16.5</v>
      </c>
      <c r="H155" s="3">
        <f>IF(F155&gt;68,G155+(F155-68)*0.2,#REF!-(68-F155)*0.2)</f>
        <v>17.580000000000002</v>
      </c>
      <c r="I155" s="3">
        <v>23.5</v>
      </c>
      <c r="J155" s="3">
        <f>1.8*I155+32</f>
        <v>74.300000000000011</v>
      </c>
      <c r="K155" s="3">
        <v>11</v>
      </c>
      <c r="L155" s="3">
        <f>IF(J155&gt;68,K155+(J155-68)*0.2,K155-(68-J155)*0.2)</f>
        <v>12.260000000000002</v>
      </c>
      <c r="M155" s="3">
        <f>(C155-H155)/C155*100</f>
        <v>64.832966593318659</v>
      </c>
      <c r="N155" s="3">
        <f>100-(M155+O155)</f>
        <v>10.642128425685144</v>
      </c>
      <c r="O155" s="3">
        <f>L155/C155*100</f>
        <v>24.524904980996201</v>
      </c>
      <c r="P155" s="2" t="s">
        <v>0</v>
      </c>
      <c r="Q155" s="1">
        <v>409019.38414400001</v>
      </c>
      <c r="R155" s="1">
        <v>3659308.3456910001</v>
      </c>
      <c r="T155" s="4">
        <v>2006111</v>
      </c>
      <c r="U155" s="4" t="s">
        <v>104</v>
      </c>
      <c r="V155" s="4">
        <v>7.3150000000000007E-2</v>
      </c>
      <c r="W155" s="4">
        <v>0.39607999999999999</v>
      </c>
      <c r="X155" s="4">
        <v>2.4989999999999998E-2</v>
      </c>
      <c r="Y155" s="4">
        <v>1.29555</v>
      </c>
      <c r="Z155" s="4">
        <v>9.7963199999999997</v>
      </c>
      <c r="AA155" s="4">
        <v>7.42401</v>
      </c>
      <c r="AB155" s="4">
        <v>-1.67883</v>
      </c>
    </row>
    <row r="156" spans="1:28" x14ac:dyDescent="0.25">
      <c r="A156" s="6">
        <v>21</v>
      </c>
      <c r="B156" s="4">
        <v>120</v>
      </c>
      <c r="C156" s="4">
        <v>50</v>
      </c>
      <c r="D156" s="4">
        <v>20</v>
      </c>
      <c r="E156" s="3">
        <v>23</v>
      </c>
      <c r="F156" s="3">
        <f>1.8*E156+32</f>
        <v>73.400000000000006</v>
      </c>
      <c r="G156" s="3">
        <v>21.5</v>
      </c>
      <c r="H156" s="3">
        <f>IF(F156&gt;68,G156+(F156-68)*0.2,#REF!-(68-F156)*0.2)</f>
        <v>22.580000000000002</v>
      </c>
      <c r="I156" s="3">
        <v>23.5</v>
      </c>
      <c r="J156" s="3">
        <f>1.8*I156+32</f>
        <v>74.300000000000011</v>
      </c>
      <c r="K156" s="3">
        <v>13</v>
      </c>
      <c r="L156" s="3">
        <f>IF(J156&gt;68,K156+(J156-68)*0.2,K156-(68-J156)*0.2)</f>
        <v>14.260000000000002</v>
      </c>
      <c r="M156" s="3">
        <f>(C156-H156)/C156*100</f>
        <v>54.84</v>
      </c>
      <c r="N156" s="3">
        <f>100-(M156+O156)</f>
        <v>16.64</v>
      </c>
      <c r="O156" s="3">
        <f>L156/C156*100</f>
        <v>28.52</v>
      </c>
      <c r="P156" s="2" t="s">
        <v>0</v>
      </c>
      <c r="Q156" s="1">
        <v>409019.38414400001</v>
      </c>
      <c r="R156" s="1">
        <v>3659308.3456910001</v>
      </c>
      <c r="T156" s="4">
        <v>2006111</v>
      </c>
      <c r="U156" s="4" t="s">
        <v>103</v>
      </c>
      <c r="V156" s="4">
        <v>6.726E-2</v>
      </c>
      <c r="W156" s="4">
        <v>0.37827</v>
      </c>
      <c r="X156" s="4">
        <v>2.7230000000000001E-2</v>
      </c>
      <c r="Y156" s="4">
        <v>1.29714</v>
      </c>
      <c r="Z156" s="4">
        <v>14.334070000000001</v>
      </c>
      <c r="AA156" s="4">
        <v>8.4515700000000002</v>
      </c>
      <c r="AB156" s="4">
        <v>-1.7502500000000001</v>
      </c>
    </row>
    <row r="157" spans="1:28" x14ac:dyDescent="0.25">
      <c r="A157" s="6">
        <v>21</v>
      </c>
      <c r="B157" s="4">
        <v>150</v>
      </c>
      <c r="C157" s="4">
        <v>49.99</v>
      </c>
      <c r="D157" s="4">
        <v>20</v>
      </c>
      <c r="E157" s="3">
        <v>23</v>
      </c>
      <c r="F157" s="3">
        <f>1.8*E157+32</f>
        <v>73.400000000000006</v>
      </c>
      <c r="G157" s="3">
        <v>20</v>
      </c>
      <c r="H157" s="3">
        <f>IF(F157&gt;68,G157+(F157-68)*0.2,#REF!-(68-F157)*0.2)</f>
        <v>21.080000000000002</v>
      </c>
      <c r="I157" s="3">
        <v>23.5</v>
      </c>
      <c r="J157" s="3">
        <f>1.8*I157+32</f>
        <v>74.300000000000011</v>
      </c>
      <c r="K157" s="3">
        <v>12.5</v>
      </c>
      <c r="L157" s="3">
        <f>IF(J157&gt;68,K157+(J157-68)*0.2,K157-(68-J157)*0.2)</f>
        <v>13.760000000000002</v>
      </c>
      <c r="M157" s="3">
        <f>(C157-H157)/C157*100</f>
        <v>57.831566313262648</v>
      </c>
      <c r="N157" s="3">
        <f>100-(M157+O157)</f>
        <v>14.642928585717144</v>
      </c>
      <c r="O157" s="3">
        <f>L157/C157*100</f>
        <v>27.525505101020205</v>
      </c>
      <c r="P157" s="2" t="s">
        <v>0</v>
      </c>
      <c r="Q157" s="1">
        <v>409019.38414400001</v>
      </c>
      <c r="R157" s="1">
        <v>3659308.3456910001</v>
      </c>
      <c r="T157" s="4">
        <v>2006111</v>
      </c>
      <c r="U157" s="4" t="s">
        <v>102</v>
      </c>
      <c r="V157" s="4">
        <v>6.1420000000000002E-2</v>
      </c>
      <c r="W157" s="4">
        <v>0.37434000000000001</v>
      </c>
      <c r="X157" s="4">
        <v>2.8080000000000001E-2</v>
      </c>
      <c r="Y157" s="4">
        <v>1.35195</v>
      </c>
      <c r="Z157" s="4">
        <v>20.243220000000001</v>
      </c>
      <c r="AA157" s="4">
        <v>10.119999999999999</v>
      </c>
      <c r="AB157" s="4">
        <v>-1.4411499999999999</v>
      </c>
    </row>
    <row r="158" spans="1:28" x14ac:dyDescent="0.25">
      <c r="A158" s="6">
        <v>21</v>
      </c>
      <c r="B158" s="4">
        <v>180</v>
      </c>
      <c r="C158" s="4">
        <v>50</v>
      </c>
      <c r="D158" s="4">
        <v>20</v>
      </c>
      <c r="E158" s="3">
        <v>23</v>
      </c>
      <c r="F158" s="3">
        <f>1.8*E158+32</f>
        <v>73.400000000000006</v>
      </c>
      <c r="G158" s="3">
        <v>19.5</v>
      </c>
      <c r="H158" s="3">
        <f>IF(F158&gt;68,G158+(F158-68)*0.2,#REF!-(68-F158)*0.2)</f>
        <v>20.580000000000002</v>
      </c>
      <c r="I158" s="3">
        <v>23.5</v>
      </c>
      <c r="J158" s="3">
        <f>1.8*I158+32</f>
        <v>74.300000000000011</v>
      </c>
      <c r="K158" s="3">
        <v>11.5</v>
      </c>
      <c r="L158" s="3">
        <f>IF(J158&gt;68,K158+(J158-68)*0.2,K158-(68-J158)*0.2)</f>
        <v>12.760000000000002</v>
      </c>
      <c r="M158" s="3">
        <f>(C158-H158)/C158*100</f>
        <v>58.839999999999989</v>
      </c>
      <c r="N158" s="3">
        <f>100-(M158+O158)</f>
        <v>15.640000000000015</v>
      </c>
      <c r="O158" s="3">
        <f>L158/C158*100</f>
        <v>25.520000000000003</v>
      </c>
      <c r="P158" s="2" t="s">
        <v>0</v>
      </c>
      <c r="Q158" s="1">
        <v>409019.38414400001</v>
      </c>
      <c r="R158" s="1">
        <v>3659308.3456910001</v>
      </c>
      <c r="T158" s="4">
        <v>2006111</v>
      </c>
      <c r="U158" s="4" t="s">
        <v>101</v>
      </c>
      <c r="V158" s="4">
        <v>5.7869999999999998E-2</v>
      </c>
      <c r="W158" s="4">
        <v>0.37822</v>
      </c>
      <c r="X158" s="4">
        <v>2.9659999999999999E-2</v>
      </c>
      <c r="Y158" s="4">
        <v>1.3619399999999999</v>
      </c>
      <c r="Z158" s="4">
        <v>24.02047</v>
      </c>
      <c r="AA158" s="4">
        <v>11.749180000000001</v>
      </c>
      <c r="AB158" s="4">
        <v>-1.3941300000000001</v>
      </c>
    </row>
    <row r="159" spans="1:28" x14ac:dyDescent="0.25">
      <c r="T159" s="4">
        <v>2006111</v>
      </c>
      <c r="U159" s="4" t="s">
        <v>100</v>
      </c>
      <c r="V159" s="4">
        <v>5.6300000000000003E-2</v>
      </c>
      <c r="W159" s="4">
        <v>0.37902000000000002</v>
      </c>
      <c r="X159" s="4">
        <v>3.0179999999999998E-2</v>
      </c>
      <c r="Y159" s="4">
        <v>1.37001</v>
      </c>
      <c r="Z159" s="4">
        <v>26.256319999999999</v>
      </c>
      <c r="AA159" s="4">
        <v>12.451829999999999</v>
      </c>
      <c r="AB159" s="4">
        <v>-1.3589800000000001</v>
      </c>
    </row>
    <row r="160" spans="1:28" ht="51.75" x14ac:dyDescent="0.25">
      <c r="A160" s="15" t="s">
        <v>19</v>
      </c>
      <c r="B160" s="10" t="s">
        <v>18</v>
      </c>
      <c r="C160" s="14" t="s">
        <v>17</v>
      </c>
      <c r="D160" s="13" t="s">
        <v>16</v>
      </c>
      <c r="E160" s="12" t="s">
        <v>15</v>
      </c>
      <c r="F160" s="12" t="s">
        <v>14</v>
      </c>
      <c r="G160" s="12" t="s">
        <v>13</v>
      </c>
      <c r="H160" s="12" t="s">
        <v>12</v>
      </c>
      <c r="I160" s="12" t="s">
        <v>11</v>
      </c>
      <c r="J160" s="12" t="s">
        <v>10</v>
      </c>
      <c r="K160" s="12" t="s">
        <v>9</v>
      </c>
      <c r="L160" s="12" t="s">
        <v>8</v>
      </c>
      <c r="M160" s="11" t="s">
        <v>7</v>
      </c>
      <c r="N160" s="11" t="s">
        <v>6</v>
      </c>
      <c r="O160" s="11" t="s">
        <v>5</v>
      </c>
      <c r="P160" s="10" t="s">
        <v>4</v>
      </c>
      <c r="Q160" s="17" t="s">
        <v>3</v>
      </c>
      <c r="R160" s="17"/>
      <c r="T160" s="4">
        <v>2006111</v>
      </c>
      <c r="U160" s="4" t="s">
        <v>99</v>
      </c>
      <c r="V160" s="4">
        <v>6.2030000000000002E-2</v>
      </c>
      <c r="W160" s="4">
        <v>0.38540999999999997</v>
      </c>
      <c r="X160" s="4">
        <v>2.69E-2</v>
      </c>
      <c r="Y160" s="4">
        <v>1.3379799999999999</v>
      </c>
      <c r="Z160" s="4">
        <v>17.07348</v>
      </c>
      <c r="AA160" s="4">
        <v>9.7690000000000001</v>
      </c>
      <c r="AB160" s="4">
        <v>-1.43143</v>
      </c>
    </row>
    <row r="161" spans="1:28" x14ac:dyDescent="0.25">
      <c r="A161" s="4"/>
      <c r="B161" s="4"/>
      <c r="C161" s="4"/>
      <c r="D161" s="4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2"/>
      <c r="Q161" s="7" t="s">
        <v>2</v>
      </c>
      <c r="R161" s="7" t="s">
        <v>1</v>
      </c>
      <c r="T161" s="4">
        <v>2006111</v>
      </c>
      <c r="U161" s="4" t="s">
        <v>98</v>
      </c>
      <c r="V161" s="4">
        <v>7.3649999999999993E-2</v>
      </c>
      <c r="W161" s="4">
        <v>0.39506000000000002</v>
      </c>
      <c r="X161" s="4">
        <v>2.563E-2</v>
      </c>
      <c r="Y161" s="4">
        <v>1.28599</v>
      </c>
      <c r="Z161" s="4">
        <v>10.148059999999999</v>
      </c>
      <c r="AA161" s="4">
        <v>7.4767000000000001</v>
      </c>
      <c r="AB161" s="4">
        <v>-1.78091</v>
      </c>
    </row>
    <row r="162" spans="1:28" x14ac:dyDescent="0.25">
      <c r="A162" s="6">
        <v>22</v>
      </c>
      <c r="B162" s="4">
        <v>30</v>
      </c>
      <c r="C162" s="4">
        <v>50.03</v>
      </c>
      <c r="D162" s="4">
        <v>20</v>
      </c>
      <c r="E162" s="3">
        <v>24</v>
      </c>
      <c r="F162" s="3">
        <f>1.8*E162+32</f>
        <v>75.2</v>
      </c>
      <c r="G162" s="3">
        <v>17</v>
      </c>
      <c r="H162" s="3">
        <f>IF(F162&gt;68,G162+(F162-68)*0.2,#REF!-(68-F162)*0.2)</f>
        <v>18.440000000000001</v>
      </c>
      <c r="I162" s="3">
        <v>23.5</v>
      </c>
      <c r="J162" s="3">
        <f>1.8*I162+32</f>
        <v>74.300000000000011</v>
      </c>
      <c r="K162" s="3">
        <v>11</v>
      </c>
      <c r="L162" s="3">
        <f>IF(J162&gt;68,K162+(J162-68)*0.2,K162-(68-J162)*0.2)</f>
        <v>12.260000000000002</v>
      </c>
      <c r="M162" s="3">
        <f>(C162-H162)/C162*100</f>
        <v>63.1421147311613</v>
      </c>
      <c r="N162" s="3">
        <f>100-(M162+O162)</f>
        <v>12.352588446931847</v>
      </c>
      <c r="O162" s="3">
        <f>L162/C162*100</f>
        <v>24.505296821906857</v>
      </c>
      <c r="P162" s="2" t="s">
        <v>0</v>
      </c>
      <c r="Q162" s="1">
        <v>409031.55456199998</v>
      </c>
      <c r="R162" s="16">
        <v>3659308.1407499998</v>
      </c>
      <c r="T162" s="4">
        <v>2006111</v>
      </c>
      <c r="U162" s="4" t="s">
        <v>97</v>
      </c>
      <c r="V162" s="4">
        <v>6.7119999999999999E-2</v>
      </c>
      <c r="W162" s="4">
        <v>0.38430999999999998</v>
      </c>
      <c r="X162" s="4">
        <v>2.7050000000000001E-2</v>
      </c>
      <c r="Y162" s="4">
        <v>1.30535</v>
      </c>
      <c r="Z162" s="4">
        <v>13.57554</v>
      </c>
      <c r="AA162" s="4">
        <v>8.6958300000000008</v>
      </c>
      <c r="AB162" s="4">
        <v>-1.6661699999999999</v>
      </c>
    </row>
    <row r="163" spans="1:28" x14ac:dyDescent="0.25">
      <c r="A163" s="6">
        <v>22</v>
      </c>
      <c r="B163" s="4">
        <v>60</v>
      </c>
      <c r="C163" s="4">
        <v>50</v>
      </c>
      <c r="D163" s="4">
        <v>20</v>
      </c>
      <c r="E163" s="3">
        <v>24</v>
      </c>
      <c r="F163" s="3">
        <f>1.8*E163+32</f>
        <v>75.2</v>
      </c>
      <c r="G163" s="3">
        <v>17.5</v>
      </c>
      <c r="H163" s="3">
        <f>IF(F163&gt;68,G163+(F163-68)*0.2,#REF!-(68-F163)*0.2)</f>
        <v>18.940000000000001</v>
      </c>
      <c r="I163" s="3">
        <v>23.5</v>
      </c>
      <c r="J163" s="3">
        <f>1.8*I163+32</f>
        <v>74.300000000000011</v>
      </c>
      <c r="K163" s="3">
        <v>11</v>
      </c>
      <c r="L163" s="3">
        <f>IF(J163&gt;68,K163+(J163-68)*0.2,K163-(68-J163)*0.2)</f>
        <v>12.260000000000002</v>
      </c>
      <c r="M163" s="3">
        <f>(C163-H163)/C163*100</f>
        <v>62.12</v>
      </c>
      <c r="N163" s="3">
        <f>100-(M163+O163)</f>
        <v>13.36</v>
      </c>
      <c r="O163" s="3">
        <f>L163/C163*100</f>
        <v>24.520000000000003</v>
      </c>
      <c r="P163" s="2" t="s">
        <v>0</v>
      </c>
      <c r="Q163" s="1">
        <v>409031.55456199998</v>
      </c>
      <c r="R163" s="16">
        <v>3659308.1407499998</v>
      </c>
      <c r="T163" s="4">
        <v>2006111</v>
      </c>
      <c r="U163" s="4" t="s">
        <v>96</v>
      </c>
      <c r="V163" s="4">
        <v>6.046E-2</v>
      </c>
      <c r="W163" s="4">
        <v>0.38007000000000002</v>
      </c>
      <c r="X163" s="4">
        <v>2.8670000000000001E-2</v>
      </c>
      <c r="Y163" s="4">
        <v>1.3404100000000001</v>
      </c>
      <c r="Z163" s="4">
        <v>19.677669999999999</v>
      </c>
      <c r="AA163" s="4">
        <v>10.62875</v>
      </c>
      <c r="AB163" s="4">
        <v>-1.4748600000000001</v>
      </c>
    </row>
    <row r="164" spans="1:28" x14ac:dyDescent="0.25">
      <c r="A164" s="6">
        <v>22</v>
      </c>
      <c r="B164" s="4">
        <v>90</v>
      </c>
      <c r="C164" s="4">
        <v>49.99</v>
      </c>
      <c r="D164" s="4">
        <v>20</v>
      </c>
      <c r="E164" s="3">
        <v>24</v>
      </c>
      <c r="F164" s="3">
        <f>1.8*E164+32</f>
        <v>75.2</v>
      </c>
      <c r="G164" s="3">
        <v>19</v>
      </c>
      <c r="H164" s="3">
        <f>IF(F164&gt;68,G164+(F164-68)*0.2,#REF!-(68-F164)*0.2)</f>
        <v>20.440000000000001</v>
      </c>
      <c r="I164" s="3">
        <v>23.5</v>
      </c>
      <c r="J164" s="3">
        <f>1.8*I164+32</f>
        <v>74.300000000000011</v>
      </c>
      <c r="K164" s="3">
        <v>12</v>
      </c>
      <c r="L164" s="3">
        <f>IF(J164&gt;68,K164+(J164-68)*0.2,K164-(68-J164)*0.2)</f>
        <v>13.260000000000002</v>
      </c>
      <c r="M164" s="3">
        <f>(C164-H164)/C164*100</f>
        <v>59.1118223644729</v>
      </c>
      <c r="N164" s="3">
        <f>100-(M164+O164)</f>
        <v>14.362872574514896</v>
      </c>
      <c r="O164" s="3">
        <f>L164/C164*100</f>
        <v>26.525305061012205</v>
      </c>
      <c r="P164" s="2" t="s">
        <v>0</v>
      </c>
      <c r="Q164" s="1">
        <v>409031.55456199998</v>
      </c>
      <c r="R164" s="16">
        <v>3659308.1407499998</v>
      </c>
      <c r="T164" s="4">
        <v>2006111</v>
      </c>
      <c r="U164" s="4" t="s">
        <v>95</v>
      </c>
      <c r="V164" s="4">
        <v>5.8979999999999998E-2</v>
      </c>
      <c r="W164" s="4">
        <v>0.38066</v>
      </c>
      <c r="X164" s="4">
        <v>2.896E-2</v>
      </c>
      <c r="Y164" s="4">
        <v>1.3483799999999999</v>
      </c>
      <c r="Z164" s="4">
        <v>21.34469</v>
      </c>
      <c r="AA164" s="4">
        <v>11.14475</v>
      </c>
      <c r="AB164" s="4">
        <v>-1.4311199999999999</v>
      </c>
    </row>
    <row r="165" spans="1:28" x14ac:dyDescent="0.25">
      <c r="A165" s="6">
        <v>22</v>
      </c>
      <c r="B165" s="4">
        <v>120</v>
      </c>
      <c r="C165" s="4">
        <v>50.01</v>
      </c>
      <c r="D165" s="4">
        <v>20</v>
      </c>
      <c r="E165" s="3">
        <v>24</v>
      </c>
      <c r="F165" s="3">
        <f>1.8*E165+32</f>
        <v>75.2</v>
      </c>
      <c r="G165" s="3">
        <v>26</v>
      </c>
      <c r="H165" s="3">
        <f>IF(F165&gt;68,G165+(F165-68)*0.2,#REF!-(68-F165)*0.2)</f>
        <v>27.44</v>
      </c>
      <c r="I165" s="3">
        <v>23.5</v>
      </c>
      <c r="J165" s="3">
        <f>1.8*I165+32</f>
        <v>74.300000000000011</v>
      </c>
      <c r="K165" s="3">
        <v>17</v>
      </c>
      <c r="L165" s="3">
        <f>IF(J165&gt;68,K165+(J165-68)*0.2,K165-(68-J165)*0.2)</f>
        <v>18.260000000000002</v>
      </c>
      <c r="M165" s="3">
        <f>(C165-H165)/C165*100</f>
        <v>45.130973805238952</v>
      </c>
      <c r="N165" s="3">
        <f>100-(M165+O165)</f>
        <v>18.35632873425314</v>
      </c>
      <c r="O165" s="3">
        <f>L165/C165*100</f>
        <v>36.512697460507901</v>
      </c>
      <c r="P165" s="2" t="s">
        <v>94</v>
      </c>
      <c r="Q165" s="1">
        <v>409031.55456199998</v>
      </c>
      <c r="R165" s="16">
        <v>3659308.1407499998</v>
      </c>
      <c r="T165" s="4">
        <v>2006111</v>
      </c>
      <c r="U165" s="4" t="s">
        <v>93</v>
      </c>
      <c r="V165" s="4">
        <v>6.4519999999999994E-2</v>
      </c>
      <c r="W165" s="4">
        <v>0.38224000000000002</v>
      </c>
      <c r="X165" s="4">
        <v>2.7560000000000001E-2</v>
      </c>
      <c r="Y165" s="4">
        <v>1.3179399999999999</v>
      </c>
      <c r="Z165" s="4">
        <v>15.455</v>
      </c>
      <c r="AA165" s="4">
        <v>9.3368699999999993</v>
      </c>
      <c r="AB165" s="4">
        <v>-1.5887</v>
      </c>
    </row>
    <row r="166" spans="1:28" x14ac:dyDescent="0.25">
      <c r="A166" s="6">
        <v>22</v>
      </c>
      <c r="B166" s="4">
        <v>150</v>
      </c>
      <c r="C166" s="4">
        <v>50</v>
      </c>
      <c r="D166" s="4">
        <v>20</v>
      </c>
      <c r="E166" s="3">
        <v>24</v>
      </c>
      <c r="F166" s="3">
        <f>1.8*E166+32</f>
        <v>75.2</v>
      </c>
      <c r="G166" s="3">
        <v>18</v>
      </c>
      <c r="H166" s="3">
        <f>IF(F166&gt;68,G166+(F166-68)*0.2,#REF!-(68-F166)*0.2)</f>
        <v>19.440000000000001</v>
      </c>
      <c r="I166" s="3">
        <v>23.5</v>
      </c>
      <c r="J166" s="3">
        <f>1.8*I166+32</f>
        <v>74.300000000000011</v>
      </c>
      <c r="K166" s="3">
        <v>12</v>
      </c>
      <c r="L166" s="3">
        <f>IF(J166&gt;68,K166+(J166-68)*0.2,K166-(68-J166)*0.2)</f>
        <v>13.260000000000002</v>
      </c>
      <c r="M166" s="3">
        <f>(C166-H166)/C166*100</f>
        <v>61.12</v>
      </c>
      <c r="N166" s="3">
        <f>100-(M166+O166)</f>
        <v>12.36</v>
      </c>
      <c r="O166" s="3">
        <f>L166/C166*100</f>
        <v>26.520000000000003</v>
      </c>
      <c r="P166" s="2" t="s">
        <v>0</v>
      </c>
      <c r="Q166" s="1">
        <v>409031.55456199998</v>
      </c>
      <c r="R166" s="16">
        <v>3659308.1407499998</v>
      </c>
      <c r="T166" s="4">
        <v>2006111</v>
      </c>
      <c r="U166" s="4" t="s">
        <v>92</v>
      </c>
      <c r="V166" s="4">
        <v>6.8239999999999995E-2</v>
      </c>
      <c r="W166" s="4">
        <v>0.38407000000000002</v>
      </c>
      <c r="X166" s="4">
        <v>2.707E-2</v>
      </c>
      <c r="Y166" s="4">
        <v>1.2970900000000001</v>
      </c>
      <c r="Z166" s="4">
        <v>13.145910000000001</v>
      </c>
      <c r="AA166" s="4">
        <v>8.4559899999999999</v>
      </c>
      <c r="AB166" s="4">
        <v>-1.7343500000000001</v>
      </c>
    </row>
    <row r="167" spans="1:28" x14ac:dyDescent="0.25">
      <c r="A167" s="6">
        <v>22</v>
      </c>
      <c r="B167" s="4">
        <v>180</v>
      </c>
      <c r="C167" s="4">
        <v>50.01</v>
      </c>
      <c r="D167" s="4">
        <v>20</v>
      </c>
      <c r="E167" s="3">
        <v>24</v>
      </c>
      <c r="F167" s="3">
        <f>1.8*E167+32</f>
        <v>75.2</v>
      </c>
      <c r="G167" s="3">
        <v>12.5</v>
      </c>
      <c r="H167" s="3">
        <f>IF(F167&gt;68,G167+(F167-68)*0.2,#REF!-(68-F167)*0.2)</f>
        <v>13.940000000000001</v>
      </c>
      <c r="I167" s="3">
        <v>23.5</v>
      </c>
      <c r="J167" s="3">
        <f>1.8*I167+32</f>
        <v>74.300000000000011</v>
      </c>
      <c r="K167" s="3">
        <v>10</v>
      </c>
      <c r="L167" s="3">
        <f>IF(J167&gt;68,K167+(J167-68)*0.2,K167-(68-J167)*0.2)</f>
        <v>11.260000000000002</v>
      </c>
      <c r="M167" s="3">
        <f>(C167-H167)/C167*100</f>
        <v>72.125574885022985</v>
      </c>
      <c r="N167" s="3">
        <f>100-(M167+O167)</f>
        <v>5.3589282143571353</v>
      </c>
      <c r="O167" s="3">
        <f>L167/C167*100</f>
        <v>22.51549690061988</v>
      </c>
      <c r="P167" s="2" t="s">
        <v>0</v>
      </c>
      <c r="Q167" s="1">
        <v>409031.55456199998</v>
      </c>
      <c r="R167" s="16">
        <v>3659308.1407499998</v>
      </c>
      <c r="T167" s="4">
        <v>2006111</v>
      </c>
      <c r="U167" s="4" t="s">
        <v>91</v>
      </c>
      <c r="V167" s="4">
        <v>7.9570000000000002E-2</v>
      </c>
      <c r="W167" s="4">
        <v>0.41293000000000002</v>
      </c>
      <c r="X167" s="4">
        <v>2.2530000000000001E-2</v>
      </c>
      <c r="Y167" s="4">
        <v>1.2922800000000001</v>
      </c>
      <c r="Z167" s="4">
        <v>6.8772200000000003</v>
      </c>
      <c r="AA167" s="4">
        <v>6.2398899999999999</v>
      </c>
      <c r="AB167" s="4">
        <v>-1.6116900000000001</v>
      </c>
    </row>
    <row r="168" spans="1:28" x14ac:dyDescent="0.25">
      <c r="Q168" s="22"/>
      <c r="R168" s="22"/>
      <c r="T168" s="4">
        <v>2006111</v>
      </c>
      <c r="U168" s="4" t="s">
        <v>90</v>
      </c>
      <c r="V168" s="4">
        <v>6.5839999999999996E-2</v>
      </c>
      <c r="W168" s="4">
        <v>0.38321</v>
      </c>
      <c r="X168" s="4">
        <v>2.7279999999999999E-2</v>
      </c>
      <c r="Y168" s="4">
        <v>1.31145</v>
      </c>
      <c r="Z168" s="4">
        <v>14.43444</v>
      </c>
      <c r="AA168" s="4">
        <v>8.9966699999999999</v>
      </c>
      <c r="AB168" s="4">
        <v>-1.62717</v>
      </c>
    </row>
    <row r="169" spans="1:28" ht="51.75" x14ac:dyDescent="0.25">
      <c r="A169" s="15" t="s">
        <v>19</v>
      </c>
      <c r="B169" s="10" t="s">
        <v>18</v>
      </c>
      <c r="C169" s="14" t="s">
        <v>17</v>
      </c>
      <c r="D169" s="13" t="s">
        <v>16</v>
      </c>
      <c r="E169" s="12" t="s">
        <v>15</v>
      </c>
      <c r="F169" s="12" t="s">
        <v>14</v>
      </c>
      <c r="G169" s="12" t="s">
        <v>13</v>
      </c>
      <c r="H169" s="12" t="s">
        <v>12</v>
      </c>
      <c r="I169" s="12" t="s">
        <v>11</v>
      </c>
      <c r="J169" s="12" t="s">
        <v>10</v>
      </c>
      <c r="K169" s="12" t="s">
        <v>9</v>
      </c>
      <c r="L169" s="12" t="s">
        <v>8</v>
      </c>
      <c r="M169" s="11" t="s">
        <v>7</v>
      </c>
      <c r="N169" s="11" t="s">
        <v>6</v>
      </c>
      <c r="O169" s="11" t="s">
        <v>5</v>
      </c>
      <c r="P169" s="10" t="s">
        <v>4</v>
      </c>
      <c r="Q169" s="24" t="s">
        <v>3</v>
      </c>
      <c r="R169" s="23"/>
      <c r="T169" s="4">
        <v>2006111</v>
      </c>
      <c r="U169" s="4" t="s">
        <v>89</v>
      </c>
      <c r="V169" s="4">
        <v>6.182E-2</v>
      </c>
      <c r="W169" s="4">
        <v>0.38185000000000002</v>
      </c>
      <c r="X169" s="4">
        <v>2.8049999999999999E-2</v>
      </c>
      <c r="Y169" s="4">
        <v>1.3329599999999999</v>
      </c>
      <c r="Z169" s="4">
        <v>17.88522</v>
      </c>
      <c r="AA169" s="4">
        <v>10.113950000000001</v>
      </c>
      <c r="AB169" s="4">
        <v>-1.4993300000000001</v>
      </c>
    </row>
    <row r="170" spans="1:28" x14ac:dyDescent="0.25">
      <c r="A170" s="4"/>
      <c r="B170" s="4"/>
      <c r="C170" s="5"/>
      <c r="D170" s="4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2"/>
      <c r="Q170" s="7" t="s">
        <v>2</v>
      </c>
      <c r="R170" s="7" t="s">
        <v>1</v>
      </c>
      <c r="T170" s="4">
        <v>2006111</v>
      </c>
      <c r="U170" s="4" t="s">
        <v>88</v>
      </c>
      <c r="V170" s="4">
        <v>6.4589999999999995E-2</v>
      </c>
      <c r="W170" s="4">
        <v>0.38352999999999998</v>
      </c>
      <c r="X170" s="4">
        <v>2.7320000000000001E-2</v>
      </c>
      <c r="Y170" s="4">
        <v>1.3197000000000001</v>
      </c>
      <c r="Z170" s="4">
        <v>15.2616</v>
      </c>
      <c r="AA170" s="4">
        <v>9.2933900000000005</v>
      </c>
      <c r="AB170" s="4">
        <v>-1.5673900000000001</v>
      </c>
    </row>
    <row r="171" spans="1:28" x14ac:dyDescent="0.25">
      <c r="A171" s="6">
        <v>23</v>
      </c>
      <c r="B171" s="4">
        <v>30</v>
      </c>
      <c r="C171" s="5">
        <v>50.01</v>
      </c>
      <c r="D171" s="4">
        <v>20</v>
      </c>
      <c r="E171" s="3">
        <v>23</v>
      </c>
      <c r="F171" s="3">
        <f>1.8*E171+32</f>
        <v>73.400000000000006</v>
      </c>
      <c r="G171" s="3">
        <v>16</v>
      </c>
      <c r="H171" s="3">
        <f>IF(F171&gt;68,G171+(F171-68)*0.2,G381-(68-F171)*0.2)</f>
        <v>17.080000000000002</v>
      </c>
      <c r="I171" s="3">
        <v>21.5</v>
      </c>
      <c r="J171" s="3">
        <f>1.8*I171+32</f>
        <v>70.7</v>
      </c>
      <c r="K171" s="3">
        <v>10</v>
      </c>
      <c r="L171" s="3">
        <f>IF(J171&gt;68,K171+(J171-68)*0.2,K171-(68-J171)*0.2)</f>
        <v>10.540000000000001</v>
      </c>
      <c r="M171" s="3">
        <f>(C171-H171)/C171*100</f>
        <v>65.846830633873211</v>
      </c>
      <c r="N171" s="3">
        <f>100-(M171+O171)</f>
        <v>13.07738452309539</v>
      </c>
      <c r="O171" s="3">
        <f>L171/C171*100</f>
        <v>21.075784843031396</v>
      </c>
      <c r="P171" s="2" t="s">
        <v>0</v>
      </c>
      <c r="Q171" s="1">
        <v>409043.750543</v>
      </c>
      <c r="R171" s="1">
        <v>3659307.9353769999</v>
      </c>
      <c r="T171" s="4">
        <v>2006111</v>
      </c>
      <c r="U171" s="4" t="s">
        <v>87</v>
      </c>
      <c r="V171" s="4">
        <v>5.6329999999999998E-2</v>
      </c>
      <c r="W171" s="4">
        <v>0.37903999999999999</v>
      </c>
      <c r="X171" s="4">
        <v>3.0169999999999999E-2</v>
      </c>
      <c r="Y171" s="4">
        <v>1.36971</v>
      </c>
      <c r="Z171" s="4">
        <v>26.192820000000001</v>
      </c>
      <c r="AA171" s="4">
        <v>12.43665</v>
      </c>
      <c r="AB171" s="4">
        <v>-1.35989</v>
      </c>
    </row>
    <row r="172" spans="1:28" x14ac:dyDescent="0.25">
      <c r="A172" s="6">
        <v>23</v>
      </c>
      <c r="B172" s="4">
        <v>60</v>
      </c>
      <c r="C172" s="5">
        <v>50.01</v>
      </c>
      <c r="D172" s="4">
        <v>20</v>
      </c>
      <c r="E172" s="3">
        <v>23.2</v>
      </c>
      <c r="F172" s="3">
        <f>1.8*E172+32</f>
        <v>73.759999999999991</v>
      </c>
      <c r="G172" s="3">
        <v>17.5</v>
      </c>
      <c r="H172" s="3">
        <f>IF(F172&gt;68,G172+(F172-68)*0.2,G382-(68-F172)*0.2)</f>
        <v>18.651999999999997</v>
      </c>
      <c r="I172" s="3">
        <v>21.5</v>
      </c>
      <c r="J172" s="3">
        <f>1.8*I172+32</f>
        <v>70.7</v>
      </c>
      <c r="K172" s="3">
        <v>10</v>
      </c>
      <c r="L172" s="3">
        <f>IF(J172&gt;68,K172+(J172-68)*0.2,K172-(68-J172)*0.2)</f>
        <v>10.540000000000001</v>
      </c>
      <c r="M172" s="3">
        <f>(C172-H172)/C172*100</f>
        <v>62.703459308138378</v>
      </c>
      <c r="N172" s="3">
        <f>100-(M172+O172)</f>
        <v>16.220755848830223</v>
      </c>
      <c r="O172" s="3">
        <f>L172/C172*100</f>
        <v>21.075784843031396</v>
      </c>
      <c r="P172" s="2" t="s">
        <v>0</v>
      </c>
      <c r="Q172" s="1">
        <v>409043.750543</v>
      </c>
      <c r="R172" s="1">
        <v>3659307.9353769999</v>
      </c>
      <c r="T172" s="4">
        <v>2006111</v>
      </c>
      <c r="U172" s="4" t="s">
        <v>86</v>
      </c>
      <c r="V172" s="4">
        <v>5.6309999999999999E-2</v>
      </c>
      <c r="W172" s="4">
        <v>0.37902000000000002</v>
      </c>
      <c r="X172" s="4">
        <v>3.0179999999999998E-2</v>
      </c>
      <c r="Y172" s="4">
        <v>1.3699600000000001</v>
      </c>
      <c r="Z172" s="4">
        <v>26.245729999999998</v>
      </c>
      <c r="AA172" s="4">
        <v>12.449299999999999</v>
      </c>
      <c r="AB172" s="4">
        <v>-1.3591299999999999</v>
      </c>
    </row>
    <row r="173" spans="1:28" x14ac:dyDescent="0.25">
      <c r="A173" s="6">
        <v>23</v>
      </c>
      <c r="B173" s="4">
        <v>90</v>
      </c>
      <c r="C173" s="5">
        <v>50</v>
      </c>
      <c r="D173" s="4">
        <v>20</v>
      </c>
      <c r="E173" s="3">
        <v>23</v>
      </c>
      <c r="F173" s="3">
        <f>1.8*E173+32</f>
        <v>73.400000000000006</v>
      </c>
      <c r="G173" s="3">
        <v>13.5</v>
      </c>
      <c r="H173" s="3">
        <f>IF(F173&gt;68,G173+(F173-68)*0.2,G383-(68-F173)*0.2)</f>
        <v>14.580000000000002</v>
      </c>
      <c r="I173" s="3">
        <v>22</v>
      </c>
      <c r="J173" s="3">
        <f>1.8*I173+32</f>
        <v>71.599999999999994</v>
      </c>
      <c r="K173" s="3">
        <v>7.5</v>
      </c>
      <c r="L173" s="3">
        <f>IF(J173&gt;68,K173+(J173-68)*0.2,K173-(68-J173)*0.2)</f>
        <v>8.2199999999999989</v>
      </c>
      <c r="M173" s="3">
        <f>(C173-H173)/C173*100</f>
        <v>70.84</v>
      </c>
      <c r="N173" s="3">
        <f>100-(M173+O173)</f>
        <v>12.719999999999999</v>
      </c>
      <c r="O173" s="3">
        <f>L173/C173*100</f>
        <v>16.439999999999998</v>
      </c>
      <c r="P173" s="2" t="s">
        <v>20</v>
      </c>
      <c r="Q173" s="1">
        <v>409043.750543</v>
      </c>
      <c r="R173" s="1">
        <v>3659307.9353769999</v>
      </c>
      <c r="T173" s="4">
        <v>2006111</v>
      </c>
      <c r="U173" s="4" t="s">
        <v>85</v>
      </c>
      <c r="V173" s="4">
        <v>5.7869999999999998E-2</v>
      </c>
      <c r="W173" s="4">
        <v>0.37822</v>
      </c>
      <c r="X173" s="4">
        <v>2.9659999999999999E-2</v>
      </c>
      <c r="Y173" s="4">
        <v>1.3619399999999999</v>
      </c>
      <c r="Z173" s="4">
        <v>24.02047</v>
      </c>
      <c r="AA173" s="4">
        <v>11.749180000000001</v>
      </c>
      <c r="AB173" s="4">
        <v>-1.3941300000000001</v>
      </c>
    </row>
    <row r="174" spans="1:28" x14ac:dyDescent="0.25">
      <c r="A174" s="6">
        <v>23</v>
      </c>
      <c r="B174" s="4">
        <v>120</v>
      </c>
      <c r="C174" s="5">
        <v>50</v>
      </c>
      <c r="D174" s="4">
        <v>20</v>
      </c>
      <c r="E174" s="3">
        <v>24.2</v>
      </c>
      <c r="F174" s="3">
        <f>1.8*E174+32</f>
        <v>75.56</v>
      </c>
      <c r="G174" s="3">
        <v>12</v>
      </c>
      <c r="H174" s="3">
        <f>IF(F174&gt;68,G174+(F174-68)*0.2,G384-(68-F174)*0.2)</f>
        <v>13.512</v>
      </c>
      <c r="I174" s="3">
        <v>22</v>
      </c>
      <c r="J174" s="3">
        <f>1.8*I174+32</f>
        <v>71.599999999999994</v>
      </c>
      <c r="K174" s="3">
        <v>6.5</v>
      </c>
      <c r="L174" s="3">
        <f>IF(J174&gt;68,K174+(J174-68)*0.2,K174-(68-J174)*0.2)</f>
        <v>7.2199999999999989</v>
      </c>
      <c r="M174" s="3">
        <f>(C174-H174)/C174*100</f>
        <v>72.975999999999999</v>
      </c>
      <c r="N174" s="3">
        <f>100-(M174+O174)</f>
        <v>12.584000000000003</v>
      </c>
      <c r="O174" s="3">
        <f>L174/C174*100</f>
        <v>14.439999999999998</v>
      </c>
      <c r="P174" s="2" t="s">
        <v>20</v>
      </c>
      <c r="Q174" s="1">
        <v>409043.750543</v>
      </c>
      <c r="R174" s="1">
        <v>3659307.9353769999</v>
      </c>
      <c r="T174" s="4">
        <v>2006111</v>
      </c>
      <c r="U174" s="4" t="s">
        <v>84</v>
      </c>
      <c r="V174" s="4">
        <v>6.055E-2</v>
      </c>
      <c r="W174" s="4">
        <v>0.37894</v>
      </c>
      <c r="X174" s="4">
        <v>2.8760000000000001E-2</v>
      </c>
      <c r="Y174" s="4">
        <v>1.3411900000000001</v>
      </c>
      <c r="Z174" s="4">
        <v>19.828589999999998</v>
      </c>
      <c r="AA174" s="4">
        <v>10.61767</v>
      </c>
      <c r="AB174" s="4">
        <v>-1.4789300000000001</v>
      </c>
    </row>
    <row r="175" spans="1:28" x14ac:dyDescent="0.25">
      <c r="A175" s="6">
        <v>23</v>
      </c>
      <c r="B175" s="4">
        <v>150</v>
      </c>
      <c r="C175" s="5">
        <v>50.01</v>
      </c>
      <c r="D175" s="4">
        <v>20</v>
      </c>
      <c r="E175" s="3">
        <v>24</v>
      </c>
      <c r="F175" s="3">
        <f>1.8*E175+32</f>
        <v>75.2</v>
      </c>
      <c r="G175" s="3">
        <v>14</v>
      </c>
      <c r="H175" s="3">
        <f>IF(F175&gt;68,G175+(F175-68)*0.2,G385-(68-F175)*0.2)</f>
        <v>15.440000000000001</v>
      </c>
      <c r="I175" s="3">
        <v>22</v>
      </c>
      <c r="J175" s="3">
        <f>1.8*I175+32</f>
        <v>71.599999999999994</v>
      </c>
      <c r="K175" s="3">
        <v>9</v>
      </c>
      <c r="L175" s="3">
        <f>IF(J175&gt;68,K175+(J175-68)*0.2,K175-(68-J175)*0.2)</f>
        <v>9.7199999999999989</v>
      </c>
      <c r="M175" s="3">
        <f>(C175-H175)/C175*100</f>
        <v>69.126174765046983</v>
      </c>
      <c r="N175" s="3">
        <f>100-(M175+O175)</f>
        <v>11.437712457508511</v>
      </c>
      <c r="O175" s="3">
        <f>L175/C175*100</f>
        <v>19.43611277744451</v>
      </c>
      <c r="P175" s="2" t="s">
        <v>20</v>
      </c>
      <c r="Q175" s="1">
        <v>409043.750543</v>
      </c>
      <c r="R175" s="1">
        <v>3659307.9353769999</v>
      </c>
      <c r="T175" s="4">
        <v>2006111</v>
      </c>
      <c r="U175" s="4" t="s">
        <v>83</v>
      </c>
      <c r="V175" s="4">
        <v>6.318E-2</v>
      </c>
      <c r="W175" s="4">
        <v>0.38013999999999998</v>
      </c>
      <c r="X175" s="4">
        <v>2.8029999999999999E-2</v>
      </c>
      <c r="Y175" s="4">
        <v>1.32422</v>
      </c>
      <c r="Z175" s="4">
        <v>16.806439999999998</v>
      </c>
      <c r="AA175" s="4">
        <v>9.7236999999999991</v>
      </c>
      <c r="AB175" s="4">
        <v>-1.56267</v>
      </c>
    </row>
    <row r="176" spans="1:28" x14ac:dyDescent="0.25">
      <c r="A176" s="6">
        <v>23</v>
      </c>
      <c r="B176" s="4">
        <v>180</v>
      </c>
      <c r="C176" s="5">
        <v>50.01</v>
      </c>
      <c r="D176" s="4">
        <v>20</v>
      </c>
      <c r="E176" s="3">
        <v>24.2</v>
      </c>
      <c r="F176" s="3">
        <f>1.8*E176+32</f>
        <v>75.56</v>
      </c>
      <c r="G176" s="3">
        <v>14.5</v>
      </c>
      <c r="H176" s="3">
        <f>IF(F176&gt;68,G176+(F176-68)*0.2,G386-(68-F176)*0.2)</f>
        <v>16.012</v>
      </c>
      <c r="I176" s="3">
        <v>22</v>
      </c>
      <c r="J176" s="3">
        <f>1.8*I176+32</f>
        <v>71.599999999999994</v>
      </c>
      <c r="K176" s="3">
        <v>11</v>
      </c>
      <c r="L176" s="3">
        <f>IF(J176&gt;68,K176+(J176-68)*0.2,K176-(68-J176)*0.2)</f>
        <v>11.719999999999999</v>
      </c>
      <c r="M176" s="3">
        <f>(C176-H176)/C176*100</f>
        <v>67.982403519296142</v>
      </c>
      <c r="N176" s="3">
        <f>100-(M176+O176)</f>
        <v>8.5822835432913394</v>
      </c>
      <c r="O176" s="3">
        <f>L176/C176*100</f>
        <v>23.435312937412515</v>
      </c>
      <c r="P176" s="2" t="s">
        <v>0</v>
      </c>
      <c r="Q176" s="1">
        <v>409043.750543</v>
      </c>
      <c r="R176" s="1">
        <v>3659307.9353769999</v>
      </c>
      <c r="T176" s="4">
        <v>2006111</v>
      </c>
      <c r="U176" s="4" t="s">
        <v>82</v>
      </c>
      <c r="V176" s="4">
        <v>6.5720000000000001E-2</v>
      </c>
      <c r="W176" s="4">
        <v>0.37917000000000001</v>
      </c>
      <c r="X176" s="4">
        <v>2.7570000000000001E-2</v>
      </c>
      <c r="Y176" s="4">
        <v>1.30782</v>
      </c>
      <c r="Z176" s="4">
        <v>14.99587</v>
      </c>
      <c r="AA176" s="4">
        <v>8.9413</v>
      </c>
      <c r="AB176" s="4">
        <v>-1.6717200000000001</v>
      </c>
    </row>
    <row r="177" spans="1:28" x14ac:dyDescent="0.25">
      <c r="Q177" s="22"/>
      <c r="R177" s="22"/>
      <c r="T177" s="4">
        <v>2006111</v>
      </c>
      <c r="U177" s="4" t="s">
        <v>81</v>
      </c>
      <c r="V177" s="4">
        <v>5.7700000000000001E-2</v>
      </c>
      <c r="W177" s="4">
        <v>0.37925999999999999</v>
      </c>
      <c r="X177" s="4">
        <v>2.962E-2</v>
      </c>
      <c r="Y177" s="4">
        <v>1.3589800000000001</v>
      </c>
      <c r="Z177" s="4">
        <v>23.719470000000001</v>
      </c>
      <c r="AA177" s="4">
        <v>11.7675</v>
      </c>
      <c r="AB177" s="4">
        <v>-1.39845</v>
      </c>
    </row>
    <row r="178" spans="1:28" ht="51.75" x14ac:dyDescent="0.25">
      <c r="A178" s="15" t="s">
        <v>19</v>
      </c>
      <c r="B178" s="10" t="s">
        <v>18</v>
      </c>
      <c r="C178" s="14" t="s">
        <v>17</v>
      </c>
      <c r="D178" s="13" t="s">
        <v>16</v>
      </c>
      <c r="E178" s="12" t="s">
        <v>15</v>
      </c>
      <c r="F178" s="12" t="s">
        <v>14</v>
      </c>
      <c r="G178" s="12" t="s">
        <v>13</v>
      </c>
      <c r="H178" s="12" t="s">
        <v>12</v>
      </c>
      <c r="I178" s="12" t="s">
        <v>11</v>
      </c>
      <c r="J178" s="12" t="s">
        <v>10</v>
      </c>
      <c r="K178" s="12" t="s">
        <v>9</v>
      </c>
      <c r="L178" s="12" t="s">
        <v>8</v>
      </c>
      <c r="M178" s="11" t="s">
        <v>7</v>
      </c>
      <c r="N178" s="11" t="s">
        <v>6</v>
      </c>
      <c r="O178" s="11" t="s">
        <v>5</v>
      </c>
      <c r="P178" s="10" t="s">
        <v>4</v>
      </c>
      <c r="Q178" s="17" t="s">
        <v>3</v>
      </c>
      <c r="R178" s="17"/>
      <c r="T178" s="4">
        <v>2006111</v>
      </c>
      <c r="U178" s="4" t="s">
        <v>80</v>
      </c>
      <c r="V178" s="4">
        <v>5.756E-2</v>
      </c>
      <c r="W178" s="4">
        <v>0.38027</v>
      </c>
      <c r="X178" s="4">
        <v>2.9479999999999999E-2</v>
      </c>
      <c r="Y178" s="4">
        <v>1.35704</v>
      </c>
      <c r="Z178" s="4">
        <v>23.41452</v>
      </c>
      <c r="AA178" s="4">
        <v>11.74381</v>
      </c>
      <c r="AB178" s="4">
        <v>-1.39693</v>
      </c>
    </row>
    <row r="179" spans="1:28" x14ac:dyDescent="0.25">
      <c r="A179" s="4"/>
      <c r="B179" s="4"/>
      <c r="C179" s="4"/>
      <c r="D179" s="4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2"/>
      <c r="Q179" s="7" t="s">
        <v>2</v>
      </c>
      <c r="R179" s="7" t="s">
        <v>1</v>
      </c>
      <c r="T179" s="4">
        <v>2006111</v>
      </c>
      <c r="U179" s="4" t="s">
        <v>79</v>
      </c>
      <c r="V179" s="4">
        <v>6.318E-2</v>
      </c>
      <c r="W179" s="4">
        <v>0.38013999999999998</v>
      </c>
      <c r="X179" s="4">
        <v>2.8029999999999999E-2</v>
      </c>
      <c r="Y179" s="4">
        <v>1.32422</v>
      </c>
      <c r="Z179" s="4">
        <v>16.806439999999998</v>
      </c>
      <c r="AA179" s="4">
        <v>9.7236999999999991</v>
      </c>
      <c r="AB179" s="4">
        <v>-1.56267</v>
      </c>
    </row>
    <row r="180" spans="1:28" x14ac:dyDescent="0.25">
      <c r="A180" s="6">
        <v>24</v>
      </c>
      <c r="B180" s="4">
        <v>30</v>
      </c>
      <c r="C180" s="4">
        <v>50</v>
      </c>
      <c r="D180" s="4">
        <v>20</v>
      </c>
      <c r="E180" s="3">
        <v>24</v>
      </c>
      <c r="F180" s="3">
        <f>1.8*E180+32</f>
        <v>75.2</v>
      </c>
      <c r="G180" s="3">
        <v>17</v>
      </c>
      <c r="H180" s="3">
        <f>IF(F180&gt;68,G180+(F180-68)*0.2,#REF!-(68-F180)*0.2)</f>
        <v>18.440000000000001</v>
      </c>
      <c r="I180" s="3">
        <v>24</v>
      </c>
      <c r="J180" s="3">
        <f>1.8*I180+32</f>
        <v>75.2</v>
      </c>
      <c r="K180" s="3">
        <v>10</v>
      </c>
      <c r="L180" s="3">
        <f>IF(J180&gt;68,K180+(J180-68)*0.2,K180-(68-J180)*0.2)</f>
        <v>11.440000000000001</v>
      </c>
      <c r="M180" s="3">
        <f>(C180-H180)/C180*100</f>
        <v>63.12</v>
      </c>
      <c r="N180" s="3">
        <f>100-(M180+O180)</f>
        <v>14</v>
      </c>
      <c r="O180" s="3">
        <f>L180/C180*100</f>
        <v>22.880000000000003</v>
      </c>
      <c r="P180" s="2" t="s">
        <v>20</v>
      </c>
      <c r="Q180" s="1">
        <v>409055.90691800002</v>
      </c>
      <c r="R180" s="1">
        <v>3659307.730672</v>
      </c>
      <c r="T180" s="4">
        <v>2006111</v>
      </c>
      <c r="U180" s="4" t="s">
        <v>78</v>
      </c>
      <c r="V180" s="4">
        <v>6.6059999999999994E-2</v>
      </c>
      <c r="W180" s="4">
        <v>0.38590999999999998</v>
      </c>
      <c r="X180" s="4">
        <v>2.6679999999999999E-2</v>
      </c>
      <c r="Y180" s="4">
        <v>1.31629</v>
      </c>
      <c r="Z180" s="4">
        <v>13.96509</v>
      </c>
      <c r="AA180" s="4">
        <v>8.8696599999999997</v>
      </c>
      <c r="AB180" s="4">
        <v>-1.5724499999999999</v>
      </c>
    </row>
    <row r="181" spans="1:28" x14ac:dyDescent="0.25">
      <c r="A181" s="6">
        <v>24</v>
      </c>
      <c r="B181" s="4">
        <v>60</v>
      </c>
      <c r="C181" s="4">
        <v>50.01</v>
      </c>
      <c r="D181" s="4">
        <v>20</v>
      </c>
      <c r="E181" s="3">
        <v>24</v>
      </c>
      <c r="F181" s="3">
        <f>1.8*E181+32</f>
        <v>75.2</v>
      </c>
      <c r="G181" s="3">
        <v>18</v>
      </c>
      <c r="H181" s="3">
        <f>IF(F181&gt;68,G181+(F181-68)*0.2,#REF!-(68-F181)*0.2)</f>
        <v>19.440000000000001</v>
      </c>
      <c r="I181" s="3">
        <v>24</v>
      </c>
      <c r="J181" s="3">
        <f>1.8*I181+32</f>
        <v>75.2</v>
      </c>
      <c r="K181" s="3">
        <v>10.5</v>
      </c>
      <c r="L181" s="3">
        <f>IF(J181&gt;68,K181+(J181-68)*0.2,K181-(68-J181)*0.2)</f>
        <v>11.940000000000001</v>
      </c>
      <c r="M181" s="3">
        <f>(C181-H181)/C181*100</f>
        <v>61.127774445110973</v>
      </c>
      <c r="N181" s="3">
        <f>100-(M181+O181)</f>
        <v>14.997000599880025</v>
      </c>
      <c r="O181" s="3">
        <f>L181/C181*100</f>
        <v>23.875224955009003</v>
      </c>
      <c r="P181" s="2" t="s">
        <v>0</v>
      </c>
      <c r="Q181" s="1">
        <v>409055.90691800002</v>
      </c>
      <c r="R181" s="1">
        <v>3659307.730672</v>
      </c>
      <c r="T181" s="4">
        <v>2006111</v>
      </c>
      <c r="U181" s="4" t="s">
        <v>77</v>
      </c>
      <c r="V181" s="4">
        <v>5.8810000000000001E-2</v>
      </c>
      <c r="W181" s="4">
        <v>0.37991999999999998</v>
      </c>
      <c r="X181" s="4">
        <v>2.9159999999999998E-2</v>
      </c>
      <c r="Y181" s="4">
        <v>1.35033</v>
      </c>
      <c r="Z181" s="4">
        <v>21.815200000000001</v>
      </c>
      <c r="AA181" s="4">
        <v>11.257809999999999</v>
      </c>
      <c r="AB181" s="4">
        <v>-1.42933</v>
      </c>
    </row>
    <row r="182" spans="1:28" x14ac:dyDescent="0.25">
      <c r="A182" s="6">
        <v>24</v>
      </c>
      <c r="B182" s="4">
        <v>90</v>
      </c>
      <c r="C182" s="4">
        <v>49.99</v>
      </c>
      <c r="D182" s="4">
        <v>20</v>
      </c>
      <c r="E182" s="3">
        <v>24</v>
      </c>
      <c r="F182" s="3">
        <f>1.8*E182+32</f>
        <v>75.2</v>
      </c>
      <c r="G182" s="3">
        <v>27.5</v>
      </c>
      <c r="H182" s="3">
        <f>IF(F182&gt;68,G182+(F182-68)*0.2,#REF!-(68-F182)*0.2)</f>
        <v>28.94</v>
      </c>
      <c r="I182" s="3">
        <v>24</v>
      </c>
      <c r="J182" s="3">
        <f>1.8*I182+32</f>
        <v>75.2</v>
      </c>
      <c r="K182" s="3">
        <v>17.5</v>
      </c>
      <c r="L182" s="3">
        <f>IF(J182&gt;68,K182+(J182-68)*0.2,K182-(68-J182)*0.2)</f>
        <v>18.940000000000001</v>
      </c>
      <c r="M182" s="3">
        <f>(C182-H182)/C182*100</f>
        <v>42.108421684336868</v>
      </c>
      <c r="N182" s="3">
        <f>100-(M182+O182)</f>
        <v>20.004000800160028</v>
      </c>
      <c r="O182" s="3">
        <f>L182/C182*100</f>
        <v>37.887577515503104</v>
      </c>
      <c r="P182" s="2" t="s">
        <v>23</v>
      </c>
      <c r="Q182" s="1">
        <v>409055.90691800002</v>
      </c>
      <c r="R182" s="1">
        <v>3659307.730672</v>
      </c>
      <c r="T182" s="4">
        <v>2006111</v>
      </c>
      <c r="U182" s="4" t="s">
        <v>76</v>
      </c>
      <c r="V182" s="4">
        <v>6.2960000000000002E-2</v>
      </c>
      <c r="W182" s="4">
        <v>0.38046000000000002</v>
      </c>
      <c r="X182" s="4">
        <v>2.8039999999999999E-2</v>
      </c>
      <c r="Y182" s="4">
        <v>1.32565</v>
      </c>
      <c r="Z182" s="4">
        <v>16.97091</v>
      </c>
      <c r="AA182" s="4">
        <v>9.7936300000000003</v>
      </c>
      <c r="AB182" s="4">
        <v>-1.55227</v>
      </c>
    </row>
    <row r="183" spans="1:28" x14ac:dyDescent="0.25">
      <c r="A183" s="6">
        <v>24</v>
      </c>
      <c r="B183" s="4">
        <v>120</v>
      </c>
      <c r="C183" s="4">
        <v>50.03</v>
      </c>
      <c r="D183" s="4">
        <v>20</v>
      </c>
      <c r="E183" s="3">
        <v>24</v>
      </c>
      <c r="F183" s="3">
        <f>1.8*E183+32</f>
        <v>75.2</v>
      </c>
      <c r="G183" s="3">
        <v>24</v>
      </c>
      <c r="H183" s="3">
        <f>IF(F183&gt;68,G183+(F183-68)*0.2,#REF!-(68-F183)*0.2)</f>
        <v>25.44</v>
      </c>
      <c r="I183" s="3">
        <v>24</v>
      </c>
      <c r="J183" s="3">
        <f>1.8*I183+32</f>
        <v>75.2</v>
      </c>
      <c r="K183" s="3">
        <v>14.5</v>
      </c>
      <c r="L183" s="3">
        <f>IF(J183&gt;68,K183+(J183-68)*0.2,K183-(68-J183)*0.2)</f>
        <v>15.940000000000001</v>
      </c>
      <c r="M183" s="3">
        <f>(C183-H183)/C183*100</f>
        <v>49.150509694183484</v>
      </c>
      <c r="N183" s="3">
        <f>100-(M183+O183)</f>
        <v>18.988606835898466</v>
      </c>
      <c r="O183" s="3">
        <f>L183/C183*100</f>
        <v>31.860883469918051</v>
      </c>
      <c r="P183" s="2" t="s">
        <v>0</v>
      </c>
      <c r="Q183" s="1">
        <v>409055.90691800002</v>
      </c>
      <c r="R183" s="1">
        <v>3659307.730672</v>
      </c>
      <c r="T183" s="4">
        <v>2006111</v>
      </c>
      <c r="U183" s="4" t="s">
        <v>75</v>
      </c>
      <c r="V183" s="4">
        <v>6.9209999999999994E-2</v>
      </c>
      <c r="W183" s="4">
        <v>0.38455</v>
      </c>
      <c r="X183" s="4">
        <v>2.7029999999999998E-2</v>
      </c>
      <c r="Y183" s="4">
        <v>1.2910699999999999</v>
      </c>
      <c r="Z183" s="4">
        <v>12.797230000000001</v>
      </c>
      <c r="AA183" s="4">
        <v>8.2607700000000008</v>
      </c>
      <c r="AB183" s="4">
        <v>-1.7845599999999999</v>
      </c>
    </row>
    <row r="184" spans="1:28" x14ac:dyDescent="0.25">
      <c r="A184" s="6">
        <v>24</v>
      </c>
      <c r="B184" s="4">
        <v>150</v>
      </c>
      <c r="C184" s="4">
        <v>50.01</v>
      </c>
      <c r="D184" s="4">
        <v>20</v>
      </c>
      <c r="E184" s="3">
        <v>24</v>
      </c>
      <c r="F184" s="3">
        <f>1.8*E184+32</f>
        <v>75.2</v>
      </c>
      <c r="G184" s="3">
        <v>19.5</v>
      </c>
      <c r="H184" s="3">
        <f>IF(F184&gt;68,G184+(F184-68)*0.2,#REF!-(68-F184)*0.2)</f>
        <v>20.94</v>
      </c>
      <c r="I184" s="3">
        <v>24</v>
      </c>
      <c r="J184" s="3">
        <f>1.8*I184+32</f>
        <v>75.2</v>
      </c>
      <c r="K184" s="3">
        <v>12</v>
      </c>
      <c r="L184" s="3">
        <f>IF(J184&gt;68,K184+(J184-68)*0.2,K184-(68-J184)*0.2)</f>
        <v>13.440000000000001</v>
      </c>
      <c r="M184" s="3">
        <f>(C184-H184)/C184*100</f>
        <v>58.12837432513497</v>
      </c>
      <c r="N184" s="3">
        <f>100-(M184+O184)</f>
        <v>14.997000599880025</v>
      </c>
      <c r="O184" s="3">
        <f>L184/C184*100</f>
        <v>26.874625074985008</v>
      </c>
      <c r="P184" s="2" t="s">
        <v>0</v>
      </c>
      <c r="Q184" s="1">
        <v>409055.90691800002</v>
      </c>
      <c r="R184" s="1">
        <v>3659307.730672</v>
      </c>
      <c r="T184" s="4">
        <v>2006111</v>
      </c>
      <c r="U184" s="4" t="s">
        <v>74</v>
      </c>
      <c r="V184" s="4">
        <v>7.3499999999999996E-2</v>
      </c>
      <c r="W184" s="4">
        <v>0.39661999999999997</v>
      </c>
      <c r="X184" s="4">
        <v>2.496E-2</v>
      </c>
      <c r="Y184" s="4">
        <v>1.2942499999999999</v>
      </c>
      <c r="Z184" s="4">
        <v>9.6734799999999996</v>
      </c>
      <c r="AA184" s="4">
        <v>7.3757000000000001</v>
      </c>
      <c r="AB184" s="4">
        <v>-1.6882699999999999</v>
      </c>
    </row>
    <row r="185" spans="1:28" x14ac:dyDescent="0.25">
      <c r="A185" s="6">
        <v>24</v>
      </c>
      <c r="B185" s="4">
        <v>180</v>
      </c>
      <c r="C185" s="4">
        <v>50.02</v>
      </c>
      <c r="D185" s="4">
        <v>20</v>
      </c>
      <c r="E185" s="3">
        <v>24</v>
      </c>
      <c r="F185" s="3">
        <f>1.8*E185+32</f>
        <v>75.2</v>
      </c>
      <c r="G185" s="3">
        <v>16</v>
      </c>
      <c r="H185" s="3">
        <f>IF(F185&gt;68,G185+(F185-68)*0.2,#REF!-(68-F185)*0.2)</f>
        <v>17.440000000000001</v>
      </c>
      <c r="I185" s="3">
        <v>24</v>
      </c>
      <c r="J185" s="3">
        <f>1.8*I185+32</f>
        <v>75.2</v>
      </c>
      <c r="K185" s="3">
        <v>8</v>
      </c>
      <c r="L185" s="3">
        <f>IF(J185&gt;68,K185+(J185-68)*0.2,K185-(68-J185)*0.2)</f>
        <v>9.4400000000000013</v>
      </c>
      <c r="M185" s="3">
        <f>(C185-H185)/C185*100</f>
        <v>65.133946421431418</v>
      </c>
      <c r="N185" s="3">
        <f>100-(M185+O185)</f>
        <v>15.99360255897642</v>
      </c>
      <c r="O185" s="3">
        <f>L185/C185*100</f>
        <v>18.872451019592166</v>
      </c>
      <c r="P185" s="2" t="s">
        <v>20</v>
      </c>
      <c r="Q185" s="1">
        <v>409055.90691800002</v>
      </c>
      <c r="R185" s="1">
        <v>3659307.730672</v>
      </c>
      <c r="T185" s="4">
        <v>2006111</v>
      </c>
      <c r="U185" s="4" t="s">
        <v>73</v>
      </c>
      <c r="V185" s="4">
        <v>6.3299999999999995E-2</v>
      </c>
      <c r="W185" s="4">
        <v>0.37425999999999998</v>
      </c>
      <c r="X185" s="4">
        <v>2.751E-2</v>
      </c>
      <c r="Y185" s="4">
        <v>1.3341400000000001</v>
      </c>
      <c r="Z185" s="4">
        <v>17.81427</v>
      </c>
      <c r="AA185" s="4">
        <v>9.3846399999999992</v>
      </c>
      <c r="AB185" s="4">
        <v>-1.52054</v>
      </c>
    </row>
    <row r="186" spans="1:28" x14ac:dyDescent="0.25">
      <c r="T186" s="4">
        <v>2006111</v>
      </c>
      <c r="U186" s="4" t="s">
        <v>72</v>
      </c>
      <c r="V186" s="4">
        <v>6.361E-2</v>
      </c>
      <c r="W186" s="4">
        <v>0.37302999999999997</v>
      </c>
      <c r="X186" s="4">
        <v>2.7089999999999999E-2</v>
      </c>
      <c r="Y186" s="4">
        <v>1.33765</v>
      </c>
      <c r="Z186" s="4">
        <v>17.906479999999998</v>
      </c>
      <c r="AA186" s="4">
        <v>9.1582500000000007</v>
      </c>
      <c r="AB186" s="4">
        <v>-1.4994799999999999</v>
      </c>
    </row>
    <row r="187" spans="1:28" ht="51.75" x14ac:dyDescent="0.25">
      <c r="A187" s="15" t="s">
        <v>19</v>
      </c>
      <c r="B187" s="10" t="s">
        <v>18</v>
      </c>
      <c r="C187" s="14" t="s">
        <v>17</v>
      </c>
      <c r="D187" s="13" t="s">
        <v>16</v>
      </c>
      <c r="E187" s="12" t="s">
        <v>15</v>
      </c>
      <c r="F187" s="12" t="s">
        <v>14</v>
      </c>
      <c r="G187" s="12" t="s">
        <v>13</v>
      </c>
      <c r="H187" s="12" t="s">
        <v>12</v>
      </c>
      <c r="I187" s="12" t="s">
        <v>11</v>
      </c>
      <c r="J187" s="12" t="s">
        <v>10</v>
      </c>
      <c r="K187" s="12" t="s">
        <v>9</v>
      </c>
      <c r="L187" s="12" t="s">
        <v>8</v>
      </c>
      <c r="M187" s="11" t="s">
        <v>7</v>
      </c>
      <c r="N187" s="11" t="s">
        <v>6</v>
      </c>
      <c r="O187" s="11" t="s">
        <v>5</v>
      </c>
      <c r="P187" s="10" t="s">
        <v>4</v>
      </c>
      <c r="Q187" s="17" t="s">
        <v>3</v>
      </c>
      <c r="R187" s="17"/>
      <c r="T187" s="4">
        <v>2006111</v>
      </c>
      <c r="U187" s="4" t="s">
        <v>71</v>
      </c>
      <c r="V187" s="4">
        <v>6.4030000000000004E-2</v>
      </c>
      <c r="W187" s="4">
        <v>0.37912000000000001</v>
      </c>
      <c r="X187" s="4">
        <v>2.7900000000000001E-2</v>
      </c>
      <c r="Y187" s="4">
        <v>1.3188500000000001</v>
      </c>
      <c r="Z187" s="4">
        <v>16.19707</v>
      </c>
      <c r="AA187" s="4">
        <v>9.4395100000000003</v>
      </c>
      <c r="AB187" s="4">
        <v>-1.5999300000000001</v>
      </c>
    </row>
    <row r="188" spans="1:28" x14ac:dyDescent="0.25">
      <c r="A188" s="4"/>
      <c r="B188" s="4"/>
      <c r="C188" s="5"/>
      <c r="D188" s="4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2"/>
      <c r="Q188" s="7" t="s">
        <v>2</v>
      </c>
      <c r="R188" s="7" t="s">
        <v>1</v>
      </c>
      <c r="T188" s="4">
        <v>2006111</v>
      </c>
      <c r="U188" s="4" t="s">
        <v>70</v>
      </c>
      <c r="V188" s="4">
        <v>6.5310000000000007E-2</v>
      </c>
      <c r="W188" s="4">
        <v>0.37869000000000003</v>
      </c>
      <c r="X188" s="4">
        <v>2.7629999999999998E-2</v>
      </c>
      <c r="Y188" s="4">
        <v>1.3105</v>
      </c>
      <c r="Z188" s="4">
        <v>15.31171</v>
      </c>
      <c r="AA188" s="4">
        <v>9.0353600000000007</v>
      </c>
      <c r="AB188" s="4">
        <v>-1.65466</v>
      </c>
    </row>
    <row r="189" spans="1:28" x14ac:dyDescent="0.25">
      <c r="A189" s="6">
        <v>25</v>
      </c>
      <c r="B189" s="4">
        <v>30</v>
      </c>
      <c r="C189" s="5">
        <v>50</v>
      </c>
      <c r="D189" s="4">
        <v>20</v>
      </c>
      <c r="E189" s="3">
        <v>25</v>
      </c>
      <c r="F189" s="3">
        <f>1.8*E189+32</f>
        <v>77</v>
      </c>
      <c r="G189" s="3">
        <v>15</v>
      </c>
      <c r="H189" s="3">
        <f>IF(F189&gt;68,G189+(F189-68)*0.2,#REF!-(68-F189)*0.2)</f>
        <v>16.8</v>
      </c>
      <c r="I189" s="3">
        <v>24</v>
      </c>
      <c r="J189" s="3">
        <f>1.8*I189+32</f>
        <v>75.2</v>
      </c>
      <c r="K189" s="3">
        <v>10</v>
      </c>
      <c r="L189" s="3">
        <f>IF(J189&gt;68,K189+(J189-68)*0.2,K189-(68-J189)*0.2)</f>
        <v>11.440000000000001</v>
      </c>
      <c r="M189" s="3">
        <f>(C189-H189)/C189*100</f>
        <v>66.400000000000006</v>
      </c>
      <c r="N189" s="3">
        <f>100-(M189+O189)</f>
        <v>10.719999999999999</v>
      </c>
      <c r="O189" s="3">
        <f>L189/C189*100</f>
        <v>22.880000000000003</v>
      </c>
      <c r="P189" s="2" t="s">
        <v>0</v>
      </c>
      <c r="Q189" s="21">
        <v>409068.09711199999</v>
      </c>
      <c r="R189" s="21">
        <v>3659307.5253969999</v>
      </c>
      <c r="T189" s="4">
        <v>2006111</v>
      </c>
      <c r="U189" s="4" t="s">
        <v>69</v>
      </c>
      <c r="V189" s="4">
        <v>7.1370000000000003E-2</v>
      </c>
      <c r="W189" s="4">
        <v>0.38754</v>
      </c>
      <c r="X189" s="4">
        <v>2.682E-2</v>
      </c>
      <c r="Y189" s="4">
        <v>1.28159</v>
      </c>
      <c r="Z189" s="4">
        <v>11.979939999999999</v>
      </c>
      <c r="AA189" s="4">
        <v>7.9032</v>
      </c>
      <c r="AB189" s="4">
        <v>-1.8634200000000001</v>
      </c>
    </row>
    <row r="190" spans="1:28" x14ac:dyDescent="0.25">
      <c r="A190" s="6">
        <v>25</v>
      </c>
      <c r="B190" s="4">
        <v>60</v>
      </c>
      <c r="C190" s="5">
        <v>50.01</v>
      </c>
      <c r="D190" s="4">
        <v>20</v>
      </c>
      <c r="E190" s="3">
        <v>24</v>
      </c>
      <c r="F190" s="3">
        <f>1.8*E190+32</f>
        <v>75.2</v>
      </c>
      <c r="G190" s="3">
        <v>16</v>
      </c>
      <c r="H190" s="3">
        <f>IF(F190&gt;68,G190+(F190-68)*0.2,#REF!-(68-F190)*0.2)</f>
        <v>17.440000000000001</v>
      </c>
      <c r="I190" s="3">
        <v>24</v>
      </c>
      <c r="J190" s="3">
        <f>1.8*I190+32</f>
        <v>75.2</v>
      </c>
      <c r="K190" s="3">
        <v>9</v>
      </c>
      <c r="L190" s="3">
        <f>IF(J190&gt;68,K190+(J190-68)*0.2,K190-(68-J190)*0.2)</f>
        <v>10.440000000000001</v>
      </c>
      <c r="M190" s="3">
        <f>(C190-H190)/C190*100</f>
        <v>65.126974605078971</v>
      </c>
      <c r="N190" s="3">
        <f>100-(M190+O190)</f>
        <v>13.997200559888029</v>
      </c>
      <c r="O190" s="3">
        <f>L190/C190*100</f>
        <v>20.875824835032997</v>
      </c>
      <c r="P190" s="2" t="s">
        <v>0</v>
      </c>
      <c r="Q190" s="21">
        <v>409068.09711199999</v>
      </c>
      <c r="R190" s="21">
        <v>3659307.5253969999</v>
      </c>
      <c r="T190" s="4">
        <v>2006111</v>
      </c>
      <c r="U190" s="4" t="s">
        <v>68</v>
      </c>
      <c r="V190" s="4">
        <v>8.158E-2</v>
      </c>
      <c r="W190" s="4">
        <v>0.41548000000000002</v>
      </c>
      <c r="X190" s="4">
        <v>2.4E-2</v>
      </c>
      <c r="Y190" s="4">
        <v>1.2692600000000001</v>
      </c>
      <c r="Z190" s="4">
        <v>7.8357000000000001</v>
      </c>
      <c r="AA190" s="4">
        <v>6.4224699999999997</v>
      </c>
      <c r="AB190" s="4">
        <v>-1.86896</v>
      </c>
    </row>
    <row r="191" spans="1:28" x14ac:dyDescent="0.25">
      <c r="A191" s="6">
        <v>25</v>
      </c>
      <c r="B191" s="4">
        <v>90</v>
      </c>
      <c r="C191" s="5">
        <v>50</v>
      </c>
      <c r="D191" s="4">
        <v>20</v>
      </c>
      <c r="E191" s="3">
        <v>25</v>
      </c>
      <c r="F191" s="3">
        <f>1.8*E191+32</f>
        <v>77</v>
      </c>
      <c r="G191" s="3">
        <v>15.5</v>
      </c>
      <c r="H191" s="3">
        <f>IF(F191&gt;68,G191+(F191-68)*0.2,#REF!-(68-F191)*0.2)</f>
        <v>17.3</v>
      </c>
      <c r="I191" s="3">
        <v>24</v>
      </c>
      <c r="J191" s="3">
        <f>1.8*I191+32</f>
        <v>75.2</v>
      </c>
      <c r="K191" s="3">
        <v>9</v>
      </c>
      <c r="L191" s="3">
        <f>IF(J191&gt;68,K191+(J191-68)*0.2,K191-(68-J191)*0.2)</f>
        <v>10.440000000000001</v>
      </c>
      <c r="M191" s="3">
        <f>(C191-H191)/C191*100</f>
        <v>65.400000000000006</v>
      </c>
      <c r="N191" s="3">
        <f>100-(M191+O191)</f>
        <v>13.719999999999999</v>
      </c>
      <c r="O191" s="3">
        <f>L191/C191*100</f>
        <v>20.880000000000003</v>
      </c>
      <c r="P191" s="2" t="s">
        <v>0</v>
      </c>
      <c r="Q191" s="21">
        <v>409068.09711199999</v>
      </c>
      <c r="R191" s="21">
        <v>3659307.5253969999</v>
      </c>
      <c r="T191" s="4">
        <v>2006111</v>
      </c>
      <c r="U191" s="4" t="s">
        <v>67</v>
      </c>
      <c r="V191" s="4">
        <v>5.8939999999999999E-2</v>
      </c>
      <c r="W191" s="4">
        <v>0.37376999999999999</v>
      </c>
      <c r="X191" s="4">
        <v>2.8740000000000002E-2</v>
      </c>
      <c r="Y191" s="4">
        <v>1.39049</v>
      </c>
      <c r="Z191" s="4">
        <v>25.962070000000001</v>
      </c>
      <c r="AA191" s="4">
        <v>11.26337</v>
      </c>
      <c r="AB191" s="4">
        <v>-1.30786</v>
      </c>
    </row>
    <row r="192" spans="1:28" x14ac:dyDescent="0.25">
      <c r="A192" s="6">
        <v>25</v>
      </c>
      <c r="B192" s="4">
        <v>120</v>
      </c>
      <c r="C192" s="5">
        <v>50</v>
      </c>
      <c r="D192" s="4">
        <v>20</v>
      </c>
      <c r="E192" s="3">
        <v>27</v>
      </c>
      <c r="F192" s="3">
        <f>1.8*E192+32</f>
        <v>80.599999999999994</v>
      </c>
      <c r="G192" s="3">
        <v>16.5</v>
      </c>
      <c r="H192" s="3">
        <f>IF(F192&gt;68,G192+(F192-68)*0.2,#REF!-(68-F192)*0.2)</f>
        <v>19.02</v>
      </c>
      <c r="I192" s="3">
        <v>25</v>
      </c>
      <c r="J192" s="3">
        <f>1.8*I192+32</f>
        <v>77</v>
      </c>
      <c r="K192" s="3">
        <v>9</v>
      </c>
      <c r="L192" s="3">
        <f>IF(J192&gt;68,K192+(J192-68)*0.2,K192-(68-J192)*0.2)</f>
        <v>10.8</v>
      </c>
      <c r="M192" s="3">
        <f>(C192-H192)/C192*100</f>
        <v>61.96</v>
      </c>
      <c r="N192" s="3">
        <f>100-(M192+O192)</f>
        <v>16.439999999999998</v>
      </c>
      <c r="O192" s="3">
        <f>L192/C192*100</f>
        <v>21.6</v>
      </c>
      <c r="P192" s="2" t="s">
        <v>0</v>
      </c>
      <c r="Q192" s="21">
        <v>409068.09711199999</v>
      </c>
      <c r="R192" s="21">
        <v>3659307.5253969999</v>
      </c>
      <c r="T192" s="4">
        <v>2006111</v>
      </c>
      <c r="U192" s="4" t="s">
        <v>66</v>
      </c>
      <c r="V192" s="4">
        <v>7.8820000000000001E-2</v>
      </c>
      <c r="W192" s="4">
        <v>0.40977999999999998</v>
      </c>
      <c r="X192" s="4">
        <v>2.332E-2</v>
      </c>
      <c r="Y192" s="4">
        <v>1.2875700000000001</v>
      </c>
      <c r="Z192" s="4">
        <v>7.4517899999999999</v>
      </c>
      <c r="AA192" s="4">
        <v>6.4875100000000003</v>
      </c>
      <c r="AB192" s="4">
        <v>-1.6809000000000001</v>
      </c>
    </row>
    <row r="193" spans="1:28" x14ac:dyDescent="0.25">
      <c r="A193" s="6">
        <v>25</v>
      </c>
      <c r="B193" s="4">
        <v>150</v>
      </c>
      <c r="C193" s="5">
        <v>50</v>
      </c>
      <c r="D193" s="4">
        <v>20</v>
      </c>
      <c r="E193" s="3">
        <v>27</v>
      </c>
      <c r="F193" s="3">
        <f>1.8*E193+32</f>
        <v>80.599999999999994</v>
      </c>
      <c r="G193" s="3">
        <v>15.5</v>
      </c>
      <c r="H193" s="3">
        <f>IF(F193&gt;68,G193+(F193-68)*0.2,#REF!-(68-F193)*0.2)</f>
        <v>18.02</v>
      </c>
      <c r="I193" s="3">
        <v>24.5</v>
      </c>
      <c r="J193" s="3">
        <f>1.8*I193+32</f>
        <v>76.099999999999994</v>
      </c>
      <c r="K193" s="3">
        <v>8</v>
      </c>
      <c r="L193" s="3">
        <f>IF(J193&gt;68,K193+(J193-68)*0.2,K193-(68-J193)*0.2)</f>
        <v>9.6199999999999992</v>
      </c>
      <c r="M193" s="3">
        <f>(C193-H193)/C193*100</f>
        <v>63.960000000000008</v>
      </c>
      <c r="N193" s="3">
        <f>100-(M193+O193)</f>
        <v>16.799999999999997</v>
      </c>
      <c r="O193" s="3">
        <f>L193/C193*100</f>
        <v>19.239999999999998</v>
      </c>
      <c r="P193" s="2" t="s">
        <v>20</v>
      </c>
      <c r="Q193" s="21">
        <v>409068.09711199999</v>
      </c>
      <c r="R193" s="21">
        <v>3659307.5253969999</v>
      </c>
      <c r="T193" s="4">
        <v>2006111</v>
      </c>
      <c r="U193" s="4" t="s">
        <v>65</v>
      </c>
      <c r="V193" s="4">
        <v>6.3170000000000004E-2</v>
      </c>
      <c r="W193" s="4">
        <v>0.38013000000000002</v>
      </c>
      <c r="X193" s="4">
        <v>2.8029999999999999E-2</v>
      </c>
      <c r="Y193" s="4">
        <v>1.32429</v>
      </c>
      <c r="Z193" s="4">
        <v>16.818770000000001</v>
      </c>
      <c r="AA193" s="4">
        <v>9.7272700000000007</v>
      </c>
      <c r="AB193" s="4">
        <v>-1.56233</v>
      </c>
    </row>
    <row r="194" spans="1:28" x14ac:dyDescent="0.25">
      <c r="A194" s="6">
        <v>25</v>
      </c>
      <c r="B194" s="4">
        <v>180</v>
      </c>
      <c r="C194" s="5">
        <v>50.02</v>
      </c>
      <c r="D194" s="4">
        <v>20</v>
      </c>
      <c r="E194" s="3">
        <v>27</v>
      </c>
      <c r="F194" s="3">
        <f>1.8*E194+32</f>
        <v>80.599999999999994</v>
      </c>
      <c r="G194" s="3">
        <v>14</v>
      </c>
      <c r="H194" s="3">
        <f>IF(F194&gt;68,G194+(F194-68)*0.2,#REF!-(68-F194)*0.2)</f>
        <v>16.52</v>
      </c>
      <c r="I194" s="3">
        <v>24.5</v>
      </c>
      <c r="J194" s="3">
        <f>1.8*I194+32</f>
        <v>76.099999999999994</v>
      </c>
      <c r="K194" s="3">
        <v>8.5</v>
      </c>
      <c r="L194" s="3">
        <f>IF(J194&gt;68,K194+(J194-68)*0.2,K194-(68-J194)*0.2)</f>
        <v>10.119999999999999</v>
      </c>
      <c r="M194" s="3">
        <f>(C194-H194)/C194*100</f>
        <v>66.973210715713719</v>
      </c>
      <c r="N194" s="3">
        <f>100-(M194+O194)</f>
        <v>12.794882047181119</v>
      </c>
      <c r="O194" s="3">
        <f>L194/C194*100</f>
        <v>20.231907237105155</v>
      </c>
      <c r="P194" s="2" t="s">
        <v>0</v>
      </c>
      <c r="Q194" s="21">
        <v>409068.09711199999</v>
      </c>
      <c r="R194" s="21">
        <v>3659307.5253969999</v>
      </c>
      <c r="T194" s="4">
        <v>2006111</v>
      </c>
      <c r="U194" s="4" t="s">
        <v>64</v>
      </c>
      <c r="V194" s="4">
        <v>6.4630000000000007E-2</v>
      </c>
      <c r="W194" s="4">
        <v>0.37708000000000003</v>
      </c>
      <c r="X194" s="4">
        <v>2.7650000000000001E-2</v>
      </c>
      <c r="Y194" s="4">
        <v>1.3161400000000001</v>
      </c>
      <c r="Z194" s="4">
        <v>16.00703</v>
      </c>
      <c r="AA194" s="4">
        <v>9.14893</v>
      </c>
      <c r="AB194" s="4">
        <v>-1.6211100000000001</v>
      </c>
    </row>
    <row r="195" spans="1:28" x14ac:dyDescent="0.25">
      <c r="T195" s="4">
        <v>2006111</v>
      </c>
      <c r="U195" s="4" t="s">
        <v>63</v>
      </c>
      <c r="V195" s="4">
        <v>7.145E-2</v>
      </c>
      <c r="W195" s="4">
        <v>0.39304</v>
      </c>
      <c r="X195" s="4">
        <v>2.538E-2</v>
      </c>
      <c r="Y195" s="4">
        <v>1.2996799999999999</v>
      </c>
      <c r="Z195" s="4">
        <v>10.61543</v>
      </c>
      <c r="AA195" s="4">
        <v>7.7234499999999997</v>
      </c>
      <c r="AB195" s="4">
        <v>-1.65876</v>
      </c>
    </row>
    <row r="196" spans="1:28" ht="51.75" x14ac:dyDescent="0.25">
      <c r="A196" s="15" t="s">
        <v>19</v>
      </c>
      <c r="B196" s="10" t="s">
        <v>18</v>
      </c>
      <c r="C196" s="14" t="s">
        <v>17</v>
      </c>
      <c r="D196" s="13" t="s">
        <v>16</v>
      </c>
      <c r="E196" s="12" t="s">
        <v>15</v>
      </c>
      <c r="F196" s="12" t="s">
        <v>14</v>
      </c>
      <c r="G196" s="12" t="s">
        <v>13</v>
      </c>
      <c r="H196" s="12" t="s">
        <v>12</v>
      </c>
      <c r="I196" s="12" t="s">
        <v>11</v>
      </c>
      <c r="J196" s="12" t="s">
        <v>10</v>
      </c>
      <c r="K196" s="12" t="s">
        <v>9</v>
      </c>
      <c r="L196" s="12" t="s">
        <v>8</v>
      </c>
      <c r="M196" s="11" t="s">
        <v>7</v>
      </c>
      <c r="N196" s="11" t="s">
        <v>6</v>
      </c>
      <c r="O196" s="11" t="s">
        <v>5</v>
      </c>
      <c r="P196" s="10" t="s">
        <v>4</v>
      </c>
      <c r="Q196" s="17" t="s">
        <v>3</v>
      </c>
      <c r="R196" s="17"/>
      <c r="T196" s="4">
        <v>2006111</v>
      </c>
      <c r="U196" s="4" t="s">
        <v>62</v>
      </c>
      <c r="V196" s="4">
        <v>8.0100000000000005E-2</v>
      </c>
      <c r="W196" s="4">
        <v>0.40828999999999999</v>
      </c>
      <c r="X196" s="4">
        <v>2.5669999999999998E-2</v>
      </c>
      <c r="Y196" s="4">
        <v>1.25884</v>
      </c>
      <c r="Z196" s="4">
        <v>9.5675899999999992</v>
      </c>
      <c r="AA196" s="4">
        <v>6.8532400000000004</v>
      </c>
      <c r="AB196" s="4">
        <v>-2.0522900000000002</v>
      </c>
    </row>
    <row r="197" spans="1:28" x14ac:dyDescent="0.25">
      <c r="A197" s="4"/>
      <c r="B197" s="4"/>
      <c r="C197" s="5"/>
      <c r="D197" s="4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2"/>
      <c r="Q197" s="7" t="s">
        <v>2</v>
      </c>
      <c r="R197" s="7" t="s">
        <v>1</v>
      </c>
      <c r="T197" s="4">
        <v>2006111</v>
      </c>
      <c r="U197" s="4" t="s">
        <v>61</v>
      </c>
      <c r="V197" s="4">
        <v>6.9620000000000001E-2</v>
      </c>
      <c r="W197" s="4">
        <v>0.38690000000000002</v>
      </c>
      <c r="X197" s="4">
        <v>2.6689999999999998E-2</v>
      </c>
      <c r="Y197" s="4">
        <v>1.2939499999999999</v>
      </c>
      <c r="Z197" s="4">
        <v>12.25112</v>
      </c>
      <c r="AA197" s="4">
        <v>8.19041</v>
      </c>
      <c r="AB197" s="4">
        <v>-1.7473799999999999</v>
      </c>
    </row>
    <row r="198" spans="1:28" x14ac:dyDescent="0.25">
      <c r="A198" s="6">
        <v>26</v>
      </c>
      <c r="B198" s="4">
        <v>30</v>
      </c>
      <c r="C198" s="5">
        <v>50</v>
      </c>
      <c r="D198" s="4">
        <v>20</v>
      </c>
      <c r="E198" s="3">
        <v>22.8</v>
      </c>
      <c r="F198" s="3">
        <f>1.8*E198+32</f>
        <v>73.039999999999992</v>
      </c>
      <c r="G198" s="3">
        <v>15.5</v>
      </c>
      <c r="H198" s="3">
        <f>IF(F198&gt;68,G198+(F198-68)*0.2,#REF!-(68-F198)*0.2)</f>
        <v>16.507999999999999</v>
      </c>
      <c r="I198" s="3">
        <v>22.5</v>
      </c>
      <c r="J198" s="3">
        <f>1.8*I198+32</f>
        <v>72.5</v>
      </c>
      <c r="K198" s="3">
        <v>9.5</v>
      </c>
      <c r="L198" s="3">
        <f>IF(J198&gt;68,K198+(J198-68)*0.2,K198-(68-J198)*0.2)</f>
        <v>10.4</v>
      </c>
      <c r="M198" s="3">
        <f>(C198-H198)/C198*100</f>
        <v>66.984000000000009</v>
      </c>
      <c r="N198" s="3">
        <f>100-(M198+O198)</f>
        <v>12.215999999999994</v>
      </c>
      <c r="O198" s="3">
        <f>L198/C198*100</f>
        <v>20.8</v>
      </c>
      <c r="P198" s="2" t="s">
        <v>0</v>
      </c>
      <c r="Q198" s="1">
        <v>409080.315412</v>
      </c>
      <c r="R198" s="1">
        <v>3659307.3196490002</v>
      </c>
      <c r="T198" s="4">
        <v>2006111</v>
      </c>
      <c r="U198" s="4" t="s">
        <v>60</v>
      </c>
      <c r="V198" s="4">
        <v>6.6949999999999996E-2</v>
      </c>
      <c r="W198" s="4">
        <v>0.38152000000000003</v>
      </c>
      <c r="X198" s="4">
        <v>2.7369999999999998E-2</v>
      </c>
      <c r="Y198" s="4">
        <v>1.3015099999999999</v>
      </c>
      <c r="Z198" s="4">
        <v>14.042450000000001</v>
      </c>
      <c r="AA198" s="4">
        <v>8.7041599999999999</v>
      </c>
      <c r="AB198" s="4">
        <v>-1.7100299999999999</v>
      </c>
    </row>
    <row r="199" spans="1:28" x14ac:dyDescent="0.25">
      <c r="A199" s="6">
        <v>26</v>
      </c>
      <c r="B199" s="4">
        <v>60</v>
      </c>
      <c r="C199" s="5">
        <v>49.99</v>
      </c>
      <c r="D199" s="4">
        <v>20</v>
      </c>
      <c r="E199" s="3">
        <v>22.5</v>
      </c>
      <c r="F199" s="3">
        <f>1.8*E199+32</f>
        <v>72.5</v>
      </c>
      <c r="G199" s="3">
        <v>14</v>
      </c>
      <c r="H199" s="3">
        <f>IF(F199&gt;68,G199+(F199-68)*0.2,#REF!-(68-F199)*0.2)</f>
        <v>14.9</v>
      </c>
      <c r="I199" s="3">
        <v>22.5</v>
      </c>
      <c r="J199" s="3">
        <f>1.8*I199+32</f>
        <v>72.5</v>
      </c>
      <c r="K199" s="3">
        <v>9</v>
      </c>
      <c r="L199" s="3">
        <f>IF(J199&gt;68,K199+(J199-68)*0.2,K199-(68-J199)*0.2)</f>
        <v>9.9</v>
      </c>
      <c r="M199" s="3">
        <f>(C199-H199)/C199*100</f>
        <v>70.194038807761558</v>
      </c>
      <c r="N199" s="3">
        <f>100-(M199+O199)</f>
        <v>10.002000400080007</v>
      </c>
      <c r="O199" s="3">
        <f>L199/C199*100</f>
        <v>19.803960792158431</v>
      </c>
      <c r="P199" s="2" t="s">
        <v>0</v>
      </c>
      <c r="Q199" s="1">
        <v>409080.315412</v>
      </c>
      <c r="R199" s="1">
        <v>3659307.3196490002</v>
      </c>
      <c r="T199" s="4">
        <v>2006111</v>
      </c>
      <c r="U199" s="4" t="s">
        <v>59</v>
      </c>
      <c r="V199" s="4">
        <v>6.3310000000000005E-2</v>
      </c>
      <c r="W199" s="4">
        <v>0.37764999999999999</v>
      </c>
      <c r="X199" s="4">
        <v>2.802E-2</v>
      </c>
      <c r="Y199" s="4">
        <v>1.32467</v>
      </c>
      <c r="Z199" s="4">
        <v>17.036740000000002</v>
      </c>
      <c r="AA199" s="4">
        <v>9.6124600000000004</v>
      </c>
      <c r="AB199" s="4">
        <v>-1.5703400000000001</v>
      </c>
    </row>
    <row r="200" spans="1:28" x14ac:dyDescent="0.25">
      <c r="A200" s="6">
        <v>26</v>
      </c>
      <c r="B200" s="4">
        <v>90</v>
      </c>
      <c r="C200" s="5">
        <v>50.01</v>
      </c>
      <c r="D200" s="4">
        <v>20</v>
      </c>
      <c r="E200" s="3">
        <v>22.2</v>
      </c>
      <c r="F200" s="3">
        <f>1.8*E200+32</f>
        <v>71.960000000000008</v>
      </c>
      <c r="G200" s="3">
        <v>13.5</v>
      </c>
      <c r="H200" s="3">
        <f>IF(F200&gt;68,G200+(F200-68)*0.2,#REF!-(68-F200)*0.2)</f>
        <v>14.292000000000002</v>
      </c>
      <c r="I200" s="3">
        <v>22.2</v>
      </c>
      <c r="J200" s="3">
        <f>1.8*I200+32</f>
        <v>71.960000000000008</v>
      </c>
      <c r="K200" s="3">
        <v>8</v>
      </c>
      <c r="L200" s="3">
        <f>IF(J200&gt;68,K200+(J200-68)*0.2,K200-(68-J200)*0.2)</f>
        <v>8.7920000000000016</v>
      </c>
      <c r="M200" s="3">
        <f>(C200-H200)/C200*100</f>
        <v>71.421715656868628</v>
      </c>
      <c r="N200" s="3">
        <f>100-(M200+O200)</f>
        <v>10.997800439912012</v>
      </c>
      <c r="O200" s="3">
        <f>L200/C200*100</f>
        <v>17.58048390321936</v>
      </c>
      <c r="P200" s="2" t="s">
        <v>0</v>
      </c>
      <c r="Q200" s="1">
        <v>409080.315412</v>
      </c>
      <c r="R200" s="1">
        <v>3659307.3196490002</v>
      </c>
      <c r="T200" s="4">
        <v>2006111</v>
      </c>
      <c r="U200" s="4" t="s">
        <v>58</v>
      </c>
      <c r="V200" s="4">
        <v>6.3460000000000003E-2</v>
      </c>
      <c r="W200" s="4">
        <v>0.37642999999999999</v>
      </c>
      <c r="X200" s="4">
        <v>2.7869999999999999E-2</v>
      </c>
      <c r="Y200" s="4">
        <v>1.32568</v>
      </c>
      <c r="Z200" s="4">
        <v>17.109670000000001</v>
      </c>
      <c r="AA200" s="4">
        <v>9.4914100000000001</v>
      </c>
      <c r="AB200" s="4">
        <v>-1.5664400000000001</v>
      </c>
    </row>
    <row r="201" spans="1:28" x14ac:dyDescent="0.25">
      <c r="A201" s="6">
        <v>26</v>
      </c>
      <c r="B201" s="4">
        <v>120</v>
      </c>
      <c r="C201" s="5">
        <v>50</v>
      </c>
      <c r="D201" s="4">
        <v>20</v>
      </c>
      <c r="E201" s="3">
        <v>24.5</v>
      </c>
      <c r="F201" s="3">
        <f>1.8*E201+32</f>
        <v>76.099999999999994</v>
      </c>
      <c r="G201" s="3">
        <v>14</v>
      </c>
      <c r="H201" s="3">
        <f>IF(F201&gt;68,G201+(F201-68)*0.2,#REF!-(68-F201)*0.2)</f>
        <v>15.62</v>
      </c>
      <c r="I201" s="3">
        <v>23</v>
      </c>
      <c r="J201" s="3">
        <f>1.8*I201+32</f>
        <v>73.400000000000006</v>
      </c>
      <c r="K201" s="3">
        <v>9</v>
      </c>
      <c r="L201" s="3">
        <f>IF(J201&gt;68,K201+(J201-68)*0.2,K201-(68-J201)*0.2)</f>
        <v>10.080000000000002</v>
      </c>
      <c r="M201" s="3">
        <f>(C201-H201)/C201*100</f>
        <v>68.760000000000005</v>
      </c>
      <c r="N201" s="3">
        <f>100-(M201+O201)</f>
        <v>11.079999999999984</v>
      </c>
      <c r="O201" s="3">
        <f>L201/C201*100</f>
        <v>20.160000000000004</v>
      </c>
      <c r="P201" s="2" t="s">
        <v>0</v>
      </c>
      <c r="Q201" s="1">
        <v>409080.315412</v>
      </c>
      <c r="R201" s="1">
        <v>3659307.3196490002</v>
      </c>
      <c r="T201" s="4">
        <v>2006111</v>
      </c>
      <c r="U201" s="4" t="s">
        <v>57</v>
      </c>
      <c r="V201" s="4">
        <v>6.9629999999999997E-2</v>
      </c>
      <c r="W201" s="4">
        <v>0.38690999999999998</v>
      </c>
      <c r="X201" s="4">
        <v>2.6689999999999998E-2</v>
      </c>
      <c r="Y201" s="4">
        <v>1.29392</v>
      </c>
      <c r="Z201" s="4">
        <v>12.247210000000001</v>
      </c>
      <c r="AA201" s="4">
        <v>8.1890499999999999</v>
      </c>
      <c r="AB201" s="4">
        <v>-1.74753</v>
      </c>
    </row>
    <row r="202" spans="1:28" x14ac:dyDescent="0.25">
      <c r="A202" s="6">
        <v>26</v>
      </c>
      <c r="B202" s="4">
        <v>150</v>
      </c>
      <c r="C202" s="5">
        <v>50</v>
      </c>
      <c r="D202" s="4">
        <v>20</v>
      </c>
      <c r="E202" s="3">
        <v>24.2</v>
      </c>
      <c r="F202" s="3">
        <f>1.8*E202+32</f>
        <v>75.56</v>
      </c>
      <c r="G202" s="3">
        <v>16</v>
      </c>
      <c r="H202" s="3">
        <f>IF(F202&gt;68,G202+(F202-68)*0.2,#REF!-(68-F202)*0.2)</f>
        <v>17.512</v>
      </c>
      <c r="I202" s="3">
        <v>23</v>
      </c>
      <c r="J202" s="3">
        <f>1.8*I202+32</f>
        <v>73.400000000000006</v>
      </c>
      <c r="K202" s="3">
        <v>9</v>
      </c>
      <c r="L202" s="3">
        <f>IF(J202&gt;68,K202+(J202-68)*0.2,K202-(68-J202)*0.2)</f>
        <v>10.080000000000002</v>
      </c>
      <c r="M202" s="3">
        <f>(C202-H202)/C202*100</f>
        <v>64.975999999999999</v>
      </c>
      <c r="N202" s="3">
        <f>100-(M202+O202)</f>
        <v>14.864000000000004</v>
      </c>
      <c r="O202" s="3">
        <f>L202/C202*100</f>
        <v>20.160000000000004</v>
      </c>
      <c r="P202" s="2" t="s">
        <v>0</v>
      </c>
      <c r="Q202" s="1">
        <v>409080.315412</v>
      </c>
      <c r="R202" s="1">
        <v>3659307.3196490002</v>
      </c>
      <c r="T202" s="4">
        <v>2006111</v>
      </c>
      <c r="U202" s="4" t="s">
        <v>56</v>
      </c>
      <c r="V202" s="4">
        <v>7.7369999999999994E-2</v>
      </c>
      <c r="W202" s="4">
        <v>0.40805000000000002</v>
      </c>
      <c r="X202" s="4">
        <v>2.2610000000000002E-2</v>
      </c>
      <c r="Y202" s="4">
        <v>1.30121</v>
      </c>
      <c r="Z202" s="4">
        <v>7.3363500000000004</v>
      </c>
      <c r="AA202" s="4">
        <v>6.44496</v>
      </c>
      <c r="AB202" s="4">
        <v>-1.55128</v>
      </c>
    </row>
    <row r="203" spans="1:28" x14ac:dyDescent="0.25">
      <c r="A203" s="6">
        <v>26</v>
      </c>
      <c r="B203" s="4">
        <v>180</v>
      </c>
      <c r="C203" s="5">
        <v>50.01</v>
      </c>
      <c r="D203" s="4">
        <v>20</v>
      </c>
      <c r="E203" s="3">
        <v>24.2</v>
      </c>
      <c r="F203" s="3">
        <f>1.8*E203+32</f>
        <v>75.56</v>
      </c>
      <c r="G203" s="3">
        <v>17.5</v>
      </c>
      <c r="H203" s="3">
        <f>IF(F203&gt;68,G203+(F203-68)*0.2,#REF!-(68-F203)*0.2)</f>
        <v>19.012</v>
      </c>
      <c r="I203" s="3">
        <v>23</v>
      </c>
      <c r="J203" s="3">
        <f>1.8*I203+32</f>
        <v>73.400000000000006</v>
      </c>
      <c r="K203" s="3">
        <v>11</v>
      </c>
      <c r="L203" s="3">
        <f>IF(J203&gt;68,K203+(J203-68)*0.2,K203-(68-J203)*0.2)</f>
        <v>12.080000000000002</v>
      </c>
      <c r="M203" s="3">
        <f>(C203-H203)/C203*100</f>
        <v>61.983603279344123</v>
      </c>
      <c r="N203" s="3">
        <f>100-(M203+O203)</f>
        <v>13.861227754449118</v>
      </c>
      <c r="O203" s="3">
        <f>L203/C203*100</f>
        <v>24.155168966206762</v>
      </c>
      <c r="P203" s="2" t="s">
        <v>0</v>
      </c>
      <c r="Q203" s="1">
        <v>409080.315412</v>
      </c>
      <c r="R203" s="1">
        <v>3659307.3196490002</v>
      </c>
      <c r="T203" s="4">
        <v>2006111</v>
      </c>
      <c r="U203" s="4" t="s">
        <v>55</v>
      </c>
      <c r="V203" s="4">
        <v>6.8150000000000002E-2</v>
      </c>
      <c r="W203" s="4">
        <v>0.38264999999999999</v>
      </c>
      <c r="X203" s="4">
        <v>2.7210000000000002E-2</v>
      </c>
      <c r="Y203" s="4">
        <v>1.29498</v>
      </c>
      <c r="Z203" s="4">
        <v>13.406700000000001</v>
      </c>
      <c r="AA203" s="4">
        <v>8.4488800000000008</v>
      </c>
      <c r="AB203" s="4">
        <v>-1.7581800000000001</v>
      </c>
    </row>
    <row r="204" spans="1:28" x14ac:dyDescent="0.25">
      <c r="T204" s="4">
        <v>2006111</v>
      </c>
      <c r="U204" s="4" t="s">
        <v>54</v>
      </c>
      <c r="V204" s="4">
        <v>7.1220000000000006E-2</v>
      </c>
      <c r="W204" s="4">
        <v>0.39146999999999998</v>
      </c>
      <c r="X204" s="4">
        <v>2.5839999999999998E-2</v>
      </c>
      <c r="Y204" s="4">
        <v>1.2956700000000001</v>
      </c>
      <c r="Z204" s="4">
        <v>10.99854</v>
      </c>
      <c r="AA204" s="4">
        <v>7.83507</v>
      </c>
      <c r="AB204" s="4">
        <v>-1.70543</v>
      </c>
    </row>
    <row r="205" spans="1:28" ht="51.75" x14ac:dyDescent="0.25">
      <c r="A205" s="15" t="s">
        <v>19</v>
      </c>
      <c r="B205" s="10" t="s">
        <v>18</v>
      </c>
      <c r="C205" s="14" t="s">
        <v>17</v>
      </c>
      <c r="D205" s="13" t="s">
        <v>16</v>
      </c>
      <c r="E205" s="12" t="s">
        <v>15</v>
      </c>
      <c r="F205" s="12" t="s">
        <v>14</v>
      </c>
      <c r="G205" s="12" t="s">
        <v>13</v>
      </c>
      <c r="H205" s="12" t="s">
        <v>12</v>
      </c>
      <c r="I205" s="12" t="s">
        <v>11</v>
      </c>
      <c r="J205" s="12" t="s">
        <v>10</v>
      </c>
      <c r="K205" s="12" t="s">
        <v>9</v>
      </c>
      <c r="L205" s="12" t="s">
        <v>8</v>
      </c>
      <c r="M205" s="11" t="s">
        <v>7</v>
      </c>
      <c r="N205" s="11" t="s">
        <v>6</v>
      </c>
      <c r="O205" s="11" t="s">
        <v>5</v>
      </c>
      <c r="P205" s="10" t="s">
        <v>4</v>
      </c>
      <c r="Q205" s="17" t="s">
        <v>3</v>
      </c>
      <c r="R205" s="17"/>
      <c r="T205" s="4">
        <v>2006111</v>
      </c>
      <c r="U205" s="4" t="s">
        <v>53</v>
      </c>
      <c r="V205" s="4">
        <v>6.4759999999999998E-2</v>
      </c>
      <c r="W205" s="4">
        <v>0.37579000000000001</v>
      </c>
      <c r="X205" s="4">
        <v>2.743E-2</v>
      </c>
      <c r="Y205" s="4">
        <v>1.31731</v>
      </c>
      <c r="Z205" s="4">
        <v>16.117139999999999</v>
      </c>
      <c r="AA205" s="4">
        <v>9.0113900000000005</v>
      </c>
      <c r="AB205" s="4">
        <v>-1.61372</v>
      </c>
    </row>
    <row r="206" spans="1:28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7" t="s">
        <v>2</v>
      </c>
      <c r="R206" s="7" t="s">
        <v>1</v>
      </c>
      <c r="T206" s="4">
        <v>2006111</v>
      </c>
      <c r="U206" s="4" t="s">
        <v>52</v>
      </c>
      <c r="V206" s="4">
        <v>6.8159999999999998E-2</v>
      </c>
      <c r="W206" s="4">
        <v>0.38266</v>
      </c>
      <c r="X206" s="4">
        <v>2.7210000000000002E-2</v>
      </c>
      <c r="Y206" s="4">
        <v>1.29495</v>
      </c>
      <c r="Z206" s="4">
        <v>13.40306</v>
      </c>
      <c r="AA206" s="4">
        <v>8.4476300000000002</v>
      </c>
      <c r="AB206" s="4">
        <v>-1.7584</v>
      </c>
    </row>
    <row r="207" spans="1:28" x14ac:dyDescent="0.25">
      <c r="A207" s="6">
        <v>27</v>
      </c>
      <c r="B207" s="4">
        <v>30</v>
      </c>
      <c r="C207" s="5">
        <v>50.01</v>
      </c>
      <c r="D207" s="4">
        <v>20</v>
      </c>
      <c r="E207" s="3">
        <v>23</v>
      </c>
      <c r="F207" s="3">
        <f>1.8*E207+32</f>
        <v>73.400000000000006</v>
      </c>
      <c r="G207" s="3">
        <v>16.5</v>
      </c>
      <c r="H207" s="3">
        <f>IF(F207&gt;68,G207+(F207-68)*0.2,#REF!-(68-F207)*0.2)</f>
        <v>17.580000000000002</v>
      </c>
      <c r="I207" s="3">
        <v>22.5</v>
      </c>
      <c r="J207" s="3">
        <f>1.8*I207+32</f>
        <v>72.5</v>
      </c>
      <c r="K207" s="3">
        <v>10</v>
      </c>
      <c r="L207" s="3">
        <f>IF(J207&gt;68,K207+(J207-68)*0.2,K207-(68-J207)*0.2)</f>
        <v>10.9</v>
      </c>
      <c r="M207" s="3">
        <f>(C207-H207)/C207*100</f>
        <v>64.847030593881215</v>
      </c>
      <c r="N207" s="3">
        <f>100-(M207+O207)</f>
        <v>13.357328534293146</v>
      </c>
      <c r="O207" s="3">
        <f>L207/C207*100</f>
        <v>21.795640871825636</v>
      </c>
      <c r="P207" s="2" t="s">
        <v>0</v>
      </c>
      <c r="Q207" s="1">
        <v>409092.49503500003</v>
      </c>
      <c r="R207" s="1">
        <v>3659307.1145489998</v>
      </c>
      <c r="T207" s="4">
        <v>2006111</v>
      </c>
      <c r="U207" s="4" t="s">
        <v>51</v>
      </c>
      <c r="V207" s="4">
        <v>7.1249999999999994E-2</v>
      </c>
      <c r="W207" s="4">
        <v>0.39152999999999999</v>
      </c>
      <c r="X207" s="4">
        <v>2.5829999999999999E-2</v>
      </c>
      <c r="Y207" s="4">
        <v>1.2956000000000001</v>
      </c>
      <c r="Z207" s="4">
        <v>10.98197</v>
      </c>
      <c r="AA207" s="4">
        <v>7.8292200000000003</v>
      </c>
      <c r="AB207" s="4">
        <v>-1.7057100000000001</v>
      </c>
    </row>
    <row r="208" spans="1:28" x14ac:dyDescent="0.25">
      <c r="A208" s="6">
        <v>27</v>
      </c>
      <c r="B208" s="4">
        <v>60</v>
      </c>
      <c r="C208" s="5">
        <v>50.01</v>
      </c>
      <c r="D208" s="4">
        <v>20</v>
      </c>
      <c r="E208" s="3">
        <v>23</v>
      </c>
      <c r="F208" s="3">
        <f>1.8*E208+32</f>
        <v>73.400000000000006</v>
      </c>
      <c r="G208" s="3">
        <v>17</v>
      </c>
      <c r="H208" s="3">
        <f>IF(F208&gt;68,G208+(F208-68)*0.2,#REF!-(68-F208)*0.2)</f>
        <v>18.080000000000002</v>
      </c>
      <c r="I208" s="3">
        <v>22.5</v>
      </c>
      <c r="J208" s="3">
        <f>1.8*I208+32</f>
        <v>72.5</v>
      </c>
      <c r="K208" s="3">
        <v>10.5</v>
      </c>
      <c r="L208" s="3">
        <f>IF(J208&gt;68,K208+(J208-68)*0.2,K208-(68-J208)*0.2)</f>
        <v>11.4</v>
      </c>
      <c r="M208" s="3">
        <f>(C208-H208)/C208*100</f>
        <v>63.847230553889212</v>
      </c>
      <c r="N208" s="3">
        <f>100-(M208+O208)</f>
        <v>13.357328534293146</v>
      </c>
      <c r="O208" s="3">
        <f>L208/C208*100</f>
        <v>22.795440911817639</v>
      </c>
      <c r="P208" s="2" t="s">
        <v>0</v>
      </c>
      <c r="Q208" s="1">
        <v>409092.49503500003</v>
      </c>
      <c r="R208" s="1">
        <v>3659307.1145489998</v>
      </c>
      <c r="T208" s="4">
        <v>2006111</v>
      </c>
      <c r="U208" s="4" t="s">
        <v>50</v>
      </c>
      <c r="V208" s="4">
        <v>7.6770000000000005E-2</v>
      </c>
      <c r="W208" s="4">
        <v>0.40439999999999998</v>
      </c>
      <c r="X208" s="4">
        <v>2.3890000000000002E-2</v>
      </c>
      <c r="Y208" s="4">
        <v>1.29067</v>
      </c>
      <c r="Z208" s="4">
        <v>8.1729299999999991</v>
      </c>
      <c r="AA208" s="4">
        <v>6.8002900000000004</v>
      </c>
      <c r="AB208" s="4">
        <v>-1.6789499999999999</v>
      </c>
    </row>
    <row r="209" spans="1:28" x14ac:dyDescent="0.25">
      <c r="A209" s="6">
        <v>27</v>
      </c>
      <c r="B209" s="4">
        <v>90</v>
      </c>
      <c r="C209" s="5">
        <v>50</v>
      </c>
      <c r="D209" s="4">
        <v>20</v>
      </c>
      <c r="E209" s="3">
        <v>23</v>
      </c>
      <c r="F209" s="3">
        <f>1.8*E209+32</f>
        <v>73.400000000000006</v>
      </c>
      <c r="G209" s="3">
        <v>14</v>
      </c>
      <c r="H209" s="3">
        <f>IF(F209&gt;68,G209+(F209-68)*0.2,#REF!-(68-F209)*0.2)</f>
        <v>15.080000000000002</v>
      </c>
      <c r="I209" s="3">
        <v>22.5</v>
      </c>
      <c r="J209" s="3">
        <f>1.8*I209+32</f>
        <v>72.5</v>
      </c>
      <c r="K209" s="3">
        <v>8</v>
      </c>
      <c r="L209" s="3">
        <f>IF(J209&gt;68,K209+(J209-68)*0.2,K209-(68-J209)*0.2)</f>
        <v>8.9</v>
      </c>
      <c r="M209" s="3">
        <f>(C209-H209)/C209*100</f>
        <v>69.84</v>
      </c>
      <c r="N209" s="3">
        <f>100-(M209+O209)</f>
        <v>12.36</v>
      </c>
      <c r="O209" s="3">
        <f>L209/C209*100</f>
        <v>17.8</v>
      </c>
      <c r="P209" s="2" t="s">
        <v>20</v>
      </c>
      <c r="Q209" s="1">
        <v>409092.49503500003</v>
      </c>
      <c r="R209" s="1">
        <v>3659307.1145489998</v>
      </c>
      <c r="T209" s="4">
        <v>2006111</v>
      </c>
      <c r="U209" s="4" t="s">
        <v>49</v>
      </c>
      <c r="V209" s="4">
        <v>7.8939999999999996E-2</v>
      </c>
      <c r="W209" s="4">
        <v>0.40905000000000002</v>
      </c>
      <c r="X209" s="4">
        <v>2.385E-2</v>
      </c>
      <c r="Y209" s="4">
        <v>1.2817799999999999</v>
      </c>
      <c r="Z209" s="4">
        <v>7.8045900000000001</v>
      </c>
      <c r="AA209" s="4">
        <v>6.5954800000000002</v>
      </c>
      <c r="AB209" s="4">
        <v>-1.7501199999999999</v>
      </c>
    </row>
    <row r="210" spans="1:28" x14ac:dyDescent="0.25">
      <c r="A210" s="6">
        <v>27</v>
      </c>
      <c r="B210" s="4">
        <v>120</v>
      </c>
      <c r="C210" s="5">
        <v>50</v>
      </c>
      <c r="D210" s="4">
        <v>20</v>
      </c>
      <c r="E210" s="3">
        <v>25</v>
      </c>
      <c r="F210" s="3">
        <f>1.8*E210+32</f>
        <v>77</v>
      </c>
      <c r="G210" s="3">
        <v>21</v>
      </c>
      <c r="H210" s="3">
        <f>IF(F210&gt;68,G210+(F210-68)*0.2,#REF!-(68-F210)*0.2)</f>
        <v>22.8</v>
      </c>
      <c r="I210" s="3">
        <v>23</v>
      </c>
      <c r="J210" s="3">
        <f>1.8*I210+32</f>
        <v>73.400000000000006</v>
      </c>
      <c r="K210" s="3">
        <v>14.5</v>
      </c>
      <c r="L210" s="3">
        <f>IF(J210&gt;68,K210+(J210-68)*0.2,K210-(68-J210)*0.2)</f>
        <v>15.580000000000002</v>
      </c>
      <c r="M210" s="3">
        <f>(C210-H210)/C210*100</f>
        <v>54.400000000000006</v>
      </c>
      <c r="N210" s="3">
        <f>100-(M210+O210)</f>
        <v>14.439999999999998</v>
      </c>
      <c r="O210" s="3">
        <f>L210/C210*100</f>
        <v>31.160000000000004</v>
      </c>
      <c r="P210" s="2" t="s">
        <v>0</v>
      </c>
      <c r="Q210" s="1">
        <v>409092.49503500003</v>
      </c>
      <c r="R210" s="1">
        <v>3659307.1145489998</v>
      </c>
      <c r="T210" s="4">
        <v>2006111</v>
      </c>
      <c r="U210" s="4" t="s">
        <v>48</v>
      </c>
      <c r="V210" s="4">
        <v>6.6960000000000006E-2</v>
      </c>
      <c r="W210" s="4">
        <v>0.38152999999999998</v>
      </c>
      <c r="X210" s="4">
        <v>2.7369999999999998E-2</v>
      </c>
      <c r="Y210" s="4">
        <v>1.30148</v>
      </c>
      <c r="Z210" s="4">
        <v>14.038320000000001</v>
      </c>
      <c r="AA210" s="4">
        <v>8.7028199999999991</v>
      </c>
      <c r="AB210" s="4">
        <v>-1.71024</v>
      </c>
    </row>
    <row r="211" spans="1:28" x14ac:dyDescent="0.25">
      <c r="A211" s="6">
        <v>27</v>
      </c>
      <c r="B211" s="4">
        <v>150</v>
      </c>
      <c r="C211" s="5">
        <v>50</v>
      </c>
      <c r="D211" s="4">
        <v>20</v>
      </c>
      <c r="E211" s="3">
        <v>25</v>
      </c>
      <c r="F211" s="3">
        <f>1.8*E211+32</f>
        <v>77</v>
      </c>
      <c r="G211" s="3">
        <v>20</v>
      </c>
      <c r="H211" s="3">
        <f>IF(F211&gt;68,G211+(F211-68)*0.2,#REF!-(68-F211)*0.2)</f>
        <v>21.8</v>
      </c>
      <c r="I211" s="3">
        <v>23</v>
      </c>
      <c r="J211" s="3">
        <f>1.8*I211+32</f>
        <v>73.400000000000006</v>
      </c>
      <c r="K211" s="3">
        <v>14</v>
      </c>
      <c r="L211" s="3">
        <f>IF(J211&gt;68,K211+(J211-68)*0.2,K211-(68-J211)*0.2)</f>
        <v>15.080000000000002</v>
      </c>
      <c r="M211" s="3">
        <f>(C211-H211)/C211*100</f>
        <v>56.399999999999991</v>
      </c>
      <c r="N211" s="3">
        <f>100-(M211+O211)</f>
        <v>13.439999999999998</v>
      </c>
      <c r="O211" s="3">
        <f>L211/C211*100</f>
        <v>30.160000000000004</v>
      </c>
      <c r="P211" s="2" t="s">
        <v>0</v>
      </c>
      <c r="Q211" s="1">
        <v>409092.49503500003</v>
      </c>
      <c r="R211" s="1">
        <v>3659307.1145489998</v>
      </c>
      <c r="T211" s="4">
        <v>2006111</v>
      </c>
      <c r="U211" s="4" t="s">
        <v>47</v>
      </c>
      <c r="V211" s="4">
        <v>5.9429999999999997E-2</v>
      </c>
      <c r="W211" s="4">
        <v>0.38011</v>
      </c>
      <c r="X211" s="4">
        <v>2.894E-2</v>
      </c>
      <c r="Y211" s="4">
        <v>1.3463799999999999</v>
      </c>
      <c r="Z211" s="4">
        <v>20.93554</v>
      </c>
      <c r="AA211" s="4">
        <v>11.0062</v>
      </c>
      <c r="AB211" s="4">
        <v>-1.4456500000000001</v>
      </c>
    </row>
    <row r="212" spans="1:28" x14ac:dyDescent="0.25">
      <c r="A212" s="6">
        <v>27</v>
      </c>
      <c r="B212" s="4">
        <v>180</v>
      </c>
      <c r="C212" s="5">
        <v>50</v>
      </c>
      <c r="D212" s="4">
        <v>20</v>
      </c>
      <c r="E212" s="3">
        <v>25</v>
      </c>
      <c r="F212" s="3">
        <f>1.8*E212+32</f>
        <v>77</v>
      </c>
      <c r="G212" s="3">
        <v>10</v>
      </c>
      <c r="H212" s="3">
        <f>IF(F212&gt;68,G212+(F212-68)*0.2,#REF!-(68-F212)*0.2)</f>
        <v>11.8</v>
      </c>
      <c r="I212" s="3">
        <v>23</v>
      </c>
      <c r="J212" s="3">
        <f>1.8*I212+32</f>
        <v>73.400000000000006</v>
      </c>
      <c r="K212" s="3">
        <v>8</v>
      </c>
      <c r="L212" s="3">
        <f>IF(J212&gt;68,K212+(J212-68)*0.2,K212-(68-J212)*0.2)</f>
        <v>9.0800000000000018</v>
      </c>
      <c r="M212" s="3">
        <f>(C212-H212)/C212*100</f>
        <v>76.400000000000006</v>
      </c>
      <c r="N212" s="3">
        <f>100-(M212+O212)</f>
        <v>5.4399999999999977</v>
      </c>
      <c r="O212" s="3">
        <f>L212/C212*100</f>
        <v>18.160000000000004</v>
      </c>
      <c r="P212" s="2" t="s">
        <v>20</v>
      </c>
      <c r="Q212" s="1">
        <v>409092.49503500003</v>
      </c>
      <c r="R212" s="1">
        <v>3659307.1145489998</v>
      </c>
      <c r="T212" s="4">
        <v>2006111</v>
      </c>
      <c r="U212" s="4" t="s">
        <v>46</v>
      </c>
      <c r="V212" s="4">
        <v>6.2280000000000002E-2</v>
      </c>
      <c r="W212" s="4">
        <v>0.38368999999999998</v>
      </c>
      <c r="X212" s="4">
        <v>2.75E-2</v>
      </c>
      <c r="Y212" s="4">
        <v>1.3329200000000001</v>
      </c>
      <c r="Z212" s="4">
        <v>17.163550000000001</v>
      </c>
      <c r="AA212" s="4">
        <v>9.8736999999999995</v>
      </c>
      <c r="AB212" s="4">
        <v>-1.4815499999999999</v>
      </c>
    </row>
    <row r="213" spans="1:28" x14ac:dyDescent="0.25">
      <c r="T213" s="4">
        <v>2006111</v>
      </c>
      <c r="U213" s="4" t="s">
        <v>45</v>
      </c>
      <c r="V213" s="4">
        <v>7.5469999999999995E-2</v>
      </c>
      <c r="W213" s="4">
        <v>0.39989999999999998</v>
      </c>
      <c r="X213" s="4">
        <v>2.4879999999999999E-2</v>
      </c>
      <c r="Y213" s="4">
        <v>1.28603</v>
      </c>
      <c r="Z213" s="4">
        <v>9.1338600000000003</v>
      </c>
      <c r="AA213" s="4">
        <v>7.1355199999999996</v>
      </c>
      <c r="AB213" s="4">
        <v>-1.7539100000000001</v>
      </c>
    </row>
    <row r="214" spans="1:28" ht="51.75" x14ac:dyDescent="0.25">
      <c r="A214" s="15" t="s">
        <v>19</v>
      </c>
      <c r="B214" s="10" t="s">
        <v>18</v>
      </c>
      <c r="C214" s="14" t="s">
        <v>17</v>
      </c>
      <c r="D214" s="13" t="s">
        <v>16</v>
      </c>
      <c r="E214" s="12" t="s">
        <v>15</v>
      </c>
      <c r="F214" s="12" t="s">
        <v>14</v>
      </c>
      <c r="G214" s="12" t="s">
        <v>13</v>
      </c>
      <c r="H214" s="12" t="s">
        <v>12</v>
      </c>
      <c r="I214" s="12" t="s">
        <v>11</v>
      </c>
      <c r="J214" s="12" t="s">
        <v>10</v>
      </c>
      <c r="K214" s="12" t="s">
        <v>9</v>
      </c>
      <c r="L214" s="12" t="s">
        <v>8</v>
      </c>
      <c r="M214" s="11" t="s">
        <v>7</v>
      </c>
      <c r="N214" s="11" t="s">
        <v>6</v>
      </c>
      <c r="O214" s="11" t="s">
        <v>5</v>
      </c>
      <c r="P214" s="10" t="s">
        <v>4</v>
      </c>
      <c r="Q214" s="17" t="s">
        <v>3</v>
      </c>
      <c r="R214" s="17"/>
      <c r="T214" s="4">
        <v>2006111</v>
      </c>
      <c r="U214" s="4" t="s">
        <v>44</v>
      </c>
      <c r="V214" s="4">
        <v>7.4249999999999997E-2</v>
      </c>
      <c r="W214" s="4">
        <v>0.39740999999999999</v>
      </c>
      <c r="X214" s="4">
        <v>2.5080000000000002E-2</v>
      </c>
      <c r="Y214" s="4">
        <v>1.2893300000000001</v>
      </c>
      <c r="Z214" s="4">
        <v>9.5624099999999999</v>
      </c>
      <c r="AA214" s="4">
        <v>7.3102999999999998</v>
      </c>
      <c r="AB214" s="4">
        <v>-1.73322</v>
      </c>
    </row>
    <row r="215" spans="1:28" x14ac:dyDescent="0.25">
      <c r="A215" s="4"/>
      <c r="B215" s="4"/>
      <c r="C215" s="4"/>
      <c r="D215" s="4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2"/>
      <c r="Q215" s="7" t="s">
        <v>2</v>
      </c>
      <c r="R215" s="7" t="s">
        <v>1</v>
      </c>
      <c r="T215" s="4">
        <v>2006111</v>
      </c>
      <c r="U215" s="4" t="s">
        <v>43</v>
      </c>
      <c r="V215" s="4">
        <v>6.8949999999999997E-2</v>
      </c>
      <c r="W215" s="4">
        <v>0.38782</v>
      </c>
      <c r="X215" s="4">
        <v>2.639E-2</v>
      </c>
      <c r="Y215" s="4">
        <v>1.30183</v>
      </c>
      <c r="Z215" s="4">
        <v>12.260020000000001</v>
      </c>
      <c r="AA215" s="4">
        <v>8.2788500000000003</v>
      </c>
      <c r="AB215" s="4">
        <v>-1.6729400000000001</v>
      </c>
    </row>
    <row r="216" spans="1:28" x14ac:dyDescent="0.25">
      <c r="A216" s="6">
        <v>28</v>
      </c>
      <c r="B216" s="4">
        <v>30</v>
      </c>
      <c r="C216" s="4">
        <v>49.99</v>
      </c>
      <c r="D216" s="4">
        <v>20</v>
      </c>
      <c r="E216" s="3">
        <v>24</v>
      </c>
      <c r="F216" s="3">
        <f>1.8*E216+32</f>
        <v>75.2</v>
      </c>
      <c r="G216" s="3">
        <v>16</v>
      </c>
      <c r="H216" s="3">
        <f>IF(F216&gt;68,G216+(F216-68)*0.2,#REF!-(68-F216)*0.2)</f>
        <v>17.440000000000001</v>
      </c>
      <c r="I216" s="3">
        <v>23.5</v>
      </c>
      <c r="J216" s="3">
        <f>1.8*I216+32</f>
        <v>74.300000000000011</v>
      </c>
      <c r="K216" s="3">
        <v>9.5</v>
      </c>
      <c r="L216" s="3">
        <f>IF(J216&gt;68,K216+(J216-68)*0.2,K216-(68-J216)*0.2)</f>
        <v>10.760000000000002</v>
      </c>
      <c r="M216" s="3">
        <f>(C216-H216)/C216*100</f>
        <v>65.113022604520893</v>
      </c>
      <c r="N216" s="3">
        <f>100-(M216+O216)</f>
        <v>13.362672534506913</v>
      </c>
      <c r="O216" s="3">
        <f>L216/C216*100</f>
        <v>21.524304860972197</v>
      </c>
      <c r="P216" s="2" t="s">
        <v>0</v>
      </c>
      <c r="Q216" s="1">
        <v>409104.67292600003</v>
      </c>
      <c r="R216" s="1">
        <v>3659306.9094810002</v>
      </c>
      <c r="T216" s="4">
        <v>2006111</v>
      </c>
      <c r="U216" s="4" t="s">
        <v>42</v>
      </c>
      <c r="V216" s="4">
        <v>6.182E-2</v>
      </c>
      <c r="W216" s="4">
        <v>0.36852000000000001</v>
      </c>
      <c r="X216" s="4">
        <v>2.5690000000000001E-2</v>
      </c>
      <c r="Y216" s="4">
        <v>1.4556800000000001</v>
      </c>
      <c r="Z216" s="4">
        <v>29.735050000000001</v>
      </c>
      <c r="AA216" s="4">
        <v>9.6854300000000002</v>
      </c>
      <c r="AB216" s="4">
        <v>-1.1455299999999999</v>
      </c>
    </row>
    <row r="217" spans="1:28" x14ac:dyDescent="0.25">
      <c r="A217" s="6">
        <v>28</v>
      </c>
      <c r="B217" s="4">
        <v>60</v>
      </c>
      <c r="C217" s="4">
        <v>49.98</v>
      </c>
      <c r="D217" s="4">
        <v>20</v>
      </c>
      <c r="E217" s="3">
        <v>24</v>
      </c>
      <c r="F217" s="3">
        <f>1.8*E217+32</f>
        <v>75.2</v>
      </c>
      <c r="G217" s="3">
        <v>19.5</v>
      </c>
      <c r="H217" s="3">
        <f>IF(F217&gt;68,G217+(F217-68)*0.2,#REF!-(68-F217)*0.2)</f>
        <v>20.94</v>
      </c>
      <c r="I217" s="3">
        <v>23.5</v>
      </c>
      <c r="J217" s="3">
        <f>1.8*I217+32</f>
        <v>74.300000000000011</v>
      </c>
      <c r="K217" s="3">
        <v>13</v>
      </c>
      <c r="L217" s="3">
        <f>IF(J217&gt;68,K217+(J217-68)*0.2,K217-(68-J217)*0.2)</f>
        <v>14.260000000000002</v>
      </c>
      <c r="M217" s="3">
        <f>(C217-H217)/C217*100</f>
        <v>58.103241296518604</v>
      </c>
      <c r="N217" s="3">
        <f>100-(M217+O217)</f>
        <v>13.365346138455379</v>
      </c>
      <c r="O217" s="3">
        <f>L217/C217*100</f>
        <v>28.531412565026017</v>
      </c>
      <c r="P217" s="2" t="s">
        <v>0</v>
      </c>
      <c r="Q217" s="1">
        <v>409104.67292600003</v>
      </c>
      <c r="R217" s="1">
        <v>3659306.9094810002</v>
      </c>
      <c r="T217" s="4">
        <v>2006111</v>
      </c>
      <c r="U217" s="4" t="s">
        <v>41</v>
      </c>
      <c r="V217" s="4">
        <v>5.8090000000000003E-2</v>
      </c>
      <c r="W217" s="4">
        <v>0.37934000000000001</v>
      </c>
      <c r="X217" s="4">
        <v>2.9479999999999999E-2</v>
      </c>
      <c r="Y217" s="4">
        <v>1.35615</v>
      </c>
      <c r="Z217" s="4">
        <v>23.08183</v>
      </c>
      <c r="AA217" s="4">
        <v>11.59211</v>
      </c>
      <c r="AB217" s="4">
        <v>-1.40924</v>
      </c>
    </row>
    <row r="218" spans="1:28" x14ac:dyDescent="0.25">
      <c r="A218" s="6">
        <v>28</v>
      </c>
      <c r="B218" s="4">
        <v>90</v>
      </c>
      <c r="C218" s="4">
        <v>49.99</v>
      </c>
      <c r="D218" s="4">
        <v>20</v>
      </c>
      <c r="E218" s="3">
        <v>24</v>
      </c>
      <c r="F218" s="3">
        <f>1.8*E218+32</f>
        <v>75.2</v>
      </c>
      <c r="G218" s="3">
        <v>21</v>
      </c>
      <c r="H218" s="3">
        <f>IF(F218&gt;68,G218+(F218-68)*0.2,#REF!-(68-F218)*0.2)</f>
        <v>22.44</v>
      </c>
      <c r="I218" s="3">
        <v>23.5</v>
      </c>
      <c r="J218" s="3">
        <f>1.8*I218+32</f>
        <v>74.300000000000011</v>
      </c>
      <c r="K218" s="3">
        <v>12.5</v>
      </c>
      <c r="L218" s="3">
        <f>IF(J218&gt;68,K218+(J218-68)*0.2,K218-(68-J218)*0.2)</f>
        <v>13.760000000000002</v>
      </c>
      <c r="M218" s="3">
        <f>(C218-H218)/C218*100</f>
        <v>55.111022204440886</v>
      </c>
      <c r="N218" s="3">
        <f>100-(M218+O218)</f>
        <v>17.363472694538913</v>
      </c>
      <c r="O218" s="3">
        <f>L218/C218*100</f>
        <v>27.525505101020205</v>
      </c>
      <c r="P218" s="2" t="s">
        <v>0</v>
      </c>
      <c r="Q218" s="1">
        <v>409104.67292600003</v>
      </c>
      <c r="R218" s="1">
        <v>3659306.9094810002</v>
      </c>
      <c r="T218" s="4">
        <v>2006111</v>
      </c>
      <c r="U218" s="4" t="s">
        <v>40</v>
      </c>
      <c r="V218" s="4">
        <v>5.6520000000000001E-2</v>
      </c>
      <c r="W218" s="4">
        <v>0.38005</v>
      </c>
      <c r="X218" s="4">
        <v>2.989E-2</v>
      </c>
      <c r="Y218" s="4">
        <v>1.3639699999999999</v>
      </c>
      <c r="Z218" s="4">
        <v>25.113530000000001</v>
      </c>
      <c r="AA218" s="4">
        <v>12.227600000000001</v>
      </c>
      <c r="AB218" s="4">
        <v>-1.3715900000000001</v>
      </c>
    </row>
    <row r="219" spans="1:28" x14ac:dyDescent="0.25">
      <c r="A219" s="6">
        <v>28</v>
      </c>
      <c r="B219" s="4">
        <v>120</v>
      </c>
      <c r="C219" s="4">
        <v>49.99</v>
      </c>
      <c r="D219" s="4">
        <v>20</v>
      </c>
      <c r="E219" s="3">
        <v>24</v>
      </c>
      <c r="F219" s="3">
        <f>1.8*E219+32</f>
        <v>75.2</v>
      </c>
      <c r="G219" s="3">
        <v>24</v>
      </c>
      <c r="H219" s="3">
        <f>IF(F219&gt;68,G219+(F219-68)*0.2,#REF!-(68-F219)*0.2)</f>
        <v>25.44</v>
      </c>
      <c r="I219" s="3">
        <v>23.5</v>
      </c>
      <c r="J219" s="3">
        <f>1.8*I219+32</f>
        <v>74.300000000000011</v>
      </c>
      <c r="K219" s="3">
        <v>14</v>
      </c>
      <c r="L219" s="3">
        <f>IF(J219&gt;68,K219+(J219-68)*0.2,K219-(68-J219)*0.2)</f>
        <v>15.260000000000002</v>
      </c>
      <c r="M219" s="3">
        <f>(C219-H219)/C219*100</f>
        <v>49.109821964392879</v>
      </c>
      <c r="N219" s="3">
        <f>100-(M219+O219)</f>
        <v>20.364072814562917</v>
      </c>
      <c r="O219" s="3">
        <f>L219/C219*100</f>
        <v>30.526105221044208</v>
      </c>
      <c r="P219" s="2" t="s">
        <v>0</v>
      </c>
      <c r="Q219" s="1">
        <v>409104.67292600003</v>
      </c>
      <c r="R219" s="1">
        <v>3659306.9094810002</v>
      </c>
      <c r="T219" s="4">
        <v>2006111</v>
      </c>
      <c r="U219" s="4" t="s">
        <v>39</v>
      </c>
      <c r="V219" s="4">
        <v>5.5620000000000003E-2</v>
      </c>
      <c r="W219" s="4">
        <v>0.37801000000000001</v>
      </c>
      <c r="X219" s="4">
        <v>3.056E-2</v>
      </c>
      <c r="Y219" s="4">
        <v>1.3833200000000001</v>
      </c>
      <c r="Z219" s="4">
        <v>28.702369999999998</v>
      </c>
      <c r="AA219" s="4">
        <v>12.929360000000001</v>
      </c>
      <c r="AB219" s="4">
        <v>-1.3220499999999999</v>
      </c>
    </row>
    <row r="220" spans="1:28" x14ac:dyDescent="0.25">
      <c r="A220" s="6">
        <v>28</v>
      </c>
      <c r="B220" s="4">
        <v>150</v>
      </c>
      <c r="C220" s="4">
        <v>50</v>
      </c>
      <c r="D220" s="4">
        <v>20</v>
      </c>
      <c r="E220" s="3">
        <v>24</v>
      </c>
      <c r="F220" s="3">
        <f>1.8*E220+32</f>
        <v>75.2</v>
      </c>
      <c r="G220" s="3">
        <v>17</v>
      </c>
      <c r="H220" s="3">
        <f>IF(F220&gt;68,G220+(F220-68)*0.2,#REF!-(68-F220)*0.2)</f>
        <v>18.440000000000001</v>
      </c>
      <c r="I220" s="3">
        <v>23.5</v>
      </c>
      <c r="J220" s="3">
        <f>1.8*I220+32</f>
        <v>74.300000000000011</v>
      </c>
      <c r="K220" s="3">
        <v>11</v>
      </c>
      <c r="L220" s="3">
        <f>IF(J220&gt;68,K220+(J220-68)*0.2,K220-(68-J220)*0.2)</f>
        <v>12.260000000000002</v>
      </c>
      <c r="M220" s="3">
        <f>(C220-H220)/C220*100</f>
        <v>63.12</v>
      </c>
      <c r="N220" s="3">
        <f>100-(M220+O220)</f>
        <v>12.36</v>
      </c>
      <c r="O220" s="3">
        <f>L220/C220*100</f>
        <v>24.520000000000003</v>
      </c>
      <c r="P220" s="2" t="s">
        <v>0</v>
      </c>
      <c r="Q220" s="1">
        <v>409104.67292600003</v>
      </c>
      <c r="R220" s="1">
        <v>3659306.9094810002</v>
      </c>
      <c r="T220" s="4">
        <v>2006111</v>
      </c>
      <c r="U220" s="4" t="s">
        <v>38</v>
      </c>
      <c r="V220" s="4">
        <v>6.2230000000000001E-2</v>
      </c>
      <c r="W220" s="4">
        <v>0.37963999999999998</v>
      </c>
      <c r="X220" s="4">
        <v>2.827E-2</v>
      </c>
      <c r="Y220" s="4">
        <v>1.3300700000000001</v>
      </c>
      <c r="Z220" s="4">
        <v>17.796040000000001</v>
      </c>
      <c r="AA220" s="4">
        <v>10.026020000000001</v>
      </c>
      <c r="AB220" s="4">
        <v>-1.5321499999999999</v>
      </c>
    </row>
    <row r="221" spans="1:28" x14ac:dyDescent="0.25">
      <c r="A221" s="6">
        <v>28</v>
      </c>
      <c r="B221" s="4">
        <v>180</v>
      </c>
      <c r="C221" s="4">
        <v>50</v>
      </c>
      <c r="D221" s="4">
        <v>20</v>
      </c>
      <c r="E221" s="3">
        <v>24</v>
      </c>
      <c r="F221" s="3">
        <f>1.8*E221+32</f>
        <v>75.2</v>
      </c>
      <c r="G221" s="3">
        <v>14</v>
      </c>
      <c r="H221" s="3">
        <f>IF(F221&gt;68,G221+(F221-68)*0.2,#REF!-(68-F221)*0.2)</f>
        <v>15.440000000000001</v>
      </c>
      <c r="I221" s="3">
        <v>23.5</v>
      </c>
      <c r="J221" s="3">
        <f>1.8*I221+32</f>
        <v>74.300000000000011</v>
      </c>
      <c r="K221" s="3">
        <v>10</v>
      </c>
      <c r="L221" s="3">
        <f>IF(J221&gt;68,K221+(J221-68)*0.2,K221-(68-J221)*0.2)</f>
        <v>11.260000000000002</v>
      </c>
      <c r="M221" s="3">
        <f>(C221-H221)/C221*100</f>
        <v>69.12</v>
      </c>
      <c r="N221" s="3">
        <f>100-(M221+O221)</f>
        <v>8.3599999999999852</v>
      </c>
      <c r="O221" s="3">
        <f>L221/C221*100</f>
        <v>22.520000000000003</v>
      </c>
      <c r="P221" s="2" t="s">
        <v>0</v>
      </c>
      <c r="Q221" s="20">
        <v>409104.67292600003</v>
      </c>
      <c r="R221" s="20">
        <v>3659306.9094810002</v>
      </c>
      <c r="T221" s="4">
        <v>2006111</v>
      </c>
      <c r="U221" s="4" t="s">
        <v>37</v>
      </c>
      <c r="V221" s="4">
        <v>6.4890000000000003E-2</v>
      </c>
      <c r="W221" s="4">
        <v>0.38250000000000001</v>
      </c>
      <c r="X221" s="4">
        <v>2.7480000000000001E-2</v>
      </c>
      <c r="Y221" s="4">
        <v>1.3160799999999999</v>
      </c>
      <c r="Z221" s="4">
        <v>15.152329999999999</v>
      </c>
      <c r="AA221" s="4">
        <v>9.2375900000000009</v>
      </c>
      <c r="AB221" s="4">
        <v>-1.59941</v>
      </c>
    </row>
    <row r="222" spans="1:28" x14ac:dyDescent="0.25">
      <c r="Q222" s="19"/>
      <c r="R222" s="19"/>
      <c r="T222" s="4">
        <v>2006111</v>
      </c>
      <c r="U222" s="4" t="s">
        <v>36</v>
      </c>
      <c r="V222" s="4">
        <v>6.2080000000000003E-2</v>
      </c>
      <c r="W222" s="4">
        <v>0.37324000000000002</v>
      </c>
      <c r="X222" s="4">
        <v>2.759E-2</v>
      </c>
      <c r="Y222" s="4">
        <v>1.3528199999999999</v>
      </c>
      <c r="Z222" s="4">
        <v>19.858560000000001</v>
      </c>
      <c r="AA222" s="4">
        <v>9.7701200000000004</v>
      </c>
      <c r="AB222" s="4">
        <v>-1.4347799999999999</v>
      </c>
    </row>
    <row r="223" spans="1:28" ht="51.75" x14ac:dyDescent="0.25">
      <c r="A223" s="15" t="s">
        <v>19</v>
      </c>
      <c r="B223" s="10" t="s">
        <v>18</v>
      </c>
      <c r="C223" s="14" t="s">
        <v>17</v>
      </c>
      <c r="D223" s="13" t="s">
        <v>16</v>
      </c>
      <c r="E223" s="12" t="s">
        <v>15</v>
      </c>
      <c r="F223" s="12" t="s">
        <v>14</v>
      </c>
      <c r="G223" s="12" t="s">
        <v>13</v>
      </c>
      <c r="H223" s="12" t="s">
        <v>12</v>
      </c>
      <c r="I223" s="12" t="s">
        <v>11</v>
      </c>
      <c r="J223" s="12" t="s">
        <v>10</v>
      </c>
      <c r="K223" s="12" t="s">
        <v>9</v>
      </c>
      <c r="L223" s="12" t="s">
        <v>8</v>
      </c>
      <c r="M223" s="11" t="s">
        <v>7</v>
      </c>
      <c r="N223" s="11" t="s">
        <v>6</v>
      </c>
      <c r="O223" s="11" t="s">
        <v>5</v>
      </c>
      <c r="P223" s="10" t="s">
        <v>4</v>
      </c>
      <c r="Q223" s="18" t="s">
        <v>3</v>
      </c>
      <c r="R223" s="18"/>
      <c r="T223" s="4">
        <v>2006111</v>
      </c>
      <c r="U223" s="4" t="s">
        <v>35</v>
      </c>
      <c r="V223" s="4">
        <v>6.3189999999999996E-2</v>
      </c>
      <c r="W223" s="4">
        <v>0.38140000000000002</v>
      </c>
      <c r="X223" s="4">
        <v>2.7890000000000002E-2</v>
      </c>
      <c r="Y223" s="4">
        <v>1.32483</v>
      </c>
      <c r="Z223" s="4">
        <v>16.64592</v>
      </c>
      <c r="AA223" s="4">
        <v>9.7169000000000008</v>
      </c>
      <c r="AB223" s="4">
        <v>-1.5508</v>
      </c>
    </row>
    <row r="224" spans="1:28" x14ac:dyDescent="0.25">
      <c r="A224" s="4"/>
      <c r="B224" s="4"/>
      <c r="C224" s="4"/>
      <c r="D224" s="4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2"/>
      <c r="Q224" s="7" t="s">
        <v>2</v>
      </c>
      <c r="R224" s="7" t="s">
        <v>1</v>
      </c>
      <c r="T224" s="4">
        <v>2006111</v>
      </c>
      <c r="U224" s="4" t="s">
        <v>34</v>
      </c>
      <c r="V224" s="4">
        <v>6.8089999999999998E-2</v>
      </c>
      <c r="W224" s="4">
        <v>0.37841000000000002</v>
      </c>
      <c r="X224" s="4">
        <v>2.7109999999999999E-2</v>
      </c>
      <c r="Y224" s="4">
        <v>1.2913399999999999</v>
      </c>
      <c r="Z224" s="4">
        <v>14.026540000000001</v>
      </c>
      <c r="AA224" s="4">
        <v>8.2363199999999992</v>
      </c>
      <c r="AB224" s="4">
        <v>-1.7958799999999999</v>
      </c>
    </row>
    <row r="225" spans="1:28" x14ac:dyDescent="0.25">
      <c r="A225" s="6">
        <v>31</v>
      </c>
      <c r="B225" s="4">
        <v>30</v>
      </c>
      <c r="C225" s="4">
        <v>50.002000000000002</v>
      </c>
      <c r="D225" s="4">
        <v>20</v>
      </c>
      <c r="E225" s="3">
        <v>23.5</v>
      </c>
      <c r="F225" s="3">
        <f>1.8*E225+32</f>
        <v>74.300000000000011</v>
      </c>
      <c r="G225" s="3">
        <v>16</v>
      </c>
      <c r="H225" s="3">
        <f>IF(F225&gt;68,G225+(F225-68)*0.2,#REF!-(68-F225)*0.2)</f>
        <v>17.260000000000002</v>
      </c>
      <c r="I225" s="3">
        <v>23.5</v>
      </c>
      <c r="J225" s="3">
        <f>1.8*I225+32</f>
        <v>74.300000000000011</v>
      </c>
      <c r="K225" s="3">
        <v>10</v>
      </c>
      <c r="L225" s="3">
        <f>IF(J225&gt;68,K225+(J225-68)*0.2,K225-(68-J225)*0.2)</f>
        <v>11.260000000000002</v>
      </c>
      <c r="M225" s="3">
        <f>(C225-H225)/C225*100</f>
        <v>65.481380744770206</v>
      </c>
      <c r="N225" s="3">
        <f>100-(M225+O225)</f>
        <v>11.999520019199238</v>
      </c>
      <c r="O225" s="3">
        <f>L225/C225*100</f>
        <v>22.519099236030559</v>
      </c>
      <c r="P225" s="2" t="s">
        <v>0</v>
      </c>
      <c r="Q225" s="1">
        <v>409019.01098700002</v>
      </c>
      <c r="R225" s="1">
        <v>3659281.3982460001</v>
      </c>
      <c r="T225" s="4">
        <v>2006111</v>
      </c>
      <c r="U225" s="4" t="s">
        <v>33</v>
      </c>
      <c r="V225" s="4">
        <v>7.6740000000000003E-2</v>
      </c>
      <c r="W225" s="4">
        <v>0.40433999999999998</v>
      </c>
      <c r="X225" s="4">
        <v>2.3900000000000001E-2</v>
      </c>
      <c r="Y225" s="4">
        <v>1.2907</v>
      </c>
      <c r="Z225" s="4">
        <v>8.1829199999999993</v>
      </c>
      <c r="AA225" s="4">
        <v>6.8043800000000001</v>
      </c>
      <c r="AB225" s="4">
        <v>-1.6789700000000001</v>
      </c>
    </row>
    <row r="226" spans="1:28" x14ac:dyDescent="0.25">
      <c r="A226" s="6">
        <v>31</v>
      </c>
      <c r="B226" s="4">
        <v>60</v>
      </c>
      <c r="C226" s="4">
        <v>50.02</v>
      </c>
      <c r="D226" s="4">
        <v>20</v>
      </c>
      <c r="E226" s="3">
        <v>23.5</v>
      </c>
      <c r="F226" s="3">
        <f>1.8*E226+32</f>
        <v>74.300000000000011</v>
      </c>
      <c r="G226" s="3">
        <v>16</v>
      </c>
      <c r="H226" s="3">
        <f>IF(F226&gt;68,G226+(F226-68)*0.2,#REF!-(68-F226)*0.2)</f>
        <v>17.260000000000002</v>
      </c>
      <c r="I226" s="3">
        <v>23.5</v>
      </c>
      <c r="J226" s="3">
        <f>1.8*I226+32</f>
        <v>74.300000000000011</v>
      </c>
      <c r="K226" s="3">
        <v>11</v>
      </c>
      <c r="L226" s="3">
        <f>IF(J226&gt;68,K226+(J226-68)*0.2,K226-(68-J226)*0.2)</f>
        <v>12.260000000000002</v>
      </c>
      <c r="M226" s="3">
        <f>(C226-H226)/C226*100</f>
        <v>65.493802479008394</v>
      </c>
      <c r="N226" s="3">
        <f>100-(M226+O226)</f>
        <v>9.9960015993602553</v>
      </c>
      <c r="O226" s="3">
        <f>L226/C226*100</f>
        <v>24.51019592163135</v>
      </c>
      <c r="P226" s="2" t="s">
        <v>0</v>
      </c>
      <c r="Q226" s="1">
        <v>409019.01098700002</v>
      </c>
      <c r="R226" s="1">
        <v>3659281.3982460001</v>
      </c>
      <c r="T226" s="4">
        <v>2006111</v>
      </c>
      <c r="U226" s="4" t="s">
        <v>32</v>
      </c>
      <c r="V226" s="4">
        <v>6.9620000000000001E-2</v>
      </c>
      <c r="W226" s="4">
        <v>0.38690000000000002</v>
      </c>
      <c r="X226" s="4">
        <v>2.6689999999999998E-2</v>
      </c>
      <c r="Y226" s="4">
        <v>1.2939499999999999</v>
      </c>
      <c r="Z226" s="4">
        <v>12.25112</v>
      </c>
      <c r="AA226" s="4">
        <v>8.19041</v>
      </c>
      <c r="AB226" s="4">
        <v>-1.7473799999999999</v>
      </c>
    </row>
    <row r="227" spans="1:28" x14ac:dyDescent="0.25">
      <c r="A227" s="6">
        <v>31</v>
      </c>
      <c r="B227" s="4">
        <v>90</v>
      </c>
      <c r="C227" s="4">
        <v>50.02</v>
      </c>
      <c r="D227" s="4">
        <v>20</v>
      </c>
      <c r="E227" s="3">
        <v>23.5</v>
      </c>
      <c r="F227" s="3">
        <f>1.8*E227+32</f>
        <v>74.300000000000011</v>
      </c>
      <c r="G227" s="3">
        <v>16</v>
      </c>
      <c r="H227" s="3">
        <f>IF(F227&gt;68,G227+(F227-68)*0.2,#REF!-(68-F227)*0.2)</f>
        <v>17.260000000000002</v>
      </c>
      <c r="I227" s="3">
        <v>23.5</v>
      </c>
      <c r="J227" s="3">
        <f>1.8*I227+32</f>
        <v>74.300000000000011</v>
      </c>
      <c r="K227" s="3">
        <v>10.5</v>
      </c>
      <c r="L227" s="3">
        <f>IF(J227&gt;68,K227+(J227-68)*0.2,K227-(68-J227)*0.2)</f>
        <v>11.760000000000002</v>
      </c>
      <c r="M227" s="3">
        <f>(C227-H227)/C227*100</f>
        <v>65.493802479008394</v>
      </c>
      <c r="N227" s="3">
        <f>100-(M227+O227)</f>
        <v>10.995601759296278</v>
      </c>
      <c r="O227" s="3">
        <f>L227/C227*100</f>
        <v>23.510595761695324</v>
      </c>
      <c r="P227" s="2" t="s">
        <v>0</v>
      </c>
      <c r="Q227" s="1">
        <v>409019.01098700002</v>
      </c>
      <c r="R227" s="1">
        <v>3659281.3982460001</v>
      </c>
      <c r="T227" s="4">
        <v>2006111</v>
      </c>
      <c r="U227" s="4" t="s">
        <v>31</v>
      </c>
      <c r="V227" s="4">
        <v>6.9790000000000005E-2</v>
      </c>
      <c r="W227" s="4">
        <v>0.38839000000000001</v>
      </c>
      <c r="X227" s="4">
        <v>2.6370000000000001E-2</v>
      </c>
      <c r="Y227" s="4">
        <v>1.2970999999999999</v>
      </c>
      <c r="Z227" s="4">
        <v>11.91029</v>
      </c>
      <c r="AA227" s="4">
        <v>8.1326699999999992</v>
      </c>
      <c r="AB227" s="4">
        <v>-1.7106399999999999</v>
      </c>
    </row>
    <row r="228" spans="1:28" x14ac:dyDescent="0.25">
      <c r="A228" s="6">
        <v>31</v>
      </c>
      <c r="B228" s="4">
        <v>120</v>
      </c>
      <c r="C228" s="4">
        <v>50.02</v>
      </c>
      <c r="D228" s="4">
        <v>20</v>
      </c>
      <c r="E228" s="3">
        <v>23.5</v>
      </c>
      <c r="F228" s="3">
        <f>1.8*E228+32</f>
        <v>74.300000000000011</v>
      </c>
      <c r="G228" s="3">
        <v>22</v>
      </c>
      <c r="H228" s="3">
        <f>IF(F228&gt;68,G228+(F228-68)*0.2,#REF!-(68-F228)*0.2)</f>
        <v>23.26</v>
      </c>
      <c r="I228" s="3">
        <v>23.5</v>
      </c>
      <c r="J228" s="3">
        <f>1.8*I228+32</f>
        <v>74.300000000000011</v>
      </c>
      <c r="K228" s="3">
        <v>14</v>
      </c>
      <c r="L228" s="3">
        <f>IF(J228&gt;68,K228+(J228-68)*0.2,K228-(68-J228)*0.2)</f>
        <v>15.260000000000002</v>
      </c>
      <c r="M228" s="3">
        <f>(C228-H228)/C228*100</f>
        <v>53.498600559776087</v>
      </c>
      <c r="N228" s="3">
        <f>100-(M228+O228)</f>
        <v>15.99360255897642</v>
      </c>
      <c r="O228" s="3">
        <f>L228/C228*100</f>
        <v>30.507796881247501</v>
      </c>
      <c r="P228" s="2" t="s">
        <v>0</v>
      </c>
      <c r="Q228" s="1">
        <v>409019.01098700002</v>
      </c>
      <c r="R228" s="1">
        <v>3659281.3982460001</v>
      </c>
      <c r="T228" s="4">
        <v>2006111</v>
      </c>
      <c r="U228" s="4" t="s">
        <v>30</v>
      </c>
      <c r="V228" s="4">
        <v>6.3390000000000002E-2</v>
      </c>
      <c r="W228" s="4">
        <v>0.38512999999999997</v>
      </c>
      <c r="X228" s="4">
        <v>2.6950000000000002E-2</v>
      </c>
      <c r="Y228" s="4">
        <v>1.33003</v>
      </c>
      <c r="Z228" s="4">
        <v>15.9992</v>
      </c>
      <c r="AA228" s="4">
        <v>9.4871599999999994</v>
      </c>
      <c r="AB228" s="4">
        <v>-1.4849399999999999</v>
      </c>
    </row>
    <row r="229" spans="1:28" x14ac:dyDescent="0.25">
      <c r="A229" s="6">
        <v>31</v>
      </c>
      <c r="B229" s="4">
        <v>150</v>
      </c>
      <c r="C229" s="4">
        <v>49.99</v>
      </c>
      <c r="D229" s="4">
        <v>20</v>
      </c>
      <c r="E229" s="3">
        <v>23.5</v>
      </c>
      <c r="F229" s="3">
        <f>1.8*E229+32</f>
        <v>74.300000000000011</v>
      </c>
      <c r="G229" s="3">
        <v>16</v>
      </c>
      <c r="H229" s="3">
        <f>IF(F229&gt;68,G229+(F229-68)*0.2,#REF!-(68-F229)*0.2)</f>
        <v>17.260000000000002</v>
      </c>
      <c r="I229" s="3">
        <v>23.5</v>
      </c>
      <c r="J229" s="3">
        <f>1.8*I229+32</f>
        <v>74.300000000000011</v>
      </c>
      <c r="K229" s="3">
        <v>10.5</v>
      </c>
      <c r="L229" s="3">
        <f>IF(J229&gt;68,K229+(J229-68)*0.2,K229-(68-J229)*0.2)</f>
        <v>11.760000000000002</v>
      </c>
      <c r="M229" s="3">
        <f>(C229-H229)/C229*100</f>
        <v>65.473094618923795</v>
      </c>
      <c r="N229" s="3">
        <f>100-(M229+O229)</f>
        <v>11.002200440088004</v>
      </c>
      <c r="O229" s="3">
        <f>L229/C229*100</f>
        <v>23.524704940988201</v>
      </c>
      <c r="P229" s="2" t="s">
        <v>0</v>
      </c>
      <c r="Q229" s="1">
        <v>409019.01098700002</v>
      </c>
      <c r="R229" s="1">
        <v>3659281.3982460001</v>
      </c>
      <c r="T229" s="4">
        <v>2006111</v>
      </c>
      <c r="U229" s="4" t="s">
        <v>29</v>
      </c>
      <c r="V229" s="4">
        <v>6.4019999999999994E-2</v>
      </c>
      <c r="W229" s="4">
        <v>0.37981999999999999</v>
      </c>
      <c r="X229" s="4">
        <v>2.7879999999999999E-2</v>
      </c>
      <c r="Y229" s="4">
        <v>1.3189299999999999</v>
      </c>
      <c r="Z229" s="4">
        <v>16.116720000000001</v>
      </c>
      <c r="AA229" s="4">
        <v>9.4613800000000001</v>
      </c>
      <c r="AB229" s="4">
        <v>-1.59646</v>
      </c>
    </row>
    <row r="230" spans="1:28" x14ac:dyDescent="0.25">
      <c r="A230" s="6">
        <v>31</v>
      </c>
      <c r="B230" s="4">
        <v>180</v>
      </c>
      <c r="C230" s="4">
        <v>50.02</v>
      </c>
      <c r="D230" s="4">
        <v>20</v>
      </c>
      <c r="E230" s="3">
        <v>23.5</v>
      </c>
      <c r="F230" s="3">
        <f>1.8*E230+32</f>
        <v>74.300000000000011</v>
      </c>
      <c r="G230" s="3">
        <v>18.5</v>
      </c>
      <c r="H230" s="3">
        <f>IF(F230&gt;68,G230+(F230-68)*0.2,#REF!-(68-F230)*0.2)</f>
        <v>19.760000000000002</v>
      </c>
      <c r="I230" s="3">
        <v>23.5</v>
      </c>
      <c r="J230" s="3">
        <f>1.8*I230+32</f>
        <v>74.300000000000011</v>
      </c>
      <c r="K230" s="3">
        <v>11</v>
      </c>
      <c r="L230" s="3">
        <f>IF(J230&gt;68,K230+(J230-68)*0.2,K230-(68-J230)*0.2)</f>
        <v>12.260000000000002</v>
      </c>
      <c r="M230" s="3">
        <f>(C230-H230)/C230*100</f>
        <v>60.495801679328267</v>
      </c>
      <c r="N230" s="3">
        <f>100-(M230+O230)</f>
        <v>14.994002399040383</v>
      </c>
      <c r="O230" s="3">
        <f>L230/C230*100</f>
        <v>24.51019592163135</v>
      </c>
      <c r="P230" s="2" t="s">
        <v>0</v>
      </c>
      <c r="Q230" s="1">
        <v>409019.01098700002</v>
      </c>
      <c r="R230" s="1">
        <v>3659281.3982460001</v>
      </c>
      <c r="T230" s="4">
        <v>2006111</v>
      </c>
      <c r="U230" s="4" t="s">
        <v>28</v>
      </c>
      <c r="V230" s="4">
        <v>6.5420000000000006E-2</v>
      </c>
      <c r="W230" s="4">
        <v>0.37672</v>
      </c>
      <c r="X230" s="4">
        <v>2.742E-2</v>
      </c>
      <c r="Y230" s="4">
        <v>1.3109</v>
      </c>
      <c r="Z230" s="4">
        <v>15.498950000000001</v>
      </c>
      <c r="AA230" s="4">
        <v>8.8733799999999992</v>
      </c>
      <c r="AB230" s="4">
        <v>-1.6538900000000001</v>
      </c>
    </row>
    <row r="231" spans="1:28" x14ac:dyDescent="0.25">
      <c r="T231" s="4">
        <v>2006111</v>
      </c>
      <c r="U231" s="4" t="s">
        <v>27</v>
      </c>
      <c r="V231" s="4">
        <v>6.8940000000000001E-2</v>
      </c>
      <c r="W231" s="4">
        <v>0.38396000000000002</v>
      </c>
      <c r="X231" s="4">
        <v>2.7089999999999999E-2</v>
      </c>
      <c r="Y231" s="4">
        <v>1.29179</v>
      </c>
      <c r="Z231" s="4">
        <v>12.96574</v>
      </c>
      <c r="AA231" s="4">
        <v>8.3060399999999994</v>
      </c>
      <c r="AB231" s="4">
        <v>-1.7805599999999999</v>
      </c>
    </row>
    <row r="232" spans="1:28" ht="51.75" x14ac:dyDescent="0.25">
      <c r="A232" s="15" t="s">
        <v>19</v>
      </c>
      <c r="B232" s="10" t="s">
        <v>18</v>
      </c>
      <c r="C232" s="14" t="s">
        <v>17</v>
      </c>
      <c r="D232" s="13" t="s">
        <v>16</v>
      </c>
      <c r="E232" s="12" t="s">
        <v>15</v>
      </c>
      <c r="F232" s="12" t="s">
        <v>14</v>
      </c>
      <c r="G232" s="12" t="s">
        <v>13</v>
      </c>
      <c r="H232" s="12" t="s">
        <v>12</v>
      </c>
      <c r="I232" s="12" t="s">
        <v>11</v>
      </c>
      <c r="J232" s="12" t="s">
        <v>10</v>
      </c>
      <c r="K232" s="12" t="s">
        <v>9</v>
      </c>
      <c r="L232" s="12" t="s">
        <v>8</v>
      </c>
      <c r="M232" s="11" t="s">
        <v>7</v>
      </c>
      <c r="N232" s="11" t="s">
        <v>6</v>
      </c>
      <c r="O232" s="11" t="s">
        <v>5</v>
      </c>
      <c r="P232" s="10" t="s">
        <v>4</v>
      </c>
      <c r="Q232" s="17" t="s">
        <v>3</v>
      </c>
      <c r="R232" s="17"/>
      <c r="T232" s="4">
        <v>2006111</v>
      </c>
      <c r="U232" s="4" t="s">
        <v>26</v>
      </c>
      <c r="V232" s="4">
        <v>7.9549999999999996E-2</v>
      </c>
      <c r="W232" s="4">
        <v>0.40616000000000002</v>
      </c>
      <c r="X232" s="4">
        <v>2.5989999999999999E-2</v>
      </c>
      <c r="Y232" s="4">
        <v>1.25766</v>
      </c>
      <c r="Z232" s="4">
        <v>9.9660499999999992</v>
      </c>
      <c r="AA232" s="4">
        <v>6.9455900000000002</v>
      </c>
      <c r="AB232" s="4">
        <v>-2.07972</v>
      </c>
    </row>
    <row r="233" spans="1:28" x14ac:dyDescent="0.25">
      <c r="A233" s="4"/>
      <c r="B233" s="4"/>
      <c r="C233" s="4"/>
      <c r="D233" s="4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2"/>
      <c r="Q233" s="7" t="s">
        <v>2</v>
      </c>
      <c r="R233" s="7" t="s">
        <v>1</v>
      </c>
      <c r="T233" s="4">
        <v>2006111</v>
      </c>
      <c r="U233" s="4" t="s">
        <v>25</v>
      </c>
      <c r="V233" s="4">
        <v>6.8820000000000006E-2</v>
      </c>
      <c r="W233" s="4">
        <v>0.37823000000000001</v>
      </c>
      <c r="X233" s="4">
        <v>2.6960000000000001E-2</v>
      </c>
      <c r="Y233" s="4">
        <v>1.28606</v>
      </c>
      <c r="Z233" s="4">
        <v>13.86186</v>
      </c>
      <c r="AA233" s="4">
        <v>8.0242400000000007</v>
      </c>
      <c r="AB233" s="4">
        <v>-1.8395999999999999</v>
      </c>
    </row>
    <row r="234" spans="1:28" x14ac:dyDescent="0.25">
      <c r="A234" s="6">
        <v>32</v>
      </c>
      <c r="B234" s="4">
        <v>30</v>
      </c>
      <c r="C234" s="4">
        <v>49.99</v>
      </c>
      <c r="D234" s="4">
        <v>20</v>
      </c>
      <c r="E234" s="3">
        <v>24</v>
      </c>
      <c r="F234" s="3">
        <f>1.8*E234+32</f>
        <v>75.2</v>
      </c>
      <c r="G234" s="3">
        <v>17</v>
      </c>
      <c r="H234" s="3">
        <f>IF(F234&gt;68,G234+(F234-68)*0.2,#REF!-(68-F234)*0.2)</f>
        <v>18.440000000000001</v>
      </c>
      <c r="I234" s="3">
        <v>24</v>
      </c>
      <c r="J234" s="3">
        <f>1.8*I234+32</f>
        <v>75.2</v>
      </c>
      <c r="K234" s="3">
        <v>11</v>
      </c>
      <c r="L234" s="3">
        <f>IF(J234&gt;68,K234+(J234-68)*0.2,K234-(68-J234)*0.2)</f>
        <v>12.440000000000001</v>
      </c>
      <c r="M234" s="3">
        <f>(C234-H234)/C234*100</f>
        <v>63.1126225245049</v>
      </c>
      <c r="N234" s="3">
        <f>100-(M234+O234)</f>
        <v>12.002400480096014</v>
      </c>
      <c r="O234" s="3">
        <f>L234/C234*100</f>
        <v>24.884976995399079</v>
      </c>
      <c r="P234" s="2" t="s">
        <v>0</v>
      </c>
      <c r="Q234" s="1">
        <v>409031.18973799999</v>
      </c>
      <c r="R234" s="1">
        <v>3659281.1857480002</v>
      </c>
      <c r="T234" s="4">
        <v>2006111</v>
      </c>
      <c r="U234" s="4" t="s">
        <v>24</v>
      </c>
      <c r="V234" s="4">
        <v>5.7189999999999998E-2</v>
      </c>
      <c r="W234" s="4">
        <v>0.37343999999999999</v>
      </c>
      <c r="X234" s="4">
        <v>2.9219999999999999E-2</v>
      </c>
      <c r="Y234" s="4">
        <v>1.4390000000000001</v>
      </c>
      <c r="Z234" s="4">
        <v>33.805259999999997</v>
      </c>
      <c r="AA234" s="4">
        <v>12.394500000000001</v>
      </c>
      <c r="AB234" s="4">
        <v>-1.19265</v>
      </c>
    </row>
    <row r="235" spans="1:28" x14ac:dyDescent="0.25">
      <c r="A235" s="6">
        <v>32</v>
      </c>
      <c r="B235" s="4">
        <v>60</v>
      </c>
      <c r="C235" s="4">
        <v>49.99</v>
      </c>
      <c r="D235" s="4">
        <v>20</v>
      </c>
      <c r="E235" s="3">
        <v>24</v>
      </c>
      <c r="F235" s="3">
        <f>1.8*E235+32</f>
        <v>75.2</v>
      </c>
      <c r="G235" s="3">
        <v>16</v>
      </c>
      <c r="H235" s="3">
        <f>IF(F235&gt;68,G235+(F235-68)*0.2,#REF!-(68-F235)*0.2)</f>
        <v>17.440000000000001</v>
      </c>
      <c r="I235" s="3">
        <v>24</v>
      </c>
      <c r="J235" s="3">
        <f>1.8*I235+32</f>
        <v>75.2</v>
      </c>
      <c r="K235" s="3">
        <v>10.5</v>
      </c>
      <c r="L235" s="3">
        <f>IF(J235&gt;68,K235+(J235-68)*0.2,K235-(68-J235)*0.2)</f>
        <v>11.940000000000001</v>
      </c>
      <c r="M235" s="3">
        <f>(C235-H235)/C235*100</f>
        <v>65.113022604520893</v>
      </c>
      <c r="N235" s="3">
        <f>100-(M235+O235)</f>
        <v>11.002200440088032</v>
      </c>
      <c r="O235" s="3">
        <f>L235/C235*100</f>
        <v>23.884776955391079</v>
      </c>
      <c r="P235" s="2" t="s">
        <v>0</v>
      </c>
      <c r="Q235" s="1">
        <v>409031.18973799999</v>
      </c>
      <c r="R235" s="1">
        <v>3659281.1857480002</v>
      </c>
    </row>
    <row r="236" spans="1:28" x14ac:dyDescent="0.25">
      <c r="A236" s="6">
        <v>32</v>
      </c>
      <c r="B236" s="4">
        <v>90</v>
      </c>
      <c r="C236" s="4">
        <v>50.01</v>
      </c>
      <c r="D236" s="4">
        <v>20</v>
      </c>
      <c r="E236" s="3">
        <v>24</v>
      </c>
      <c r="F236" s="3">
        <f>1.8*E236+32</f>
        <v>75.2</v>
      </c>
      <c r="G236" s="3">
        <v>20</v>
      </c>
      <c r="H236" s="3">
        <f>IF(F236&gt;68,G236+(F236-68)*0.2,#REF!-(68-F236)*0.2)</f>
        <v>21.44</v>
      </c>
      <c r="I236" s="3">
        <v>24</v>
      </c>
      <c r="J236" s="3">
        <f>1.8*I236+32</f>
        <v>75.2</v>
      </c>
      <c r="K236" s="3">
        <v>13</v>
      </c>
      <c r="L236" s="3">
        <f>IF(J236&gt;68,K236+(J236-68)*0.2,K236-(68-J236)*0.2)</f>
        <v>14.440000000000001</v>
      </c>
      <c r="M236" s="3">
        <f>(C236-H236)/C236*100</f>
        <v>57.12857428514296</v>
      </c>
      <c r="N236" s="3">
        <f>100-(M236+O236)</f>
        <v>13.997200559888029</v>
      </c>
      <c r="O236" s="3">
        <f>L236/C236*100</f>
        <v>28.874225154969007</v>
      </c>
      <c r="P236" s="2" t="s">
        <v>0</v>
      </c>
      <c r="Q236" s="1">
        <v>409031.18973799999</v>
      </c>
      <c r="R236" s="1">
        <v>3659281.1857480002</v>
      </c>
    </row>
    <row r="237" spans="1:28" x14ac:dyDescent="0.25">
      <c r="A237" s="6">
        <v>32</v>
      </c>
      <c r="B237" s="4">
        <v>120</v>
      </c>
      <c r="C237" s="4">
        <v>50.02</v>
      </c>
      <c r="D237" s="4">
        <v>20</v>
      </c>
      <c r="E237" s="3">
        <v>24</v>
      </c>
      <c r="F237" s="3">
        <f>1.8*E237+32</f>
        <v>75.2</v>
      </c>
      <c r="G237" s="3">
        <v>28</v>
      </c>
      <c r="H237" s="3">
        <f>IF(F237&gt;68,G237+(F237-68)*0.2,#REF!-(68-F237)*0.2)</f>
        <v>29.44</v>
      </c>
      <c r="I237" s="3">
        <v>24</v>
      </c>
      <c r="J237" s="3">
        <f>1.8*I237+32</f>
        <v>75.2</v>
      </c>
      <c r="K237" s="3">
        <v>18</v>
      </c>
      <c r="L237" s="3">
        <f>IF(J237&gt;68,K237+(J237-68)*0.2,K237-(68-J237)*0.2)</f>
        <v>19.440000000000001</v>
      </c>
      <c r="M237" s="3">
        <f>(C237-H237)/C237*100</f>
        <v>41.143542582966816</v>
      </c>
      <c r="N237" s="3">
        <f>100-(M237+O237)</f>
        <v>19.992003198720511</v>
      </c>
      <c r="O237" s="3">
        <f>L237/C237*100</f>
        <v>38.86445421831268</v>
      </c>
      <c r="P237" s="2" t="s">
        <v>23</v>
      </c>
      <c r="Q237" s="1">
        <v>409031.18973799999</v>
      </c>
      <c r="R237" s="1">
        <v>3659281.1857480002</v>
      </c>
    </row>
    <row r="238" spans="1:28" x14ac:dyDescent="0.25">
      <c r="A238" s="6">
        <v>32</v>
      </c>
      <c r="B238" s="4">
        <v>150</v>
      </c>
      <c r="C238" s="4">
        <v>50</v>
      </c>
      <c r="D238" s="4">
        <v>20</v>
      </c>
      <c r="E238" s="3">
        <v>24</v>
      </c>
      <c r="F238" s="3">
        <f>1.8*E238+32</f>
        <v>75.2</v>
      </c>
      <c r="G238" s="3">
        <v>22</v>
      </c>
      <c r="H238" s="3">
        <f>IF(F238&gt;68,G238+(F238-68)*0.2,#REF!-(68-F238)*0.2)</f>
        <v>23.44</v>
      </c>
      <c r="I238" s="3">
        <v>24</v>
      </c>
      <c r="J238" s="3">
        <f>1.8*I238+32</f>
        <v>75.2</v>
      </c>
      <c r="K238" s="3">
        <v>20.5</v>
      </c>
      <c r="L238" s="3">
        <f>IF(J238&gt;68,K238+(J238-68)*0.2,K238-(68-J238)*0.2)</f>
        <v>21.94</v>
      </c>
      <c r="M238" s="3">
        <f>(C238-H238)/C238*100</f>
        <v>53.12</v>
      </c>
      <c r="N238" s="3">
        <f>100-(M238+O238)</f>
        <v>3</v>
      </c>
      <c r="O238" s="3">
        <f>L238/C238*100</f>
        <v>43.88</v>
      </c>
      <c r="P238" s="2" t="s">
        <v>22</v>
      </c>
      <c r="Q238" s="1">
        <v>409031.18973799999</v>
      </c>
      <c r="R238" s="1">
        <v>3659281.1857480002</v>
      </c>
    </row>
    <row r="239" spans="1:28" x14ac:dyDescent="0.25">
      <c r="A239" s="6">
        <v>32</v>
      </c>
      <c r="B239" s="4">
        <v>180</v>
      </c>
      <c r="C239" s="4">
        <v>49.98</v>
      </c>
      <c r="D239" s="4">
        <v>20</v>
      </c>
      <c r="E239" s="3">
        <v>24</v>
      </c>
      <c r="F239" s="3">
        <f>1.8*E239+32</f>
        <v>75.2</v>
      </c>
      <c r="G239" s="3">
        <v>15</v>
      </c>
      <c r="H239" s="3">
        <f>IF(F239&gt;68,G239+(F239-68)*0.2,#REF!-(68-F239)*0.2)</f>
        <v>16.440000000000001</v>
      </c>
      <c r="I239" s="3">
        <v>24</v>
      </c>
      <c r="J239" s="3">
        <f>1.8*I239+32</f>
        <v>75.2</v>
      </c>
      <c r="K239" s="3">
        <v>10.5</v>
      </c>
      <c r="L239" s="3">
        <f>IF(J239&gt;68,K239+(J239-68)*0.2,K239-(68-J239)*0.2)</f>
        <v>11.940000000000001</v>
      </c>
      <c r="M239" s="3">
        <f>(C239-H239)/C239*100</f>
        <v>67.106842737094823</v>
      </c>
      <c r="N239" s="3">
        <f>100-(M239+O239)</f>
        <v>9.003601440576233</v>
      </c>
      <c r="O239" s="3">
        <f>L239/C239*100</f>
        <v>23.889555822328937</v>
      </c>
      <c r="P239" s="2" t="s">
        <v>0</v>
      </c>
      <c r="Q239" s="1">
        <v>409031.18973799999</v>
      </c>
      <c r="R239" s="1">
        <v>3659281.1857480002</v>
      </c>
    </row>
    <row r="241" spans="1:18" ht="51.75" x14ac:dyDescent="0.25">
      <c r="A241" s="15" t="s">
        <v>19</v>
      </c>
      <c r="B241" s="10" t="s">
        <v>18</v>
      </c>
      <c r="C241" s="14" t="s">
        <v>17</v>
      </c>
      <c r="D241" s="13" t="s">
        <v>16</v>
      </c>
      <c r="E241" s="12" t="s">
        <v>15</v>
      </c>
      <c r="F241" s="12" t="s">
        <v>14</v>
      </c>
      <c r="G241" s="12" t="s">
        <v>13</v>
      </c>
      <c r="H241" s="12" t="s">
        <v>12</v>
      </c>
      <c r="I241" s="12" t="s">
        <v>11</v>
      </c>
      <c r="J241" s="12" t="s">
        <v>10</v>
      </c>
      <c r="K241" s="12" t="s">
        <v>9</v>
      </c>
      <c r="L241" s="12" t="s">
        <v>8</v>
      </c>
      <c r="M241" s="11" t="s">
        <v>7</v>
      </c>
      <c r="N241" s="11" t="s">
        <v>6</v>
      </c>
      <c r="O241" s="11" t="s">
        <v>5</v>
      </c>
      <c r="P241" s="10" t="s">
        <v>4</v>
      </c>
      <c r="Q241" s="17" t="s">
        <v>3</v>
      </c>
      <c r="R241" s="17"/>
    </row>
    <row r="242" spans="1:18" x14ac:dyDescent="0.25">
      <c r="A242" s="4"/>
      <c r="B242" s="4"/>
      <c r="C242" s="5"/>
      <c r="D242" s="4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2"/>
      <c r="Q242" s="7" t="s">
        <v>2</v>
      </c>
      <c r="R242" s="7" t="s">
        <v>1</v>
      </c>
    </row>
    <row r="243" spans="1:18" x14ac:dyDescent="0.25">
      <c r="A243" s="6">
        <v>33</v>
      </c>
      <c r="B243" s="4">
        <v>30</v>
      </c>
      <c r="C243" s="5">
        <v>50</v>
      </c>
      <c r="D243" s="4">
        <v>20</v>
      </c>
      <c r="E243" s="3">
        <v>23</v>
      </c>
      <c r="F243" s="3">
        <f>1.8*E243+32</f>
        <v>73.400000000000006</v>
      </c>
      <c r="G243" s="3">
        <v>14.5</v>
      </c>
      <c r="H243" s="3">
        <f>IF(F243&gt;68,G243+(F243-68)*0.2,#REF!-(68-F243)*0.2)</f>
        <v>15.580000000000002</v>
      </c>
      <c r="I243" s="3">
        <v>22.5</v>
      </c>
      <c r="J243" s="3">
        <f>1.8*I243+32</f>
        <v>72.5</v>
      </c>
      <c r="K243" s="3">
        <v>9</v>
      </c>
      <c r="L243" s="3">
        <f>IF(J243&gt;68,K243+(J243-68)*0.2,K243-(68-J243)*0.2)</f>
        <v>9.9</v>
      </c>
      <c r="M243" s="3">
        <f>(C243-H243)/C243*100</f>
        <v>68.84</v>
      </c>
      <c r="N243" s="3">
        <f>100-(M243+O243)</f>
        <v>11.36</v>
      </c>
      <c r="O243" s="3">
        <f>L243/C243*100</f>
        <v>19.8</v>
      </c>
      <c r="P243" s="2" t="s">
        <v>0</v>
      </c>
      <c r="Q243" s="1">
        <v>409043.38303099998</v>
      </c>
      <c r="R243" s="1">
        <v>3659280.945636</v>
      </c>
    </row>
    <row r="244" spans="1:18" x14ac:dyDescent="0.25">
      <c r="A244" s="6">
        <v>33</v>
      </c>
      <c r="B244" s="4">
        <v>60</v>
      </c>
      <c r="C244" s="5">
        <v>50</v>
      </c>
      <c r="D244" s="4">
        <v>20</v>
      </c>
      <c r="E244" s="3">
        <v>23</v>
      </c>
      <c r="F244" s="3">
        <f>1.8*E244+32</f>
        <v>73.400000000000006</v>
      </c>
      <c r="G244" s="3">
        <v>16</v>
      </c>
      <c r="H244" s="3">
        <f>IF(F244&gt;68,G244+(F244-68)*0.2,#REF!-(68-F244)*0.2)</f>
        <v>17.080000000000002</v>
      </c>
      <c r="I244" s="3">
        <v>23</v>
      </c>
      <c r="J244" s="3">
        <f>1.8*I244+32</f>
        <v>73.400000000000006</v>
      </c>
      <c r="K244" s="3">
        <v>10</v>
      </c>
      <c r="L244" s="3">
        <f>IF(J244&gt;68,K244+(J244-68)*0.2,K244-(68-J244)*0.2)</f>
        <v>11.080000000000002</v>
      </c>
      <c r="M244" s="3">
        <f>(C244-H244)/C244*100</f>
        <v>65.84</v>
      </c>
      <c r="N244" s="3">
        <f>100-(M244+O244)</f>
        <v>12</v>
      </c>
      <c r="O244" s="3">
        <f>L244/C244*100</f>
        <v>22.160000000000004</v>
      </c>
      <c r="P244" s="2" t="s">
        <v>0</v>
      </c>
      <c r="Q244" s="1">
        <v>409043.38303099998</v>
      </c>
      <c r="R244" s="1">
        <v>3659280.945636</v>
      </c>
    </row>
    <row r="245" spans="1:18" x14ac:dyDescent="0.25">
      <c r="A245" s="6">
        <v>33</v>
      </c>
      <c r="B245" s="4">
        <v>90</v>
      </c>
      <c r="C245" s="5">
        <v>50</v>
      </c>
      <c r="D245" s="4">
        <v>20</v>
      </c>
      <c r="E245" s="3">
        <v>23</v>
      </c>
      <c r="F245" s="3">
        <f>1.8*E245+32</f>
        <v>73.400000000000006</v>
      </c>
      <c r="G245" s="3">
        <v>17</v>
      </c>
      <c r="H245" s="3">
        <f>IF(F245&gt;68,G245+(F245-68)*0.2,#REF!-(68-F245)*0.2)</f>
        <v>18.080000000000002</v>
      </c>
      <c r="I245" s="3">
        <v>23</v>
      </c>
      <c r="J245" s="3">
        <f>1.8*I245+32</f>
        <v>73.400000000000006</v>
      </c>
      <c r="K245" s="3">
        <v>10.5</v>
      </c>
      <c r="L245" s="3">
        <f>IF(J245&gt;68,K245+(J245-68)*0.2,K245-(68-J245)*0.2)</f>
        <v>11.580000000000002</v>
      </c>
      <c r="M245" s="3">
        <f>(C245-H245)/C245*100</f>
        <v>63.839999999999996</v>
      </c>
      <c r="N245" s="3">
        <f>100-(M245+O245)</f>
        <v>13</v>
      </c>
      <c r="O245" s="3">
        <f>L245/C245*100</f>
        <v>23.160000000000004</v>
      </c>
      <c r="P245" s="2" t="s">
        <v>0</v>
      </c>
      <c r="Q245" s="1">
        <v>409043.38303099998</v>
      </c>
      <c r="R245" s="1">
        <v>3659280.945636</v>
      </c>
    </row>
    <row r="246" spans="1:18" x14ac:dyDescent="0.25">
      <c r="A246" s="6">
        <v>33</v>
      </c>
      <c r="B246" s="4">
        <v>120</v>
      </c>
      <c r="C246" s="5">
        <v>50.01</v>
      </c>
      <c r="D246" s="4">
        <v>20</v>
      </c>
      <c r="E246" s="3">
        <v>25</v>
      </c>
      <c r="F246" s="3">
        <f>1.8*E246+32</f>
        <v>77</v>
      </c>
      <c r="G246" s="3">
        <v>22.5</v>
      </c>
      <c r="H246" s="3">
        <f>IF(F246&gt;68,G246+(F246-68)*0.2,#REF!-(68-F246)*0.2)</f>
        <v>24.3</v>
      </c>
      <c r="I246" s="3">
        <v>23</v>
      </c>
      <c r="J246" s="3">
        <f>1.8*I246+32</f>
        <v>73.400000000000006</v>
      </c>
      <c r="K246" s="3">
        <v>14.5</v>
      </c>
      <c r="L246" s="3">
        <f>IF(J246&gt;68,K246+(J246-68)*0.2,K246-(68-J246)*0.2)</f>
        <v>15.580000000000002</v>
      </c>
      <c r="M246" s="3">
        <f>(C246-H246)/C246*100</f>
        <v>51.409718056388719</v>
      </c>
      <c r="N246" s="3">
        <f>100-(M246+O246)</f>
        <v>17.4365126974605</v>
      </c>
      <c r="O246" s="3">
        <f>L246/C246*100</f>
        <v>31.153769246150777</v>
      </c>
      <c r="P246" s="2" t="s">
        <v>0</v>
      </c>
      <c r="Q246" s="1">
        <v>409043.38303099998</v>
      </c>
      <c r="R246" s="1">
        <v>3659280.945636</v>
      </c>
    </row>
    <row r="247" spans="1:18" x14ac:dyDescent="0.25">
      <c r="A247" s="6">
        <v>33</v>
      </c>
      <c r="B247" s="4">
        <v>150</v>
      </c>
      <c r="C247" s="5">
        <v>50.01</v>
      </c>
      <c r="D247" s="4">
        <v>20</v>
      </c>
      <c r="E247" s="3">
        <v>25</v>
      </c>
      <c r="F247" s="3">
        <f>1.8*E247+32</f>
        <v>77</v>
      </c>
      <c r="G247" s="3">
        <v>21.5</v>
      </c>
      <c r="H247" s="3">
        <f>IF(F247&gt;68,G247+(F247-68)*0.2,#REF!-(68-F247)*0.2)</f>
        <v>23.3</v>
      </c>
      <c r="I247" s="3">
        <v>23</v>
      </c>
      <c r="J247" s="3">
        <f>1.8*I247+32</f>
        <v>73.400000000000006</v>
      </c>
      <c r="K247" s="3">
        <v>14</v>
      </c>
      <c r="L247" s="3">
        <f>IF(J247&gt;68,K247+(J247-68)*0.2,K247-(68-J247)*0.2)</f>
        <v>15.080000000000002</v>
      </c>
      <c r="M247" s="3">
        <f>(C247-H247)/C247*100</f>
        <v>53.409318136372718</v>
      </c>
      <c r="N247" s="3">
        <f>100-(M247+O247)</f>
        <v>16.436712657468519</v>
      </c>
      <c r="O247" s="3">
        <f>L247/C247*100</f>
        <v>30.15396920615877</v>
      </c>
      <c r="P247" s="2" t="s">
        <v>0</v>
      </c>
      <c r="Q247" s="1">
        <v>409043.38303099998</v>
      </c>
      <c r="R247" s="1">
        <v>3659280.945636</v>
      </c>
    </row>
    <row r="248" spans="1:18" x14ac:dyDescent="0.25">
      <c r="A248" s="6">
        <v>33</v>
      </c>
      <c r="B248" s="4">
        <v>180</v>
      </c>
      <c r="C248" s="5">
        <v>50.02</v>
      </c>
      <c r="D248" s="4">
        <v>20</v>
      </c>
      <c r="E248" s="3">
        <v>25</v>
      </c>
      <c r="F248" s="3">
        <f>1.8*E248+32</f>
        <v>77</v>
      </c>
      <c r="G248" s="3">
        <v>15.5</v>
      </c>
      <c r="H248" s="3">
        <f>IF(F248&gt;68,G248+(F248-68)*0.2,#REF!-(68-F248)*0.2)</f>
        <v>17.3</v>
      </c>
      <c r="I248" s="3">
        <v>23</v>
      </c>
      <c r="J248" s="3">
        <f>1.8*I248+32</f>
        <v>73.400000000000006</v>
      </c>
      <c r="K248" s="3">
        <v>12</v>
      </c>
      <c r="L248" s="3">
        <f>IF(J248&gt;68,K248+(J248-68)*0.2,K248-(68-J248)*0.2)</f>
        <v>13.080000000000002</v>
      </c>
      <c r="M248" s="3">
        <f>(C248-H248)/C248*100</f>
        <v>65.413834466213501</v>
      </c>
      <c r="N248" s="3">
        <f>100-(M248+O248)</f>
        <v>8.4366253498600656</v>
      </c>
      <c r="O248" s="3">
        <f>L248/C248*100</f>
        <v>26.149540183926433</v>
      </c>
      <c r="P248" s="2" t="s">
        <v>0</v>
      </c>
      <c r="Q248" s="1">
        <v>409043.38303099998</v>
      </c>
      <c r="R248" s="1">
        <v>3659280.945636</v>
      </c>
    </row>
    <row r="250" spans="1:18" ht="51.75" x14ac:dyDescent="0.25">
      <c r="A250" s="15" t="s">
        <v>19</v>
      </c>
      <c r="B250" s="10" t="s">
        <v>18</v>
      </c>
      <c r="C250" s="14" t="s">
        <v>17</v>
      </c>
      <c r="D250" s="13" t="s">
        <v>16</v>
      </c>
      <c r="E250" s="12" t="s">
        <v>15</v>
      </c>
      <c r="F250" s="12" t="s">
        <v>14</v>
      </c>
      <c r="G250" s="12" t="s">
        <v>13</v>
      </c>
      <c r="H250" s="12" t="s">
        <v>12</v>
      </c>
      <c r="I250" s="12" t="s">
        <v>11</v>
      </c>
      <c r="J250" s="12" t="s">
        <v>10</v>
      </c>
      <c r="K250" s="12" t="s">
        <v>9</v>
      </c>
      <c r="L250" s="12" t="s">
        <v>8</v>
      </c>
      <c r="M250" s="11" t="s">
        <v>7</v>
      </c>
      <c r="N250" s="11" t="s">
        <v>6</v>
      </c>
      <c r="O250" s="11" t="s">
        <v>5</v>
      </c>
      <c r="P250" s="10" t="s">
        <v>4</v>
      </c>
      <c r="Q250" s="17" t="s">
        <v>3</v>
      </c>
      <c r="R250" s="17"/>
    </row>
    <row r="251" spans="1:18" x14ac:dyDescent="0.25">
      <c r="A251" s="4"/>
      <c r="B251" s="4"/>
      <c r="C251" s="4"/>
      <c r="D251" s="4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2"/>
      <c r="Q251" s="7" t="s">
        <v>2</v>
      </c>
      <c r="R251" s="7" t="s">
        <v>1</v>
      </c>
    </row>
    <row r="252" spans="1:18" x14ac:dyDescent="0.25">
      <c r="A252" s="6">
        <v>34</v>
      </c>
      <c r="B252" s="4">
        <v>30</v>
      </c>
      <c r="C252" s="4">
        <v>50</v>
      </c>
      <c r="D252" s="4">
        <v>20</v>
      </c>
      <c r="E252" s="3">
        <v>24</v>
      </c>
      <c r="F252" s="3">
        <f>1.8*E252+32</f>
        <v>75.2</v>
      </c>
      <c r="G252" s="3">
        <v>13</v>
      </c>
      <c r="H252" s="3">
        <f>IF(F252&gt;68,G252+(F252-68)*0.2,#REF!-(68-F252)*0.2)</f>
        <v>14.440000000000001</v>
      </c>
      <c r="I252" s="3">
        <v>24</v>
      </c>
      <c r="J252" s="3">
        <f>1.8*I252+32</f>
        <v>75.2</v>
      </c>
      <c r="K252" s="3">
        <v>9</v>
      </c>
      <c r="L252" s="3">
        <f>IF(J252&gt;68,K252+(J252-68)*0.2,K252-(68-J252)*0.2)</f>
        <v>10.440000000000001</v>
      </c>
      <c r="M252" s="3">
        <f>(C252-H252)/C252*100</f>
        <v>71.12</v>
      </c>
      <c r="N252" s="3">
        <f>100-(M252+O252)</f>
        <v>8</v>
      </c>
      <c r="O252" s="3">
        <f>L252/C252*100</f>
        <v>20.880000000000003</v>
      </c>
      <c r="P252" s="2" t="s">
        <v>0</v>
      </c>
      <c r="Q252" s="1">
        <v>409055.59148800001</v>
      </c>
      <c r="R252" s="1">
        <v>3659280.7498019999</v>
      </c>
    </row>
    <row r="253" spans="1:18" x14ac:dyDescent="0.25">
      <c r="A253" s="6">
        <v>34</v>
      </c>
      <c r="B253" s="4">
        <v>60</v>
      </c>
      <c r="C253" s="4">
        <v>50.04</v>
      </c>
      <c r="D253" s="4">
        <v>20</v>
      </c>
      <c r="E253" s="3">
        <v>24</v>
      </c>
      <c r="F253" s="3">
        <f>1.8*E253+32</f>
        <v>75.2</v>
      </c>
      <c r="G253" s="3">
        <v>14</v>
      </c>
      <c r="H253" s="3">
        <f>IF(F253&gt;68,G253+(F253-68)*0.2,#REF!-(68-F253)*0.2)</f>
        <v>15.440000000000001</v>
      </c>
      <c r="I253" s="3">
        <v>24</v>
      </c>
      <c r="J253" s="3">
        <f>1.8*I253+32</f>
        <v>75.2</v>
      </c>
      <c r="K253" s="3">
        <v>8</v>
      </c>
      <c r="L253" s="3">
        <f>IF(J253&gt;68,K253+(J253-68)*0.2,K253-(68-J253)*0.2)</f>
        <v>9.4400000000000013</v>
      </c>
      <c r="M253" s="3">
        <f>(C253-H253)/C253*100</f>
        <v>69.144684252597912</v>
      </c>
      <c r="N253" s="3">
        <f>100-(M253+O253)</f>
        <v>11.990407673860915</v>
      </c>
      <c r="O253" s="3">
        <f>L253/C253*100</f>
        <v>18.864908073541169</v>
      </c>
      <c r="P253" s="2" t="s">
        <v>20</v>
      </c>
      <c r="Q253" s="1">
        <v>409055.59148800001</v>
      </c>
      <c r="R253" s="1">
        <v>3659280.7498019999</v>
      </c>
    </row>
    <row r="254" spans="1:18" x14ac:dyDescent="0.25">
      <c r="A254" s="6">
        <v>34</v>
      </c>
      <c r="B254" s="4">
        <v>90</v>
      </c>
      <c r="C254" s="4">
        <v>50.04</v>
      </c>
      <c r="D254" s="4">
        <v>20</v>
      </c>
      <c r="E254" s="3">
        <v>24</v>
      </c>
      <c r="F254" s="3">
        <f>1.8*E254+32</f>
        <v>75.2</v>
      </c>
      <c r="G254" s="3">
        <v>14</v>
      </c>
      <c r="H254" s="3">
        <f>IF(F254&gt;68,G254+(F254-68)*0.2,#REF!-(68-F254)*0.2)</f>
        <v>15.440000000000001</v>
      </c>
      <c r="I254" s="3">
        <v>24</v>
      </c>
      <c r="J254" s="3">
        <f>1.8*I254+32</f>
        <v>75.2</v>
      </c>
      <c r="K254" s="3">
        <v>7.5</v>
      </c>
      <c r="L254" s="3">
        <f>IF(J254&gt;68,K254+(J254-68)*0.2,K254-(68-J254)*0.2)</f>
        <v>8.9400000000000013</v>
      </c>
      <c r="M254" s="3">
        <f>(C254-H254)/C254*100</f>
        <v>69.144684252597912</v>
      </c>
      <c r="N254" s="3">
        <f>100-(M254+O254)</f>
        <v>12.989608313349322</v>
      </c>
      <c r="O254" s="3">
        <f>L254/C254*100</f>
        <v>17.865707434052762</v>
      </c>
      <c r="P254" s="2" t="s">
        <v>20</v>
      </c>
      <c r="Q254" s="1">
        <v>409055.59148800001</v>
      </c>
      <c r="R254" s="1">
        <v>3659280.7498019999</v>
      </c>
    </row>
    <row r="255" spans="1:18" x14ac:dyDescent="0.25">
      <c r="A255" s="6">
        <v>34</v>
      </c>
      <c r="B255" s="4">
        <v>120</v>
      </c>
      <c r="C255" s="4">
        <v>50</v>
      </c>
      <c r="D255" s="4">
        <v>20</v>
      </c>
      <c r="E255" s="3">
        <v>24</v>
      </c>
      <c r="F255" s="3">
        <f>1.8*E255+32</f>
        <v>75.2</v>
      </c>
      <c r="G255" s="3">
        <v>18</v>
      </c>
      <c r="H255" s="3">
        <f>IF(F255&gt;68,G255+(F255-68)*0.2,#REF!-(68-F255)*0.2)</f>
        <v>19.440000000000001</v>
      </c>
      <c r="I255" s="3">
        <v>24</v>
      </c>
      <c r="J255" s="3">
        <f>1.8*I255+32</f>
        <v>75.2</v>
      </c>
      <c r="K255" s="3">
        <v>9.5</v>
      </c>
      <c r="L255" s="3">
        <f>IF(J255&gt;68,K255+(J255-68)*0.2,K255-(68-J255)*0.2)</f>
        <v>10.940000000000001</v>
      </c>
      <c r="M255" s="3">
        <f>(C255-H255)/C255*100</f>
        <v>61.12</v>
      </c>
      <c r="N255" s="3">
        <f>100-(M255+O255)</f>
        <v>17</v>
      </c>
      <c r="O255" s="3">
        <f>L255/C255*100</f>
        <v>21.880000000000003</v>
      </c>
      <c r="P255" s="2" t="s">
        <v>0</v>
      </c>
      <c r="Q255" s="1">
        <v>409055.59148800001</v>
      </c>
      <c r="R255" s="1">
        <v>3659280.7498019999</v>
      </c>
    </row>
    <row r="256" spans="1:18" x14ac:dyDescent="0.25">
      <c r="A256" s="6">
        <v>34</v>
      </c>
      <c r="B256" s="4">
        <v>150</v>
      </c>
      <c r="C256" s="4">
        <v>49.99</v>
      </c>
      <c r="D256" s="4">
        <v>20</v>
      </c>
      <c r="E256" s="3">
        <v>24</v>
      </c>
      <c r="F256" s="3">
        <f>1.8*E256+32</f>
        <v>75.2</v>
      </c>
      <c r="G256" s="3">
        <v>21.5</v>
      </c>
      <c r="H256" s="3">
        <f>IF(F256&gt;68,G256+(F256-68)*0.2,#REF!-(68-F256)*0.2)</f>
        <v>22.94</v>
      </c>
      <c r="I256" s="3">
        <v>24</v>
      </c>
      <c r="J256" s="3">
        <f>1.8*I256+32</f>
        <v>75.2</v>
      </c>
      <c r="K256" s="3">
        <v>14</v>
      </c>
      <c r="L256" s="3">
        <f>IF(J256&gt;68,K256+(J256-68)*0.2,K256-(68-J256)*0.2)</f>
        <v>15.440000000000001</v>
      </c>
      <c r="M256" s="3">
        <f>(C256-H256)/C256*100</f>
        <v>54.110822164432882</v>
      </c>
      <c r="N256" s="3">
        <f>100-(M256+O256)</f>
        <v>15.003000600120032</v>
      </c>
      <c r="O256" s="3">
        <f>L256/C256*100</f>
        <v>30.886177235447093</v>
      </c>
      <c r="P256" s="2" t="s">
        <v>0</v>
      </c>
      <c r="Q256" s="1">
        <v>409055.59148800001</v>
      </c>
      <c r="R256" s="1">
        <v>3659280.7498019999</v>
      </c>
    </row>
    <row r="257" spans="1:18" x14ac:dyDescent="0.25">
      <c r="A257" s="6">
        <v>34</v>
      </c>
      <c r="B257" s="4">
        <v>180</v>
      </c>
      <c r="C257" s="4">
        <v>50</v>
      </c>
      <c r="D257" s="4">
        <v>20</v>
      </c>
      <c r="E257" s="3">
        <v>24</v>
      </c>
      <c r="F257" s="3">
        <f>1.8*E257+32</f>
        <v>75.2</v>
      </c>
      <c r="G257" s="3">
        <v>18</v>
      </c>
      <c r="H257" s="3">
        <f>IF(F257&gt;68,G257+(F257-68)*0.2,#REF!-(68-F257)*0.2)</f>
        <v>19.440000000000001</v>
      </c>
      <c r="I257" s="3">
        <v>24</v>
      </c>
      <c r="J257" s="3">
        <f>1.8*I257+32</f>
        <v>75.2</v>
      </c>
      <c r="K257" s="3">
        <v>11.5</v>
      </c>
      <c r="L257" s="3">
        <f>IF(J257&gt;68,K257+(J257-68)*0.2,K257-(68-J257)*0.2)</f>
        <v>12.940000000000001</v>
      </c>
      <c r="M257" s="3">
        <f>(C257-H257)/C257*100</f>
        <v>61.12</v>
      </c>
      <c r="N257" s="3">
        <f>100-(M257+O257)</f>
        <v>13</v>
      </c>
      <c r="O257" s="3">
        <f>L257/C257*100</f>
        <v>25.880000000000003</v>
      </c>
      <c r="P257" s="2" t="s">
        <v>0</v>
      </c>
      <c r="Q257" s="1">
        <v>409055.59148800001</v>
      </c>
      <c r="R257" s="1">
        <v>3659280.7498019999</v>
      </c>
    </row>
    <row r="259" spans="1:18" ht="51.75" x14ac:dyDescent="0.25">
      <c r="A259" s="15" t="s">
        <v>19</v>
      </c>
      <c r="B259" s="10" t="s">
        <v>18</v>
      </c>
      <c r="C259" s="14" t="s">
        <v>17</v>
      </c>
      <c r="D259" s="13" t="s">
        <v>16</v>
      </c>
      <c r="E259" s="12" t="s">
        <v>15</v>
      </c>
      <c r="F259" s="12" t="s">
        <v>14</v>
      </c>
      <c r="G259" s="12" t="s">
        <v>13</v>
      </c>
      <c r="H259" s="12" t="s">
        <v>12</v>
      </c>
      <c r="I259" s="12" t="s">
        <v>11</v>
      </c>
      <c r="J259" s="12" t="s">
        <v>10</v>
      </c>
      <c r="K259" s="12" t="s">
        <v>9</v>
      </c>
      <c r="L259" s="12" t="s">
        <v>8</v>
      </c>
      <c r="M259" s="11" t="s">
        <v>7</v>
      </c>
      <c r="N259" s="11" t="s">
        <v>6</v>
      </c>
      <c r="O259" s="11" t="s">
        <v>5</v>
      </c>
      <c r="P259" s="10" t="s">
        <v>4</v>
      </c>
      <c r="Q259" s="17" t="s">
        <v>3</v>
      </c>
      <c r="R259" s="17"/>
    </row>
    <row r="260" spans="1:18" x14ac:dyDescent="0.25">
      <c r="A260" s="4"/>
      <c r="B260" s="4"/>
      <c r="C260" s="4"/>
      <c r="D260" s="4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2"/>
      <c r="Q260" s="7" t="s">
        <v>2</v>
      </c>
      <c r="R260" s="7" t="s">
        <v>1</v>
      </c>
    </row>
    <row r="261" spans="1:18" x14ac:dyDescent="0.25">
      <c r="A261" s="6">
        <v>35</v>
      </c>
      <c r="B261" s="4">
        <v>30</v>
      </c>
      <c r="C261" s="4">
        <v>50</v>
      </c>
      <c r="D261" s="4">
        <v>20</v>
      </c>
      <c r="E261" s="3">
        <v>24</v>
      </c>
      <c r="F261" s="3">
        <f>1.8*E261+32</f>
        <v>75.2</v>
      </c>
      <c r="G261" s="3">
        <v>15.5</v>
      </c>
      <c r="H261" s="3">
        <f>IF(F261&gt;68,G261+(F261-68)*0.2,#REF!-(68-F261)*0.2)</f>
        <v>16.940000000000001</v>
      </c>
      <c r="I261" s="3">
        <v>24</v>
      </c>
      <c r="J261" s="3">
        <f>1.8*I261+32</f>
        <v>75.2</v>
      </c>
      <c r="K261" s="3">
        <v>9</v>
      </c>
      <c r="L261" s="3">
        <f>IF(J261&gt;68,K261+(J261-68)*0.2,K261-(68-J261)*0.2)</f>
        <v>10.440000000000001</v>
      </c>
      <c r="M261" s="3">
        <f>(C261-H261)/C261*100</f>
        <v>66.12</v>
      </c>
      <c r="N261" s="3">
        <f>100-(M261+O261)</f>
        <v>13</v>
      </c>
      <c r="O261" s="3">
        <f>L261/C261*100</f>
        <v>20.880000000000003</v>
      </c>
      <c r="P261" s="2" t="s">
        <v>0</v>
      </c>
      <c r="Q261" s="1">
        <v>409067.74960099999</v>
      </c>
      <c r="R261" s="1">
        <v>3659280.535656</v>
      </c>
    </row>
    <row r="262" spans="1:18" x14ac:dyDescent="0.25">
      <c r="A262" s="6">
        <v>35</v>
      </c>
      <c r="B262" s="4">
        <v>60</v>
      </c>
      <c r="C262" s="4">
        <v>50.03</v>
      </c>
      <c r="D262" s="4">
        <v>20</v>
      </c>
      <c r="E262" s="3">
        <v>24</v>
      </c>
      <c r="F262" s="3">
        <f>1.8*E262+32</f>
        <v>75.2</v>
      </c>
      <c r="G262" s="3">
        <v>15.5</v>
      </c>
      <c r="H262" s="3">
        <f>IF(F262&gt;68,G262+(F262-68)*0.2,G294-(68-F262)*0.2)</f>
        <v>16.940000000000001</v>
      </c>
      <c r="I262" s="3">
        <v>24</v>
      </c>
      <c r="J262" s="3">
        <f>1.8*I262+32</f>
        <v>75.2</v>
      </c>
      <c r="K262" s="3">
        <v>8.5</v>
      </c>
      <c r="L262" s="3">
        <f>IF(J262&gt;68,K262+(J262-68)*0.2,K262-(68-J262)*0.2)</f>
        <v>9.9400000000000013</v>
      </c>
      <c r="M262" s="3">
        <f>(C262-H262)/C262*100</f>
        <v>66.140315810513698</v>
      </c>
      <c r="N262" s="3">
        <f>100-(M262+O262)</f>
        <v>13.991605036977802</v>
      </c>
      <c r="O262" s="3">
        <f>L262/C262*100</f>
        <v>19.868079152508496</v>
      </c>
      <c r="P262" s="2" t="s">
        <v>0</v>
      </c>
      <c r="Q262" s="1">
        <v>409067.74960099999</v>
      </c>
      <c r="R262" s="1">
        <v>3659280.535656</v>
      </c>
    </row>
    <row r="263" spans="1:18" x14ac:dyDescent="0.25">
      <c r="A263" s="6">
        <v>35</v>
      </c>
      <c r="B263" s="4">
        <v>90</v>
      </c>
      <c r="C263" s="4">
        <v>49.99</v>
      </c>
      <c r="D263" s="4">
        <v>20</v>
      </c>
      <c r="E263" s="3">
        <v>24</v>
      </c>
      <c r="F263" s="3">
        <f>1.8*E263+32</f>
        <v>75.2</v>
      </c>
      <c r="G263" s="3">
        <v>17</v>
      </c>
      <c r="H263" s="3">
        <f>IF(F263&gt;68,G263+(F263-68)*0.2,#REF!-(68-F263)*0.2)</f>
        <v>18.440000000000001</v>
      </c>
      <c r="I263" s="3">
        <v>24</v>
      </c>
      <c r="J263" s="3">
        <f>1.8*I263+32</f>
        <v>75.2</v>
      </c>
      <c r="K263" s="3">
        <v>10.5</v>
      </c>
      <c r="L263" s="3">
        <f>IF(J263&gt;68,K263+(J263-68)*0.2,K263-(68-J263)*0.2)</f>
        <v>11.940000000000001</v>
      </c>
      <c r="M263" s="3">
        <f>(C263-H263)/C263*100</f>
        <v>63.1126225245049</v>
      </c>
      <c r="N263" s="3">
        <f>100-(M263+O263)</f>
        <v>13.002600520104025</v>
      </c>
      <c r="O263" s="3">
        <f>L263/C263*100</f>
        <v>23.884776955391079</v>
      </c>
      <c r="P263" s="2" t="s">
        <v>0</v>
      </c>
      <c r="Q263" s="1">
        <v>409067.74960099999</v>
      </c>
      <c r="R263" s="1">
        <v>3659280.535656</v>
      </c>
    </row>
    <row r="264" spans="1:18" x14ac:dyDescent="0.25">
      <c r="A264" s="6">
        <v>35</v>
      </c>
      <c r="B264" s="4">
        <v>120</v>
      </c>
      <c r="C264" s="4">
        <v>50.02</v>
      </c>
      <c r="D264" s="4">
        <v>20</v>
      </c>
      <c r="E264" s="3">
        <v>24</v>
      </c>
      <c r="F264" s="3">
        <f>1.8*E264+32</f>
        <v>75.2</v>
      </c>
      <c r="G264" s="3">
        <v>18</v>
      </c>
      <c r="H264" s="3">
        <f>IF(F264&gt;68,G264+(F264-68)*0.2,#REF!-(68-F264)*0.2)</f>
        <v>19.440000000000001</v>
      </c>
      <c r="I264" s="3">
        <v>24</v>
      </c>
      <c r="J264" s="3">
        <f>1.8*I264+32</f>
        <v>75.2</v>
      </c>
      <c r="K264" s="3">
        <v>12</v>
      </c>
      <c r="L264" s="3">
        <f>IF(J264&gt;68,K264+(J264-68)*0.2,K264-(68-J264)*0.2)</f>
        <v>13.440000000000001</v>
      </c>
      <c r="M264" s="3">
        <f>(C264-H264)/C264*100</f>
        <v>61.135545781687327</v>
      </c>
      <c r="N264" s="3">
        <f>100-(M264+O264)</f>
        <v>11.995201919232301</v>
      </c>
      <c r="O264" s="3">
        <f>L264/C264*100</f>
        <v>26.869252299080372</v>
      </c>
      <c r="P264" s="2" t="s">
        <v>0</v>
      </c>
      <c r="Q264" s="1">
        <v>409067.74960099999</v>
      </c>
      <c r="R264" s="1">
        <v>3659280.535656</v>
      </c>
    </row>
    <row r="265" spans="1:18" x14ac:dyDescent="0.25">
      <c r="A265" s="6">
        <v>35</v>
      </c>
      <c r="B265" s="4">
        <v>150</v>
      </c>
      <c r="C265" s="4">
        <v>49.99</v>
      </c>
      <c r="D265" s="4">
        <v>20</v>
      </c>
      <c r="E265" s="3">
        <v>24</v>
      </c>
      <c r="F265" s="3">
        <f>1.8*E265+32</f>
        <v>75.2</v>
      </c>
      <c r="G265" s="3">
        <v>26</v>
      </c>
      <c r="H265" s="3">
        <f>IF(F265&gt;68,G265+(F265-68)*0.2,#REF!-(68-F265)*0.2)</f>
        <v>27.44</v>
      </c>
      <c r="I265" s="3">
        <v>24</v>
      </c>
      <c r="J265" s="3">
        <f>1.8*I265+32</f>
        <v>75.2</v>
      </c>
      <c r="K265" s="3">
        <v>16</v>
      </c>
      <c r="L265" s="3">
        <f>IF(J265&gt;68,K265+(J265-68)*0.2,K265-(68-J265)*0.2)</f>
        <v>17.440000000000001</v>
      </c>
      <c r="M265" s="3">
        <f>(C265-H265)/C265*100</f>
        <v>45.109021804360871</v>
      </c>
      <c r="N265" s="3">
        <f>100-(M265+O265)</f>
        <v>20.004000800160043</v>
      </c>
      <c r="O265" s="3">
        <f>L265/C265*100</f>
        <v>34.886977395479093</v>
      </c>
      <c r="P265" s="2" t="s">
        <v>22</v>
      </c>
      <c r="Q265" s="1">
        <v>409067.74960099999</v>
      </c>
      <c r="R265" s="1">
        <v>3659280.535656</v>
      </c>
    </row>
    <row r="266" spans="1:18" x14ac:dyDescent="0.25">
      <c r="A266" s="6">
        <v>35</v>
      </c>
      <c r="B266" s="4">
        <v>180</v>
      </c>
      <c r="C266" s="4">
        <v>49.99</v>
      </c>
      <c r="D266" s="4">
        <v>20</v>
      </c>
      <c r="E266" s="3">
        <v>24</v>
      </c>
      <c r="F266" s="3">
        <f>1.8*E266+32</f>
        <v>75.2</v>
      </c>
      <c r="G266" s="3">
        <v>17.5</v>
      </c>
      <c r="H266" s="3">
        <f>IF(F266&gt;68,G266+(F266-68)*0.2,#REF!-(68-F266)*0.2)</f>
        <v>18.940000000000001</v>
      </c>
      <c r="I266" s="3">
        <v>24</v>
      </c>
      <c r="J266" s="3">
        <f>1.8*I266+32</f>
        <v>75.2</v>
      </c>
      <c r="K266" s="3">
        <v>11</v>
      </c>
      <c r="L266" s="3">
        <f>IF(J266&gt;68,K266+(J266-68)*0.2,K266-(68-J266)*0.2)</f>
        <v>12.440000000000001</v>
      </c>
      <c r="M266" s="3">
        <f>(C266-H266)/C266*100</f>
        <v>62.112422484496896</v>
      </c>
      <c r="N266" s="3">
        <f>100-(M266+O266)</f>
        <v>13.002600520104025</v>
      </c>
      <c r="O266" s="3">
        <f>L266/C266*100</f>
        <v>24.884976995399079</v>
      </c>
      <c r="P266" s="2" t="s">
        <v>20</v>
      </c>
      <c r="Q266" s="1">
        <v>409067.74960099999</v>
      </c>
      <c r="R266" s="1">
        <v>3659280.535656</v>
      </c>
    </row>
    <row r="268" spans="1:18" ht="51.75" x14ac:dyDescent="0.25">
      <c r="A268" s="15" t="s">
        <v>19</v>
      </c>
      <c r="B268" s="10" t="s">
        <v>18</v>
      </c>
      <c r="C268" s="14" t="s">
        <v>17</v>
      </c>
      <c r="D268" s="13" t="s">
        <v>16</v>
      </c>
      <c r="E268" s="12" t="s">
        <v>15</v>
      </c>
      <c r="F268" s="12" t="s">
        <v>14</v>
      </c>
      <c r="G268" s="12" t="s">
        <v>13</v>
      </c>
      <c r="H268" s="12" t="s">
        <v>12</v>
      </c>
      <c r="I268" s="12" t="s">
        <v>11</v>
      </c>
      <c r="J268" s="12" t="s">
        <v>10</v>
      </c>
      <c r="K268" s="12" t="s">
        <v>9</v>
      </c>
      <c r="L268" s="12" t="s">
        <v>8</v>
      </c>
      <c r="M268" s="11" t="s">
        <v>7</v>
      </c>
      <c r="N268" s="11" t="s">
        <v>6</v>
      </c>
      <c r="O268" s="11" t="s">
        <v>5</v>
      </c>
      <c r="P268" s="10" t="s">
        <v>4</v>
      </c>
      <c r="Q268" s="17" t="s">
        <v>3</v>
      </c>
      <c r="R268" s="17"/>
    </row>
    <row r="269" spans="1:18" x14ac:dyDescent="0.25">
      <c r="A269" s="4"/>
      <c r="B269" s="4"/>
      <c r="C269" s="5"/>
      <c r="D269" s="4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2"/>
      <c r="Q269" s="7" t="s">
        <v>2</v>
      </c>
      <c r="R269" s="7" t="s">
        <v>1</v>
      </c>
    </row>
    <row r="270" spans="1:18" x14ac:dyDescent="0.25">
      <c r="A270" s="6">
        <v>36</v>
      </c>
      <c r="B270" s="4">
        <v>30</v>
      </c>
      <c r="C270" s="5">
        <v>50.01</v>
      </c>
      <c r="D270" s="4">
        <v>20</v>
      </c>
      <c r="E270" s="3">
        <v>24</v>
      </c>
      <c r="F270" s="3">
        <f>1.8*E270+32</f>
        <v>75.2</v>
      </c>
      <c r="G270" s="3">
        <v>16.5</v>
      </c>
      <c r="H270" s="3">
        <f>IF(F270&gt;68,G270+(F270-68)*0.2,#REF!-(68-F270)*0.2)</f>
        <v>17.940000000000001</v>
      </c>
      <c r="I270" s="3">
        <v>24</v>
      </c>
      <c r="J270" s="3">
        <f>1.8*I270+32</f>
        <v>75.2</v>
      </c>
      <c r="K270" s="3">
        <v>9.5</v>
      </c>
      <c r="L270" s="3">
        <f>IF(J270&gt;68,K270+(J270-68)*0.2,K270-(68-J270)*0.2)</f>
        <v>10.940000000000001</v>
      </c>
      <c r="M270" s="3">
        <f>(C270-H270)/C270*100</f>
        <v>64.127174565086975</v>
      </c>
      <c r="N270" s="3">
        <f>100-(M270+O270)</f>
        <v>13.997200559888029</v>
      </c>
      <c r="O270" s="3">
        <f>L270/C270*100</f>
        <v>21.875624875025</v>
      </c>
      <c r="P270" s="2" t="s">
        <v>0</v>
      </c>
      <c r="Q270" s="1">
        <v>409079.94632500003</v>
      </c>
      <c r="R270" s="1">
        <v>3659280.3161180001</v>
      </c>
    </row>
    <row r="271" spans="1:18" x14ac:dyDescent="0.25">
      <c r="A271" s="6">
        <v>36</v>
      </c>
      <c r="B271" s="4">
        <v>60</v>
      </c>
      <c r="C271" s="5">
        <v>50</v>
      </c>
      <c r="D271" s="4">
        <v>20</v>
      </c>
      <c r="E271" s="3">
        <v>24</v>
      </c>
      <c r="F271" s="3">
        <f>1.8*E271+32</f>
        <v>75.2</v>
      </c>
      <c r="G271" s="3">
        <v>17.5</v>
      </c>
      <c r="H271" s="3">
        <f>IF(F271&gt;68,G271+(F271-68)*0.2,G150-(68-F271)*0.2)</f>
        <v>18.940000000000001</v>
      </c>
      <c r="I271" s="3">
        <v>24</v>
      </c>
      <c r="J271" s="3">
        <f>1.8*I271+32</f>
        <v>75.2</v>
      </c>
      <c r="K271" s="3">
        <v>10.5</v>
      </c>
      <c r="L271" s="3">
        <f>IF(J271&gt;68,K271+(J271-68)*0.2,K271-(68-J271)*0.2)</f>
        <v>11.940000000000001</v>
      </c>
      <c r="M271" s="3">
        <f>(C271-H271)/C271*100</f>
        <v>62.12</v>
      </c>
      <c r="N271" s="3">
        <f>100-(M271+O271)</f>
        <v>14</v>
      </c>
      <c r="O271" s="3">
        <f>L271/C271*100</f>
        <v>23.880000000000003</v>
      </c>
      <c r="P271" s="2" t="s">
        <v>0</v>
      </c>
      <c r="Q271" s="1">
        <v>409079.94632500003</v>
      </c>
      <c r="R271" s="1">
        <v>3659280.3161180001</v>
      </c>
    </row>
    <row r="272" spans="1:18" x14ac:dyDescent="0.25">
      <c r="A272" s="6">
        <v>36</v>
      </c>
      <c r="B272" s="4">
        <v>90</v>
      </c>
      <c r="C272" s="5">
        <v>49.98</v>
      </c>
      <c r="D272" s="4">
        <v>20</v>
      </c>
      <c r="E272" s="3">
        <v>24</v>
      </c>
      <c r="F272" s="3">
        <f>1.8*E272+32</f>
        <v>75.2</v>
      </c>
      <c r="G272" s="3">
        <v>14</v>
      </c>
      <c r="H272" s="3">
        <f>IF(F272&gt;68,G272+(F272-68)*0.2,G151-(68-F272)*0.2)</f>
        <v>15.440000000000001</v>
      </c>
      <c r="I272" s="3">
        <v>24</v>
      </c>
      <c r="J272" s="3">
        <f>1.8*I272+32</f>
        <v>75.2</v>
      </c>
      <c r="K272" s="3">
        <v>7.5</v>
      </c>
      <c r="L272" s="3">
        <f>IF(J272&gt;68,K272+(J272-68)*0.2,K272-(68-J272)*0.2)</f>
        <v>8.9400000000000013</v>
      </c>
      <c r="M272" s="3">
        <f>(C272-H272)/C272*100</f>
        <v>69.107643057222873</v>
      </c>
      <c r="N272" s="3">
        <f>100-(M272+O272)</f>
        <v>13.005202080832348</v>
      </c>
      <c r="O272" s="3">
        <f>L272/C272*100</f>
        <v>17.887154861944783</v>
      </c>
      <c r="P272" s="2" t="s">
        <v>20</v>
      </c>
      <c r="Q272" s="1">
        <v>409079.94632500003</v>
      </c>
      <c r="R272" s="1">
        <v>3659280.3161180001</v>
      </c>
    </row>
    <row r="273" spans="1:18" x14ac:dyDescent="0.25">
      <c r="A273" s="6">
        <v>36</v>
      </c>
      <c r="B273" s="4">
        <v>120</v>
      </c>
      <c r="C273" s="5">
        <v>50.03</v>
      </c>
      <c r="D273" s="4">
        <v>20</v>
      </c>
      <c r="E273" s="3">
        <v>24</v>
      </c>
      <c r="F273" s="3">
        <f>1.8*E273+32</f>
        <v>75.2</v>
      </c>
      <c r="G273" s="3">
        <v>14</v>
      </c>
      <c r="H273" s="3">
        <f>IF(F273&gt;68,G273+(F273-68)*0.2,G152-(68-F273)*0.2)</f>
        <v>15.440000000000001</v>
      </c>
      <c r="I273" s="3">
        <v>24</v>
      </c>
      <c r="J273" s="3">
        <f>1.8*I273+32</f>
        <v>75.2</v>
      </c>
      <c r="K273" s="3">
        <v>7.5</v>
      </c>
      <c r="L273" s="3">
        <f>IF(J273&gt;68,K273+(J273-68)*0.2,K273-(68-J273)*0.2)</f>
        <v>8.9400000000000013</v>
      </c>
      <c r="M273" s="3">
        <f>(C273-H273)/C273*100</f>
        <v>69.138516889866082</v>
      </c>
      <c r="N273" s="3">
        <f>100-(M273+O273)</f>
        <v>12.992204677193683</v>
      </c>
      <c r="O273" s="3">
        <f>L273/C273*100</f>
        <v>17.869278432940238</v>
      </c>
      <c r="P273" s="2" t="s">
        <v>20</v>
      </c>
      <c r="Q273" s="1">
        <v>409079.94632500003</v>
      </c>
      <c r="R273" s="1">
        <v>3659280.3161180001</v>
      </c>
    </row>
    <row r="274" spans="1:18" x14ac:dyDescent="0.25">
      <c r="A274" s="6">
        <v>36</v>
      </c>
      <c r="B274" s="4">
        <v>150</v>
      </c>
      <c r="C274" s="5">
        <v>50.04</v>
      </c>
      <c r="D274" s="4">
        <v>20</v>
      </c>
      <c r="E274" s="3">
        <v>24</v>
      </c>
      <c r="F274" s="3">
        <f>1.8*E274+32</f>
        <v>75.2</v>
      </c>
      <c r="G274" s="3">
        <v>14</v>
      </c>
      <c r="H274" s="3">
        <f>IF(F274&gt;68,G274+(F274-68)*0.2,G153-(68-F274)*0.2)</f>
        <v>15.440000000000001</v>
      </c>
      <c r="I274" s="3">
        <v>24</v>
      </c>
      <c r="J274" s="3">
        <f>1.8*I274+32</f>
        <v>75.2</v>
      </c>
      <c r="K274" s="3">
        <v>8</v>
      </c>
      <c r="L274" s="3">
        <f>IF(J274&gt;68,K274+(J274-68)*0.2,K274-(68-J274)*0.2)</f>
        <v>9.4400000000000013</v>
      </c>
      <c r="M274" s="3">
        <f>(C274-H274)/C274*100</f>
        <v>69.144684252597912</v>
      </c>
      <c r="N274" s="3">
        <f>100-(M274+O274)</f>
        <v>11.990407673860915</v>
      </c>
      <c r="O274" s="3">
        <f>L274/C274*100</f>
        <v>18.864908073541169</v>
      </c>
      <c r="P274" s="2" t="s">
        <v>20</v>
      </c>
      <c r="Q274" s="1">
        <v>409079.94632500003</v>
      </c>
      <c r="R274" s="1">
        <v>3659280.3161180001</v>
      </c>
    </row>
    <row r="275" spans="1:18" x14ac:dyDescent="0.25">
      <c r="A275" s="6">
        <v>36</v>
      </c>
      <c r="B275" s="4">
        <v>180</v>
      </c>
      <c r="C275" s="5">
        <v>50</v>
      </c>
      <c r="D275" s="4">
        <v>20</v>
      </c>
      <c r="E275" s="3">
        <v>24</v>
      </c>
      <c r="F275" s="3">
        <f>1.8*E275+32</f>
        <v>75.2</v>
      </c>
      <c r="G275" s="3">
        <v>15</v>
      </c>
      <c r="H275" s="3">
        <f>IF(F275&gt;68,G275+(F275-68)*0.2,G155-(68-F275)*0.2)</f>
        <v>16.440000000000001</v>
      </c>
      <c r="I275" s="3">
        <v>24</v>
      </c>
      <c r="J275" s="3">
        <f>1.8*I275+32</f>
        <v>75.2</v>
      </c>
      <c r="K275" s="3">
        <v>9</v>
      </c>
      <c r="L275" s="3">
        <f>IF(J275&gt;68,K275+(J275-68)*0.2,K275-(68-J275)*0.2)</f>
        <v>10.440000000000001</v>
      </c>
      <c r="M275" s="3">
        <f>(C275-H275)/C275*100</f>
        <v>67.12</v>
      </c>
      <c r="N275" s="3">
        <f>100-(M275+O275)</f>
        <v>12</v>
      </c>
      <c r="O275" s="3">
        <f>L275/C275*100</f>
        <v>20.880000000000003</v>
      </c>
      <c r="P275" s="2" t="s">
        <v>0</v>
      </c>
      <c r="Q275" s="1">
        <v>409079.94632500003</v>
      </c>
      <c r="R275" s="1">
        <v>3659280.3161180001</v>
      </c>
    </row>
    <row r="277" spans="1:18" ht="51.75" x14ac:dyDescent="0.25">
      <c r="A277" s="15" t="s">
        <v>19</v>
      </c>
      <c r="B277" s="10" t="s">
        <v>18</v>
      </c>
      <c r="C277" s="14" t="s">
        <v>17</v>
      </c>
      <c r="D277" s="13" t="s">
        <v>16</v>
      </c>
      <c r="E277" s="12" t="s">
        <v>15</v>
      </c>
      <c r="F277" s="12" t="s">
        <v>14</v>
      </c>
      <c r="G277" s="12" t="s">
        <v>13</v>
      </c>
      <c r="H277" s="12" t="s">
        <v>12</v>
      </c>
      <c r="I277" s="12" t="s">
        <v>11</v>
      </c>
      <c r="J277" s="12" t="s">
        <v>10</v>
      </c>
      <c r="K277" s="12" t="s">
        <v>9</v>
      </c>
      <c r="L277" s="12" t="s">
        <v>8</v>
      </c>
      <c r="M277" s="11" t="s">
        <v>7</v>
      </c>
      <c r="N277" s="11" t="s">
        <v>6</v>
      </c>
      <c r="O277" s="11" t="s">
        <v>5</v>
      </c>
      <c r="P277" s="10" t="s">
        <v>4</v>
      </c>
      <c r="Q277" s="9" t="s">
        <v>3</v>
      </c>
      <c r="R277" s="8"/>
    </row>
    <row r="278" spans="1:18" x14ac:dyDescent="0.25">
      <c r="A278" s="4"/>
      <c r="B278" s="4"/>
      <c r="C278" s="5"/>
      <c r="D278" s="4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2"/>
      <c r="Q278" s="7" t="s">
        <v>2</v>
      </c>
      <c r="R278" s="7" t="s">
        <v>1</v>
      </c>
    </row>
    <row r="279" spans="1:18" x14ac:dyDescent="0.25">
      <c r="A279" s="6">
        <v>37</v>
      </c>
      <c r="B279" s="4">
        <v>30</v>
      </c>
      <c r="C279" s="5">
        <v>50</v>
      </c>
      <c r="D279" s="4">
        <v>20</v>
      </c>
      <c r="E279" s="3">
        <v>24</v>
      </c>
      <c r="F279" s="3">
        <f>1.8*E279+32</f>
        <v>75.2</v>
      </c>
      <c r="G279" s="3">
        <v>16</v>
      </c>
      <c r="H279" s="3">
        <f>IF(F279&gt;68,G279+(F279-68)*0.2,#REF!-(68-F279)*0.2)</f>
        <v>17.440000000000001</v>
      </c>
      <c r="I279" s="3">
        <v>24</v>
      </c>
      <c r="J279" s="3">
        <f>1.8*I279+32</f>
        <v>75.2</v>
      </c>
      <c r="K279" s="3">
        <v>10</v>
      </c>
      <c r="L279" s="3">
        <f>IF(J279&gt;68,K279+(J279-68)*0.2,K279-(68-J279)*0.2)</f>
        <v>11.440000000000001</v>
      </c>
      <c r="M279" s="3">
        <f>(C279-H279)/C279*100</f>
        <v>65.12</v>
      </c>
      <c r="N279" s="3">
        <f>100-(M279+O279)</f>
        <v>12</v>
      </c>
      <c r="O279" s="3">
        <f>L279/C279*100</f>
        <v>22.880000000000003</v>
      </c>
      <c r="P279" s="2" t="s">
        <v>0</v>
      </c>
      <c r="Q279" s="1">
        <v>409092.14710900001</v>
      </c>
      <c r="R279" s="16">
        <v>3659280.09467</v>
      </c>
    </row>
    <row r="280" spans="1:18" x14ac:dyDescent="0.25">
      <c r="A280" s="6">
        <v>37</v>
      </c>
      <c r="B280" s="4">
        <v>60</v>
      </c>
      <c r="C280" s="5">
        <v>50.02</v>
      </c>
      <c r="D280" s="4">
        <v>20</v>
      </c>
      <c r="E280" s="3">
        <v>24</v>
      </c>
      <c r="F280" s="3">
        <f>1.8*E280+32</f>
        <v>75.2</v>
      </c>
      <c r="G280" s="3">
        <v>16</v>
      </c>
      <c r="H280" s="3">
        <f>IF(F280&gt;68,G280+(F280-68)*0.2,G87-(68-F280)*0.2)</f>
        <v>17.440000000000001</v>
      </c>
      <c r="I280" s="3">
        <v>24</v>
      </c>
      <c r="J280" s="3">
        <f>1.8*I280+32</f>
        <v>75.2</v>
      </c>
      <c r="K280" s="3">
        <v>11</v>
      </c>
      <c r="L280" s="3">
        <f>IF(J280&gt;68,K280+(J280-68)*0.2,K280-(68-J280)*0.2)</f>
        <v>12.440000000000001</v>
      </c>
      <c r="M280" s="3">
        <f>(C280-H280)/C280*100</f>
        <v>65.133946421431418</v>
      </c>
      <c r="N280" s="3">
        <f>100-(M280+O280)</f>
        <v>9.9960015993602553</v>
      </c>
      <c r="O280" s="3">
        <f>L280/C280*100</f>
        <v>24.87005197920832</v>
      </c>
      <c r="P280" s="2" t="s">
        <v>0</v>
      </c>
      <c r="Q280" s="1">
        <v>409092.14710900001</v>
      </c>
      <c r="R280" s="16">
        <v>3659280.09467</v>
      </c>
    </row>
    <row r="281" spans="1:18" x14ac:dyDescent="0.25">
      <c r="A281" s="6">
        <v>37</v>
      </c>
      <c r="B281" s="4">
        <v>90</v>
      </c>
      <c r="C281" s="5">
        <v>50</v>
      </c>
      <c r="D281" s="4">
        <v>20</v>
      </c>
      <c r="E281" s="3">
        <v>24</v>
      </c>
      <c r="F281" s="3">
        <f>1.8*E281+32</f>
        <v>75.2</v>
      </c>
      <c r="G281" s="3">
        <v>14.5</v>
      </c>
      <c r="H281" s="3">
        <f>IF(F281&gt;68,G281+(F281-68)*0.2,G88-(68-F281)*0.2)</f>
        <v>15.940000000000001</v>
      </c>
      <c r="I281" s="3">
        <v>24</v>
      </c>
      <c r="J281" s="3">
        <f>1.8*I281+32</f>
        <v>75.2</v>
      </c>
      <c r="K281" s="3">
        <v>8</v>
      </c>
      <c r="L281" s="3">
        <f>IF(J281&gt;68,K281+(J281-68)*0.2,K281-(68-J281)*0.2)</f>
        <v>9.4400000000000013</v>
      </c>
      <c r="M281" s="3">
        <f>(C281-H281)/C281*100</f>
        <v>68.12</v>
      </c>
      <c r="N281" s="3">
        <f>100-(M281+O281)</f>
        <v>13</v>
      </c>
      <c r="O281" s="3">
        <f>L281/C281*100</f>
        <v>18.880000000000003</v>
      </c>
      <c r="P281" s="2" t="s">
        <v>0</v>
      </c>
      <c r="Q281" s="1">
        <v>409092.14710900001</v>
      </c>
      <c r="R281" s="16">
        <v>3659280.09467</v>
      </c>
    </row>
    <row r="282" spans="1:18" x14ac:dyDescent="0.25">
      <c r="A282" s="6">
        <v>37</v>
      </c>
      <c r="B282" s="4">
        <v>120</v>
      </c>
      <c r="C282" s="5">
        <v>50</v>
      </c>
      <c r="D282" s="4">
        <v>20</v>
      </c>
      <c r="E282" s="3">
        <v>24</v>
      </c>
      <c r="F282" s="3">
        <f>1.8*E282+32</f>
        <v>75.2</v>
      </c>
      <c r="G282" s="3">
        <v>15</v>
      </c>
      <c r="H282" s="3">
        <f>IF(F282&gt;68,G282+(F282-68)*0.2,G89-(68-F282)*0.2)</f>
        <v>16.440000000000001</v>
      </c>
      <c r="I282" s="3">
        <v>24</v>
      </c>
      <c r="J282" s="3">
        <f>1.8*I282+32</f>
        <v>75.2</v>
      </c>
      <c r="K282" s="3">
        <v>8</v>
      </c>
      <c r="L282" s="3">
        <f>IF(J282&gt;68,K282+(J282-68)*0.2,K282-(68-J282)*0.2)</f>
        <v>9.4400000000000013</v>
      </c>
      <c r="M282" s="3">
        <f>(C282-H282)/C282*100</f>
        <v>67.12</v>
      </c>
      <c r="N282" s="3">
        <f>100-(M282+O282)</f>
        <v>14</v>
      </c>
      <c r="O282" s="3">
        <f>L282/C282*100</f>
        <v>18.880000000000003</v>
      </c>
      <c r="P282" s="2" t="s">
        <v>20</v>
      </c>
      <c r="Q282" s="1">
        <v>409092.14710900001</v>
      </c>
      <c r="R282" s="16">
        <v>3659280.09467</v>
      </c>
    </row>
    <row r="283" spans="1:18" x14ac:dyDescent="0.25">
      <c r="A283" s="6">
        <v>37</v>
      </c>
      <c r="B283" s="4">
        <v>150</v>
      </c>
      <c r="C283" s="5">
        <v>50</v>
      </c>
      <c r="D283" s="4">
        <v>20</v>
      </c>
      <c r="E283" s="3">
        <v>24</v>
      </c>
      <c r="F283" s="3">
        <f>1.8*E283+32</f>
        <v>75.2</v>
      </c>
      <c r="G283" s="3">
        <v>16</v>
      </c>
      <c r="H283" s="3">
        <f>IF(F283&gt;68,G283+(F283-68)*0.2,G90-(68-F283)*0.2)</f>
        <v>17.440000000000001</v>
      </c>
      <c r="I283" s="3">
        <v>24</v>
      </c>
      <c r="J283" s="3">
        <f>1.8*I283+32</f>
        <v>75.2</v>
      </c>
      <c r="K283" s="3">
        <v>10</v>
      </c>
      <c r="L283" s="3">
        <f>IF(J283&gt;68,K283+(J283-68)*0.2,K283-(68-J283)*0.2)</f>
        <v>11.440000000000001</v>
      </c>
      <c r="M283" s="3">
        <f>(C283-H283)/C283*100</f>
        <v>65.12</v>
      </c>
      <c r="N283" s="3">
        <f>100-(M283+O283)</f>
        <v>12</v>
      </c>
      <c r="O283" s="3">
        <f>L283/C283*100</f>
        <v>22.880000000000003</v>
      </c>
      <c r="P283" s="2" t="s">
        <v>0</v>
      </c>
      <c r="Q283" s="1">
        <v>409092.14710900001</v>
      </c>
      <c r="R283" s="16">
        <v>3659280.09467</v>
      </c>
    </row>
    <row r="284" spans="1:18" x14ac:dyDescent="0.25">
      <c r="A284" s="6">
        <v>37</v>
      </c>
      <c r="B284" s="4">
        <v>180</v>
      </c>
      <c r="C284" s="5">
        <v>50.01</v>
      </c>
      <c r="D284" s="4">
        <v>20</v>
      </c>
      <c r="E284" s="3">
        <v>24</v>
      </c>
      <c r="F284" s="3">
        <f>1.8*E284+32</f>
        <v>75.2</v>
      </c>
      <c r="G284" s="3">
        <v>18.5</v>
      </c>
      <c r="H284" s="3">
        <f>IF(F284&gt;68,G284+(F284-68)*0.2,G91-(68-F284)*0.2)</f>
        <v>19.940000000000001</v>
      </c>
      <c r="I284" s="3">
        <v>24</v>
      </c>
      <c r="J284" s="3">
        <f>1.8*I284+32</f>
        <v>75.2</v>
      </c>
      <c r="K284" s="3">
        <v>11</v>
      </c>
      <c r="L284" s="3">
        <f>IF(J284&gt;68,K284+(J284-68)*0.2,K284-(68-J284)*0.2)</f>
        <v>12.440000000000001</v>
      </c>
      <c r="M284" s="3">
        <f>(C284-H284)/C284*100</f>
        <v>60.12797440511897</v>
      </c>
      <c r="N284" s="3">
        <f>100-(M284+O284)</f>
        <v>14.997000599880025</v>
      </c>
      <c r="O284" s="3">
        <f>L284/C284*100</f>
        <v>24.875024995001002</v>
      </c>
      <c r="P284" s="2" t="s">
        <v>0</v>
      </c>
      <c r="Q284" s="1">
        <v>409092.14710900001</v>
      </c>
      <c r="R284" s="16">
        <v>3659280.09467</v>
      </c>
    </row>
    <row r="286" spans="1:18" ht="51.75" x14ac:dyDescent="0.25">
      <c r="A286" s="15" t="s">
        <v>19</v>
      </c>
      <c r="B286" s="10" t="s">
        <v>18</v>
      </c>
      <c r="C286" s="14" t="s">
        <v>17</v>
      </c>
      <c r="D286" s="13" t="s">
        <v>16</v>
      </c>
      <c r="E286" s="12" t="s">
        <v>15</v>
      </c>
      <c r="F286" s="12" t="s">
        <v>14</v>
      </c>
      <c r="G286" s="12" t="s">
        <v>13</v>
      </c>
      <c r="H286" s="12" t="s">
        <v>12</v>
      </c>
      <c r="I286" s="12" t="s">
        <v>11</v>
      </c>
      <c r="J286" s="12" t="s">
        <v>10</v>
      </c>
      <c r="K286" s="12" t="s">
        <v>9</v>
      </c>
      <c r="L286" s="12" t="s">
        <v>8</v>
      </c>
      <c r="M286" s="11" t="s">
        <v>7</v>
      </c>
      <c r="N286" s="11" t="s">
        <v>6</v>
      </c>
      <c r="O286" s="11" t="s">
        <v>5</v>
      </c>
      <c r="P286" s="10" t="s">
        <v>4</v>
      </c>
      <c r="Q286" s="9" t="s">
        <v>3</v>
      </c>
      <c r="R286" s="8"/>
    </row>
    <row r="287" spans="1:18" x14ac:dyDescent="0.25">
      <c r="A287" s="4"/>
      <c r="B287" s="4"/>
      <c r="C287" s="5"/>
      <c r="D287" s="4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2"/>
      <c r="Q287" s="7" t="s">
        <v>2</v>
      </c>
      <c r="R287" s="7" t="s">
        <v>1</v>
      </c>
    </row>
    <row r="288" spans="1:18" x14ac:dyDescent="0.25">
      <c r="A288" s="6">
        <v>38</v>
      </c>
      <c r="B288" s="4">
        <v>30</v>
      </c>
      <c r="C288" s="5">
        <v>50.02</v>
      </c>
      <c r="D288" s="4">
        <v>20</v>
      </c>
      <c r="E288" s="3">
        <v>21.5</v>
      </c>
      <c r="F288" s="3">
        <f>1.8*E288+32</f>
        <v>70.7</v>
      </c>
      <c r="G288" s="3">
        <v>16</v>
      </c>
      <c r="H288" s="3">
        <f>IF(F288&gt;68,G288+(F288-68)*0.2,#REF!-(68-F288)*0.2)</f>
        <v>16.54</v>
      </c>
      <c r="I288" s="3">
        <v>21</v>
      </c>
      <c r="J288" s="3">
        <f>1.8*I288+32</f>
        <v>69.800000000000011</v>
      </c>
      <c r="K288" s="3">
        <v>9.5</v>
      </c>
      <c r="L288" s="3">
        <f>IF(J288&gt;68,K288+(J288-68)*0.2,K288-(68-J288)*0.2)</f>
        <v>9.860000000000003</v>
      </c>
      <c r="M288" s="3">
        <f>(C288-H288)/C288*100</f>
        <v>66.933226709316273</v>
      </c>
      <c r="N288" s="3">
        <f>100-(M288+O288)</f>
        <v>13.3546581367453</v>
      </c>
      <c r="O288" s="3">
        <f>L288/C288*100</f>
        <v>19.712115153938427</v>
      </c>
      <c r="P288" s="2" t="s">
        <v>0</v>
      </c>
      <c r="Q288" s="1">
        <v>409104.330433</v>
      </c>
      <c r="R288" s="1">
        <v>3659279.8774560001</v>
      </c>
    </row>
    <row r="289" spans="1:18" x14ac:dyDescent="0.25">
      <c r="A289" s="6">
        <v>38</v>
      </c>
      <c r="B289" s="4">
        <v>60</v>
      </c>
      <c r="C289" s="5">
        <v>50.01</v>
      </c>
      <c r="D289" s="4">
        <v>20</v>
      </c>
      <c r="E289" s="3">
        <v>21.5</v>
      </c>
      <c r="F289" s="3">
        <f>1.8*E289+32</f>
        <v>70.7</v>
      </c>
      <c r="G289" s="3">
        <v>17</v>
      </c>
      <c r="H289" s="3">
        <f>IF(F289&gt;68,G289+(F289-68)*0.2,#REF!-(68-F289)*0.2)</f>
        <v>17.54</v>
      </c>
      <c r="I289" s="3">
        <v>21</v>
      </c>
      <c r="J289" s="3">
        <f>1.8*I289+32</f>
        <v>69.800000000000011</v>
      </c>
      <c r="K289" s="3">
        <v>11</v>
      </c>
      <c r="L289" s="3">
        <f>IF(J289&gt;68,K289+(J289-68)*0.2,K289-(68-J289)*0.2)</f>
        <v>11.360000000000003</v>
      </c>
      <c r="M289" s="3">
        <f>(C289-H289)/C289*100</f>
        <v>64.927014597080586</v>
      </c>
      <c r="N289" s="3">
        <f>100-(M289+O289)</f>
        <v>12.357528494301135</v>
      </c>
      <c r="O289" s="3">
        <f>L289/C289*100</f>
        <v>22.715456908618282</v>
      </c>
      <c r="P289" s="2" t="s">
        <v>0</v>
      </c>
      <c r="Q289" s="1">
        <v>409104.330433</v>
      </c>
      <c r="R289" s="1">
        <v>3659279.8774560001</v>
      </c>
    </row>
    <row r="290" spans="1:18" x14ac:dyDescent="0.25">
      <c r="A290" s="6">
        <v>38</v>
      </c>
      <c r="B290" s="4">
        <v>90</v>
      </c>
      <c r="C290" s="5">
        <v>50.01</v>
      </c>
      <c r="D290" s="4">
        <v>20</v>
      </c>
      <c r="E290" s="3">
        <v>21.8</v>
      </c>
      <c r="F290" s="3">
        <f>1.8*E290+32</f>
        <v>71.240000000000009</v>
      </c>
      <c r="G290" s="3">
        <v>19</v>
      </c>
      <c r="H290" s="3">
        <f>IF(F290&gt;68,G290+(F290-68)*0.2,#REF!-(68-F290)*0.2)</f>
        <v>19.648000000000003</v>
      </c>
      <c r="I290" s="3">
        <v>21</v>
      </c>
      <c r="J290" s="3">
        <f>1.8*I290+32</f>
        <v>69.800000000000011</v>
      </c>
      <c r="K290" s="3">
        <v>13.5</v>
      </c>
      <c r="L290" s="3">
        <f>IF(J290&gt;68,K290+(J290-68)*0.2,K290-(68-J290)*0.2)</f>
        <v>13.860000000000003</v>
      </c>
      <c r="M290" s="3">
        <f>(C290-H290)/C290*100</f>
        <v>60.711857628474299</v>
      </c>
      <c r="N290" s="3">
        <f>100-(M290+O290)</f>
        <v>11.573685262947407</v>
      </c>
      <c r="O290" s="3">
        <f>L290/C290*100</f>
        <v>27.714457108578287</v>
      </c>
      <c r="P290" s="2" t="s">
        <v>0</v>
      </c>
      <c r="Q290" s="1">
        <v>409104.330433</v>
      </c>
      <c r="R290" s="1">
        <v>3659279.8774560001</v>
      </c>
    </row>
    <row r="291" spans="1:18" x14ac:dyDescent="0.25">
      <c r="A291" s="6">
        <v>38</v>
      </c>
      <c r="B291" s="4">
        <v>120</v>
      </c>
      <c r="C291" s="5">
        <v>50</v>
      </c>
      <c r="D291" s="4">
        <v>20</v>
      </c>
      <c r="E291" s="3">
        <v>24</v>
      </c>
      <c r="F291" s="3">
        <f>1.8*E291+32</f>
        <v>75.2</v>
      </c>
      <c r="G291" s="3">
        <v>22</v>
      </c>
      <c r="H291" s="3">
        <f>IF(F291&gt;68,G291+(F291-68)*0.2,#REF!-(68-F291)*0.2)</f>
        <v>23.44</v>
      </c>
      <c r="I291" s="3">
        <v>22</v>
      </c>
      <c r="J291" s="3">
        <f>1.8*I291+32</f>
        <v>71.599999999999994</v>
      </c>
      <c r="K291" s="3">
        <v>14.5</v>
      </c>
      <c r="L291" s="3">
        <f>IF(J291&gt;68,K291+(J291-68)*0.2,K291-(68-J291)*0.2)</f>
        <v>15.219999999999999</v>
      </c>
      <c r="M291" s="3">
        <f>(C291-H291)/C291*100</f>
        <v>53.12</v>
      </c>
      <c r="N291" s="3">
        <f>100-(M291+O291)</f>
        <v>16.439999999999998</v>
      </c>
      <c r="O291" s="3">
        <f>L291/C291*100</f>
        <v>30.44</v>
      </c>
      <c r="P291" s="2" t="s">
        <v>0</v>
      </c>
      <c r="Q291" s="1">
        <v>409104.330433</v>
      </c>
      <c r="R291" s="1">
        <v>3659279.8774560001</v>
      </c>
    </row>
    <row r="292" spans="1:18" x14ac:dyDescent="0.25">
      <c r="A292" s="6">
        <v>38</v>
      </c>
      <c r="B292" s="4">
        <v>150</v>
      </c>
      <c r="C292" s="5">
        <v>50</v>
      </c>
      <c r="D292" s="4">
        <v>20</v>
      </c>
      <c r="E292" s="3">
        <v>24</v>
      </c>
      <c r="F292" s="3">
        <f>1.8*E292+32</f>
        <v>75.2</v>
      </c>
      <c r="G292" s="3">
        <v>13.5</v>
      </c>
      <c r="H292" s="3">
        <f>IF(F292&gt;68,G292+(F292-68)*0.2,#REF!-(68-F292)*0.2)</f>
        <v>14.940000000000001</v>
      </c>
      <c r="I292" s="3">
        <v>22</v>
      </c>
      <c r="J292" s="3">
        <f>1.8*I292+32</f>
        <v>71.599999999999994</v>
      </c>
      <c r="K292" s="3">
        <v>10.5</v>
      </c>
      <c r="L292" s="3">
        <f>IF(J292&gt;68,K292+(J292-68)*0.2,K292-(68-J292)*0.2)</f>
        <v>11.219999999999999</v>
      </c>
      <c r="M292" s="3">
        <f>(C292-H292)/C292*100</f>
        <v>70.12</v>
      </c>
      <c r="N292" s="3">
        <f>100-(M292+O292)</f>
        <v>7.4399999999999977</v>
      </c>
      <c r="O292" s="3">
        <f>L292/C292*100</f>
        <v>22.439999999999998</v>
      </c>
      <c r="P292" s="2" t="s">
        <v>0</v>
      </c>
      <c r="Q292" s="1">
        <v>409104.330433</v>
      </c>
      <c r="R292" s="1">
        <v>3659279.8774560001</v>
      </c>
    </row>
    <row r="293" spans="1:18" x14ac:dyDescent="0.25">
      <c r="A293" s="6">
        <v>38</v>
      </c>
      <c r="B293" s="4">
        <v>180</v>
      </c>
      <c r="C293" s="5">
        <v>50</v>
      </c>
      <c r="D293" s="4">
        <v>20</v>
      </c>
      <c r="E293" s="3">
        <v>24</v>
      </c>
      <c r="F293" s="3">
        <f>1.8*E293+32</f>
        <v>75.2</v>
      </c>
      <c r="G293" s="3">
        <v>13</v>
      </c>
      <c r="H293" s="3">
        <f>IF(F293&gt;68,G293+(F293-68)*0.2,#REF!-(68-F293)*0.2)</f>
        <v>14.440000000000001</v>
      </c>
      <c r="I293" s="3">
        <v>22</v>
      </c>
      <c r="J293" s="3">
        <f>1.8*I293+32</f>
        <v>71.599999999999994</v>
      </c>
      <c r="K293" s="3">
        <v>10.5</v>
      </c>
      <c r="L293" s="3">
        <f>IF(J293&gt;68,K293+(J293-68)*0.2,K293-(68-J293)*0.2)</f>
        <v>11.219999999999999</v>
      </c>
      <c r="M293" s="3">
        <f>(C293-H293)/C293*100</f>
        <v>71.12</v>
      </c>
      <c r="N293" s="3">
        <f>100-(M293+O293)</f>
        <v>6.4399999999999977</v>
      </c>
      <c r="O293" s="3">
        <f>L293/C293*100</f>
        <v>22.439999999999998</v>
      </c>
      <c r="P293" s="2" t="s">
        <v>0</v>
      </c>
      <c r="Q293" s="1">
        <v>409104.330433</v>
      </c>
      <c r="R293" s="1">
        <v>3659279.8774560001</v>
      </c>
    </row>
    <row r="295" spans="1:18" ht="51.75" x14ac:dyDescent="0.25">
      <c r="A295" s="15" t="s">
        <v>19</v>
      </c>
      <c r="B295" s="10" t="s">
        <v>18</v>
      </c>
      <c r="C295" s="14" t="s">
        <v>17</v>
      </c>
      <c r="D295" s="13" t="s">
        <v>16</v>
      </c>
      <c r="E295" s="12" t="s">
        <v>15</v>
      </c>
      <c r="F295" s="12" t="s">
        <v>14</v>
      </c>
      <c r="G295" s="12" t="s">
        <v>13</v>
      </c>
      <c r="H295" s="12" t="s">
        <v>12</v>
      </c>
      <c r="I295" s="12" t="s">
        <v>11</v>
      </c>
      <c r="J295" s="12" t="s">
        <v>10</v>
      </c>
      <c r="K295" s="12" t="s">
        <v>9</v>
      </c>
      <c r="L295" s="12" t="s">
        <v>8</v>
      </c>
      <c r="M295" s="11" t="s">
        <v>7</v>
      </c>
      <c r="N295" s="11" t="s">
        <v>6</v>
      </c>
      <c r="O295" s="11" t="s">
        <v>5</v>
      </c>
      <c r="P295" s="10" t="s">
        <v>4</v>
      </c>
      <c r="Q295" s="9" t="s">
        <v>3</v>
      </c>
      <c r="R295" s="8"/>
    </row>
    <row r="296" spans="1:18" x14ac:dyDescent="0.25">
      <c r="A296" s="4"/>
      <c r="B296" s="4"/>
      <c r="C296" s="5"/>
      <c r="D296" s="4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2"/>
      <c r="Q296" s="7" t="s">
        <v>2</v>
      </c>
      <c r="R296" s="7" t="s">
        <v>1</v>
      </c>
    </row>
    <row r="297" spans="1:18" x14ac:dyDescent="0.25">
      <c r="A297" s="6">
        <v>41</v>
      </c>
      <c r="B297" s="4">
        <v>30</v>
      </c>
      <c r="C297" s="5">
        <v>50.01</v>
      </c>
      <c r="D297" s="4">
        <v>20</v>
      </c>
      <c r="E297" s="3">
        <v>23.25</v>
      </c>
      <c r="F297" s="3">
        <f>1.8*E297+32</f>
        <v>73.849999999999994</v>
      </c>
      <c r="G297" s="3">
        <v>16</v>
      </c>
      <c r="H297" s="3">
        <f>IF(F297&gt;68,G297+(F297-68)*0.2,#REF!-(68-F297)*0.2)</f>
        <v>17.169999999999998</v>
      </c>
      <c r="I297" s="3">
        <v>23.5</v>
      </c>
      <c r="J297" s="3">
        <f>1.8*I297+32</f>
        <v>74.300000000000011</v>
      </c>
      <c r="K297" s="3">
        <v>10.5</v>
      </c>
      <c r="L297" s="3">
        <f>IF(J297&gt;68,K297+(J297-68)*0.2,K297-(68-J297)*0.2)</f>
        <v>11.760000000000002</v>
      </c>
      <c r="M297" s="3">
        <f>(C297-H297)/C297*100</f>
        <v>65.666866626674675</v>
      </c>
      <c r="N297" s="3">
        <f>100-(M297+O297)</f>
        <v>10.817836432713449</v>
      </c>
      <c r="O297" s="3">
        <f>L297/C297*100</f>
        <v>23.515296940611883</v>
      </c>
      <c r="P297" s="2" t="s">
        <v>0</v>
      </c>
      <c r="Q297" s="1">
        <v>409018.76812700002</v>
      </c>
      <c r="R297" s="1">
        <v>3659262.8794450001</v>
      </c>
    </row>
    <row r="298" spans="1:18" x14ac:dyDescent="0.25">
      <c r="A298" s="6">
        <v>41</v>
      </c>
      <c r="B298" s="4">
        <v>60</v>
      </c>
      <c r="C298" s="5">
        <v>49.99</v>
      </c>
      <c r="D298" s="4">
        <v>20</v>
      </c>
      <c r="E298" s="3">
        <v>23.3</v>
      </c>
      <c r="F298" s="3">
        <f>1.8*E298+32</f>
        <v>73.94</v>
      </c>
      <c r="G298" s="3">
        <v>16</v>
      </c>
      <c r="H298" s="3">
        <f>IF(F298&gt;68,G298+(F298-68)*0.2,#REF!-(68-F298)*0.2)</f>
        <v>17.187999999999999</v>
      </c>
      <c r="I298" s="3">
        <v>23.5</v>
      </c>
      <c r="J298" s="3">
        <f>1.8*I298+32</f>
        <v>74.300000000000011</v>
      </c>
      <c r="K298" s="3">
        <v>11</v>
      </c>
      <c r="L298" s="3">
        <f>IF(J298&gt;68,K298+(J298-68)*0.2,K298-(68-J298)*0.2)</f>
        <v>12.260000000000002</v>
      </c>
      <c r="M298" s="3">
        <f>(C298-H298)/C298*100</f>
        <v>65.617123424684948</v>
      </c>
      <c r="N298" s="3">
        <f>100-(M298+O298)</f>
        <v>9.8579715943188546</v>
      </c>
      <c r="O298" s="3">
        <f>L298/C298*100</f>
        <v>24.524904980996201</v>
      </c>
      <c r="P298" s="2" t="s">
        <v>0</v>
      </c>
      <c r="Q298" s="1">
        <v>409018.76812700002</v>
      </c>
      <c r="R298" s="1">
        <v>3659262.8794450001</v>
      </c>
    </row>
    <row r="299" spans="1:18" x14ac:dyDescent="0.25">
      <c r="A299" s="6">
        <v>41</v>
      </c>
      <c r="B299" s="4">
        <v>90</v>
      </c>
      <c r="C299" s="5">
        <v>50.01</v>
      </c>
      <c r="D299" s="4">
        <v>20</v>
      </c>
      <c r="E299" s="3">
        <v>23.25</v>
      </c>
      <c r="F299" s="3">
        <f>1.8*E299+32</f>
        <v>73.849999999999994</v>
      </c>
      <c r="G299" s="3">
        <v>19.5</v>
      </c>
      <c r="H299" s="3">
        <f>IF(F299&gt;68,G299+(F299-68)*0.2,G242-(68-F299)*0.2)</f>
        <v>20.669999999999998</v>
      </c>
      <c r="I299" s="3">
        <v>23.5</v>
      </c>
      <c r="J299" s="3">
        <f>1.8*I299+32</f>
        <v>74.300000000000011</v>
      </c>
      <c r="K299" s="3">
        <v>13.5</v>
      </c>
      <c r="L299" s="3">
        <f>IF(J299&gt;68,K299+(J299-68)*0.2,K299-(68-J299)*0.2)</f>
        <v>14.760000000000002</v>
      </c>
      <c r="M299" s="3">
        <f>(C299-H299)/C299*100</f>
        <v>58.668266346730661</v>
      </c>
      <c r="N299" s="3">
        <f>100-(M299+O299)</f>
        <v>11.817636472705445</v>
      </c>
      <c r="O299" s="3">
        <f>L299/C299*100</f>
        <v>29.514097180563891</v>
      </c>
      <c r="P299" s="2" t="s">
        <v>0</v>
      </c>
      <c r="Q299" s="1">
        <v>409018.76812700002</v>
      </c>
      <c r="R299" s="1">
        <v>3659262.8794450001</v>
      </c>
    </row>
    <row r="300" spans="1:18" x14ac:dyDescent="0.25">
      <c r="A300" s="6">
        <v>41</v>
      </c>
      <c r="B300" s="4">
        <v>120</v>
      </c>
      <c r="C300" s="5">
        <v>49.99</v>
      </c>
      <c r="D300" s="4">
        <v>20</v>
      </c>
      <c r="E300" s="3">
        <v>23.25</v>
      </c>
      <c r="F300" s="3">
        <f>1.8*E300+32</f>
        <v>73.849999999999994</v>
      </c>
      <c r="G300" s="3">
        <v>26.5</v>
      </c>
      <c r="H300" s="3">
        <f>IF(F300&gt;68,G300+(F300-68)*0.2,G243-(68-F300)*0.2)</f>
        <v>27.669999999999998</v>
      </c>
      <c r="I300" s="3">
        <v>23.5</v>
      </c>
      <c r="J300" s="3">
        <f>1.8*I300+32</f>
        <v>74.300000000000011</v>
      </c>
      <c r="K300" s="3">
        <v>17.5</v>
      </c>
      <c r="L300" s="3">
        <f>IF(J300&gt;68,K300+(J300-68)*0.2,K300-(68-J300)*0.2)</f>
        <v>18.760000000000002</v>
      </c>
      <c r="M300" s="3">
        <f>(C300-H300)/C300*100</f>
        <v>44.648929785957201</v>
      </c>
      <c r="N300" s="3">
        <f>100-(M300+O300)</f>
        <v>17.823564712942584</v>
      </c>
      <c r="O300" s="3">
        <f>L300/C300*100</f>
        <v>37.527505501100222</v>
      </c>
      <c r="P300" s="2" t="s">
        <v>22</v>
      </c>
      <c r="Q300" s="1">
        <v>409018.76812700002</v>
      </c>
      <c r="R300" s="1">
        <v>3659262.8794450001</v>
      </c>
    </row>
    <row r="301" spans="1:18" x14ac:dyDescent="0.25">
      <c r="A301" s="6">
        <v>41</v>
      </c>
      <c r="B301" s="4">
        <v>150</v>
      </c>
      <c r="C301" s="5">
        <v>50</v>
      </c>
      <c r="D301" s="4">
        <v>20</v>
      </c>
      <c r="E301" s="3">
        <v>23.25</v>
      </c>
      <c r="F301" s="3">
        <f>1.8*E301+32</f>
        <v>73.849999999999994</v>
      </c>
      <c r="G301" s="3">
        <v>12</v>
      </c>
      <c r="H301" s="3">
        <f>IF(F301&gt;68,G301+(F301-68)*0.2,G244-(68-F301)*0.2)</f>
        <v>13.169999999999998</v>
      </c>
      <c r="I301" s="3">
        <v>23.5</v>
      </c>
      <c r="J301" s="3">
        <f>1.8*I301+32</f>
        <v>74.300000000000011</v>
      </c>
      <c r="K301" s="3">
        <v>8</v>
      </c>
      <c r="L301" s="3">
        <f>IF(J301&gt;68,K301+(J301-68)*0.2,K301-(68-J301)*0.2)</f>
        <v>9.2600000000000016</v>
      </c>
      <c r="M301" s="3">
        <f>(C301-H301)/C301*100</f>
        <v>73.66</v>
      </c>
      <c r="N301" s="3">
        <f>100-(M301+O301)</f>
        <v>7.8199999999999932</v>
      </c>
      <c r="O301" s="3">
        <f>L301/C301*100</f>
        <v>18.520000000000003</v>
      </c>
      <c r="P301" s="2" t="s">
        <v>22</v>
      </c>
      <c r="Q301" s="1">
        <v>409018.76812700002</v>
      </c>
      <c r="R301" s="1">
        <v>3659262.8794450001</v>
      </c>
    </row>
    <row r="302" spans="1:18" x14ac:dyDescent="0.25">
      <c r="A302" s="6">
        <v>41</v>
      </c>
      <c r="B302" s="4">
        <v>180</v>
      </c>
      <c r="C302" s="5">
        <v>49.99</v>
      </c>
      <c r="D302" s="4">
        <v>20</v>
      </c>
      <c r="E302" s="3">
        <v>23.25</v>
      </c>
      <c r="F302" s="3">
        <f>1.8*E302+32</f>
        <v>73.849999999999994</v>
      </c>
      <c r="G302" s="3">
        <v>25.5</v>
      </c>
      <c r="H302" s="3">
        <f>IF(F302&gt;68,G302+(F302-68)*0.2,G245-(68-F302)*0.2)</f>
        <v>26.669999999999998</v>
      </c>
      <c r="I302" s="3">
        <v>23.5</v>
      </c>
      <c r="J302" s="3">
        <f>1.8*I302+32</f>
        <v>74.300000000000011</v>
      </c>
      <c r="K302" s="3">
        <v>16</v>
      </c>
      <c r="L302" s="3">
        <f>IF(J302&gt;68,K302+(J302-68)*0.2,K302-(68-J302)*0.2)</f>
        <v>17.260000000000002</v>
      </c>
      <c r="M302" s="3">
        <f>(C302-H302)/C302*100</f>
        <v>46.649329865973201</v>
      </c>
      <c r="N302" s="3">
        <f>100-(M302+O302)</f>
        <v>18.823764752950581</v>
      </c>
      <c r="O302" s="3">
        <f>L302/C302*100</f>
        <v>34.526905381076219</v>
      </c>
      <c r="P302" s="2" t="s">
        <v>0</v>
      </c>
      <c r="Q302" s="1">
        <v>409018.76812700002</v>
      </c>
      <c r="R302" s="1">
        <v>3659262.8794450001</v>
      </c>
    </row>
    <row r="304" spans="1:18" ht="51.75" x14ac:dyDescent="0.25">
      <c r="A304" s="15" t="s">
        <v>19</v>
      </c>
      <c r="B304" s="10" t="s">
        <v>18</v>
      </c>
      <c r="C304" s="14" t="s">
        <v>17</v>
      </c>
      <c r="D304" s="13" t="s">
        <v>16</v>
      </c>
      <c r="E304" s="12" t="s">
        <v>15</v>
      </c>
      <c r="F304" s="12" t="s">
        <v>14</v>
      </c>
      <c r="G304" s="12" t="s">
        <v>13</v>
      </c>
      <c r="H304" s="12" t="s">
        <v>12</v>
      </c>
      <c r="I304" s="12" t="s">
        <v>11</v>
      </c>
      <c r="J304" s="12" t="s">
        <v>10</v>
      </c>
      <c r="K304" s="12" t="s">
        <v>9</v>
      </c>
      <c r="L304" s="12" t="s">
        <v>8</v>
      </c>
      <c r="M304" s="11" t="s">
        <v>7</v>
      </c>
      <c r="N304" s="11" t="s">
        <v>6</v>
      </c>
      <c r="O304" s="11" t="s">
        <v>5</v>
      </c>
      <c r="P304" s="10" t="s">
        <v>4</v>
      </c>
      <c r="Q304" s="9" t="s">
        <v>3</v>
      </c>
      <c r="R304" s="8"/>
    </row>
    <row r="305" spans="1:18" x14ac:dyDescent="0.25">
      <c r="A305" s="4"/>
      <c r="B305" s="4"/>
      <c r="C305" s="4"/>
      <c r="D305" s="4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2"/>
      <c r="Q305" s="7" t="s">
        <v>2</v>
      </c>
      <c r="R305" s="7" t="s">
        <v>1</v>
      </c>
    </row>
    <row r="306" spans="1:18" x14ac:dyDescent="0.25">
      <c r="A306" s="6">
        <v>42</v>
      </c>
      <c r="B306" s="4">
        <v>30</v>
      </c>
      <c r="C306" s="4">
        <v>50.02</v>
      </c>
      <c r="D306" s="4">
        <v>20</v>
      </c>
      <c r="E306" s="3">
        <v>24</v>
      </c>
      <c r="F306" s="3">
        <f>1.8*E306+32</f>
        <v>75.2</v>
      </c>
      <c r="G306" s="3">
        <v>16</v>
      </c>
      <c r="H306" s="3">
        <f>IF(F306&gt;68,G306+(F306-68)*0.2,#REF!-(68-F306)*0.2)</f>
        <v>17.440000000000001</v>
      </c>
      <c r="I306" s="3">
        <v>24</v>
      </c>
      <c r="J306" s="3">
        <f>1.8*I306+32</f>
        <v>75.2</v>
      </c>
      <c r="K306" s="3">
        <v>10</v>
      </c>
      <c r="L306" s="3">
        <f>IF(J306&gt;68,K306+(J306-68)*0.2,K306-(68-J306)*0.2)</f>
        <v>11.440000000000001</v>
      </c>
      <c r="M306" s="3">
        <f>(C306-H306)/C306*100</f>
        <v>65.133946421431418</v>
      </c>
      <c r="N306" s="3">
        <f>100-(M306+O306)</f>
        <v>11.995201919232315</v>
      </c>
      <c r="O306" s="3">
        <f>L306/C306*100</f>
        <v>22.870851659336267</v>
      </c>
      <c r="P306" s="2" t="s">
        <v>0</v>
      </c>
      <c r="Q306" s="1">
        <v>409030.94426399999</v>
      </c>
      <c r="R306" s="1">
        <v>3659262.665296</v>
      </c>
    </row>
    <row r="307" spans="1:18" x14ac:dyDescent="0.25">
      <c r="A307" s="6">
        <v>42</v>
      </c>
      <c r="B307" s="4">
        <v>60</v>
      </c>
      <c r="C307" s="4">
        <v>49.98</v>
      </c>
      <c r="D307" s="4">
        <v>20</v>
      </c>
      <c r="E307" s="3">
        <v>24</v>
      </c>
      <c r="F307" s="3">
        <f>1.8*E307+32</f>
        <v>75.2</v>
      </c>
      <c r="G307" s="3">
        <v>15</v>
      </c>
      <c r="H307" s="3">
        <f>IF(F307&gt;68,G307+(F307-68)*0.2,#REF!-(68-F307)*0.2)</f>
        <v>16.440000000000001</v>
      </c>
      <c r="I307" s="3">
        <v>24</v>
      </c>
      <c r="J307" s="3">
        <f>1.8*I307+32</f>
        <v>75.2</v>
      </c>
      <c r="K307" s="3">
        <v>10.5</v>
      </c>
      <c r="L307" s="3">
        <f>IF(J307&gt;68,K307+(J307-68)*0.2,K307-(68-J307)*0.2)</f>
        <v>11.940000000000001</v>
      </c>
      <c r="M307" s="3">
        <f>(C307-H307)/C307*100</f>
        <v>67.106842737094823</v>
      </c>
      <c r="N307" s="3">
        <f>100-(M307+O307)</f>
        <v>9.003601440576233</v>
      </c>
      <c r="O307" s="3">
        <f>L307/C307*100</f>
        <v>23.889555822328937</v>
      </c>
      <c r="P307" s="2" t="s">
        <v>0</v>
      </c>
      <c r="Q307" s="1">
        <v>409030.94426399999</v>
      </c>
      <c r="R307" s="1">
        <v>3659262.665296</v>
      </c>
    </row>
    <row r="308" spans="1:18" x14ac:dyDescent="0.25">
      <c r="A308" s="6">
        <v>42</v>
      </c>
      <c r="B308" s="4">
        <v>90</v>
      </c>
      <c r="C308" s="4">
        <v>50.04</v>
      </c>
      <c r="D308" s="4">
        <v>20</v>
      </c>
      <c r="E308" s="3">
        <v>24</v>
      </c>
      <c r="F308" s="3">
        <f>1.8*E308+32</f>
        <v>75.2</v>
      </c>
      <c r="G308" s="3">
        <v>21</v>
      </c>
      <c r="H308" s="3">
        <f>IF(F308&gt;68,G308+(F308-68)*0.2,#REF!-(68-F308)*0.2)</f>
        <v>22.44</v>
      </c>
      <c r="I308" s="3">
        <v>24</v>
      </c>
      <c r="J308" s="3">
        <f>1.8*I308+32</f>
        <v>75.2</v>
      </c>
      <c r="K308" s="3">
        <v>13</v>
      </c>
      <c r="L308" s="3">
        <f>IF(J308&gt;68,K308+(J308-68)*0.2,K308-(68-J308)*0.2)</f>
        <v>14.440000000000001</v>
      </c>
      <c r="M308" s="3">
        <f>(C308-H308)/C308*100</f>
        <v>55.15587529976019</v>
      </c>
      <c r="N308" s="3">
        <f>100-(M308+O308)</f>
        <v>15.987210231814544</v>
      </c>
      <c r="O308" s="3">
        <f>L308/C308*100</f>
        <v>28.856914468425266</v>
      </c>
      <c r="P308" s="2" t="s">
        <v>0</v>
      </c>
      <c r="Q308" s="1">
        <v>409030.94426399999</v>
      </c>
      <c r="R308" s="1">
        <v>3659262.665296</v>
      </c>
    </row>
    <row r="309" spans="1:18" x14ac:dyDescent="0.25">
      <c r="A309" s="6">
        <v>42</v>
      </c>
      <c r="B309" s="4">
        <v>120</v>
      </c>
      <c r="C309" s="4">
        <v>50</v>
      </c>
      <c r="D309" s="4">
        <v>20</v>
      </c>
      <c r="E309" s="3">
        <v>24</v>
      </c>
      <c r="F309" s="3">
        <f>1.8*E309+32</f>
        <v>75.2</v>
      </c>
      <c r="G309" s="3">
        <v>24.5</v>
      </c>
      <c r="H309" s="3">
        <f>IF(F309&gt;68,G309+(F309-68)*0.2,#REF!-(68-F309)*0.2)</f>
        <v>25.94</v>
      </c>
      <c r="I309" s="3">
        <v>24</v>
      </c>
      <c r="J309" s="3">
        <f>1.8*I309+32</f>
        <v>75.2</v>
      </c>
      <c r="K309" s="3">
        <v>17</v>
      </c>
      <c r="L309" s="3">
        <f>IF(J309&gt;68,K309+(J309-68)*0.2,K309-(68-J309)*0.2)</f>
        <v>18.440000000000001</v>
      </c>
      <c r="M309" s="3">
        <f>(C309-H309)/C309*100</f>
        <v>48.12</v>
      </c>
      <c r="N309" s="3">
        <f>100-(M309+O309)</f>
        <v>15</v>
      </c>
      <c r="O309" s="3">
        <f>L309/C309*100</f>
        <v>36.880000000000003</v>
      </c>
      <c r="P309" s="2" t="s">
        <v>0</v>
      </c>
      <c r="Q309" s="1">
        <v>409030.94426399999</v>
      </c>
      <c r="R309" s="1">
        <v>3659262.665296</v>
      </c>
    </row>
    <row r="310" spans="1:18" x14ac:dyDescent="0.25">
      <c r="A310" s="6">
        <v>42</v>
      </c>
      <c r="B310" s="4">
        <v>150</v>
      </c>
      <c r="C310" s="4">
        <v>50</v>
      </c>
      <c r="D310" s="4">
        <v>20</v>
      </c>
      <c r="E310" s="3">
        <v>24</v>
      </c>
      <c r="F310" s="3">
        <f>1.8*E310+32</f>
        <v>75.2</v>
      </c>
      <c r="G310" s="3">
        <v>19</v>
      </c>
      <c r="H310" s="3">
        <f>IF(F310&gt;68,G310+(F310-68)*0.2,#REF!-(68-F310)*0.2)</f>
        <v>20.440000000000001</v>
      </c>
      <c r="I310" s="3">
        <v>24</v>
      </c>
      <c r="J310" s="3">
        <f>1.8*I310+32</f>
        <v>75.2</v>
      </c>
      <c r="K310" s="3">
        <v>12.5</v>
      </c>
      <c r="L310" s="3">
        <f>IF(J310&gt;68,K310+(J310-68)*0.2,K310-(68-J310)*0.2)</f>
        <v>13.940000000000001</v>
      </c>
      <c r="M310" s="3">
        <f>(C310-H310)/C310*100</f>
        <v>59.12</v>
      </c>
      <c r="N310" s="3">
        <f>100-(M310+O310)</f>
        <v>13</v>
      </c>
      <c r="O310" s="3">
        <f>L310/C310*100</f>
        <v>27.880000000000006</v>
      </c>
      <c r="P310" s="2" t="s">
        <v>0</v>
      </c>
      <c r="Q310" s="1">
        <v>409030.94426399999</v>
      </c>
      <c r="R310" s="1">
        <v>3659262.665296</v>
      </c>
    </row>
    <row r="311" spans="1:18" x14ac:dyDescent="0.25">
      <c r="A311" s="6">
        <v>42</v>
      </c>
      <c r="B311" s="4">
        <v>180</v>
      </c>
      <c r="C311" s="4">
        <v>50</v>
      </c>
      <c r="D311" s="4">
        <v>20</v>
      </c>
      <c r="E311" s="3">
        <v>24</v>
      </c>
      <c r="F311" s="3">
        <f>1.8*E311+32</f>
        <v>75.2</v>
      </c>
      <c r="G311" s="3">
        <v>17</v>
      </c>
      <c r="H311" s="3">
        <f>IF(F311&gt;68,G311+(F311-68)*0.2,#REF!-(68-F311)*0.2)</f>
        <v>18.440000000000001</v>
      </c>
      <c r="I311" s="3">
        <v>24</v>
      </c>
      <c r="J311" s="3">
        <f>1.8*I311+32</f>
        <v>75.2</v>
      </c>
      <c r="K311" s="3">
        <v>11.5</v>
      </c>
      <c r="L311" s="3">
        <f>IF(J311&gt;68,K311+(J311-68)*0.2,K311-(68-J311)*0.2)</f>
        <v>12.940000000000001</v>
      </c>
      <c r="M311" s="3">
        <f>(C311-H311)/C311*100</f>
        <v>63.12</v>
      </c>
      <c r="N311" s="3">
        <f>100-(M311+O311)</f>
        <v>11</v>
      </c>
      <c r="O311" s="3">
        <f>L311/C311*100</f>
        <v>25.880000000000003</v>
      </c>
      <c r="P311" s="2" t="s">
        <v>0</v>
      </c>
      <c r="Q311" s="1">
        <v>409030.94426399999</v>
      </c>
      <c r="R311" s="1">
        <v>3659262.665296</v>
      </c>
    </row>
    <row r="313" spans="1:18" ht="51.75" x14ac:dyDescent="0.25">
      <c r="A313" s="15" t="s">
        <v>19</v>
      </c>
      <c r="B313" s="10" t="s">
        <v>18</v>
      </c>
      <c r="C313" s="14" t="s">
        <v>17</v>
      </c>
      <c r="D313" s="13" t="s">
        <v>16</v>
      </c>
      <c r="E313" s="12" t="s">
        <v>15</v>
      </c>
      <c r="F313" s="12" t="s">
        <v>14</v>
      </c>
      <c r="G313" s="12" t="s">
        <v>13</v>
      </c>
      <c r="H313" s="12" t="s">
        <v>12</v>
      </c>
      <c r="I313" s="12" t="s">
        <v>11</v>
      </c>
      <c r="J313" s="12" t="s">
        <v>10</v>
      </c>
      <c r="K313" s="12" t="s">
        <v>9</v>
      </c>
      <c r="L313" s="12" t="s">
        <v>8</v>
      </c>
      <c r="M313" s="11" t="s">
        <v>7</v>
      </c>
      <c r="N313" s="11" t="s">
        <v>6</v>
      </c>
      <c r="O313" s="11" t="s">
        <v>5</v>
      </c>
      <c r="P313" s="10" t="s">
        <v>4</v>
      </c>
      <c r="Q313" s="9" t="s">
        <v>3</v>
      </c>
      <c r="R313" s="8"/>
    </row>
    <row r="314" spans="1:18" x14ac:dyDescent="0.25">
      <c r="A314" s="4"/>
      <c r="B314" s="4"/>
      <c r="C314" s="5"/>
      <c r="D314" s="4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2"/>
      <c r="Q314" s="7" t="s">
        <v>2</v>
      </c>
      <c r="R314" s="7" t="s">
        <v>1</v>
      </c>
    </row>
    <row r="315" spans="1:18" x14ac:dyDescent="0.25">
      <c r="A315" s="6">
        <v>43</v>
      </c>
      <c r="B315" s="4">
        <v>30</v>
      </c>
      <c r="C315" s="5">
        <v>50.01</v>
      </c>
      <c r="D315" s="4">
        <v>20</v>
      </c>
      <c r="E315" s="3">
        <v>24</v>
      </c>
      <c r="F315" s="3">
        <f>1.8*E315+32</f>
        <v>75.2</v>
      </c>
      <c r="G315" s="3">
        <v>15</v>
      </c>
      <c r="H315" s="3">
        <f>IF(F315&gt;68,G315+(F315-68)*0.2,#REF!-(68-F315)*0.2)</f>
        <v>16.440000000000001</v>
      </c>
      <c r="I315" s="3">
        <v>24</v>
      </c>
      <c r="J315" s="3">
        <f>1.8*I315+32</f>
        <v>75.2</v>
      </c>
      <c r="K315" s="3">
        <v>10</v>
      </c>
      <c r="L315" s="3">
        <f>IF(J315&gt;68,K315+(J315-68)*0.2,K315-(68-J315)*0.2)</f>
        <v>11.440000000000001</v>
      </c>
      <c r="M315" s="3">
        <f>(C315-H315)/C315*100</f>
        <v>67.126574685062977</v>
      </c>
      <c r="N315" s="3">
        <f>100-(M315+O315)</f>
        <v>9.9980003999200164</v>
      </c>
      <c r="O315" s="3">
        <f>L315/C315*100</f>
        <v>22.875424915017</v>
      </c>
      <c r="P315" s="2" t="s">
        <v>0</v>
      </c>
      <c r="Q315" s="1">
        <v>409043.13452199998</v>
      </c>
      <c r="R315" s="1">
        <v>3659262.4483940001</v>
      </c>
    </row>
    <row r="316" spans="1:18" x14ac:dyDescent="0.25">
      <c r="A316" s="6">
        <v>43</v>
      </c>
      <c r="B316" s="4">
        <v>60</v>
      </c>
      <c r="C316" s="5">
        <v>49.98</v>
      </c>
      <c r="D316" s="4">
        <v>20</v>
      </c>
      <c r="E316" s="3">
        <v>24</v>
      </c>
      <c r="F316" s="3">
        <f>1.8*E316+32</f>
        <v>75.2</v>
      </c>
      <c r="G316" s="3">
        <v>14.5</v>
      </c>
      <c r="H316" s="3">
        <f>IF(F316&gt;68,G316+(F316-68)*0.2,#REF!-(68-F316)*0.2)</f>
        <v>15.940000000000001</v>
      </c>
      <c r="I316" s="3">
        <v>24</v>
      </c>
      <c r="J316" s="3">
        <f>1.8*I316+32</f>
        <v>75.2</v>
      </c>
      <c r="K316" s="3">
        <v>10</v>
      </c>
      <c r="L316" s="3">
        <f>IF(J316&gt;68,K316+(J316-68)*0.2,K316-(68-J316)*0.2)</f>
        <v>11.440000000000001</v>
      </c>
      <c r="M316" s="3">
        <f>(C316-H316)/C316*100</f>
        <v>68.107242897158855</v>
      </c>
      <c r="N316" s="3">
        <f>100-(M316+O316)</f>
        <v>9.003601440576233</v>
      </c>
      <c r="O316" s="3">
        <f>L316/C316*100</f>
        <v>22.889155662264908</v>
      </c>
      <c r="P316" s="2" t="s">
        <v>0</v>
      </c>
      <c r="Q316" s="1">
        <v>409043.13452199998</v>
      </c>
      <c r="R316" s="1">
        <v>3659262.4483940001</v>
      </c>
    </row>
    <row r="317" spans="1:18" x14ac:dyDescent="0.25">
      <c r="A317" s="6">
        <v>43</v>
      </c>
      <c r="B317" s="4">
        <v>90</v>
      </c>
      <c r="C317" s="5">
        <v>49.99</v>
      </c>
      <c r="D317" s="4">
        <v>20</v>
      </c>
      <c r="E317" s="3">
        <v>24</v>
      </c>
      <c r="F317" s="3">
        <f>1.8*E317+32</f>
        <v>75.2</v>
      </c>
      <c r="G317" s="3">
        <v>19</v>
      </c>
      <c r="H317" s="3">
        <f>IF(F317&gt;68,G317+(F317-68)*0.2,#REF!-(68-F317)*0.2)</f>
        <v>20.440000000000001</v>
      </c>
      <c r="I317" s="3">
        <v>24</v>
      </c>
      <c r="J317" s="3">
        <f>1.8*I317+32</f>
        <v>75.2</v>
      </c>
      <c r="K317" s="3">
        <v>12.5</v>
      </c>
      <c r="L317" s="3">
        <f>IF(J317&gt;68,K317+(J317-68)*0.2,K317-(68-J317)*0.2)</f>
        <v>13.940000000000001</v>
      </c>
      <c r="M317" s="3">
        <f>(C317-H317)/C317*100</f>
        <v>59.1118223644729</v>
      </c>
      <c r="N317" s="3">
        <f>100-(M317+O317)</f>
        <v>13.002600520104011</v>
      </c>
      <c r="O317" s="3">
        <f>L317/C317*100</f>
        <v>27.885577115423089</v>
      </c>
      <c r="P317" s="2" t="s">
        <v>0</v>
      </c>
      <c r="Q317" s="1">
        <v>409043.13452199998</v>
      </c>
      <c r="R317" s="1">
        <v>3659262.4483940001</v>
      </c>
    </row>
    <row r="318" spans="1:18" x14ac:dyDescent="0.25">
      <c r="A318" s="6">
        <v>43</v>
      </c>
      <c r="B318" s="4">
        <v>120</v>
      </c>
      <c r="C318" s="5">
        <v>50.01</v>
      </c>
      <c r="D318" s="4">
        <v>20</v>
      </c>
      <c r="E318" s="3">
        <v>24</v>
      </c>
      <c r="F318" s="3">
        <f>1.8*E318+32</f>
        <v>75.2</v>
      </c>
      <c r="G318" s="3">
        <v>25</v>
      </c>
      <c r="H318" s="3">
        <f>IF(F318&gt;68,G318+(F318-68)*0.2,#REF!-(68-F318)*0.2)</f>
        <v>26.44</v>
      </c>
      <c r="I318" s="3">
        <v>24</v>
      </c>
      <c r="J318" s="3">
        <f>1.8*I318+32</f>
        <v>75.2</v>
      </c>
      <c r="K318" s="3">
        <v>15</v>
      </c>
      <c r="L318" s="3">
        <f>IF(J318&gt;68,K318+(J318-68)*0.2,K318-(68-J318)*0.2)</f>
        <v>16.440000000000001</v>
      </c>
      <c r="M318" s="3">
        <f>(C318-H318)/C318*100</f>
        <v>47.130573885222951</v>
      </c>
      <c r="N318" s="3">
        <f>100-(M318+O318)</f>
        <v>19.996000799840033</v>
      </c>
      <c r="O318" s="3">
        <f>L318/C318*100</f>
        <v>32.873425314937016</v>
      </c>
      <c r="P318" s="2" t="s">
        <v>0</v>
      </c>
      <c r="Q318" s="1">
        <v>409043.13452199998</v>
      </c>
      <c r="R318" s="1">
        <v>3659262.4483940001</v>
      </c>
    </row>
    <row r="319" spans="1:18" x14ac:dyDescent="0.25">
      <c r="A319" s="6">
        <v>43</v>
      </c>
      <c r="B319" s="4">
        <v>150</v>
      </c>
      <c r="C319" s="5">
        <v>50.01</v>
      </c>
      <c r="D319" s="4">
        <v>20</v>
      </c>
      <c r="E319" s="3">
        <v>24</v>
      </c>
      <c r="F319" s="3">
        <f>1.8*E319+32</f>
        <v>75.2</v>
      </c>
      <c r="G319" s="3">
        <v>17.5</v>
      </c>
      <c r="H319" s="3">
        <f>IF(F319&gt;68,G319+(F319-68)*0.2,#REF!-(68-F319)*0.2)</f>
        <v>18.940000000000001</v>
      </c>
      <c r="I319" s="3">
        <v>24</v>
      </c>
      <c r="J319" s="3">
        <f>1.8*I319+32</f>
        <v>75.2</v>
      </c>
      <c r="K319" s="3">
        <v>12</v>
      </c>
      <c r="L319" s="3">
        <f>IF(J319&gt;68,K319+(J319-68)*0.2,K319-(68-J319)*0.2)</f>
        <v>13.440000000000001</v>
      </c>
      <c r="M319" s="3">
        <f>(C319-H319)/C319*100</f>
        <v>62.127574485102976</v>
      </c>
      <c r="N319" s="3">
        <f>100-(M319+O319)</f>
        <v>10.997800439912012</v>
      </c>
      <c r="O319" s="3">
        <f>L319/C319*100</f>
        <v>26.874625074985008</v>
      </c>
      <c r="P319" s="2" t="s">
        <v>21</v>
      </c>
      <c r="Q319" s="1">
        <v>409043.13452199998</v>
      </c>
      <c r="R319" s="1">
        <v>3659262.4483940001</v>
      </c>
    </row>
    <row r="320" spans="1:18" x14ac:dyDescent="0.25">
      <c r="A320" s="6">
        <v>43</v>
      </c>
      <c r="B320" s="4">
        <v>180</v>
      </c>
      <c r="C320" s="5">
        <v>50.03</v>
      </c>
      <c r="D320" s="4">
        <v>20</v>
      </c>
      <c r="E320" s="3">
        <v>24</v>
      </c>
      <c r="F320" s="3">
        <f>1.8*E320+32</f>
        <v>75.2</v>
      </c>
      <c r="G320" s="3">
        <v>20.5</v>
      </c>
      <c r="H320" s="3">
        <f>IF(F320&gt;68,G320+(F320-68)*0.2,#REF!-(68-F320)*0.2)</f>
        <v>21.94</v>
      </c>
      <c r="I320" s="3">
        <v>24</v>
      </c>
      <c r="J320" s="3">
        <f>1.8*I320+32</f>
        <v>75.2</v>
      </c>
      <c r="K320" s="3">
        <v>13</v>
      </c>
      <c r="L320" s="3">
        <f>IF(J320&gt;68,K320+(J320-68)*0.2,K320-(68-J320)*0.2)</f>
        <v>14.440000000000001</v>
      </c>
      <c r="M320" s="3">
        <f>(C320-H320)/C320*100</f>
        <v>56.146312212672399</v>
      </c>
      <c r="N320" s="3">
        <f>100-(M320+O320)</f>
        <v>14.991005396761935</v>
      </c>
      <c r="O320" s="3">
        <f>L320/C320*100</f>
        <v>28.862682390565663</v>
      </c>
      <c r="P320" s="2" t="s">
        <v>0</v>
      </c>
      <c r="Q320" s="1">
        <v>409043.13452199998</v>
      </c>
      <c r="R320" s="1">
        <v>3659262.4483940001</v>
      </c>
    </row>
    <row r="322" spans="1:18" ht="51.75" x14ac:dyDescent="0.25">
      <c r="A322" s="15" t="s">
        <v>19</v>
      </c>
      <c r="B322" s="10" t="s">
        <v>18</v>
      </c>
      <c r="C322" s="14" t="s">
        <v>17</v>
      </c>
      <c r="D322" s="13" t="s">
        <v>16</v>
      </c>
      <c r="E322" s="12" t="s">
        <v>15</v>
      </c>
      <c r="F322" s="12" t="s">
        <v>14</v>
      </c>
      <c r="G322" s="12" t="s">
        <v>13</v>
      </c>
      <c r="H322" s="12" t="s">
        <v>12</v>
      </c>
      <c r="I322" s="12" t="s">
        <v>11</v>
      </c>
      <c r="J322" s="12" t="s">
        <v>10</v>
      </c>
      <c r="K322" s="12" t="s">
        <v>9</v>
      </c>
      <c r="L322" s="12" t="s">
        <v>8</v>
      </c>
      <c r="M322" s="11" t="s">
        <v>7</v>
      </c>
      <c r="N322" s="11" t="s">
        <v>6</v>
      </c>
      <c r="O322" s="11" t="s">
        <v>5</v>
      </c>
      <c r="P322" s="10" t="s">
        <v>4</v>
      </c>
      <c r="Q322" s="9" t="s">
        <v>3</v>
      </c>
      <c r="R322" s="8"/>
    </row>
    <row r="323" spans="1:18" x14ac:dyDescent="0.25">
      <c r="A323" s="4"/>
      <c r="B323" s="4"/>
      <c r="C323" s="5"/>
      <c r="D323" s="4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2"/>
      <c r="Q323" s="7" t="s">
        <v>2</v>
      </c>
      <c r="R323" s="7" t="s">
        <v>1</v>
      </c>
    </row>
    <row r="324" spans="1:18" x14ac:dyDescent="0.25">
      <c r="A324" s="6">
        <v>44</v>
      </c>
      <c r="B324" s="4">
        <v>30</v>
      </c>
      <c r="C324" s="5">
        <v>50.01</v>
      </c>
      <c r="D324" s="4">
        <v>20</v>
      </c>
      <c r="E324" s="3">
        <v>24</v>
      </c>
      <c r="F324" s="3">
        <f>1.8*E324+32</f>
        <v>75.2</v>
      </c>
      <c r="G324" s="3">
        <v>14.5</v>
      </c>
      <c r="H324" s="3">
        <f>IF(F324&gt;68,G324+(F324-68)*0.2,G95-(68-F324)*0.2)</f>
        <v>15.940000000000001</v>
      </c>
      <c r="I324" s="3">
        <v>24</v>
      </c>
      <c r="J324" s="3">
        <f>1.8*I324+32</f>
        <v>75.2</v>
      </c>
      <c r="K324" s="3">
        <v>10.5</v>
      </c>
      <c r="L324" s="3">
        <f>IF(J324&gt;68,K324+(J324-68)*0.2,K324-(68-J324)*0.2)</f>
        <v>11.940000000000001</v>
      </c>
      <c r="M324" s="3">
        <f>(C324-H324)/C324*100</f>
        <v>68.126374725054987</v>
      </c>
      <c r="N324" s="3">
        <f>100-(M324+O324)</f>
        <v>7.9984003199360103</v>
      </c>
      <c r="O324" s="3">
        <f>L324/C324*100</f>
        <v>23.875224955009003</v>
      </c>
      <c r="P324" s="2" t="s">
        <v>0</v>
      </c>
      <c r="Q324" s="1">
        <v>409055.23207099998</v>
      </c>
      <c r="R324" s="1">
        <v>3659262.2313609999</v>
      </c>
    </row>
    <row r="325" spans="1:18" x14ac:dyDescent="0.25">
      <c r="A325" s="6">
        <v>44</v>
      </c>
      <c r="B325" s="4">
        <v>60</v>
      </c>
      <c r="C325" s="5">
        <v>50</v>
      </c>
      <c r="D325" s="4">
        <v>20</v>
      </c>
      <c r="E325" s="3">
        <v>24</v>
      </c>
      <c r="F325" s="3">
        <f>1.8*E325+32</f>
        <v>75.2</v>
      </c>
      <c r="G325" s="3">
        <v>17.5</v>
      </c>
      <c r="H325" s="3">
        <f>IF(F325&gt;68,G325+(F325-68)*0.2,#REF!-(68-F325)*0.2)</f>
        <v>18.940000000000001</v>
      </c>
      <c r="I325" s="3">
        <v>24</v>
      </c>
      <c r="J325" s="3">
        <f>1.8*I325+32</f>
        <v>75.2</v>
      </c>
      <c r="K325" s="3">
        <v>12</v>
      </c>
      <c r="L325" s="3">
        <f>IF(J325&gt;68,K325+(J325-68)*0.2,K325-(68-J325)*0.2)</f>
        <v>13.440000000000001</v>
      </c>
      <c r="M325" s="3">
        <f>(C325-H325)/C325*100</f>
        <v>62.12</v>
      </c>
      <c r="N325" s="3">
        <f>100-(M325+O325)</f>
        <v>11</v>
      </c>
      <c r="O325" s="3">
        <f>L325/C325*100</f>
        <v>26.880000000000003</v>
      </c>
      <c r="P325" s="2" t="s">
        <v>0</v>
      </c>
      <c r="Q325" s="1">
        <v>409055.23207099998</v>
      </c>
      <c r="R325" s="1">
        <v>3659262.2313609999</v>
      </c>
    </row>
    <row r="326" spans="1:18" x14ac:dyDescent="0.25">
      <c r="A326" s="6">
        <v>44</v>
      </c>
      <c r="B326" s="4">
        <v>90</v>
      </c>
      <c r="C326" s="5">
        <v>49.99</v>
      </c>
      <c r="D326" s="4">
        <v>20</v>
      </c>
      <c r="E326" s="3">
        <v>24</v>
      </c>
      <c r="F326" s="3">
        <f>1.8*E326+32</f>
        <v>75.2</v>
      </c>
      <c r="G326" s="3">
        <v>20.5</v>
      </c>
      <c r="H326" s="3">
        <f>IF(F326&gt;68,G326+(F326-68)*0.2,#REF!-(68-F326)*0.2)</f>
        <v>21.94</v>
      </c>
      <c r="I326" s="3">
        <v>24</v>
      </c>
      <c r="J326" s="3">
        <f>1.8*I326+32</f>
        <v>75.2</v>
      </c>
      <c r="K326" s="3">
        <v>13</v>
      </c>
      <c r="L326" s="3">
        <f>IF(J326&gt;68,K326+(J326-68)*0.2,K326-(68-J326)*0.2)</f>
        <v>14.440000000000001</v>
      </c>
      <c r="M326" s="3">
        <f>(C326-H326)/C326*100</f>
        <v>56.111222244448889</v>
      </c>
      <c r="N326" s="3">
        <f>100-(M326+O326)</f>
        <v>15.003000600120032</v>
      </c>
      <c r="O326" s="3">
        <f>L326/C326*100</f>
        <v>28.885777155431086</v>
      </c>
      <c r="P326" s="2" t="s">
        <v>0</v>
      </c>
      <c r="Q326" s="1">
        <v>409055.23207099998</v>
      </c>
      <c r="R326" s="1">
        <v>3659262.2313609999</v>
      </c>
    </row>
    <row r="327" spans="1:18" x14ac:dyDescent="0.25">
      <c r="A327" s="6">
        <v>44</v>
      </c>
      <c r="B327" s="4">
        <v>120</v>
      </c>
      <c r="C327" s="5">
        <v>50</v>
      </c>
      <c r="D327" s="4">
        <v>20</v>
      </c>
      <c r="E327" s="3">
        <v>24</v>
      </c>
      <c r="F327" s="3">
        <f>1.8*E327+32</f>
        <v>75.2</v>
      </c>
      <c r="G327" s="3">
        <v>24</v>
      </c>
      <c r="H327" s="3">
        <f>IF(F327&gt;68,G327+(F327-68)*0.2,#REF!-(68-F327)*0.2)</f>
        <v>25.44</v>
      </c>
      <c r="I327" s="3">
        <v>24</v>
      </c>
      <c r="J327" s="3">
        <f>1.8*I327+32</f>
        <v>75.2</v>
      </c>
      <c r="K327" s="3">
        <v>15</v>
      </c>
      <c r="L327" s="3">
        <f>IF(J327&gt;68,K327+(J327-68)*0.2,K327-(68-J327)*0.2)</f>
        <v>16.440000000000001</v>
      </c>
      <c r="M327" s="3">
        <f>(C327-H327)/C327*100</f>
        <v>49.12</v>
      </c>
      <c r="N327" s="3">
        <f>100-(M327+O327)</f>
        <v>18</v>
      </c>
      <c r="O327" s="3">
        <f>L327/C327*100</f>
        <v>32.880000000000003</v>
      </c>
      <c r="P327" s="2" t="s">
        <v>0</v>
      </c>
      <c r="Q327" s="1">
        <v>409055.23207099998</v>
      </c>
      <c r="R327" s="1">
        <v>3659262.2313609999</v>
      </c>
    </row>
    <row r="328" spans="1:18" x14ac:dyDescent="0.25">
      <c r="A328" s="6">
        <v>44</v>
      </c>
      <c r="B328" s="4">
        <v>150</v>
      </c>
      <c r="C328" s="5">
        <v>50.01</v>
      </c>
      <c r="D328" s="4">
        <v>20</v>
      </c>
      <c r="E328" s="3">
        <v>24</v>
      </c>
      <c r="F328" s="3">
        <f>1.8*E328+32</f>
        <v>75.2</v>
      </c>
      <c r="G328" s="3">
        <v>25</v>
      </c>
      <c r="H328" s="3">
        <f>IF(F328&gt;68,G328+(F328-68)*0.2,#REF!-(68-F328)*0.2)</f>
        <v>26.44</v>
      </c>
      <c r="I328" s="3">
        <v>24</v>
      </c>
      <c r="J328" s="3">
        <f>1.8*I328+32</f>
        <v>75.2</v>
      </c>
      <c r="K328" s="3">
        <v>16</v>
      </c>
      <c r="L328" s="3">
        <f>IF(J328&gt;68,K328+(J328-68)*0.2,K328-(68-J328)*0.2)</f>
        <v>17.440000000000001</v>
      </c>
      <c r="M328" s="3">
        <f>(C328-H328)/C328*100</f>
        <v>47.130573885222951</v>
      </c>
      <c r="N328" s="3">
        <f>100-(M328+O328)</f>
        <v>17.996400719856027</v>
      </c>
      <c r="O328" s="3">
        <f>L328/C328*100</f>
        <v>34.873025394921022</v>
      </c>
      <c r="P328" s="2" t="s">
        <v>0</v>
      </c>
      <c r="Q328" s="1">
        <v>409055.23207099998</v>
      </c>
      <c r="R328" s="1">
        <v>3659262.2313609999</v>
      </c>
    </row>
    <row r="329" spans="1:18" x14ac:dyDescent="0.25">
      <c r="A329" s="6">
        <v>44</v>
      </c>
      <c r="B329" s="4">
        <v>180</v>
      </c>
      <c r="C329" s="5">
        <v>49.99</v>
      </c>
      <c r="D329" s="4">
        <v>20</v>
      </c>
      <c r="E329" s="3">
        <v>24</v>
      </c>
      <c r="F329" s="3">
        <f>1.8*E329+32</f>
        <v>75.2</v>
      </c>
      <c r="G329" s="3">
        <v>17</v>
      </c>
      <c r="H329" s="3">
        <f>IF(F329&gt;68,G329+(F329-68)*0.2,#REF!-(68-F329)*0.2)</f>
        <v>18.440000000000001</v>
      </c>
      <c r="I329" s="3">
        <v>24</v>
      </c>
      <c r="J329" s="3">
        <f>1.8*I329+32</f>
        <v>75.2</v>
      </c>
      <c r="K329" s="3">
        <v>11.5</v>
      </c>
      <c r="L329" s="3">
        <f>IF(J329&gt;68,K329+(J329-68)*0.2,K329-(68-J329)*0.2)</f>
        <v>12.940000000000001</v>
      </c>
      <c r="M329" s="3">
        <f>(C329-H329)/C329*100</f>
        <v>63.1126225245049</v>
      </c>
      <c r="N329" s="3">
        <f>100-(M329+O329)</f>
        <v>11.002200440088018</v>
      </c>
      <c r="O329" s="3">
        <f>L329/C329*100</f>
        <v>25.885177035407082</v>
      </c>
      <c r="P329" s="2" t="s">
        <v>0</v>
      </c>
      <c r="Q329" s="1">
        <v>409055.23207099998</v>
      </c>
      <c r="R329" s="1">
        <v>3659262.2313609999</v>
      </c>
    </row>
    <row r="331" spans="1:18" ht="51.75" x14ac:dyDescent="0.25">
      <c r="A331" s="15" t="s">
        <v>19</v>
      </c>
      <c r="B331" s="10" t="s">
        <v>18</v>
      </c>
      <c r="C331" s="14" t="s">
        <v>17</v>
      </c>
      <c r="D331" s="13" t="s">
        <v>16</v>
      </c>
      <c r="E331" s="12" t="s">
        <v>15</v>
      </c>
      <c r="F331" s="12" t="s">
        <v>14</v>
      </c>
      <c r="G331" s="12" t="s">
        <v>13</v>
      </c>
      <c r="H331" s="12" t="s">
        <v>12</v>
      </c>
      <c r="I331" s="12" t="s">
        <v>11</v>
      </c>
      <c r="J331" s="12" t="s">
        <v>10</v>
      </c>
      <c r="K331" s="12" t="s">
        <v>9</v>
      </c>
      <c r="L331" s="12" t="s">
        <v>8</v>
      </c>
      <c r="M331" s="11" t="s">
        <v>7</v>
      </c>
      <c r="N331" s="11" t="s">
        <v>6</v>
      </c>
      <c r="O331" s="11" t="s">
        <v>5</v>
      </c>
      <c r="P331" s="10" t="s">
        <v>4</v>
      </c>
      <c r="Q331" s="9" t="s">
        <v>3</v>
      </c>
      <c r="R331" s="8"/>
    </row>
    <row r="332" spans="1:18" x14ac:dyDescent="0.25">
      <c r="A332" s="4"/>
      <c r="B332" s="4"/>
      <c r="C332" s="5"/>
      <c r="D332" s="4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2"/>
      <c r="Q332" s="7" t="s">
        <v>2</v>
      </c>
      <c r="R332" s="7" t="s">
        <v>1</v>
      </c>
    </row>
    <row r="333" spans="1:18" x14ac:dyDescent="0.25">
      <c r="A333" s="6">
        <v>45</v>
      </c>
      <c r="B333" s="4">
        <v>30</v>
      </c>
      <c r="C333" s="5">
        <v>50.01</v>
      </c>
      <c r="D333" s="4">
        <v>20</v>
      </c>
      <c r="E333" s="3">
        <v>23.5</v>
      </c>
      <c r="F333" s="3">
        <f>1.8*E333+32</f>
        <v>74.300000000000011</v>
      </c>
      <c r="G333" s="3">
        <v>15.5</v>
      </c>
      <c r="H333" s="3">
        <f>IF(F333&gt;68,G333+(F333-68)*0.2,W161-(68-F333)*0.2)</f>
        <v>16.760000000000002</v>
      </c>
      <c r="I333" s="3">
        <v>23</v>
      </c>
      <c r="J333" s="3">
        <f>1.8*I333+32</f>
        <v>73.400000000000006</v>
      </c>
      <c r="K333" s="3">
        <v>9</v>
      </c>
      <c r="L333" s="3">
        <f>IF(J333&gt;68,K333+(J333-68)*0.2,K333-(68-J333)*0.2)</f>
        <v>10.080000000000002</v>
      </c>
      <c r="M333" s="3">
        <f>(C333-H333)/C333*100</f>
        <v>66.486702659468108</v>
      </c>
      <c r="N333" s="3">
        <f>100-(M333+O333)</f>
        <v>13.357328534293146</v>
      </c>
      <c r="O333" s="3">
        <f>L333/C333*100</f>
        <v>20.155968806238754</v>
      </c>
      <c r="P333" s="2" t="s">
        <v>0</v>
      </c>
      <c r="Q333" s="1">
        <v>409067.51483599999</v>
      </c>
      <c r="R333" s="1">
        <v>3659262.0079819998</v>
      </c>
    </row>
    <row r="334" spans="1:18" x14ac:dyDescent="0.25">
      <c r="A334" s="6">
        <v>45</v>
      </c>
      <c r="B334" s="4">
        <v>60</v>
      </c>
      <c r="C334" s="5">
        <v>50.01</v>
      </c>
      <c r="D334" s="4">
        <v>20</v>
      </c>
      <c r="E334" s="3">
        <v>23.5</v>
      </c>
      <c r="F334" s="3">
        <f>1.8*E334+32</f>
        <v>74.300000000000011</v>
      </c>
      <c r="G334" s="3">
        <v>17.5</v>
      </c>
      <c r="H334" s="3">
        <f>IF(F334&gt;68,G334+(F334-68)*0.2,W162-(68-F334)*0.2)</f>
        <v>18.760000000000002</v>
      </c>
      <c r="I334" s="3">
        <v>23</v>
      </c>
      <c r="J334" s="3">
        <f>1.8*I334+32</f>
        <v>73.400000000000006</v>
      </c>
      <c r="K334" s="3">
        <v>10</v>
      </c>
      <c r="L334" s="3">
        <f>IF(J334&gt;68,K334+(J334-68)*0.2,K334-(68-J334)*0.2)</f>
        <v>11.080000000000002</v>
      </c>
      <c r="M334" s="3">
        <f>(C334-H334)/C334*100</f>
        <v>62.487502499500089</v>
      </c>
      <c r="N334" s="3">
        <f>100-(M334+O334)</f>
        <v>15.356928614277152</v>
      </c>
      <c r="O334" s="3">
        <f>L334/C334*100</f>
        <v>22.15556888622276</v>
      </c>
      <c r="P334" s="2" t="s">
        <v>0</v>
      </c>
      <c r="Q334" s="1">
        <v>409067.51483599999</v>
      </c>
      <c r="R334" s="1">
        <v>3659262.0079819998</v>
      </c>
    </row>
    <row r="335" spans="1:18" x14ac:dyDescent="0.25">
      <c r="A335" s="6">
        <v>45</v>
      </c>
      <c r="B335" s="4">
        <v>90</v>
      </c>
      <c r="C335" s="5">
        <v>50.01</v>
      </c>
      <c r="D335" s="4">
        <v>20</v>
      </c>
      <c r="E335" s="3">
        <v>23.5</v>
      </c>
      <c r="F335" s="3">
        <f>1.8*E335+32</f>
        <v>74.300000000000011</v>
      </c>
      <c r="G335" s="3">
        <v>23</v>
      </c>
      <c r="H335" s="3">
        <f>IF(F335&gt;68,G335+(F335-68)*0.2,W163-(68-F335)*0.2)</f>
        <v>24.26</v>
      </c>
      <c r="I335" s="3">
        <v>23</v>
      </c>
      <c r="J335" s="3">
        <f>1.8*I335+32</f>
        <v>73.400000000000006</v>
      </c>
      <c r="K335" s="3">
        <v>15</v>
      </c>
      <c r="L335" s="3">
        <f>IF(J335&gt;68,K335+(J335-68)*0.2,K335-(68-J335)*0.2)</f>
        <v>16.080000000000002</v>
      </c>
      <c r="M335" s="3">
        <f>(C335-H335)/C335*100</f>
        <v>51.489702059588083</v>
      </c>
      <c r="N335" s="3">
        <f>100-(M335+O335)</f>
        <v>16.356728654269148</v>
      </c>
      <c r="O335" s="3">
        <f>L335/C335*100</f>
        <v>32.153569286142776</v>
      </c>
      <c r="P335" s="2" t="s">
        <v>0</v>
      </c>
      <c r="Q335" s="1">
        <v>409067.51483599999</v>
      </c>
      <c r="R335" s="1">
        <v>3659262.0079819998</v>
      </c>
    </row>
    <row r="336" spans="1:18" x14ac:dyDescent="0.25">
      <c r="A336" s="6">
        <v>45</v>
      </c>
      <c r="B336" s="4">
        <v>120</v>
      </c>
      <c r="C336" s="5">
        <v>50</v>
      </c>
      <c r="D336" s="4">
        <v>20</v>
      </c>
      <c r="E336" s="3">
        <v>24.5</v>
      </c>
      <c r="F336" s="3">
        <f>1.8*E336+32</f>
        <v>76.099999999999994</v>
      </c>
      <c r="G336" s="3">
        <v>22</v>
      </c>
      <c r="H336" s="3">
        <f>IF(F336&gt;68,G336+(F336-68)*0.2,W164-(68-F336)*0.2)</f>
        <v>23.619999999999997</v>
      </c>
      <c r="I336" s="3">
        <v>23</v>
      </c>
      <c r="J336" s="3">
        <f>1.8*I336+32</f>
        <v>73.400000000000006</v>
      </c>
      <c r="K336" s="3">
        <v>14.5</v>
      </c>
      <c r="L336" s="3">
        <f>IF(J336&gt;68,K336+(J336-68)*0.2,K336-(68-J336)*0.2)</f>
        <v>15.580000000000002</v>
      </c>
      <c r="M336" s="3">
        <f>(C336-H336)/C336*100</f>
        <v>52.760000000000005</v>
      </c>
      <c r="N336" s="3">
        <f>100-(M336+O336)</f>
        <v>16.079999999999984</v>
      </c>
      <c r="O336" s="3">
        <f>L336/C336*100</f>
        <v>31.160000000000004</v>
      </c>
      <c r="P336" s="2" t="s">
        <v>0</v>
      </c>
      <c r="Q336" s="1">
        <v>409067.51483599999</v>
      </c>
      <c r="R336" s="1">
        <v>3659262.0079819998</v>
      </c>
    </row>
    <row r="337" spans="1:18" x14ac:dyDescent="0.25">
      <c r="A337" s="6">
        <v>45</v>
      </c>
      <c r="B337" s="4">
        <v>150</v>
      </c>
      <c r="C337" s="5">
        <v>50</v>
      </c>
      <c r="D337" s="4">
        <v>20</v>
      </c>
      <c r="E337" s="3">
        <v>24.8</v>
      </c>
      <c r="F337" s="3">
        <f>1.8*E337+32</f>
        <v>76.64</v>
      </c>
      <c r="G337" s="3">
        <v>19</v>
      </c>
      <c r="H337" s="3">
        <f>IF(F337&gt;68,G337+(F337-68)*0.2,W165-(68-F337)*0.2)</f>
        <v>20.728000000000002</v>
      </c>
      <c r="I337" s="3">
        <v>23</v>
      </c>
      <c r="J337" s="3">
        <f>1.8*I337+32</f>
        <v>73.400000000000006</v>
      </c>
      <c r="K337" s="3">
        <v>12.5</v>
      </c>
      <c r="L337" s="3">
        <f>IF(J337&gt;68,K337+(J337-68)*0.2,K337-(68-J337)*0.2)</f>
        <v>13.580000000000002</v>
      </c>
      <c r="M337" s="3">
        <f>(C337-H337)/C337*100</f>
        <v>58.543999999999997</v>
      </c>
      <c r="N337" s="3">
        <f>100-(M337+O337)</f>
        <v>14.295999999999992</v>
      </c>
      <c r="O337" s="3">
        <f>L337/C337*100</f>
        <v>27.160000000000007</v>
      </c>
      <c r="P337" s="2" t="s">
        <v>0</v>
      </c>
      <c r="Q337" s="1">
        <v>409067.51483599999</v>
      </c>
      <c r="R337" s="1">
        <v>3659262.0079819998</v>
      </c>
    </row>
    <row r="338" spans="1:18" x14ac:dyDescent="0.25">
      <c r="A338" s="6">
        <v>45</v>
      </c>
      <c r="B338" s="4">
        <v>180</v>
      </c>
      <c r="C338" s="5">
        <v>50.01</v>
      </c>
      <c r="D338" s="4">
        <v>20</v>
      </c>
      <c r="E338" s="3">
        <v>24.8</v>
      </c>
      <c r="F338" s="3">
        <f>1.8*E338+32</f>
        <v>76.64</v>
      </c>
      <c r="G338" s="3">
        <v>9</v>
      </c>
      <c r="H338" s="3">
        <f>IF(F338&gt;68,G338+(F338-68)*0.2,W166-(68-F338)*0.2)</f>
        <v>10.728</v>
      </c>
      <c r="I338" s="3">
        <v>23</v>
      </c>
      <c r="J338" s="3">
        <f>1.8*I338+32</f>
        <v>73.400000000000006</v>
      </c>
      <c r="K338" s="3">
        <v>8</v>
      </c>
      <c r="L338" s="3">
        <f>IF(J338&gt;68,K338+(J338-68)*0.2,K338-(68-J338)*0.2)</f>
        <v>9.0800000000000018</v>
      </c>
      <c r="M338" s="3">
        <f>(C338-H338)/C338*100</f>
        <v>78.548290341931619</v>
      </c>
      <c r="N338" s="3">
        <f>100-(M338+O338)</f>
        <v>3.2953409318136266</v>
      </c>
      <c r="O338" s="3">
        <f>L338/C338*100</f>
        <v>18.156368726254755</v>
      </c>
      <c r="P338" s="2" t="s">
        <v>20</v>
      </c>
      <c r="Q338" s="1">
        <v>409067.51483599999</v>
      </c>
      <c r="R338" s="1">
        <v>3659262.0079819998</v>
      </c>
    </row>
    <row r="340" spans="1:18" ht="51.75" x14ac:dyDescent="0.25">
      <c r="A340" s="15" t="s">
        <v>19</v>
      </c>
      <c r="B340" s="10" t="s">
        <v>18</v>
      </c>
      <c r="C340" s="14" t="s">
        <v>17</v>
      </c>
      <c r="D340" s="13" t="s">
        <v>16</v>
      </c>
      <c r="E340" s="12" t="s">
        <v>15</v>
      </c>
      <c r="F340" s="12" t="s">
        <v>14</v>
      </c>
      <c r="G340" s="12" t="s">
        <v>13</v>
      </c>
      <c r="H340" s="12" t="s">
        <v>12</v>
      </c>
      <c r="I340" s="12" t="s">
        <v>11</v>
      </c>
      <c r="J340" s="12" t="s">
        <v>10</v>
      </c>
      <c r="K340" s="12" t="s">
        <v>9</v>
      </c>
      <c r="L340" s="12" t="s">
        <v>8</v>
      </c>
      <c r="M340" s="11" t="s">
        <v>7</v>
      </c>
      <c r="N340" s="11" t="s">
        <v>6</v>
      </c>
      <c r="O340" s="11" t="s">
        <v>5</v>
      </c>
      <c r="P340" s="10" t="s">
        <v>4</v>
      </c>
      <c r="Q340" s="9" t="s">
        <v>3</v>
      </c>
      <c r="R340" s="8"/>
    </row>
    <row r="341" spans="1:18" x14ac:dyDescent="0.25">
      <c r="A341" s="4"/>
      <c r="B341" s="4"/>
      <c r="C341" s="4"/>
      <c r="D341" s="4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2"/>
      <c r="Q341" s="7" t="s">
        <v>2</v>
      </c>
      <c r="R341" s="7" t="s">
        <v>1</v>
      </c>
    </row>
    <row r="342" spans="1:18" x14ac:dyDescent="0.25">
      <c r="A342" s="6">
        <v>46</v>
      </c>
      <c r="B342" s="4">
        <v>30</v>
      </c>
      <c r="C342" s="4">
        <v>50</v>
      </c>
      <c r="D342" s="4">
        <v>20</v>
      </c>
      <c r="E342" s="3">
        <v>23</v>
      </c>
      <c r="F342" s="3">
        <f>1.8*E342+32</f>
        <v>73.400000000000006</v>
      </c>
      <c r="G342" s="3">
        <v>15</v>
      </c>
      <c r="H342" s="3">
        <f>IF(F342&gt;68,G342+(F342-68)*0.2,#REF!-(68-F342)*0.2)</f>
        <v>16.080000000000002</v>
      </c>
      <c r="I342" s="3">
        <v>23</v>
      </c>
      <c r="J342" s="3">
        <f>1.8*I342+32</f>
        <v>73.400000000000006</v>
      </c>
      <c r="K342" s="3">
        <v>8.5</v>
      </c>
      <c r="L342" s="3">
        <f>IF(J342&gt;68,K342+(J342-68)*0.2,K342-(68-J342)*0.2)</f>
        <v>9.5800000000000018</v>
      </c>
      <c r="M342" s="3">
        <f>(C342-H342)/C342*100</f>
        <v>67.84</v>
      </c>
      <c r="N342" s="3">
        <f>100-(M342+O342)</f>
        <v>13</v>
      </c>
      <c r="O342" s="3">
        <f>L342/C342*100</f>
        <v>19.160000000000004</v>
      </c>
      <c r="P342" s="2" t="s">
        <v>20</v>
      </c>
      <c r="Q342" s="1">
        <v>409079.711977</v>
      </c>
      <c r="R342" s="1">
        <v>3659261.7949760002</v>
      </c>
    </row>
    <row r="343" spans="1:18" x14ac:dyDescent="0.25">
      <c r="A343" s="6">
        <v>46</v>
      </c>
      <c r="B343" s="4">
        <v>60</v>
      </c>
      <c r="C343" s="4">
        <v>50.01</v>
      </c>
      <c r="D343" s="4">
        <v>20</v>
      </c>
      <c r="E343" s="3">
        <v>23</v>
      </c>
      <c r="F343" s="3">
        <f>1.8*E343+32</f>
        <v>73.400000000000006</v>
      </c>
      <c r="G343" s="3">
        <v>15</v>
      </c>
      <c r="H343" s="3">
        <f>IF(F343&gt;68,G343+(F343-68)*0.2,#REF!-(68-F343)*0.2)</f>
        <v>16.080000000000002</v>
      </c>
      <c r="I343" s="3">
        <v>23</v>
      </c>
      <c r="J343" s="3">
        <f>1.8*I343+32</f>
        <v>73.400000000000006</v>
      </c>
      <c r="K343" s="3">
        <v>8</v>
      </c>
      <c r="L343" s="3">
        <f>IF(J343&gt;68,K343+(J343-68)*0.2,K343-(68-J343)*0.2)</f>
        <v>9.0800000000000018</v>
      </c>
      <c r="M343" s="3">
        <f>(C343-H343)/C343*100</f>
        <v>67.846430713857217</v>
      </c>
      <c r="N343" s="3">
        <f>100-(M343+O343)</f>
        <v>13.997200559888029</v>
      </c>
      <c r="O343" s="3">
        <f>L343/C343*100</f>
        <v>18.156368726254755</v>
      </c>
      <c r="P343" s="2" t="s">
        <v>20</v>
      </c>
      <c r="Q343" s="1">
        <v>409079.711977</v>
      </c>
      <c r="R343" s="1">
        <v>3659261.7949760002</v>
      </c>
    </row>
    <row r="344" spans="1:18" x14ac:dyDescent="0.25">
      <c r="A344" s="6">
        <v>46</v>
      </c>
      <c r="B344" s="4">
        <v>90</v>
      </c>
      <c r="C344" s="4">
        <v>49.98</v>
      </c>
      <c r="D344" s="4">
        <v>20</v>
      </c>
      <c r="E344" s="3">
        <v>23</v>
      </c>
      <c r="F344" s="3">
        <f>1.8*E344+32</f>
        <v>73.400000000000006</v>
      </c>
      <c r="G344" s="3">
        <v>13.5</v>
      </c>
      <c r="H344" s="3">
        <f>IF(F344&gt;68,G344+(F344-68)*0.2,#REF!-(68-F344)*0.2)</f>
        <v>14.580000000000002</v>
      </c>
      <c r="I344" s="3">
        <v>23</v>
      </c>
      <c r="J344" s="3">
        <f>1.8*I344+32</f>
        <v>73.400000000000006</v>
      </c>
      <c r="K344" s="3">
        <v>7.5</v>
      </c>
      <c r="L344" s="3">
        <f>IF(J344&gt;68,K344+(J344-68)*0.2,K344-(68-J344)*0.2)</f>
        <v>8.5800000000000018</v>
      </c>
      <c r="M344" s="3">
        <f>(C344-H344)/C344*100</f>
        <v>70.828331332532997</v>
      </c>
      <c r="N344" s="3">
        <f>100-(M344+O344)</f>
        <v>12.004801920768315</v>
      </c>
      <c r="O344" s="3">
        <f>L344/C344*100</f>
        <v>17.166866746698684</v>
      </c>
      <c r="P344" s="2" t="s">
        <v>20</v>
      </c>
      <c r="Q344" s="1">
        <v>409079.711977</v>
      </c>
      <c r="R344" s="1">
        <v>3659261.7949760002</v>
      </c>
    </row>
    <row r="345" spans="1:18" x14ac:dyDescent="0.25">
      <c r="A345" s="6">
        <v>46</v>
      </c>
      <c r="B345" s="4">
        <v>120</v>
      </c>
      <c r="C345" s="4">
        <v>50.02</v>
      </c>
      <c r="D345" s="4">
        <v>20</v>
      </c>
      <c r="E345" s="3">
        <v>23</v>
      </c>
      <c r="F345" s="3">
        <f>1.8*E345+32</f>
        <v>73.400000000000006</v>
      </c>
      <c r="G345" s="3">
        <v>16</v>
      </c>
      <c r="H345" s="3">
        <f>IF(F345&gt;68,G345+(F345-68)*0.2,#REF!-(68-F345)*0.2)</f>
        <v>17.080000000000002</v>
      </c>
      <c r="I345" s="3">
        <v>23</v>
      </c>
      <c r="J345" s="3">
        <f>1.8*I345+32</f>
        <v>73.400000000000006</v>
      </c>
      <c r="K345" s="3">
        <v>10</v>
      </c>
      <c r="L345" s="3">
        <f>IF(J345&gt;68,K345+(J345-68)*0.2,K345-(68-J345)*0.2)</f>
        <v>11.080000000000002</v>
      </c>
      <c r="M345" s="3">
        <f>(C345-H345)/C345*100</f>
        <v>65.853658536585357</v>
      </c>
      <c r="N345" s="3">
        <f>100-(M345+O345)</f>
        <v>11.995201919232315</v>
      </c>
      <c r="O345" s="3">
        <f>L345/C345*100</f>
        <v>22.151139544182328</v>
      </c>
      <c r="P345" s="2" t="s">
        <v>0</v>
      </c>
      <c r="Q345" s="1">
        <v>409079.711977</v>
      </c>
      <c r="R345" s="1">
        <v>3659261.7949760002</v>
      </c>
    </row>
    <row r="346" spans="1:18" x14ac:dyDescent="0.25">
      <c r="A346" s="6">
        <v>46</v>
      </c>
      <c r="B346" s="4">
        <v>150</v>
      </c>
      <c r="C346" s="4">
        <v>49.99</v>
      </c>
      <c r="D346" s="4">
        <v>20</v>
      </c>
      <c r="E346" s="3">
        <v>23</v>
      </c>
      <c r="F346" s="3">
        <f>1.8*E346+32</f>
        <v>73.400000000000006</v>
      </c>
      <c r="G346" s="3">
        <v>17.5</v>
      </c>
      <c r="H346" s="3">
        <f>IF(F346&gt;68,G346+(F346-68)*0.2,#REF!-(68-F346)*0.2)</f>
        <v>18.580000000000002</v>
      </c>
      <c r="I346" s="3">
        <v>23</v>
      </c>
      <c r="J346" s="3">
        <f>1.8*I346+32</f>
        <v>73.400000000000006</v>
      </c>
      <c r="K346" s="3">
        <v>11</v>
      </c>
      <c r="L346" s="3">
        <f>IF(J346&gt;68,K346+(J346-68)*0.2,K346-(68-J346)*0.2)</f>
        <v>12.080000000000002</v>
      </c>
      <c r="M346" s="3">
        <f>(C346-H346)/C346*100</f>
        <v>62.832566513302659</v>
      </c>
      <c r="N346" s="3">
        <f>100-(M346+O346)</f>
        <v>13.002600520104011</v>
      </c>
      <c r="O346" s="3">
        <f>L346/C346*100</f>
        <v>24.164832966593323</v>
      </c>
      <c r="P346" s="2" t="s">
        <v>0</v>
      </c>
      <c r="Q346" s="1">
        <v>409079.711977</v>
      </c>
      <c r="R346" s="1">
        <v>3659261.7949760002</v>
      </c>
    </row>
    <row r="347" spans="1:18" x14ac:dyDescent="0.25">
      <c r="A347" s="6">
        <v>46</v>
      </c>
      <c r="B347" s="4">
        <v>180</v>
      </c>
      <c r="C347" s="4">
        <v>50.01</v>
      </c>
      <c r="D347" s="4">
        <v>20</v>
      </c>
      <c r="E347" s="3">
        <v>23</v>
      </c>
      <c r="F347" s="3">
        <f>1.8*E347+32</f>
        <v>73.400000000000006</v>
      </c>
      <c r="G347" s="3">
        <v>13</v>
      </c>
      <c r="H347" s="3">
        <f>IF(F347&gt;68,G347+(F347-68)*0.2,#REF!-(68-F347)*0.2)</f>
        <v>14.080000000000002</v>
      </c>
      <c r="I347" s="3">
        <v>23</v>
      </c>
      <c r="J347" s="3">
        <f>1.8*I347+32</f>
        <v>73.400000000000006</v>
      </c>
      <c r="K347" s="3">
        <v>9.5</v>
      </c>
      <c r="L347" s="3">
        <f>IF(J347&gt;68,K347+(J347-68)*0.2,K347-(68-J347)*0.2)</f>
        <v>10.580000000000002</v>
      </c>
      <c r="M347" s="3">
        <f>(C347-H347)/C347*100</f>
        <v>71.845630873825229</v>
      </c>
      <c r="N347" s="3">
        <f>100-(M347+O347)</f>
        <v>6.9986002799440143</v>
      </c>
      <c r="O347" s="3">
        <f>L347/C347*100</f>
        <v>21.155768846230757</v>
      </c>
      <c r="P347" s="2" t="s">
        <v>0</v>
      </c>
      <c r="Q347" s="1">
        <v>409079.711977</v>
      </c>
      <c r="R347" s="1">
        <v>3659261.7949760002</v>
      </c>
    </row>
    <row r="349" spans="1:18" ht="51.75" x14ac:dyDescent="0.25">
      <c r="A349" s="15" t="s">
        <v>19</v>
      </c>
      <c r="B349" s="10" t="s">
        <v>18</v>
      </c>
      <c r="C349" s="14" t="s">
        <v>17</v>
      </c>
      <c r="D349" s="13" t="s">
        <v>16</v>
      </c>
      <c r="E349" s="12" t="s">
        <v>15</v>
      </c>
      <c r="F349" s="12" t="s">
        <v>14</v>
      </c>
      <c r="G349" s="12" t="s">
        <v>13</v>
      </c>
      <c r="H349" s="12" t="s">
        <v>12</v>
      </c>
      <c r="I349" s="12" t="s">
        <v>11</v>
      </c>
      <c r="J349" s="12" t="s">
        <v>10</v>
      </c>
      <c r="K349" s="12" t="s">
        <v>9</v>
      </c>
      <c r="L349" s="12" t="s">
        <v>8</v>
      </c>
      <c r="M349" s="11" t="s">
        <v>7</v>
      </c>
      <c r="N349" s="11" t="s">
        <v>6</v>
      </c>
      <c r="O349" s="11" t="s">
        <v>5</v>
      </c>
      <c r="P349" s="10" t="s">
        <v>4</v>
      </c>
      <c r="Q349" s="9" t="s">
        <v>3</v>
      </c>
      <c r="R349" s="8"/>
    </row>
    <row r="350" spans="1:18" x14ac:dyDescent="0.25">
      <c r="A350" s="4"/>
      <c r="B350" s="4"/>
      <c r="C350" s="4"/>
      <c r="D350" s="4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2"/>
      <c r="Q350" s="7" t="s">
        <v>2</v>
      </c>
      <c r="R350" s="7" t="s">
        <v>1</v>
      </c>
    </row>
    <row r="351" spans="1:18" x14ac:dyDescent="0.25">
      <c r="A351" s="6">
        <v>47</v>
      </c>
      <c r="B351" s="4">
        <v>30</v>
      </c>
      <c r="C351" s="4">
        <v>49.98</v>
      </c>
      <c r="D351" s="4">
        <v>20</v>
      </c>
      <c r="E351" s="3">
        <v>24</v>
      </c>
      <c r="F351" s="3">
        <f>1.8*E351+32</f>
        <v>75.2</v>
      </c>
      <c r="G351" s="3">
        <v>16.5</v>
      </c>
      <c r="H351" s="3">
        <f>IF(F351&gt;68,G351+(F351-68)*0.2,#REF!-(68-F351)*0.2)</f>
        <v>17.940000000000001</v>
      </c>
      <c r="I351" s="3">
        <v>24</v>
      </c>
      <c r="J351" s="3">
        <f>1.8*I351+32</f>
        <v>75.2</v>
      </c>
      <c r="K351" s="3">
        <v>10</v>
      </c>
      <c r="L351" s="3">
        <f>IF(J351&gt;68,K351+(J351-68)*0.2,K351-(68-J351)*0.2)</f>
        <v>11.440000000000001</v>
      </c>
      <c r="M351" s="3">
        <f>(C351-H351)/C351*100</f>
        <v>64.105642256902755</v>
      </c>
      <c r="N351" s="3">
        <f>100-(M351+O351)</f>
        <v>13.005202080832333</v>
      </c>
      <c r="O351" s="3">
        <f>L351/C351*100</f>
        <v>22.889155662264908</v>
      </c>
      <c r="P351" s="2" t="s">
        <v>0</v>
      </c>
      <c r="Q351" s="1">
        <v>409091.89364600001</v>
      </c>
      <c r="R351" s="1">
        <v>3659261.5769759999</v>
      </c>
    </row>
    <row r="352" spans="1:18" x14ac:dyDescent="0.25">
      <c r="A352" s="6">
        <v>47</v>
      </c>
      <c r="B352" s="4">
        <v>60</v>
      </c>
      <c r="C352" s="4">
        <v>50.01</v>
      </c>
      <c r="D352" s="4">
        <v>20</v>
      </c>
      <c r="E352" s="3">
        <v>24</v>
      </c>
      <c r="F352" s="3">
        <f>1.8*E352+32</f>
        <v>75.2</v>
      </c>
      <c r="G352" s="3">
        <v>16</v>
      </c>
      <c r="H352" s="3">
        <f>IF(F352&gt;68,G352+(F352-68)*0.2,#REF!-(68-F352)*0.2)</f>
        <v>17.440000000000001</v>
      </c>
      <c r="I352" s="3">
        <v>24</v>
      </c>
      <c r="J352" s="3">
        <f>1.8*I352+32</f>
        <v>75.2</v>
      </c>
      <c r="K352" s="3">
        <v>12</v>
      </c>
      <c r="L352" s="3">
        <f>IF(J352&gt;68,K352+(J352-68)*0.2,K352-(68-J352)*0.2)</f>
        <v>13.440000000000001</v>
      </c>
      <c r="M352" s="3">
        <f>(C352-H352)/C352*100</f>
        <v>65.126974605078971</v>
      </c>
      <c r="N352" s="3">
        <f>100-(M352+O352)</f>
        <v>7.9984003199360245</v>
      </c>
      <c r="O352" s="3">
        <f>L352/C352*100</f>
        <v>26.874625074985008</v>
      </c>
      <c r="P352" s="2" t="s">
        <v>0</v>
      </c>
      <c r="Q352" s="1">
        <v>409091.89364600001</v>
      </c>
      <c r="R352" s="1">
        <v>3659261.5769759999</v>
      </c>
    </row>
    <row r="353" spans="1:18" x14ac:dyDescent="0.25">
      <c r="A353" s="6">
        <v>47</v>
      </c>
      <c r="B353" s="4">
        <v>90</v>
      </c>
      <c r="C353" s="4">
        <v>50.03</v>
      </c>
      <c r="D353" s="4">
        <v>20</v>
      </c>
      <c r="E353" s="3">
        <v>24</v>
      </c>
      <c r="F353" s="3">
        <f>1.8*E353+32</f>
        <v>75.2</v>
      </c>
      <c r="G353" s="3">
        <v>24</v>
      </c>
      <c r="H353" s="3">
        <f>IF(F353&gt;68,G353+(F353-68)*0.2,#REF!-(68-F353)*0.2)</f>
        <v>25.44</v>
      </c>
      <c r="I353" s="3">
        <v>24</v>
      </c>
      <c r="J353" s="3">
        <f>1.8*I353+32</f>
        <v>75.2</v>
      </c>
      <c r="K353" s="3">
        <v>15</v>
      </c>
      <c r="L353" s="3">
        <f>IF(J353&gt;68,K353+(J353-68)*0.2,K353-(68-J353)*0.2)</f>
        <v>16.440000000000001</v>
      </c>
      <c r="M353" s="3">
        <f>(C353-H353)/C353*100</f>
        <v>49.150509694183484</v>
      </c>
      <c r="N353" s="3">
        <f>100-(M353+O353)</f>
        <v>17.989206476114333</v>
      </c>
      <c r="O353" s="3">
        <f>L353/C353*100</f>
        <v>32.860283829702183</v>
      </c>
      <c r="P353" s="2" t="s">
        <v>0</v>
      </c>
      <c r="Q353" s="1">
        <v>409091.89364600001</v>
      </c>
      <c r="R353" s="1">
        <v>3659261.5769759999</v>
      </c>
    </row>
    <row r="354" spans="1:18" x14ac:dyDescent="0.25">
      <c r="A354" s="6">
        <v>47</v>
      </c>
      <c r="B354" s="4">
        <v>120</v>
      </c>
      <c r="C354" s="4">
        <v>50</v>
      </c>
      <c r="D354" s="4">
        <v>20</v>
      </c>
      <c r="E354" s="3">
        <v>24</v>
      </c>
      <c r="F354" s="3">
        <f>1.8*E354+32</f>
        <v>75.2</v>
      </c>
      <c r="G354" s="3">
        <v>19</v>
      </c>
      <c r="H354" s="3">
        <f>IF(F354&gt;68,G354+(F354-68)*0.2,#REF!-(68-F354)*0.2)</f>
        <v>20.440000000000001</v>
      </c>
      <c r="I354" s="3">
        <v>24</v>
      </c>
      <c r="J354" s="3">
        <f>1.8*I354+32</f>
        <v>75.2</v>
      </c>
      <c r="K354" s="3">
        <v>12.5</v>
      </c>
      <c r="L354" s="3">
        <f>IF(J354&gt;68,K354+(J354-68)*0.2,K354-(68-J354)*0.2)</f>
        <v>13.940000000000001</v>
      </c>
      <c r="M354" s="3">
        <f>(C354-H354)/C354*100</f>
        <v>59.12</v>
      </c>
      <c r="N354" s="3">
        <f>100-(M354+O354)</f>
        <v>13</v>
      </c>
      <c r="O354" s="3">
        <f>L354/C354*100</f>
        <v>27.880000000000006</v>
      </c>
      <c r="P354" s="2" t="s">
        <v>0</v>
      </c>
      <c r="Q354" s="1">
        <v>409091.89364600001</v>
      </c>
      <c r="R354" s="1">
        <v>3659261.5769759999</v>
      </c>
    </row>
    <row r="355" spans="1:18" x14ac:dyDescent="0.25">
      <c r="A355" s="6">
        <v>47</v>
      </c>
      <c r="B355" s="4">
        <v>150</v>
      </c>
      <c r="C355" s="4">
        <v>50.01</v>
      </c>
      <c r="D355" s="4">
        <v>20</v>
      </c>
      <c r="E355" s="3">
        <v>24</v>
      </c>
      <c r="F355" s="3">
        <f>1.8*E355+32</f>
        <v>75.2</v>
      </c>
      <c r="G355" s="3">
        <v>19.5</v>
      </c>
      <c r="H355" s="3">
        <f>IF(F355&gt;68,G355+(F355-68)*0.2,#REF!-(68-F355)*0.2)</f>
        <v>20.94</v>
      </c>
      <c r="I355" s="3">
        <v>24</v>
      </c>
      <c r="J355" s="3">
        <f>1.8*I355+32</f>
        <v>75.2</v>
      </c>
      <c r="K355" s="3">
        <v>12.5</v>
      </c>
      <c r="L355" s="3">
        <f>IF(J355&gt;68,K355+(J355-68)*0.2,K355-(68-J355)*0.2)</f>
        <v>13.940000000000001</v>
      </c>
      <c r="M355" s="3">
        <f>(C355-H355)/C355*100</f>
        <v>58.12837432513497</v>
      </c>
      <c r="N355" s="3">
        <f>100-(M355+O355)</f>
        <v>13.997200559888029</v>
      </c>
      <c r="O355" s="3">
        <f>L355/C355*100</f>
        <v>27.874425114977008</v>
      </c>
      <c r="P355" s="2" t="s">
        <v>0</v>
      </c>
      <c r="Q355" s="1">
        <v>409091.89364600001</v>
      </c>
      <c r="R355" s="1">
        <v>3659261.5769759999</v>
      </c>
    </row>
    <row r="356" spans="1:18" x14ac:dyDescent="0.25">
      <c r="A356" s="6">
        <v>47</v>
      </c>
      <c r="B356" s="4">
        <v>180</v>
      </c>
      <c r="C356" s="4">
        <v>50</v>
      </c>
      <c r="D356" s="4">
        <v>20</v>
      </c>
      <c r="E356" s="3">
        <v>24</v>
      </c>
      <c r="F356" s="3">
        <f>1.8*E356+32</f>
        <v>75.2</v>
      </c>
      <c r="G356" s="3">
        <v>18</v>
      </c>
      <c r="H356" s="3">
        <f>IF(F356&gt;68,G356+(F356-68)*0.2,#REF!-(68-F356)*0.2)</f>
        <v>19.440000000000001</v>
      </c>
      <c r="I356" s="3">
        <v>24</v>
      </c>
      <c r="J356" s="3">
        <f>1.8*I356+32</f>
        <v>75.2</v>
      </c>
      <c r="K356" s="3">
        <v>10</v>
      </c>
      <c r="L356" s="3">
        <f>IF(J356&gt;68,K356+(J356-68)*0.2,K356-(68-J356)*0.2)</f>
        <v>11.440000000000001</v>
      </c>
      <c r="M356" s="3">
        <f>(C356-H356)/C356*100</f>
        <v>61.12</v>
      </c>
      <c r="N356" s="3">
        <f>100-(M356+O356)</f>
        <v>16</v>
      </c>
      <c r="O356" s="3">
        <f>L356/C356*100</f>
        <v>22.880000000000003</v>
      </c>
      <c r="P356" s="2" t="s">
        <v>0</v>
      </c>
      <c r="Q356" s="1">
        <v>409091.89364600001</v>
      </c>
      <c r="R356" s="1">
        <v>3659261.5769759999</v>
      </c>
    </row>
    <row r="358" spans="1:18" ht="51.75" x14ac:dyDescent="0.25">
      <c r="A358" s="15" t="s">
        <v>19</v>
      </c>
      <c r="B358" s="10" t="s">
        <v>18</v>
      </c>
      <c r="C358" s="14" t="s">
        <v>17</v>
      </c>
      <c r="D358" s="13" t="s">
        <v>16</v>
      </c>
      <c r="E358" s="12" t="s">
        <v>15</v>
      </c>
      <c r="F358" s="12" t="s">
        <v>14</v>
      </c>
      <c r="G358" s="12" t="s">
        <v>13</v>
      </c>
      <c r="H358" s="12" t="s">
        <v>12</v>
      </c>
      <c r="I358" s="12" t="s">
        <v>11</v>
      </c>
      <c r="J358" s="12" t="s">
        <v>10</v>
      </c>
      <c r="K358" s="12" t="s">
        <v>9</v>
      </c>
      <c r="L358" s="12" t="s">
        <v>8</v>
      </c>
      <c r="M358" s="11" t="s">
        <v>7</v>
      </c>
      <c r="N358" s="11" t="s">
        <v>6</v>
      </c>
      <c r="O358" s="11" t="s">
        <v>5</v>
      </c>
      <c r="P358" s="10" t="s">
        <v>4</v>
      </c>
      <c r="Q358" s="9" t="s">
        <v>3</v>
      </c>
      <c r="R358" s="8"/>
    </row>
    <row r="359" spans="1:18" x14ac:dyDescent="0.25">
      <c r="A359" s="4"/>
      <c r="B359" s="4"/>
      <c r="C359" s="5"/>
      <c r="D359" s="4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2"/>
      <c r="Q359" s="7" t="s">
        <v>2</v>
      </c>
      <c r="R359" s="7" t="s">
        <v>1</v>
      </c>
    </row>
    <row r="360" spans="1:18" x14ac:dyDescent="0.25">
      <c r="A360" s="6">
        <v>48</v>
      </c>
      <c r="B360" s="4">
        <v>30</v>
      </c>
      <c r="C360" s="5">
        <v>49.99</v>
      </c>
      <c r="D360" s="4">
        <v>20</v>
      </c>
      <c r="E360" s="3">
        <v>24</v>
      </c>
      <c r="F360" s="3">
        <f>1.8*E360+32</f>
        <v>75.2</v>
      </c>
      <c r="G360" s="3">
        <v>16</v>
      </c>
      <c r="H360" s="3">
        <f>IF(F360&gt;68,G360+(F360-68)*0.2,#REF!-(68-F360)*0.2)</f>
        <v>17.440000000000001</v>
      </c>
      <c r="I360" s="3">
        <v>23.5</v>
      </c>
      <c r="J360" s="3">
        <f>1.8*I360+32</f>
        <v>74.300000000000011</v>
      </c>
      <c r="K360" s="3">
        <v>10.5</v>
      </c>
      <c r="L360" s="3">
        <f>IF(J360&gt;68,K360+(J360-68)*0.2,K360-(68-J360)*0.2)</f>
        <v>11.760000000000002</v>
      </c>
      <c r="M360" s="3">
        <f>(C360-H360)/C360*100</f>
        <v>65.113022604520893</v>
      </c>
      <c r="N360" s="3">
        <f>100-(M360+O360)</f>
        <v>11.362272454490906</v>
      </c>
      <c r="O360" s="3">
        <f>L360/C360*100</f>
        <v>23.524704940988201</v>
      </c>
      <c r="P360" s="2" t="s">
        <v>0</v>
      </c>
      <c r="Q360" s="1">
        <v>409104.09638200002</v>
      </c>
      <c r="R360" s="1">
        <v>3659261.3601190001</v>
      </c>
    </row>
    <row r="361" spans="1:18" x14ac:dyDescent="0.25">
      <c r="A361" s="6">
        <v>48</v>
      </c>
      <c r="B361" s="4">
        <v>60</v>
      </c>
      <c r="C361" s="5">
        <v>50.01</v>
      </c>
      <c r="D361" s="4">
        <v>20</v>
      </c>
      <c r="E361" s="3">
        <v>24</v>
      </c>
      <c r="F361" s="3">
        <f>1.8*E361+32</f>
        <v>75.2</v>
      </c>
      <c r="G361" s="3">
        <v>15</v>
      </c>
      <c r="H361" s="3">
        <f>IF(F361&gt;68,G361+(F361-68)*0.2,BI60-(68-F361)*0.2)</f>
        <v>16.440000000000001</v>
      </c>
      <c r="I361" s="3">
        <v>23.5</v>
      </c>
      <c r="J361" s="3">
        <f>1.8*I361+32</f>
        <v>74.300000000000011</v>
      </c>
      <c r="K361" s="3">
        <v>11</v>
      </c>
      <c r="L361" s="3">
        <f>IF(J361&gt;68,K361+(J361-68)*0.2,K361-(68-J361)*0.2)</f>
        <v>12.260000000000002</v>
      </c>
      <c r="M361" s="3">
        <f>(C361-H361)/C361*100</f>
        <v>67.126574685062977</v>
      </c>
      <c r="N361" s="3">
        <f>100-(M361+O361)</f>
        <v>8.3583283343331374</v>
      </c>
      <c r="O361" s="3">
        <f>L361/C361*100</f>
        <v>24.515096980603886</v>
      </c>
      <c r="P361" s="2" t="s">
        <v>0</v>
      </c>
      <c r="Q361" s="1">
        <v>409104.09638200002</v>
      </c>
      <c r="R361" s="1">
        <v>3659261.3601190001</v>
      </c>
    </row>
    <row r="362" spans="1:18" x14ac:dyDescent="0.25">
      <c r="A362" s="6">
        <v>48</v>
      </c>
      <c r="B362" s="4">
        <v>90</v>
      </c>
      <c r="C362" s="5">
        <v>50.02</v>
      </c>
      <c r="D362" s="4">
        <v>20</v>
      </c>
      <c r="E362" s="3">
        <v>24</v>
      </c>
      <c r="F362" s="3">
        <f>1.8*E362+32</f>
        <v>75.2</v>
      </c>
      <c r="G362" s="3">
        <v>18</v>
      </c>
      <c r="H362" s="3">
        <f>IF(F362&gt;68,G362+(F362-68)*0.2,BI61-(68-F362)*0.2)</f>
        <v>19.440000000000001</v>
      </c>
      <c r="I362" s="3">
        <v>23.5</v>
      </c>
      <c r="J362" s="3">
        <f>1.8*I362+32</f>
        <v>74.300000000000011</v>
      </c>
      <c r="K362" s="3">
        <v>12.5</v>
      </c>
      <c r="L362" s="3">
        <f>IF(J362&gt;68,K362+(J362-68)*0.2,K362-(68-J362)*0.2)</f>
        <v>13.760000000000002</v>
      </c>
      <c r="M362" s="3">
        <f>(C362-H362)/C362*100</f>
        <v>61.135545781687327</v>
      </c>
      <c r="N362" s="3">
        <f>100-(M362+O362)</f>
        <v>11.355457816873241</v>
      </c>
      <c r="O362" s="3">
        <f>L362/C362*100</f>
        <v>27.508996401439429</v>
      </c>
      <c r="P362" s="2" t="s">
        <v>0</v>
      </c>
      <c r="Q362" s="1">
        <v>409104.09638200002</v>
      </c>
      <c r="R362" s="1">
        <v>3659261.3601190001</v>
      </c>
    </row>
    <row r="363" spans="1:18" x14ac:dyDescent="0.25">
      <c r="A363" s="6">
        <v>48</v>
      </c>
      <c r="B363" s="4">
        <v>120</v>
      </c>
      <c r="C363" s="5">
        <v>50.01</v>
      </c>
      <c r="D363" s="4">
        <v>20</v>
      </c>
      <c r="E363" s="3">
        <v>24</v>
      </c>
      <c r="F363" s="3">
        <f>1.8*E363+32</f>
        <v>75.2</v>
      </c>
      <c r="G363" s="3">
        <v>24</v>
      </c>
      <c r="H363" s="3">
        <f>IF(F363&gt;68,G363+(F363-68)*0.2,BI62-(68-F363)*0.2)</f>
        <v>25.44</v>
      </c>
      <c r="I363" s="3">
        <v>23.5</v>
      </c>
      <c r="J363" s="3">
        <f>1.8*I363+32</f>
        <v>74.300000000000011</v>
      </c>
      <c r="K363" s="3">
        <v>17</v>
      </c>
      <c r="L363" s="3">
        <f>IF(J363&gt;68,K363+(J363-68)*0.2,K363-(68-J363)*0.2)</f>
        <v>18.260000000000002</v>
      </c>
      <c r="M363" s="3">
        <f>(C363-H363)/C363*100</f>
        <v>49.13017396520695</v>
      </c>
      <c r="N363" s="3">
        <f>100-(M363+O363)</f>
        <v>14.357128574285156</v>
      </c>
      <c r="O363" s="3">
        <f>L363/C363*100</f>
        <v>36.512697460507901</v>
      </c>
      <c r="P363" s="2" t="s">
        <v>0</v>
      </c>
      <c r="Q363" s="1">
        <v>409104.09638200002</v>
      </c>
      <c r="R363" s="1">
        <v>3659261.3601190001</v>
      </c>
    </row>
    <row r="364" spans="1:18" x14ac:dyDescent="0.25">
      <c r="A364" s="6">
        <v>48</v>
      </c>
      <c r="B364" s="4">
        <v>150</v>
      </c>
      <c r="C364" s="5">
        <v>49.99</v>
      </c>
      <c r="D364" s="4">
        <v>20</v>
      </c>
      <c r="E364" s="3">
        <v>24</v>
      </c>
      <c r="F364" s="3">
        <f>1.8*E364+32</f>
        <v>75.2</v>
      </c>
      <c r="G364" s="3">
        <v>16</v>
      </c>
      <c r="H364" s="3">
        <f>IF(F364&gt;68,G364+(F364-68)*0.2,BI63-(68-F364)*0.2)</f>
        <v>17.440000000000001</v>
      </c>
      <c r="I364" s="3">
        <v>23.5</v>
      </c>
      <c r="J364" s="3">
        <f>1.8*I364+32</f>
        <v>74.300000000000011</v>
      </c>
      <c r="K364" s="3">
        <v>12.5</v>
      </c>
      <c r="L364" s="3">
        <f>IF(J364&gt;68,K364+(J364-68)*0.2,K364-(68-J364)*0.2)</f>
        <v>13.760000000000002</v>
      </c>
      <c r="M364" s="3">
        <f>(C364-H364)/C364*100</f>
        <v>65.113022604520893</v>
      </c>
      <c r="N364" s="3">
        <f>100-(M364+O364)</f>
        <v>7.3614722944589062</v>
      </c>
      <c r="O364" s="3">
        <f>L364/C364*100</f>
        <v>27.525505101020205</v>
      </c>
      <c r="P364" s="2" t="s">
        <v>0</v>
      </c>
      <c r="Q364" s="1">
        <v>409104.09638200002</v>
      </c>
      <c r="R364" s="1">
        <v>3659261.3601190001</v>
      </c>
    </row>
    <row r="365" spans="1:18" x14ac:dyDescent="0.25">
      <c r="A365" s="6">
        <v>48</v>
      </c>
      <c r="B365" s="4">
        <v>180</v>
      </c>
      <c r="C365" s="5">
        <v>49.99</v>
      </c>
      <c r="D365" s="4">
        <v>20</v>
      </c>
      <c r="E365" s="3">
        <v>24</v>
      </c>
      <c r="F365" s="3">
        <f>1.8*E365+32</f>
        <v>75.2</v>
      </c>
      <c r="G365" s="3">
        <v>10.5</v>
      </c>
      <c r="H365" s="3">
        <f>IF(F365&gt;68,G365+(F365-68)*0.2,BI64-(68-F365)*0.2)</f>
        <v>11.940000000000001</v>
      </c>
      <c r="I365" s="3">
        <v>23.5</v>
      </c>
      <c r="J365" s="3">
        <f>1.8*I365+32</f>
        <v>74.300000000000011</v>
      </c>
      <c r="K365" s="3">
        <v>7</v>
      </c>
      <c r="L365" s="3">
        <f>IF(J365&gt;68,K365+(J365-68)*0.2,K365-(68-J365)*0.2)</f>
        <v>8.2600000000000016</v>
      </c>
      <c r="M365" s="3">
        <f>(C365-H365)/C365*100</f>
        <v>76.115223044608911</v>
      </c>
      <c r="N365" s="3">
        <f>100-(M365+O365)</f>
        <v>7.3614722944589062</v>
      </c>
      <c r="O365" s="3">
        <f>L365/C365*100</f>
        <v>16.52330466093219</v>
      </c>
      <c r="P365" s="2" t="s">
        <v>0</v>
      </c>
      <c r="Q365" s="1">
        <v>409104.09638200002</v>
      </c>
      <c r="R365" s="1">
        <v>3659261.3601190001</v>
      </c>
    </row>
  </sheetData>
  <mergeCells count="40">
    <mergeCell ref="Q105:R105"/>
    <mergeCell ref="Q114:R114"/>
    <mergeCell ref="Q123:R123"/>
    <mergeCell ref="Q132:R132"/>
    <mergeCell ref="Q141:R141"/>
    <mergeCell ref="Q169:R169"/>
    <mergeCell ref="Q178:R178"/>
    <mergeCell ref="Q24:R24"/>
    <mergeCell ref="Q33:R33"/>
    <mergeCell ref="Q42:R42"/>
    <mergeCell ref="Q51:R51"/>
    <mergeCell ref="Q87:R87"/>
    <mergeCell ref="Q96:R96"/>
    <mergeCell ref="Q150:R150"/>
    <mergeCell ref="Q160:R160"/>
    <mergeCell ref="Q187:R187"/>
    <mergeCell ref="Q196:R196"/>
    <mergeCell ref="Q205:R205"/>
    <mergeCell ref="Q214:R214"/>
    <mergeCell ref="Q223:R223"/>
    <mergeCell ref="Q5:R5"/>
    <mergeCell ref="Q15:R15"/>
    <mergeCell ref="Q60:R60"/>
    <mergeCell ref="Q69:R69"/>
    <mergeCell ref="Q78:R78"/>
    <mergeCell ref="Q331:R331"/>
    <mergeCell ref="Q340:R340"/>
    <mergeCell ref="Q349:R349"/>
    <mergeCell ref="Q358:R358"/>
    <mergeCell ref="Q232:R232"/>
    <mergeCell ref="Q241:R241"/>
    <mergeCell ref="Q250:R250"/>
    <mergeCell ref="Q259:R259"/>
    <mergeCell ref="Q268:R268"/>
    <mergeCell ref="Q277:R277"/>
    <mergeCell ref="Q286:R286"/>
    <mergeCell ref="Q295:R295"/>
    <mergeCell ref="Q304:R304"/>
    <mergeCell ref="Q313:R313"/>
    <mergeCell ref="Q322:R3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4273D-63B7-4B3C-9186-76B72B32A171}">
  <dimension ref="A4:AB502"/>
  <sheetViews>
    <sheetView topLeftCell="L1" zoomScale="85" zoomScaleNormal="85" workbookViewId="0">
      <selection activeCell="T9" sqref="T9"/>
    </sheetView>
  </sheetViews>
  <sheetFormatPr defaultRowHeight="15" x14ac:dyDescent="0.25"/>
  <cols>
    <col min="1" max="1" width="7.85546875" customWidth="1"/>
    <col min="2" max="2" width="7.140625" bestFit="1" customWidth="1"/>
    <col min="3" max="3" width="7.28515625" customWidth="1"/>
    <col min="5" max="5" width="9" customWidth="1"/>
    <col min="6" max="6" width="10.42578125" customWidth="1"/>
    <col min="8" max="8" width="9.5703125" bestFit="1" customWidth="1"/>
    <col min="10" max="10" width="11.85546875" customWidth="1"/>
    <col min="12" max="12" width="9.5703125" bestFit="1" customWidth="1"/>
    <col min="16" max="16" width="18.28515625" bestFit="1" customWidth="1"/>
    <col min="17" max="18" width="18.42578125" bestFit="1" customWidth="1"/>
  </cols>
  <sheetData>
    <row r="4" spans="1:28" ht="15.75" x14ac:dyDescent="0.25">
      <c r="A4" s="43" t="s">
        <v>273</v>
      </c>
      <c r="B4" s="53"/>
      <c r="C4" s="42"/>
      <c r="D4" s="38"/>
      <c r="E4" s="38"/>
      <c r="F4" s="38"/>
      <c r="G4" s="38"/>
      <c r="H4" s="38"/>
      <c r="I4" s="34"/>
      <c r="J4" s="34"/>
      <c r="K4" s="34"/>
      <c r="L4" s="34"/>
      <c r="M4" s="34"/>
      <c r="N4" s="34"/>
      <c r="O4" s="34"/>
      <c r="P4" s="33"/>
    </row>
    <row r="5" spans="1:28" ht="15.75" x14ac:dyDescent="0.25">
      <c r="A5" s="39"/>
      <c r="B5" s="41"/>
      <c r="C5" s="40"/>
      <c r="D5" s="38"/>
      <c r="E5" s="38"/>
      <c r="F5" s="38"/>
      <c r="G5" s="38"/>
      <c r="H5" s="38"/>
      <c r="I5" s="34"/>
      <c r="J5" s="34"/>
      <c r="K5" s="34"/>
      <c r="L5" s="34"/>
      <c r="M5" s="34"/>
      <c r="N5" s="34"/>
      <c r="O5" s="34"/>
      <c r="P5" s="33"/>
    </row>
    <row r="6" spans="1:28" ht="15.75" x14ac:dyDescent="0.25">
      <c r="A6" s="39" t="s">
        <v>272</v>
      </c>
      <c r="B6" s="41"/>
      <c r="C6" s="40" t="s">
        <v>424</v>
      </c>
      <c r="D6" s="38"/>
      <c r="F6" s="38" t="s">
        <v>270</v>
      </c>
      <c r="G6" s="38"/>
      <c r="H6" s="38" t="s">
        <v>269</v>
      </c>
      <c r="I6" s="34"/>
      <c r="J6" s="34"/>
      <c r="K6" s="34"/>
      <c r="L6" s="34"/>
      <c r="M6" s="34"/>
      <c r="N6" s="34"/>
      <c r="O6" s="34"/>
      <c r="P6" s="33"/>
    </row>
    <row r="7" spans="1:28" ht="15.75" x14ac:dyDescent="0.25">
      <c r="A7" s="39"/>
      <c r="B7" s="41"/>
      <c r="C7" s="40"/>
      <c r="D7" s="39"/>
      <c r="E7" s="38"/>
      <c r="F7" s="38"/>
      <c r="G7" s="38"/>
      <c r="H7" s="38"/>
      <c r="I7" s="34"/>
      <c r="J7" s="34"/>
      <c r="K7" s="34"/>
      <c r="L7" s="34"/>
      <c r="M7" s="34"/>
      <c r="N7" s="34"/>
      <c r="O7" s="34"/>
      <c r="P7" s="33"/>
    </row>
    <row r="8" spans="1:28" x14ac:dyDescent="0.25">
      <c r="A8" s="36"/>
      <c r="C8" s="35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3"/>
    </row>
    <row r="9" spans="1:28" ht="15.75" x14ac:dyDescent="0.25">
      <c r="A9" s="39"/>
      <c r="C9" s="35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T9" t="s">
        <v>268</v>
      </c>
    </row>
    <row r="10" spans="1:28" ht="51.75" x14ac:dyDescent="0.25">
      <c r="A10" s="15" t="s">
        <v>19</v>
      </c>
      <c r="B10" s="10" t="s">
        <v>18</v>
      </c>
      <c r="C10" s="14" t="s">
        <v>17</v>
      </c>
      <c r="D10" s="13" t="s">
        <v>16</v>
      </c>
      <c r="E10" s="12" t="s">
        <v>15</v>
      </c>
      <c r="F10" s="12" t="s">
        <v>14</v>
      </c>
      <c r="G10" s="12" t="s">
        <v>13</v>
      </c>
      <c r="H10" s="12" t="s">
        <v>12</v>
      </c>
      <c r="I10" s="12" t="s">
        <v>11</v>
      </c>
      <c r="J10" s="12" t="s">
        <v>10</v>
      </c>
      <c r="K10" s="12" t="s">
        <v>9</v>
      </c>
      <c r="L10" s="12" t="s">
        <v>8</v>
      </c>
      <c r="M10" s="11" t="s">
        <v>7</v>
      </c>
      <c r="N10" s="11" t="s">
        <v>6</v>
      </c>
      <c r="O10" s="11" t="s">
        <v>5</v>
      </c>
      <c r="P10" s="10" t="s">
        <v>4</v>
      </c>
      <c r="Q10" s="17" t="s">
        <v>3</v>
      </c>
      <c r="R10" s="17"/>
      <c r="T10" s="4" t="s">
        <v>267</v>
      </c>
      <c r="U10" s="4" t="s">
        <v>266</v>
      </c>
      <c r="V10" s="4" t="s">
        <v>265</v>
      </c>
      <c r="W10" s="4" t="s">
        <v>264</v>
      </c>
      <c r="X10" s="4" t="s">
        <v>263</v>
      </c>
      <c r="Y10" s="4" t="s">
        <v>262</v>
      </c>
      <c r="Z10" s="4" t="s">
        <v>261</v>
      </c>
      <c r="AA10" s="4" t="s">
        <v>260</v>
      </c>
      <c r="AB10" s="4" t="s">
        <v>259</v>
      </c>
    </row>
    <row r="11" spans="1:28" x14ac:dyDescent="0.25">
      <c r="A11" s="15"/>
      <c r="B11" s="10"/>
      <c r="C11" s="14"/>
      <c r="D11" s="13"/>
      <c r="E11" s="12"/>
      <c r="F11" s="12"/>
      <c r="G11" s="12"/>
      <c r="H11" s="12"/>
      <c r="I11" s="12"/>
      <c r="J11" s="12"/>
      <c r="K11" s="12"/>
      <c r="L11" s="12"/>
      <c r="M11" s="11"/>
      <c r="N11" s="11"/>
      <c r="O11" s="11"/>
      <c r="P11" s="10"/>
      <c r="Q11" s="7" t="s">
        <v>2</v>
      </c>
      <c r="R11" s="7" t="s">
        <v>1</v>
      </c>
      <c r="T11" s="4"/>
      <c r="U11" s="4"/>
      <c r="V11" s="4" t="s">
        <v>258</v>
      </c>
      <c r="W11" s="4" t="s">
        <v>258</v>
      </c>
      <c r="X11" s="4" t="s">
        <v>257</v>
      </c>
      <c r="Y11" s="4" t="s">
        <v>255</v>
      </c>
      <c r="Z11" s="4" t="s">
        <v>256</v>
      </c>
      <c r="AA11" s="4" t="s">
        <v>256</v>
      </c>
      <c r="AB11" s="4" t="s">
        <v>255</v>
      </c>
    </row>
    <row r="12" spans="1:28" x14ac:dyDescent="0.25">
      <c r="A12" s="6">
        <v>2</v>
      </c>
      <c r="B12" s="4">
        <v>30</v>
      </c>
      <c r="C12" s="5">
        <v>50</v>
      </c>
      <c r="D12" s="4">
        <v>20</v>
      </c>
      <c r="E12" s="3">
        <v>25</v>
      </c>
      <c r="F12" s="3">
        <f>1.8*E12+32</f>
        <v>77</v>
      </c>
      <c r="G12" s="3">
        <v>16</v>
      </c>
      <c r="H12" s="3">
        <f>IF(F12&gt;68,G12+(F12-68)*0.2,#REF!-(68-F12)*0.2)</f>
        <v>17.8</v>
      </c>
      <c r="I12" s="3">
        <v>22</v>
      </c>
      <c r="J12" s="3">
        <f>1.8*I12+32</f>
        <v>71.599999999999994</v>
      </c>
      <c r="K12" s="3">
        <v>8</v>
      </c>
      <c r="L12" s="3">
        <f>IF(J12&gt;68,K12+(J12-68)*0.2,K12-(68-J12)*0.2)</f>
        <v>8.7199999999999989</v>
      </c>
      <c r="M12" s="3">
        <f>(C12-H12)/C12*100</f>
        <v>64.400000000000006</v>
      </c>
      <c r="N12" s="3">
        <f>100-(M12+O12)</f>
        <v>18.159999999999997</v>
      </c>
      <c r="O12" s="3">
        <f>L12/C12*100</f>
        <v>17.439999999999998</v>
      </c>
      <c r="P12" s="2" t="s">
        <v>20</v>
      </c>
      <c r="Q12" s="1">
        <v>409032.50424400001</v>
      </c>
      <c r="R12" s="16">
        <v>3659352.6693199999</v>
      </c>
      <c r="T12" s="4">
        <v>2006111</v>
      </c>
      <c r="U12" s="4" t="s">
        <v>254</v>
      </c>
      <c r="V12" s="4">
        <v>5.5070000000000001E-2</v>
      </c>
      <c r="W12" s="4">
        <v>0.38355</v>
      </c>
      <c r="X12" s="4">
        <v>2.8799999999999999E-2</v>
      </c>
      <c r="Y12" s="4">
        <v>1.36554</v>
      </c>
      <c r="Z12" s="4">
        <v>24.758690000000001</v>
      </c>
      <c r="AA12" s="4">
        <v>12.11547</v>
      </c>
      <c r="AB12" s="4">
        <v>-1.3090999999999999</v>
      </c>
    </row>
    <row r="13" spans="1:28" x14ac:dyDescent="0.25">
      <c r="A13" s="6">
        <v>2</v>
      </c>
      <c r="B13" s="4">
        <v>60</v>
      </c>
      <c r="C13" s="5">
        <v>50</v>
      </c>
      <c r="D13" s="4">
        <v>20</v>
      </c>
      <c r="E13" s="3">
        <v>25.5</v>
      </c>
      <c r="F13" s="3">
        <f>1.8*E13+32</f>
        <v>77.900000000000006</v>
      </c>
      <c r="G13" s="3">
        <v>17</v>
      </c>
      <c r="H13" s="3">
        <f>IF(F13&gt;68,G13+(F13-68)*0.2,#REF!-(68-F13)*0.2)</f>
        <v>18.98</v>
      </c>
      <c r="I13" s="3">
        <v>22</v>
      </c>
      <c r="J13" s="3">
        <f>1.8*I13+32</f>
        <v>71.599999999999994</v>
      </c>
      <c r="K13" s="3">
        <v>8</v>
      </c>
      <c r="L13" s="3">
        <f>IF(J13&gt;68,K13+(J13-68)*0.2,K13-(68-J13)*0.2)</f>
        <v>8.7199999999999989</v>
      </c>
      <c r="M13" s="3">
        <f>(C13-H13)/C13*100</f>
        <v>62.039999999999992</v>
      </c>
      <c r="N13" s="3">
        <f>100-(M13+O13)</f>
        <v>20.52000000000001</v>
      </c>
      <c r="O13" s="3">
        <f>L13/C13*100</f>
        <v>17.439999999999998</v>
      </c>
      <c r="P13" s="2" t="s">
        <v>20</v>
      </c>
      <c r="Q13" s="1">
        <v>409032.50424400001</v>
      </c>
      <c r="R13" s="16">
        <v>3659352.6693199999</v>
      </c>
      <c r="T13" s="4">
        <v>2006111</v>
      </c>
      <c r="U13" s="4" t="s">
        <v>253</v>
      </c>
      <c r="V13" s="4">
        <v>5.5109999999999999E-2</v>
      </c>
      <c r="W13" s="4">
        <v>0.38551000000000002</v>
      </c>
      <c r="X13" s="4">
        <v>2.725E-2</v>
      </c>
      <c r="Y13" s="4">
        <v>1.36785</v>
      </c>
      <c r="Z13" s="4">
        <v>23.379460000000002</v>
      </c>
      <c r="AA13" s="4">
        <v>11.411770000000001</v>
      </c>
      <c r="AB13" s="4">
        <v>-1.2521199999999999</v>
      </c>
    </row>
    <row r="14" spans="1:28" x14ac:dyDescent="0.25">
      <c r="A14" s="6">
        <v>2</v>
      </c>
      <c r="B14" s="4">
        <v>90</v>
      </c>
      <c r="C14" s="5">
        <v>50.01</v>
      </c>
      <c r="D14" s="4">
        <v>20</v>
      </c>
      <c r="E14" s="3">
        <v>25.5</v>
      </c>
      <c r="F14" s="3">
        <f>1.8*E14+32</f>
        <v>77.900000000000006</v>
      </c>
      <c r="G14" s="3">
        <v>14.5</v>
      </c>
      <c r="H14" s="3">
        <f>IF(F14&gt;68,G14+(F14-68)*0.2,#REF!-(68-F14)*0.2)</f>
        <v>16.48</v>
      </c>
      <c r="I14" s="3">
        <v>22</v>
      </c>
      <c r="J14" s="3">
        <f>1.8*I14+32</f>
        <v>71.599999999999994</v>
      </c>
      <c r="K14" s="3">
        <v>6</v>
      </c>
      <c r="L14" s="3">
        <f>IF(J14&gt;68,K14+(J14-68)*0.2,K14-(68-J14)*0.2)</f>
        <v>6.7199999999999989</v>
      </c>
      <c r="M14" s="3">
        <f>(C14-H14)/C14*100</f>
        <v>67.04659068186362</v>
      </c>
      <c r="N14" s="3">
        <f>100-(M14+O14)</f>
        <v>19.516096780643878</v>
      </c>
      <c r="O14" s="3">
        <f>L14/C14*100</f>
        <v>13.437312537492499</v>
      </c>
      <c r="P14" s="2" t="s">
        <v>20</v>
      </c>
      <c r="Q14" s="1">
        <v>409032.50424400001</v>
      </c>
      <c r="R14" s="16">
        <v>3659352.6693199999</v>
      </c>
      <c r="T14" s="4">
        <v>2006111</v>
      </c>
      <c r="U14" s="4" t="s">
        <v>252</v>
      </c>
      <c r="V14" s="4">
        <v>4.829E-2</v>
      </c>
      <c r="W14" s="4">
        <v>0.38353999999999999</v>
      </c>
      <c r="X14" s="4">
        <v>3.1309999999999998E-2</v>
      </c>
      <c r="Y14" s="4">
        <v>1.39316</v>
      </c>
      <c r="Z14" s="4">
        <v>34.46219</v>
      </c>
      <c r="AA14" s="4">
        <v>15.37993</v>
      </c>
      <c r="AB14" s="4">
        <v>-1.21075</v>
      </c>
    </row>
    <row r="15" spans="1:28" x14ac:dyDescent="0.25">
      <c r="A15" s="6">
        <v>2</v>
      </c>
      <c r="B15" s="4">
        <v>120</v>
      </c>
      <c r="C15" s="5">
        <v>50.01</v>
      </c>
      <c r="D15" s="4">
        <v>20</v>
      </c>
      <c r="E15" s="3">
        <v>26</v>
      </c>
      <c r="F15" s="3">
        <f>1.8*E15+32</f>
        <v>78.800000000000011</v>
      </c>
      <c r="G15" s="3">
        <v>17.5</v>
      </c>
      <c r="H15" s="3">
        <f>IF(F15&gt;68,G15+(F15-68)*0.2,#REF!-(68-F15)*0.2)</f>
        <v>19.660000000000004</v>
      </c>
      <c r="I15" s="3">
        <v>22</v>
      </c>
      <c r="J15" s="3">
        <f>1.8*I15+32</f>
        <v>71.599999999999994</v>
      </c>
      <c r="K15" s="3">
        <v>7.5</v>
      </c>
      <c r="L15" s="3">
        <f>IF(J15&gt;68,K15+(J15-68)*0.2,K15-(68-J15)*0.2)</f>
        <v>8.2199999999999989</v>
      </c>
      <c r="M15" s="3">
        <f>(C15-H15)/C15*100</f>
        <v>60.687862427514482</v>
      </c>
      <c r="N15" s="3">
        <f>100-(M15+O15)</f>
        <v>22.875424915017021</v>
      </c>
      <c r="O15" s="3">
        <f>L15/C15*100</f>
        <v>16.436712657468505</v>
      </c>
      <c r="P15" s="2" t="s">
        <v>20</v>
      </c>
      <c r="Q15" s="1">
        <v>409032.50424400001</v>
      </c>
      <c r="R15" s="16">
        <v>3659352.6693199999</v>
      </c>
      <c r="T15" s="4">
        <v>2006111</v>
      </c>
      <c r="U15" s="4" t="s">
        <v>251</v>
      </c>
      <c r="V15" s="4">
        <v>5.3469999999999997E-2</v>
      </c>
      <c r="W15" s="4">
        <v>0.38662999999999997</v>
      </c>
      <c r="X15" s="4">
        <v>2.605E-2</v>
      </c>
      <c r="Y15" s="4">
        <v>1.3768899999999999</v>
      </c>
      <c r="Z15" s="4">
        <v>24.031510000000001</v>
      </c>
      <c r="AA15" s="4">
        <v>11.206099999999999</v>
      </c>
      <c r="AB15" s="4">
        <v>-1.16693</v>
      </c>
    </row>
    <row r="16" spans="1:28" x14ac:dyDescent="0.25">
      <c r="A16" s="6">
        <v>2</v>
      </c>
      <c r="B16" s="4">
        <v>150</v>
      </c>
      <c r="C16" s="5">
        <v>50</v>
      </c>
      <c r="D16" s="4">
        <v>20</v>
      </c>
      <c r="E16" s="3">
        <v>26</v>
      </c>
      <c r="F16" s="3">
        <f>1.8*E16+32</f>
        <v>78.800000000000011</v>
      </c>
      <c r="G16" s="3">
        <v>18</v>
      </c>
      <c r="H16" s="3">
        <f>IF(F16&gt;68,G16+(F16-68)*0.2,#REF!-(68-F16)*0.2)</f>
        <v>20.160000000000004</v>
      </c>
      <c r="I16" s="3">
        <v>22</v>
      </c>
      <c r="J16" s="3">
        <f>1.8*I16+32</f>
        <v>71.599999999999994</v>
      </c>
      <c r="K16" s="3">
        <v>8.5</v>
      </c>
      <c r="L16" s="3">
        <f>IF(J16&gt;68,K16+(J16-68)*0.2,K16-(68-J16)*0.2)</f>
        <v>9.2199999999999989</v>
      </c>
      <c r="M16" s="3">
        <f>(C16-H16)/C16*100</f>
        <v>59.679999999999986</v>
      </c>
      <c r="N16" s="3">
        <f>100-(M16+O16)</f>
        <v>21.880000000000024</v>
      </c>
      <c r="O16" s="3">
        <f>L16/C16*100</f>
        <v>18.439999999999998</v>
      </c>
      <c r="P16" s="2" t="s">
        <v>20</v>
      </c>
      <c r="Q16" s="1">
        <v>409032.50424400001</v>
      </c>
      <c r="R16" s="16">
        <v>3659352.6693199999</v>
      </c>
      <c r="T16" s="4">
        <v>2006111</v>
      </c>
      <c r="U16" s="4" t="s">
        <v>249</v>
      </c>
      <c r="V16" s="4">
        <v>5.6959999999999997E-2</v>
      </c>
      <c r="W16" s="4">
        <v>0.38741999999999999</v>
      </c>
      <c r="X16" s="4">
        <v>2.554E-2</v>
      </c>
      <c r="Y16" s="4">
        <v>1.36714</v>
      </c>
      <c r="Z16" s="4">
        <v>20.579689999999999</v>
      </c>
      <c r="AA16" s="4">
        <v>10.28758</v>
      </c>
      <c r="AB16" s="4">
        <v>-1.2173799999999999</v>
      </c>
    </row>
    <row r="17" spans="1:28" x14ac:dyDescent="0.25">
      <c r="A17" s="6">
        <v>2</v>
      </c>
      <c r="B17" s="4">
        <v>180</v>
      </c>
      <c r="C17" s="5">
        <v>50.01</v>
      </c>
      <c r="D17" s="4">
        <v>20</v>
      </c>
      <c r="E17" s="3">
        <v>26</v>
      </c>
      <c r="F17" s="3">
        <f>1.8*E17+32</f>
        <v>78.800000000000011</v>
      </c>
      <c r="G17" s="3">
        <v>20</v>
      </c>
      <c r="H17" s="3">
        <f>IF(F17&gt;68,G17+(F17-68)*0.2,#REF!-(68-F17)*0.2)</f>
        <v>22.160000000000004</v>
      </c>
      <c r="I17" s="3">
        <v>22</v>
      </c>
      <c r="J17" s="3">
        <f>1.8*I17+32</f>
        <v>71.599999999999994</v>
      </c>
      <c r="K17" s="3">
        <v>8.5</v>
      </c>
      <c r="L17" s="3">
        <f>IF(J17&gt;68,K17+(J17-68)*0.2,K17-(68-J17)*0.2)</f>
        <v>9.2199999999999989</v>
      </c>
      <c r="M17" s="3">
        <f>(C17-H17)/C17*100</f>
        <v>55.68886222755448</v>
      </c>
      <c r="N17" s="3">
        <f>100-(M17+O17)</f>
        <v>25.874825034993009</v>
      </c>
      <c r="O17" s="3">
        <f>L17/C17*100</f>
        <v>18.436312737452511</v>
      </c>
      <c r="P17" s="2" t="s">
        <v>20</v>
      </c>
      <c r="Q17" s="1">
        <v>409032.50424400001</v>
      </c>
      <c r="R17" s="16">
        <v>3659352.6693199999</v>
      </c>
      <c r="T17" s="4">
        <v>2006111</v>
      </c>
      <c r="U17" s="4" t="s">
        <v>248</v>
      </c>
      <c r="V17" s="4">
        <v>5.7529999999999998E-2</v>
      </c>
      <c r="W17" s="4">
        <v>0.39085999999999999</v>
      </c>
      <c r="X17" s="4">
        <v>2.1999999999999999E-2</v>
      </c>
      <c r="Y17" s="4">
        <v>1.3838200000000001</v>
      </c>
      <c r="Z17" s="4">
        <v>18.22353</v>
      </c>
      <c r="AA17" s="4">
        <v>8.6761499999999998</v>
      </c>
      <c r="AB17" s="4">
        <v>-1.0458700000000001</v>
      </c>
    </row>
    <row r="18" spans="1:28" x14ac:dyDescent="0.25">
      <c r="A18" s="6">
        <v>2</v>
      </c>
      <c r="B18" s="4">
        <v>210</v>
      </c>
      <c r="C18" s="5">
        <v>50.01</v>
      </c>
      <c r="D18" s="4">
        <v>20</v>
      </c>
      <c r="E18" s="3">
        <v>26</v>
      </c>
      <c r="F18" s="3">
        <f>1.8*E18+32</f>
        <v>78.800000000000011</v>
      </c>
      <c r="G18" s="3">
        <v>18</v>
      </c>
      <c r="H18" s="3">
        <f>IF(F18&gt;68,G18+(F18-68)*0.2,#REF!-(68-F18)*0.2)</f>
        <v>20.160000000000004</v>
      </c>
      <c r="I18" s="3">
        <v>22</v>
      </c>
      <c r="J18" s="3">
        <f>1.8*I18+32</f>
        <v>71.599999999999994</v>
      </c>
      <c r="K18" s="3">
        <v>8</v>
      </c>
      <c r="L18" s="3">
        <f>IF(J18&gt;68,K18+(J18-68)*0.2,K18-(68-J18)*0.2)</f>
        <v>8.7199999999999989</v>
      </c>
      <c r="M18" s="3">
        <f>(C18-H18)/C18*100</f>
        <v>59.688062387522493</v>
      </c>
      <c r="N18" s="3">
        <f>100-(M18+O18)</f>
        <v>22.875424915016993</v>
      </c>
      <c r="O18" s="3">
        <f>L18/C18*100</f>
        <v>17.436512697460508</v>
      </c>
      <c r="P18" s="2" t="s">
        <v>0</v>
      </c>
      <c r="Q18" s="1">
        <v>409032.50424400001</v>
      </c>
      <c r="R18" s="16">
        <v>3659352.6693199999</v>
      </c>
      <c r="T18" s="4">
        <v>2006111</v>
      </c>
      <c r="U18" s="4" t="s">
        <v>423</v>
      </c>
      <c r="V18" s="4">
        <v>5.5280000000000003E-2</v>
      </c>
      <c r="W18" s="4">
        <v>0.38739000000000001</v>
      </c>
      <c r="X18" s="4">
        <v>2.5350000000000001E-2</v>
      </c>
      <c r="Y18" s="4">
        <v>1.37364</v>
      </c>
      <c r="Z18" s="4">
        <v>21.9343</v>
      </c>
      <c r="AA18" s="4">
        <v>10.52388</v>
      </c>
      <c r="AB18" s="4">
        <v>-1.1728499999999999</v>
      </c>
    </row>
    <row r="19" spans="1:28" x14ac:dyDescent="0.25">
      <c r="A19" s="6">
        <v>2</v>
      </c>
      <c r="B19" s="4">
        <v>240</v>
      </c>
      <c r="C19" s="5">
        <v>50</v>
      </c>
      <c r="D19" s="4">
        <v>20</v>
      </c>
      <c r="E19" s="3">
        <v>26</v>
      </c>
      <c r="F19" s="3">
        <f>1.8*E19+32</f>
        <v>78.800000000000011</v>
      </c>
      <c r="G19" s="3">
        <v>11</v>
      </c>
      <c r="H19" s="3">
        <f>IF(F19&gt;68,G19+(F19-68)*0.2,#REF!-(68-F19)*0.2)</f>
        <v>13.160000000000002</v>
      </c>
      <c r="I19" s="3">
        <v>22</v>
      </c>
      <c r="J19" s="3">
        <f>1.8*I19+32</f>
        <v>71.599999999999994</v>
      </c>
      <c r="K19" s="3">
        <v>5.5</v>
      </c>
      <c r="L19" s="3">
        <f>IF(J19&gt;68,K19+(J19-68)*0.2,K19-(68-J19)*0.2)</f>
        <v>6.2199999999999989</v>
      </c>
      <c r="M19" s="3">
        <f>(C19-H19)/C19*100</f>
        <v>73.679999999999993</v>
      </c>
      <c r="N19" s="3">
        <f>100-(M19+O19)</f>
        <v>13.88000000000001</v>
      </c>
      <c r="O19" s="3">
        <f>L19/C19*100</f>
        <v>12.439999999999998</v>
      </c>
      <c r="P19" s="2" t="s">
        <v>20</v>
      </c>
      <c r="Q19" s="1">
        <v>409032.50424400001</v>
      </c>
      <c r="R19" s="16">
        <v>3659352.6693199999</v>
      </c>
      <c r="T19" s="4">
        <v>2006111</v>
      </c>
      <c r="U19" s="4" t="s">
        <v>422</v>
      </c>
      <c r="V19" s="4">
        <v>4.8599999999999997E-2</v>
      </c>
      <c r="W19" s="4">
        <v>0.38030999999999998</v>
      </c>
      <c r="X19" s="4">
        <v>3.4040000000000001E-2</v>
      </c>
      <c r="Y19" s="4">
        <v>1.44821</v>
      </c>
      <c r="Z19" s="4">
        <v>45.981369999999998</v>
      </c>
      <c r="AA19" s="4">
        <v>17.908159999999999</v>
      </c>
      <c r="AB19" s="4">
        <v>-1.15594</v>
      </c>
    </row>
    <row r="20" spans="1:28" x14ac:dyDescent="0.25">
      <c r="A20" s="6">
        <v>2</v>
      </c>
      <c r="B20" s="4">
        <v>270</v>
      </c>
      <c r="C20" s="5">
        <v>50</v>
      </c>
      <c r="D20" s="4">
        <v>20</v>
      </c>
      <c r="E20" s="3">
        <v>26</v>
      </c>
      <c r="F20" s="3">
        <f>1.8*E20+32</f>
        <v>78.800000000000011</v>
      </c>
      <c r="G20" s="3">
        <v>6.5</v>
      </c>
      <c r="H20" s="3">
        <f>IF(F20&gt;68,G20+(F20-68)*0.2,#REF!-(68-F20)*0.2)</f>
        <v>8.6600000000000019</v>
      </c>
      <c r="I20" s="3">
        <v>22</v>
      </c>
      <c r="J20" s="3">
        <f>1.8*I20+32</f>
        <v>71.599999999999994</v>
      </c>
      <c r="K20" s="3">
        <v>3.5</v>
      </c>
      <c r="L20" s="3">
        <f>IF(J20&gt;68,K20+(J20-68)*0.2,K20-(68-J20)*0.2)</f>
        <v>4.2199999999999989</v>
      </c>
      <c r="M20" s="3">
        <f>(C20-H20)/C20*100</f>
        <v>82.679999999999993</v>
      </c>
      <c r="N20" s="3">
        <f>100-(M20+O20)</f>
        <v>8.8800000000000097</v>
      </c>
      <c r="O20" s="3">
        <f>L20/C20*100</f>
        <v>8.4399999999999977</v>
      </c>
      <c r="P20" s="2" t="s">
        <v>20</v>
      </c>
      <c r="Q20" s="1">
        <v>409032.50424400001</v>
      </c>
      <c r="R20" s="16">
        <v>3659352.6693199999</v>
      </c>
      <c r="T20" s="4">
        <v>2006111</v>
      </c>
      <c r="U20" s="4" t="s">
        <v>421</v>
      </c>
      <c r="V20" s="4">
        <v>4.87E-2</v>
      </c>
      <c r="W20" s="4">
        <v>0.37855</v>
      </c>
      <c r="X20" s="4">
        <v>3.4669999999999999E-2</v>
      </c>
      <c r="Y20" s="4">
        <v>1.7611699999999999</v>
      </c>
      <c r="Z20" s="4">
        <v>107.76528</v>
      </c>
      <c r="AA20" s="4">
        <v>23.04542</v>
      </c>
      <c r="AB20" s="4">
        <v>-0.90422999999999998</v>
      </c>
    </row>
    <row r="21" spans="1:28" x14ac:dyDescent="0.25">
      <c r="A21" s="6">
        <v>2</v>
      </c>
      <c r="B21" s="4">
        <v>300</v>
      </c>
      <c r="C21" s="5"/>
      <c r="D21" s="4"/>
      <c r="E21" s="3"/>
      <c r="F21" s="3"/>
      <c r="G21" s="3"/>
      <c r="H21" s="3" t="e">
        <f>IF(F21&gt;68,G21+(F21-68)*0.2,#REF!-(68-F21)*0.2)</f>
        <v>#REF!</v>
      </c>
      <c r="I21" s="3"/>
      <c r="J21" s="3"/>
      <c r="K21" s="3"/>
      <c r="L21" s="3">
        <f>IF(J21&gt;68,K21+(J21-68)*0.2,K21-(68-J21)*0.2)</f>
        <v>-13.600000000000001</v>
      </c>
      <c r="M21" s="3"/>
      <c r="N21" s="3"/>
      <c r="O21" s="3"/>
      <c r="P21" s="2"/>
      <c r="Q21" s="1">
        <v>409032.50424400001</v>
      </c>
      <c r="R21" s="16">
        <v>3659352.6693199999</v>
      </c>
      <c r="T21" s="4">
        <v>2006111</v>
      </c>
      <c r="U21" s="4" t="s">
        <v>247</v>
      </c>
      <c r="V21" s="4">
        <v>5.9569999999999998E-2</v>
      </c>
      <c r="W21" s="4">
        <v>0.38628000000000001</v>
      </c>
      <c r="X21" s="4">
        <v>2.6530000000000001E-2</v>
      </c>
      <c r="Y21" s="4">
        <v>1.3521300000000001</v>
      </c>
      <c r="Z21" s="4">
        <v>18.92052</v>
      </c>
      <c r="AA21" s="4">
        <v>10.163460000000001</v>
      </c>
      <c r="AB21" s="4">
        <v>-1.3326199999999999</v>
      </c>
    </row>
    <row r="22" spans="1:28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T22" s="4">
        <v>2006111</v>
      </c>
      <c r="U22" s="4" t="s">
        <v>246</v>
      </c>
      <c r="V22" s="4">
        <v>5.8020000000000002E-2</v>
      </c>
      <c r="W22" s="4">
        <v>0.38644000000000001</v>
      </c>
      <c r="X22" s="4">
        <v>2.6419999999999999E-2</v>
      </c>
      <c r="Y22" s="4">
        <v>1.3592900000000001</v>
      </c>
      <c r="Z22" s="4">
        <v>20.187799999999999</v>
      </c>
      <c r="AA22" s="4">
        <v>10.44056</v>
      </c>
      <c r="AB22" s="4">
        <v>-1.2856799999999999</v>
      </c>
    </row>
    <row r="23" spans="1:28" ht="51.75" x14ac:dyDescent="0.25">
      <c r="A23" s="15" t="s">
        <v>19</v>
      </c>
      <c r="B23" s="10" t="s">
        <v>18</v>
      </c>
      <c r="C23" s="14" t="s">
        <v>17</v>
      </c>
      <c r="D23" s="13" t="s">
        <v>16</v>
      </c>
      <c r="E23" s="12" t="s">
        <v>15</v>
      </c>
      <c r="F23" s="12" t="s">
        <v>14</v>
      </c>
      <c r="G23" s="12" t="s">
        <v>13</v>
      </c>
      <c r="H23" s="12" t="s">
        <v>12</v>
      </c>
      <c r="I23" s="12" t="s">
        <v>11</v>
      </c>
      <c r="J23" s="12" t="s">
        <v>10</v>
      </c>
      <c r="K23" s="12" t="s">
        <v>9</v>
      </c>
      <c r="L23" s="12" t="s">
        <v>8</v>
      </c>
      <c r="M23" s="11" t="s">
        <v>7</v>
      </c>
      <c r="N23" s="11" t="s">
        <v>6</v>
      </c>
      <c r="O23" s="11" t="s">
        <v>5</v>
      </c>
      <c r="P23" s="10" t="s">
        <v>4</v>
      </c>
      <c r="Q23" s="17" t="s">
        <v>3</v>
      </c>
      <c r="R23" s="17"/>
      <c r="T23" s="4">
        <v>2006111</v>
      </c>
      <c r="U23" s="4" t="s">
        <v>245</v>
      </c>
      <c r="V23" s="4">
        <v>5.4609999999999999E-2</v>
      </c>
      <c r="W23" s="4">
        <v>0.38341999999999998</v>
      </c>
      <c r="X23" s="4">
        <v>2.9000000000000001E-2</v>
      </c>
      <c r="Y23" s="4">
        <v>1.36737</v>
      </c>
      <c r="Z23" s="4">
        <v>25.417059999999999</v>
      </c>
      <c r="AA23" s="4">
        <v>12.32835</v>
      </c>
      <c r="AB23" s="4">
        <v>-1.3037099999999999</v>
      </c>
    </row>
    <row r="24" spans="1:28" x14ac:dyDescent="0.25">
      <c r="A24" s="15"/>
      <c r="B24" s="10"/>
      <c r="C24" s="14"/>
      <c r="D24" s="13"/>
      <c r="E24" s="12"/>
      <c r="F24" s="12"/>
      <c r="G24" s="12"/>
      <c r="H24" s="12"/>
      <c r="I24" s="12"/>
      <c r="J24" s="12"/>
      <c r="K24" s="12"/>
      <c r="L24" s="12"/>
      <c r="M24" s="11"/>
      <c r="N24" s="11"/>
      <c r="O24" s="11"/>
      <c r="P24" s="10"/>
      <c r="Q24" s="7" t="s">
        <v>2</v>
      </c>
      <c r="R24" s="7" t="s">
        <v>1</v>
      </c>
      <c r="T24" s="4">
        <v>2006111</v>
      </c>
      <c r="U24" s="4" t="s">
        <v>244</v>
      </c>
      <c r="V24" s="4">
        <v>6.1010000000000002E-2</v>
      </c>
      <c r="W24" s="4">
        <v>0.38575999999999999</v>
      </c>
      <c r="X24" s="4">
        <v>2.6790000000000001E-2</v>
      </c>
      <c r="Y24" s="4">
        <v>1.3439300000000001</v>
      </c>
      <c r="Z24" s="4">
        <v>17.851369999999999</v>
      </c>
      <c r="AA24" s="4">
        <v>9.9500799999999998</v>
      </c>
      <c r="AB24" s="4">
        <v>-1.3904000000000001</v>
      </c>
    </row>
    <row r="25" spans="1:28" x14ac:dyDescent="0.25">
      <c r="A25" s="6">
        <v>4</v>
      </c>
      <c r="B25" s="4">
        <v>30</v>
      </c>
      <c r="C25" s="5">
        <v>50</v>
      </c>
      <c r="D25" s="4">
        <v>20</v>
      </c>
      <c r="E25" s="3">
        <v>23.2</v>
      </c>
      <c r="F25" s="3">
        <f>1.8*E25+32</f>
        <v>73.759999999999991</v>
      </c>
      <c r="G25" s="3">
        <v>18.5</v>
      </c>
      <c r="H25" s="3">
        <f>IF(F25&gt;68,G25+(F25-68)*0.2,#REF!-(68-F25)*0.2)</f>
        <v>19.651999999999997</v>
      </c>
      <c r="I25" s="3">
        <v>23</v>
      </c>
      <c r="J25" s="3">
        <f>1.8*I25+32</f>
        <v>73.400000000000006</v>
      </c>
      <c r="K25" s="3">
        <v>9</v>
      </c>
      <c r="L25" s="3">
        <f>IF(J25&gt;68,K25+(J25-68)*0.2,K25-(68-J25)*0.2)</f>
        <v>10.080000000000002</v>
      </c>
      <c r="M25" s="3">
        <f>(C25-H25)/C25*100</f>
        <v>60.696000000000005</v>
      </c>
      <c r="N25" s="3">
        <f>100-(M25+O25)</f>
        <v>19.143999999999991</v>
      </c>
      <c r="O25" s="3">
        <f>L25/C25*100</f>
        <v>20.160000000000004</v>
      </c>
      <c r="P25" s="2" t="s">
        <v>0</v>
      </c>
      <c r="Q25" s="1">
        <v>409056.85050599999</v>
      </c>
      <c r="R25" s="1">
        <v>3659352.2541370001</v>
      </c>
      <c r="T25" s="4">
        <v>2006111</v>
      </c>
      <c r="U25" s="4" t="s">
        <v>243</v>
      </c>
      <c r="V25" s="4">
        <v>5.2880000000000003E-2</v>
      </c>
      <c r="W25" s="4">
        <v>0.38474999999999998</v>
      </c>
      <c r="X25" s="4">
        <v>2.826E-2</v>
      </c>
      <c r="Y25" s="4">
        <v>1.37409</v>
      </c>
      <c r="Z25" s="4">
        <v>26.339269999999999</v>
      </c>
      <c r="AA25" s="4">
        <v>12.404389999999999</v>
      </c>
      <c r="AB25" s="4">
        <v>-1.23803</v>
      </c>
    </row>
    <row r="26" spans="1:28" x14ac:dyDescent="0.25">
      <c r="A26" s="6">
        <v>4</v>
      </c>
      <c r="B26" s="4">
        <v>60</v>
      </c>
      <c r="C26" s="5">
        <v>50</v>
      </c>
      <c r="D26" s="4">
        <v>20</v>
      </c>
      <c r="E26" s="3">
        <v>23.2</v>
      </c>
      <c r="F26" s="3">
        <f>1.8*E26+32</f>
        <v>73.759999999999991</v>
      </c>
      <c r="G26" s="3">
        <v>18.5</v>
      </c>
      <c r="H26" s="3">
        <f>IF(F26&gt;68,G26+(F26-68)*0.2,#REF!-(68-F26)*0.2)</f>
        <v>19.651999999999997</v>
      </c>
      <c r="I26" s="3">
        <v>23</v>
      </c>
      <c r="J26" s="3">
        <f>1.8*I26+32</f>
        <v>73.400000000000006</v>
      </c>
      <c r="K26" s="3">
        <v>8.5</v>
      </c>
      <c r="L26" s="3">
        <f>IF(J26&gt;68,K26+(J26-68)*0.2,K26-(68-J26)*0.2)</f>
        <v>9.5800000000000018</v>
      </c>
      <c r="M26" s="3">
        <f>(C26-H26)/C26*100</f>
        <v>60.696000000000005</v>
      </c>
      <c r="N26" s="3">
        <f>100-(M26+O26)</f>
        <v>20.143999999999991</v>
      </c>
      <c r="O26" s="3">
        <f>L26/C26*100</f>
        <v>19.160000000000004</v>
      </c>
      <c r="P26" s="2" t="s">
        <v>20</v>
      </c>
      <c r="Q26" s="1">
        <v>409056.85050599999</v>
      </c>
      <c r="R26" s="1">
        <v>3659352.2541370001</v>
      </c>
      <c r="T26" s="4">
        <v>2006111</v>
      </c>
      <c r="U26" s="4" t="s">
        <v>242</v>
      </c>
      <c r="V26" s="4">
        <v>5.1119999999999999E-2</v>
      </c>
      <c r="W26" s="4">
        <v>0.38500000000000001</v>
      </c>
      <c r="X26" s="4">
        <v>2.8289999999999999E-2</v>
      </c>
      <c r="Y26" s="4">
        <v>1.37984</v>
      </c>
      <c r="Z26" s="4">
        <v>28.055869999999999</v>
      </c>
      <c r="AA26" s="4">
        <v>12.84966</v>
      </c>
      <c r="AB26" s="4">
        <v>-1.20085</v>
      </c>
    </row>
    <row r="27" spans="1:28" x14ac:dyDescent="0.25">
      <c r="A27" s="6">
        <v>4</v>
      </c>
      <c r="B27" s="4">
        <v>90</v>
      </c>
      <c r="C27" s="5">
        <v>50</v>
      </c>
      <c r="D27" s="4">
        <v>20</v>
      </c>
      <c r="E27" s="3">
        <v>23.2</v>
      </c>
      <c r="F27" s="3">
        <f>1.8*E27+32</f>
        <v>73.759999999999991</v>
      </c>
      <c r="G27" s="3">
        <v>16.5</v>
      </c>
      <c r="H27" s="3">
        <f>IF(F27&gt;68,G27+(F27-68)*0.2,#REF!-(68-F27)*0.2)</f>
        <v>17.651999999999997</v>
      </c>
      <c r="I27" s="3">
        <v>23</v>
      </c>
      <c r="J27" s="3">
        <f>1.8*I27+32</f>
        <v>73.400000000000006</v>
      </c>
      <c r="K27" s="3">
        <v>7.5</v>
      </c>
      <c r="L27" s="3">
        <f>IF(J27&gt;68,K27+(J27-68)*0.2,K27-(68-J27)*0.2)</f>
        <v>8.5800000000000018</v>
      </c>
      <c r="M27" s="3">
        <f>(C27-H27)/C27*100</f>
        <v>64.695999999999998</v>
      </c>
      <c r="N27" s="3">
        <f>100-(M27+O27)</f>
        <v>18.144000000000005</v>
      </c>
      <c r="O27" s="3">
        <f>L27/C27*100</f>
        <v>17.160000000000004</v>
      </c>
      <c r="P27" s="2" t="s">
        <v>20</v>
      </c>
      <c r="Q27" s="1">
        <v>409056.85050599999</v>
      </c>
      <c r="R27" s="1">
        <v>3659352.2541370001</v>
      </c>
      <c r="T27" s="4">
        <v>2006111</v>
      </c>
      <c r="U27" s="4" t="s">
        <v>420</v>
      </c>
      <c r="V27" s="4">
        <v>5.126E-2</v>
      </c>
      <c r="W27" s="4">
        <v>0.38329000000000002</v>
      </c>
      <c r="X27" s="4">
        <v>3.0179999999999998E-2</v>
      </c>
      <c r="Y27" s="4">
        <v>1.381</v>
      </c>
      <c r="Z27" s="4">
        <v>30.091950000000001</v>
      </c>
      <c r="AA27" s="4">
        <v>13.837730000000001</v>
      </c>
      <c r="AB27" s="4">
        <v>-1.25312</v>
      </c>
    </row>
    <row r="28" spans="1:28" x14ac:dyDescent="0.25">
      <c r="A28" s="6">
        <v>4</v>
      </c>
      <c r="B28" s="4">
        <v>120</v>
      </c>
      <c r="C28" s="5">
        <v>50.01</v>
      </c>
      <c r="D28" s="4">
        <v>20</v>
      </c>
      <c r="E28" s="3">
        <v>24.2</v>
      </c>
      <c r="F28" s="3">
        <f>1.8*E28+32</f>
        <v>75.56</v>
      </c>
      <c r="G28" s="3">
        <v>18</v>
      </c>
      <c r="H28" s="3">
        <f>IF(F28&gt;68,G28+(F28-68)*0.2,#REF!-(68-F28)*0.2)</f>
        <v>19.512</v>
      </c>
      <c r="I28" s="3">
        <v>23</v>
      </c>
      <c r="J28" s="3">
        <f>1.8*I28+32</f>
        <v>73.400000000000006</v>
      </c>
      <c r="K28" s="3">
        <v>9.5</v>
      </c>
      <c r="L28" s="3">
        <f>IF(J28&gt;68,K28+(J28-68)*0.2,K28-(68-J28)*0.2)</f>
        <v>10.580000000000002</v>
      </c>
      <c r="M28" s="3">
        <f>(C28-H28)/C28*100</f>
        <v>60.983803239352127</v>
      </c>
      <c r="N28" s="3">
        <f>100-(M28+O28)</f>
        <v>17.860427914417116</v>
      </c>
      <c r="O28" s="3">
        <f>L28/C28*100</f>
        <v>21.155768846230757</v>
      </c>
      <c r="P28" s="2" t="s">
        <v>0</v>
      </c>
      <c r="Q28" s="1">
        <v>409056.85050599999</v>
      </c>
      <c r="R28" s="1">
        <v>3659352.2541370001</v>
      </c>
      <c r="T28" s="4">
        <v>2006111</v>
      </c>
      <c r="U28" s="4" t="s">
        <v>419</v>
      </c>
      <c r="V28" s="4">
        <v>5.2679999999999998E-2</v>
      </c>
      <c r="W28" s="4">
        <v>0.37880999999999998</v>
      </c>
      <c r="X28" s="4">
        <v>3.1879999999999999E-2</v>
      </c>
      <c r="Y28" s="4">
        <v>1.4084300000000001</v>
      </c>
      <c r="Z28" s="4">
        <v>35.253399999999999</v>
      </c>
      <c r="AA28" s="4">
        <v>14.7212</v>
      </c>
      <c r="AB28" s="4">
        <v>-1.2482599999999999</v>
      </c>
    </row>
    <row r="29" spans="1:28" x14ac:dyDescent="0.25">
      <c r="A29" s="6">
        <v>4</v>
      </c>
      <c r="B29" s="4">
        <v>150</v>
      </c>
      <c r="C29" s="5">
        <v>50.01</v>
      </c>
      <c r="D29" s="4">
        <v>20</v>
      </c>
      <c r="E29" s="3">
        <v>25</v>
      </c>
      <c r="F29" s="3">
        <f>1.8*E29+32</f>
        <v>77</v>
      </c>
      <c r="G29" s="3">
        <v>16.5</v>
      </c>
      <c r="H29" s="3">
        <f>IF(F29&gt;68,G29+(F29-68)*0.2,#REF!-(68-F29)*0.2)</f>
        <v>18.3</v>
      </c>
      <c r="I29" s="3">
        <v>23</v>
      </c>
      <c r="J29" s="3">
        <f>1.8*I29+32</f>
        <v>73.400000000000006</v>
      </c>
      <c r="K29" s="3">
        <v>7</v>
      </c>
      <c r="L29" s="3">
        <f>IF(J29&gt;68,K29+(J29-68)*0.2,K29-(68-J29)*0.2)</f>
        <v>8.0800000000000018</v>
      </c>
      <c r="M29" s="3">
        <f>(C29-H29)/C29*100</f>
        <v>63.407318536292735</v>
      </c>
      <c r="N29" s="3">
        <f>100-(M29+O29)</f>
        <v>20.435912817436517</v>
      </c>
      <c r="O29" s="3">
        <f>L29/C29*100</f>
        <v>16.156768646270748</v>
      </c>
      <c r="P29" s="2" t="s">
        <v>20</v>
      </c>
      <c r="Q29" s="1">
        <v>409056.85050599999</v>
      </c>
      <c r="R29" s="1">
        <v>3659352.2541370001</v>
      </c>
      <c r="T29" s="4">
        <v>2006111</v>
      </c>
      <c r="U29" s="4" t="s">
        <v>418</v>
      </c>
      <c r="V29" s="4">
        <v>4.9489999999999999E-2</v>
      </c>
      <c r="W29" s="4">
        <v>0.37891000000000002</v>
      </c>
      <c r="X29" s="4">
        <v>3.3849999999999998E-2</v>
      </c>
      <c r="Y29" s="4">
        <v>1.48712</v>
      </c>
      <c r="Z29" s="4">
        <v>52.209060000000001</v>
      </c>
      <c r="AA29" s="4">
        <v>18.151520000000001</v>
      </c>
      <c r="AB29" s="4">
        <v>-1.10348</v>
      </c>
    </row>
    <row r="30" spans="1:28" x14ac:dyDescent="0.25">
      <c r="A30" s="6">
        <v>4</v>
      </c>
      <c r="B30" s="4">
        <v>180</v>
      </c>
      <c r="C30" s="5">
        <v>50</v>
      </c>
      <c r="D30" s="4">
        <v>20</v>
      </c>
      <c r="E30" s="3">
        <v>25</v>
      </c>
      <c r="F30" s="3">
        <f>1.8*E30+32</f>
        <v>77</v>
      </c>
      <c r="G30" s="3">
        <v>16.5</v>
      </c>
      <c r="H30" s="3">
        <f>IF(F30&gt;68,G30+(F30-68)*0.2,#REF!-(68-F30)*0.2)</f>
        <v>18.3</v>
      </c>
      <c r="I30" s="3">
        <v>23</v>
      </c>
      <c r="J30" s="3">
        <f>1.8*I30+32</f>
        <v>73.400000000000006</v>
      </c>
      <c r="K30" s="3">
        <v>6.5</v>
      </c>
      <c r="L30" s="3">
        <f>IF(J30&gt;68,K30+(J30-68)*0.2,K30-(68-J30)*0.2)</f>
        <v>7.580000000000001</v>
      </c>
      <c r="M30" s="3">
        <f>(C30-H30)/C30*100</f>
        <v>63.4</v>
      </c>
      <c r="N30" s="3">
        <f>100-(M30+O30)</f>
        <v>21.439999999999998</v>
      </c>
      <c r="O30" s="3">
        <f>L30/C30*100</f>
        <v>15.160000000000002</v>
      </c>
      <c r="P30" s="2" t="s">
        <v>20</v>
      </c>
      <c r="Q30" s="1">
        <v>409056.85050599999</v>
      </c>
      <c r="R30" s="1">
        <v>3659352.2541370001</v>
      </c>
      <c r="T30" s="4">
        <v>2006111</v>
      </c>
      <c r="U30" s="4" t="s">
        <v>417</v>
      </c>
      <c r="V30" s="4">
        <v>5.5789999999999999E-2</v>
      </c>
      <c r="W30" s="4">
        <v>0.37253999999999998</v>
      </c>
      <c r="X30" s="4">
        <v>2.937E-2</v>
      </c>
      <c r="Y30" s="4">
        <v>1.76488</v>
      </c>
      <c r="Z30" s="4">
        <v>95.441909999999993</v>
      </c>
      <c r="AA30" s="4">
        <v>15.67741</v>
      </c>
      <c r="AB30" s="4">
        <v>-0.91466000000000003</v>
      </c>
    </row>
    <row r="31" spans="1:28" x14ac:dyDescent="0.25">
      <c r="A31" s="6">
        <v>4</v>
      </c>
      <c r="B31" s="4">
        <v>210</v>
      </c>
      <c r="C31" s="5">
        <v>50</v>
      </c>
      <c r="D31" s="4">
        <v>20</v>
      </c>
      <c r="E31" s="3">
        <v>25.5</v>
      </c>
      <c r="F31" s="3">
        <f>1.8*E31+32</f>
        <v>77.900000000000006</v>
      </c>
      <c r="G31" s="3">
        <v>15</v>
      </c>
      <c r="H31" s="3">
        <f>IF(F31&gt;68,G31+(F31-68)*0.2,#REF!-(68-F31)*0.2)</f>
        <v>16.98</v>
      </c>
      <c r="I31" s="3">
        <v>23</v>
      </c>
      <c r="J31" s="3">
        <f>1.8*I31+32</f>
        <v>73.400000000000006</v>
      </c>
      <c r="K31" s="3">
        <v>6.5</v>
      </c>
      <c r="L31" s="3">
        <f>IF(J31&gt;68,K31+(J31-68)*0.2,K31-(68-J31)*0.2)</f>
        <v>7.580000000000001</v>
      </c>
      <c r="M31" s="3">
        <f>(C31-H31)/C31*100</f>
        <v>66.039999999999992</v>
      </c>
      <c r="N31" s="3">
        <f>100-(M31+O31)</f>
        <v>18.800000000000011</v>
      </c>
      <c r="O31" s="3">
        <f>L31/C31*100</f>
        <v>15.160000000000002</v>
      </c>
      <c r="P31" s="2" t="s">
        <v>0</v>
      </c>
      <c r="Q31" s="1">
        <v>409056.85050599999</v>
      </c>
      <c r="R31" s="1">
        <v>3659352.2541370001</v>
      </c>
      <c r="T31" s="4">
        <v>2006111</v>
      </c>
      <c r="U31" s="4" t="s">
        <v>241</v>
      </c>
      <c r="V31" s="4">
        <v>6.6640000000000005E-2</v>
      </c>
      <c r="W31" s="4">
        <v>0.38257000000000002</v>
      </c>
      <c r="X31" s="4">
        <v>2.7310000000000001E-2</v>
      </c>
      <c r="Y31" s="4">
        <v>1.3051299999999999</v>
      </c>
      <c r="Z31" s="4">
        <v>14.05306</v>
      </c>
      <c r="AA31" s="4">
        <v>8.8022299999999998</v>
      </c>
      <c r="AB31" s="4">
        <v>-1.6775500000000001</v>
      </c>
    </row>
    <row r="32" spans="1:28" x14ac:dyDescent="0.25">
      <c r="A32" s="6">
        <v>4</v>
      </c>
      <c r="B32" s="4">
        <v>240</v>
      </c>
      <c r="C32" s="5">
        <v>50.01</v>
      </c>
      <c r="D32" s="4">
        <v>20</v>
      </c>
      <c r="E32" s="3">
        <v>25.5</v>
      </c>
      <c r="F32" s="3">
        <f>1.8*E32+32</f>
        <v>77.900000000000006</v>
      </c>
      <c r="G32" s="3">
        <v>12</v>
      </c>
      <c r="H32" s="3">
        <f>IF(F32&gt;68,G32+(F32-68)*0.2,#REF!-(68-F32)*0.2)</f>
        <v>13.98</v>
      </c>
      <c r="I32" s="3">
        <v>23</v>
      </c>
      <c r="J32" s="3">
        <f>1.8*I32+32</f>
        <v>73.400000000000006</v>
      </c>
      <c r="K32" s="3">
        <v>6.5</v>
      </c>
      <c r="L32" s="3">
        <f>IF(J32&gt;68,K32+(J32-68)*0.2,K32-(68-J32)*0.2)</f>
        <v>7.580000000000001</v>
      </c>
      <c r="M32" s="3">
        <f>(C32-H32)/C32*100</f>
        <v>72.045590881823642</v>
      </c>
      <c r="N32" s="3">
        <f>100-(M32+O32)</f>
        <v>12.797440511897605</v>
      </c>
      <c r="O32" s="3">
        <f>L32/C32*100</f>
        <v>15.156968606278747</v>
      </c>
      <c r="P32" s="2" t="s">
        <v>20</v>
      </c>
      <c r="Q32" s="1">
        <v>409056.85050599999</v>
      </c>
      <c r="R32" s="1">
        <v>3659352.2541370001</v>
      </c>
      <c r="T32" s="4">
        <v>2006111</v>
      </c>
      <c r="U32" s="4" t="s">
        <v>240</v>
      </c>
      <c r="V32" s="4">
        <v>6.2600000000000003E-2</v>
      </c>
      <c r="W32" s="4">
        <v>0.38227</v>
      </c>
      <c r="X32" s="4">
        <v>2.7830000000000001E-2</v>
      </c>
      <c r="Y32" s="4">
        <v>1.32908</v>
      </c>
      <c r="Z32" s="4">
        <v>17.07686</v>
      </c>
      <c r="AA32" s="4">
        <v>9.8657199999999996</v>
      </c>
      <c r="AB32" s="4">
        <v>-1.5182800000000001</v>
      </c>
    </row>
    <row r="33" spans="1:28" x14ac:dyDescent="0.25">
      <c r="A33" s="6">
        <v>4</v>
      </c>
      <c r="B33" s="4">
        <v>270</v>
      </c>
      <c r="C33" s="5">
        <v>50.01</v>
      </c>
      <c r="D33" s="4">
        <v>20</v>
      </c>
      <c r="E33" s="3">
        <v>25.5</v>
      </c>
      <c r="F33" s="3">
        <f>1.8*E33+32</f>
        <v>77.900000000000006</v>
      </c>
      <c r="G33" s="3">
        <v>10</v>
      </c>
      <c r="H33" s="3">
        <f>IF(F33&gt;68,G33+(F33-68)*0.2,#REF!-(68-F33)*0.2)</f>
        <v>11.98</v>
      </c>
      <c r="I33" s="3">
        <v>23</v>
      </c>
      <c r="J33" s="3">
        <f>1.8*I33+32</f>
        <v>73.400000000000006</v>
      </c>
      <c r="K33" s="3">
        <v>5</v>
      </c>
      <c r="L33" s="3">
        <f>IF(J33&gt;68,K33+(J33-68)*0.2,K33-(68-J33)*0.2)</f>
        <v>6.080000000000001</v>
      </c>
      <c r="M33" s="3">
        <f>(C33-H33)/C33*100</f>
        <v>76.044791041791655</v>
      </c>
      <c r="N33" s="3">
        <f>100-(M33+O33)</f>
        <v>11.797640471905609</v>
      </c>
      <c r="O33" s="3">
        <f>L33/C33*100</f>
        <v>12.157568486302742</v>
      </c>
      <c r="P33" s="2" t="s">
        <v>20</v>
      </c>
      <c r="Q33" s="1">
        <v>409056.85050599999</v>
      </c>
      <c r="R33" s="1">
        <v>3659352.2541370001</v>
      </c>
      <c r="T33" s="4">
        <v>2006111</v>
      </c>
      <c r="U33" s="4" t="s">
        <v>239</v>
      </c>
      <c r="V33" s="4">
        <v>6.1199999999999997E-2</v>
      </c>
      <c r="W33" s="4">
        <v>0.38155</v>
      </c>
      <c r="X33" s="4">
        <v>2.8230000000000002E-2</v>
      </c>
      <c r="Y33" s="4">
        <v>1.33613</v>
      </c>
      <c r="Z33" s="4">
        <v>18.565249999999999</v>
      </c>
      <c r="AA33" s="4">
        <v>10.32029</v>
      </c>
      <c r="AB33" s="4">
        <v>-1.48444</v>
      </c>
    </row>
    <row r="34" spans="1:28" x14ac:dyDescent="0.25">
      <c r="A34" s="6">
        <v>4</v>
      </c>
      <c r="B34" s="4">
        <v>300</v>
      </c>
      <c r="C34" s="5">
        <v>50</v>
      </c>
      <c r="D34" s="4">
        <v>20</v>
      </c>
      <c r="E34" s="3">
        <v>25.5</v>
      </c>
      <c r="F34" s="3">
        <f>1.8*E34+32</f>
        <v>77.900000000000006</v>
      </c>
      <c r="G34" s="3">
        <v>6</v>
      </c>
      <c r="H34" s="3">
        <f>IF(F34&gt;68,G34+(F34-68)*0.2,#REF!-(68-F34)*0.2)</f>
        <v>7.9800000000000013</v>
      </c>
      <c r="I34" s="3">
        <v>23</v>
      </c>
      <c r="J34" s="3">
        <f>1.8*I34+32</f>
        <v>73.400000000000006</v>
      </c>
      <c r="K34" s="3">
        <v>4.5</v>
      </c>
      <c r="L34" s="3">
        <f>IF(J34&gt;68,K34+(J34-68)*0.2,K34-(68-J34)*0.2)</f>
        <v>5.580000000000001</v>
      </c>
      <c r="M34" s="3">
        <f>(C34-H34)/C34*100</f>
        <v>84.039999999999992</v>
      </c>
      <c r="N34" s="3">
        <f>100-(M34+O34)</f>
        <v>4.8000000000000114</v>
      </c>
      <c r="O34" s="3">
        <f>L34/C34*100</f>
        <v>11.160000000000002</v>
      </c>
      <c r="P34" s="2" t="s">
        <v>20</v>
      </c>
      <c r="Q34" s="1">
        <v>409056.85050599999</v>
      </c>
      <c r="R34" s="1">
        <v>3659352.2541370001</v>
      </c>
      <c r="T34" s="4">
        <v>2006111</v>
      </c>
      <c r="U34" s="4" t="s">
        <v>238</v>
      </c>
      <c r="V34" s="4">
        <v>7.3719999999999994E-2</v>
      </c>
      <c r="W34" s="4">
        <v>0.39389999999999997</v>
      </c>
      <c r="X34" s="4">
        <v>2.6040000000000001E-2</v>
      </c>
      <c r="Y34" s="4">
        <v>1.2806900000000001</v>
      </c>
      <c r="Z34" s="4">
        <v>10.539809999999999</v>
      </c>
      <c r="AA34" s="4">
        <v>7.5281900000000004</v>
      </c>
      <c r="AB34" s="4">
        <v>-1.8438000000000001</v>
      </c>
    </row>
    <row r="35" spans="1:28" x14ac:dyDescent="0.25">
      <c r="T35" s="4">
        <v>2006111</v>
      </c>
      <c r="U35" s="4" t="s">
        <v>237</v>
      </c>
      <c r="V35" s="4">
        <v>6.8040000000000003E-2</v>
      </c>
      <c r="W35" s="4">
        <v>0.38946999999999998</v>
      </c>
      <c r="X35" s="4">
        <v>2.5729999999999999E-2</v>
      </c>
      <c r="Y35" s="4">
        <v>1.31413</v>
      </c>
      <c r="Z35" s="4">
        <v>12.37542</v>
      </c>
      <c r="AA35" s="4">
        <v>8.3202999999999996</v>
      </c>
      <c r="AB35" s="4">
        <v>-1.56104</v>
      </c>
    </row>
    <row r="36" spans="1:28" ht="51.75" x14ac:dyDescent="0.25">
      <c r="A36" s="15" t="s">
        <v>19</v>
      </c>
      <c r="B36" s="10" t="s">
        <v>18</v>
      </c>
      <c r="C36" s="14" t="s">
        <v>17</v>
      </c>
      <c r="D36" s="13" t="s">
        <v>16</v>
      </c>
      <c r="E36" s="12" t="s">
        <v>15</v>
      </c>
      <c r="F36" s="12" t="s">
        <v>14</v>
      </c>
      <c r="G36" s="12" t="s">
        <v>13</v>
      </c>
      <c r="H36" s="12" t="s">
        <v>12</v>
      </c>
      <c r="I36" s="12" t="s">
        <v>11</v>
      </c>
      <c r="J36" s="12" t="s">
        <v>10</v>
      </c>
      <c r="K36" s="12" t="s">
        <v>9</v>
      </c>
      <c r="L36" s="12" t="s">
        <v>8</v>
      </c>
      <c r="M36" s="11" t="s">
        <v>7</v>
      </c>
      <c r="N36" s="11" t="s">
        <v>6</v>
      </c>
      <c r="O36" s="11" t="s">
        <v>5</v>
      </c>
      <c r="P36" s="10" t="s">
        <v>4</v>
      </c>
      <c r="Q36" s="9" t="s">
        <v>3</v>
      </c>
      <c r="R36" s="8"/>
      <c r="T36" s="4">
        <v>2006111</v>
      </c>
      <c r="U36" s="4" t="s">
        <v>236</v>
      </c>
      <c r="V36" s="4">
        <v>6.6229999999999997E-2</v>
      </c>
      <c r="W36" s="4">
        <v>0.38399</v>
      </c>
      <c r="X36" s="4">
        <v>2.7130000000000001E-2</v>
      </c>
      <c r="Y36" s="4">
        <v>1.3105</v>
      </c>
      <c r="Z36" s="4">
        <v>14.09962</v>
      </c>
      <c r="AA36" s="4">
        <v>8.8957499999999996</v>
      </c>
      <c r="AB36" s="4">
        <v>-1.6290100000000001</v>
      </c>
    </row>
    <row r="37" spans="1:28" x14ac:dyDescent="0.25">
      <c r="A37" s="15"/>
      <c r="B37" s="10"/>
      <c r="C37" s="14"/>
      <c r="D37" s="13"/>
      <c r="E37" s="12"/>
      <c r="F37" s="12"/>
      <c r="G37" s="12"/>
      <c r="H37" s="12"/>
      <c r="I37" s="12"/>
      <c r="J37" s="12"/>
      <c r="K37" s="12"/>
      <c r="L37" s="12"/>
      <c r="M37" s="11"/>
      <c r="N37" s="11"/>
      <c r="O37" s="11"/>
      <c r="P37" s="10"/>
      <c r="Q37" s="7" t="s">
        <v>2</v>
      </c>
      <c r="R37" s="7" t="s">
        <v>1</v>
      </c>
      <c r="T37" s="4">
        <v>2006111</v>
      </c>
      <c r="U37" s="4" t="s">
        <v>416</v>
      </c>
      <c r="V37" s="4">
        <v>5.985E-2</v>
      </c>
      <c r="W37" s="4">
        <v>0.37141999999999997</v>
      </c>
      <c r="X37" s="4">
        <v>2.76E-2</v>
      </c>
      <c r="Y37" s="4">
        <v>1.4199200000000001</v>
      </c>
      <c r="Z37" s="4">
        <v>28.02994</v>
      </c>
      <c r="AA37" s="4">
        <v>10.75765</v>
      </c>
      <c r="AB37" s="4">
        <v>-1.2270399999999999</v>
      </c>
    </row>
    <row r="38" spans="1:28" x14ac:dyDescent="0.25">
      <c r="A38" s="6">
        <v>5</v>
      </c>
      <c r="B38" s="4">
        <v>30</v>
      </c>
      <c r="C38" s="5">
        <v>50.01</v>
      </c>
      <c r="D38" s="4">
        <v>20</v>
      </c>
      <c r="E38" s="3">
        <v>22.2</v>
      </c>
      <c r="F38" s="3">
        <f>1.8*E38+32</f>
        <v>71.960000000000008</v>
      </c>
      <c r="G38" s="3">
        <v>18</v>
      </c>
      <c r="H38" s="3">
        <f>IF(F38&gt;68,G38+(F38-68)*0.2,#REF!-(68-F38)*0.2)</f>
        <v>18.792000000000002</v>
      </c>
      <c r="I38" s="3">
        <v>22.2</v>
      </c>
      <c r="J38" s="3">
        <f>1.8*I38+32</f>
        <v>71.960000000000008</v>
      </c>
      <c r="K38" s="3">
        <v>12</v>
      </c>
      <c r="L38" s="3">
        <f>IF(J38&gt;68,K38+(J38-68)*0.2,K38-(68-J38)*0.2)</f>
        <v>12.792000000000002</v>
      </c>
      <c r="M38" s="3">
        <f>(C38-H38)/C38*100</f>
        <v>62.423515296940614</v>
      </c>
      <c r="N38" s="3">
        <f>100-(M38+O38)</f>
        <v>11.997600479904008</v>
      </c>
      <c r="O38" s="3">
        <f>L38/C38*100</f>
        <v>25.578884223155374</v>
      </c>
      <c r="P38" s="2" t="s">
        <v>0</v>
      </c>
      <c r="Q38" s="21">
        <v>409069.03054399998</v>
      </c>
      <c r="R38" s="21">
        <v>3659352.0464269998</v>
      </c>
      <c r="T38" s="4">
        <v>2006111</v>
      </c>
      <c r="U38" s="4" t="s">
        <v>415</v>
      </c>
      <c r="V38" s="4">
        <v>5.8979999999999998E-2</v>
      </c>
      <c r="W38" s="4">
        <v>0.37153000000000003</v>
      </c>
      <c r="X38" s="4">
        <v>2.7890000000000002E-2</v>
      </c>
      <c r="Y38" s="4">
        <v>1.4458500000000001</v>
      </c>
      <c r="Z38" s="4">
        <v>32.110840000000003</v>
      </c>
      <c r="AA38" s="4">
        <v>11.3218</v>
      </c>
      <c r="AB38" s="4">
        <v>-1.1756</v>
      </c>
    </row>
    <row r="39" spans="1:28" x14ac:dyDescent="0.25">
      <c r="A39" s="6">
        <v>5</v>
      </c>
      <c r="B39" s="4">
        <v>60</v>
      </c>
      <c r="C39" s="5">
        <v>50.01</v>
      </c>
      <c r="D39" s="4">
        <v>20</v>
      </c>
      <c r="E39" s="3">
        <v>22</v>
      </c>
      <c r="F39" s="3">
        <f>1.8*E39+32</f>
        <v>71.599999999999994</v>
      </c>
      <c r="G39" s="3">
        <v>17.5</v>
      </c>
      <c r="H39" s="3">
        <f>IF(F39&gt;68,G39+(F39-68)*0.2,#REF!-(68-F39)*0.2)</f>
        <v>18.22</v>
      </c>
      <c r="I39" s="3">
        <v>22</v>
      </c>
      <c r="J39" s="3">
        <f>1.8*I39+32</f>
        <v>71.599999999999994</v>
      </c>
      <c r="K39" s="3">
        <v>10.5</v>
      </c>
      <c r="L39" s="3">
        <f>IF(J39&gt;68,K39+(J39-68)*0.2,K39-(68-J39)*0.2)</f>
        <v>11.219999999999999</v>
      </c>
      <c r="M39" s="3">
        <f>(C39-H39)/C39*100</f>
        <v>63.567286542691463</v>
      </c>
      <c r="N39" s="3">
        <f>100-(M39+O39)</f>
        <v>13.997200559888029</v>
      </c>
      <c r="O39" s="3">
        <f>L39/C39*100</f>
        <v>22.435512897420516</v>
      </c>
      <c r="P39" s="2" t="s">
        <v>0</v>
      </c>
      <c r="Q39" s="21">
        <v>409069.03054399998</v>
      </c>
      <c r="R39" s="21">
        <v>3659352.0464269998</v>
      </c>
      <c r="T39" s="4">
        <v>2006111</v>
      </c>
      <c r="U39" s="4" t="s">
        <v>414</v>
      </c>
      <c r="V39" s="4">
        <v>5.7360000000000001E-2</v>
      </c>
      <c r="W39" s="4">
        <v>0.37198999999999999</v>
      </c>
      <c r="X39" s="4">
        <v>2.8570000000000002E-2</v>
      </c>
      <c r="Y39" s="4">
        <v>1.5108600000000001</v>
      </c>
      <c r="Z39" s="4">
        <v>43.606360000000002</v>
      </c>
      <c r="AA39" s="4">
        <v>12.679740000000001</v>
      </c>
      <c r="AB39" s="4">
        <v>-1.0817300000000001</v>
      </c>
    </row>
    <row r="40" spans="1:28" x14ac:dyDescent="0.25">
      <c r="A40" s="6">
        <v>5</v>
      </c>
      <c r="B40" s="4">
        <v>90</v>
      </c>
      <c r="C40" s="5">
        <v>50.01</v>
      </c>
      <c r="D40" s="4">
        <v>20</v>
      </c>
      <c r="E40" s="3">
        <v>22</v>
      </c>
      <c r="F40" s="3">
        <f>1.8*E40+32</f>
        <v>71.599999999999994</v>
      </c>
      <c r="G40" s="3">
        <v>17</v>
      </c>
      <c r="H40" s="3">
        <f>IF(F40&gt;68,G40+(F40-68)*0.2,#REF!-(68-F40)*0.2)</f>
        <v>17.72</v>
      </c>
      <c r="I40" s="3">
        <v>22</v>
      </c>
      <c r="J40" s="3">
        <f>1.8*I40+32</f>
        <v>71.599999999999994</v>
      </c>
      <c r="K40" s="3">
        <v>10</v>
      </c>
      <c r="L40" s="3">
        <f>IF(J40&gt;68,K40+(J40-68)*0.2,K40-(68-J40)*0.2)</f>
        <v>10.719999999999999</v>
      </c>
      <c r="M40" s="3">
        <f>(C40-H40)/C40*100</f>
        <v>64.567086582683459</v>
      </c>
      <c r="N40" s="3">
        <f>100-(M40+O40)</f>
        <v>13.997200559888029</v>
      </c>
      <c r="O40" s="3">
        <f>L40/C40*100</f>
        <v>21.435712857428513</v>
      </c>
      <c r="P40" s="2" t="s">
        <v>0</v>
      </c>
      <c r="Q40" s="21">
        <v>409069.03054399998</v>
      </c>
      <c r="R40" s="21">
        <v>3659352.0464269998</v>
      </c>
      <c r="T40" s="4">
        <v>2006111</v>
      </c>
      <c r="U40" s="4" t="s">
        <v>413</v>
      </c>
      <c r="V40" s="4">
        <v>5.6469999999999999E-2</v>
      </c>
      <c r="W40" s="4">
        <v>0.37197000000000002</v>
      </c>
      <c r="X40" s="4">
        <v>2.8850000000000001E-2</v>
      </c>
      <c r="Y40" s="4">
        <v>1.69607</v>
      </c>
      <c r="Z40" s="4">
        <v>78.834909999999994</v>
      </c>
      <c r="AA40" s="4">
        <v>14.63627</v>
      </c>
      <c r="AB40" s="4">
        <v>-0.94298000000000004</v>
      </c>
    </row>
    <row r="41" spans="1:28" x14ac:dyDescent="0.25">
      <c r="A41" s="6">
        <v>5</v>
      </c>
      <c r="B41" s="4">
        <v>120</v>
      </c>
      <c r="C41" s="5">
        <v>50</v>
      </c>
      <c r="D41" s="4">
        <v>20</v>
      </c>
      <c r="E41" s="3">
        <v>23</v>
      </c>
      <c r="F41" s="3">
        <f>1.8*E41+32</f>
        <v>73.400000000000006</v>
      </c>
      <c r="G41" s="3">
        <v>21.5</v>
      </c>
      <c r="H41" s="3">
        <f>IF(F41&gt;68,G41+(F41-68)*0.2,#REF!-(68-F41)*0.2)</f>
        <v>22.580000000000002</v>
      </c>
      <c r="I41" s="3">
        <v>23</v>
      </c>
      <c r="J41" s="3">
        <f>1.8*I41+32</f>
        <v>73.400000000000006</v>
      </c>
      <c r="K41" s="3">
        <v>14.5</v>
      </c>
      <c r="L41" s="3">
        <f>IF(J41&gt;68,K41+(J41-68)*0.2,K41-(68-J41)*0.2)</f>
        <v>15.580000000000002</v>
      </c>
      <c r="M41" s="3">
        <f>(C41-H41)/C41*100</f>
        <v>54.84</v>
      </c>
      <c r="N41" s="3">
        <f>100-(M41+O41)</f>
        <v>14</v>
      </c>
      <c r="O41" s="3">
        <f>L41/C41*100</f>
        <v>31.160000000000004</v>
      </c>
      <c r="P41" s="2" t="s">
        <v>0</v>
      </c>
      <c r="Q41" s="21">
        <v>409069.03054399998</v>
      </c>
      <c r="R41" s="21">
        <v>3659352.0464269998</v>
      </c>
      <c r="T41" s="4">
        <v>2006111</v>
      </c>
      <c r="U41" s="4" t="s">
        <v>235</v>
      </c>
      <c r="V41" s="4">
        <v>6.0859999999999997E-2</v>
      </c>
      <c r="W41" s="4">
        <v>0.37991000000000003</v>
      </c>
      <c r="X41" s="4">
        <v>2.8580000000000001E-2</v>
      </c>
      <c r="Y41" s="4">
        <v>1.33816</v>
      </c>
      <c r="Z41" s="4">
        <v>19.243729999999999</v>
      </c>
      <c r="AA41" s="4">
        <v>10.490790000000001</v>
      </c>
      <c r="AB41" s="4">
        <v>-1.4874499999999999</v>
      </c>
    </row>
    <row r="42" spans="1:28" x14ac:dyDescent="0.25">
      <c r="A42" s="6">
        <v>5</v>
      </c>
      <c r="B42" s="4">
        <v>150</v>
      </c>
      <c r="C42" s="5">
        <v>50</v>
      </c>
      <c r="D42" s="4">
        <v>20</v>
      </c>
      <c r="E42" s="3">
        <v>23.5</v>
      </c>
      <c r="F42" s="3">
        <f>1.8*E42+32</f>
        <v>74.300000000000011</v>
      </c>
      <c r="G42" s="3">
        <v>20</v>
      </c>
      <c r="H42" s="3">
        <f>IF(F42&gt;68,G42+(F42-68)*0.2,#REF!-(68-F42)*0.2)</f>
        <v>21.26</v>
      </c>
      <c r="I42" s="3">
        <v>23</v>
      </c>
      <c r="J42" s="3">
        <f>1.8*I42+32</f>
        <v>73.400000000000006</v>
      </c>
      <c r="K42" s="3">
        <v>12</v>
      </c>
      <c r="L42" s="3">
        <f>IF(J42&gt;68,K42+(J42-68)*0.2,K42-(68-J42)*0.2)</f>
        <v>13.080000000000002</v>
      </c>
      <c r="M42" s="3">
        <f>(C42-H42)/C42*100</f>
        <v>57.48</v>
      </c>
      <c r="N42" s="3">
        <f>100-(M42+O42)</f>
        <v>16.36</v>
      </c>
      <c r="O42" s="3">
        <f>L42/C42*100</f>
        <v>26.160000000000004</v>
      </c>
      <c r="P42" s="2" t="s">
        <v>0</v>
      </c>
      <c r="Q42" s="21">
        <v>409069.03054399998</v>
      </c>
      <c r="R42" s="21">
        <v>3659352.0464269998</v>
      </c>
      <c r="T42" s="4">
        <v>2006111</v>
      </c>
      <c r="U42" s="4" t="s">
        <v>234</v>
      </c>
      <c r="V42" s="4">
        <v>6.241E-2</v>
      </c>
      <c r="W42" s="4">
        <v>0.38533000000000001</v>
      </c>
      <c r="X42" s="4">
        <v>2.6919999999999999E-2</v>
      </c>
      <c r="Y42" s="4">
        <v>1.33579</v>
      </c>
      <c r="Z42" s="4">
        <v>16.771090000000001</v>
      </c>
      <c r="AA42" s="4">
        <v>9.6918399999999991</v>
      </c>
      <c r="AB42" s="4">
        <v>-1.4460999999999999</v>
      </c>
    </row>
    <row r="43" spans="1:28" x14ac:dyDescent="0.25">
      <c r="A43" s="6">
        <v>5</v>
      </c>
      <c r="B43" s="4">
        <v>180</v>
      </c>
      <c r="C43" s="5">
        <v>50</v>
      </c>
      <c r="D43" s="4">
        <v>20</v>
      </c>
      <c r="E43" s="3">
        <v>23.5</v>
      </c>
      <c r="F43" s="3">
        <f>1.8*E43+32</f>
        <v>74.300000000000011</v>
      </c>
      <c r="G43" s="3">
        <v>18</v>
      </c>
      <c r="H43" s="3">
        <f>IF(F43&gt;68,G43+(F43-68)*0.2,#REF!-(68-F43)*0.2)</f>
        <v>19.260000000000002</v>
      </c>
      <c r="I43" s="3">
        <v>23</v>
      </c>
      <c r="J43" s="3">
        <f>1.8*I43+32</f>
        <v>73.400000000000006</v>
      </c>
      <c r="K43" s="3">
        <v>11.5</v>
      </c>
      <c r="L43" s="3">
        <f>IF(J43&gt;68,K43+(J43-68)*0.2,K43-(68-J43)*0.2)</f>
        <v>12.580000000000002</v>
      </c>
      <c r="M43" s="3">
        <f>(C43-H43)/C43*100</f>
        <v>61.480000000000004</v>
      </c>
      <c r="N43" s="3">
        <f>100-(M43+O43)</f>
        <v>13.359999999999985</v>
      </c>
      <c r="O43" s="3">
        <f>L43/C43*100</f>
        <v>25.160000000000004</v>
      </c>
      <c r="P43" s="2" t="s">
        <v>0</v>
      </c>
      <c r="Q43" s="21">
        <v>409069.03054399998</v>
      </c>
      <c r="R43" s="21">
        <v>3659352.0464269998</v>
      </c>
      <c r="T43" s="4">
        <v>2006111</v>
      </c>
      <c r="U43" s="4" t="s">
        <v>233</v>
      </c>
      <c r="V43" s="4">
        <v>5.7889999999999997E-2</v>
      </c>
      <c r="W43" s="4">
        <v>0.38109999999999999</v>
      </c>
      <c r="X43" s="4">
        <v>2.9170000000000001E-2</v>
      </c>
      <c r="Y43" s="4">
        <v>1.35382</v>
      </c>
      <c r="Z43" s="4">
        <v>22.576530000000002</v>
      </c>
      <c r="AA43" s="4">
        <v>11.52163</v>
      </c>
      <c r="AB43" s="4">
        <v>-1.4015299999999999</v>
      </c>
    </row>
    <row r="44" spans="1:28" x14ac:dyDescent="0.25">
      <c r="A44" s="6">
        <v>5</v>
      </c>
      <c r="B44" s="4">
        <v>210</v>
      </c>
      <c r="C44" s="5">
        <v>50.01</v>
      </c>
      <c r="D44" s="4">
        <v>20</v>
      </c>
      <c r="E44" s="3">
        <v>24</v>
      </c>
      <c r="F44" s="3">
        <f>1.8*E44+32</f>
        <v>75.2</v>
      </c>
      <c r="G44" s="3">
        <v>10.5</v>
      </c>
      <c r="H44" s="3">
        <f>IF(F44&gt;68,G44+(F44-68)*0.2,#REF!-(68-F44)*0.2)</f>
        <v>11.940000000000001</v>
      </c>
      <c r="I44" s="3">
        <v>23</v>
      </c>
      <c r="J44" s="3">
        <f>1.8*I44+32</f>
        <v>73.400000000000006</v>
      </c>
      <c r="K44" s="3">
        <v>8</v>
      </c>
      <c r="L44" s="3">
        <f>IF(J44&gt;68,K44+(J44-68)*0.2,K44-(68-J44)*0.2)</f>
        <v>9.0800000000000018</v>
      </c>
      <c r="M44" s="3">
        <f>(C44-H44)/C44*100</f>
        <v>76.124775044990983</v>
      </c>
      <c r="N44" s="3">
        <f>100-(M44+O44)</f>
        <v>5.7188562287542624</v>
      </c>
      <c r="O44" s="3">
        <f>L44/C44*100</f>
        <v>18.156368726254755</v>
      </c>
      <c r="P44" s="2" t="s">
        <v>0</v>
      </c>
      <c r="Q44" s="21">
        <v>409069.03054399998</v>
      </c>
      <c r="R44" s="21">
        <v>3659352.0464269998</v>
      </c>
      <c r="T44" s="4">
        <v>2006111</v>
      </c>
      <c r="U44" s="4" t="s">
        <v>231</v>
      </c>
      <c r="V44" s="4">
        <v>5.9360000000000003E-2</v>
      </c>
      <c r="W44" s="4">
        <v>0.38297999999999999</v>
      </c>
      <c r="X44" s="4">
        <v>2.818E-2</v>
      </c>
      <c r="Y44" s="4">
        <v>1.3465400000000001</v>
      </c>
      <c r="Z44" s="4">
        <v>20.184329999999999</v>
      </c>
      <c r="AA44" s="4">
        <v>10.785220000000001</v>
      </c>
      <c r="AB44" s="4">
        <v>-1.41276</v>
      </c>
    </row>
    <row r="45" spans="1:28" x14ac:dyDescent="0.25">
      <c r="A45" s="6">
        <v>5</v>
      </c>
      <c r="B45" s="4">
        <v>240</v>
      </c>
      <c r="C45" s="5">
        <v>50</v>
      </c>
      <c r="D45" s="4">
        <v>20</v>
      </c>
      <c r="E45" s="3">
        <v>24</v>
      </c>
      <c r="F45" s="3">
        <f>1.8*E45+32</f>
        <v>75.2</v>
      </c>
      <c r="G45" s="3">
        <v>10</v>
      </c>
      <c r="H45" s="3">
        <f>IF(F45&gt;68,G45+(F45-68)*0.2,#REF!-(68-F45)*0.2)</f>
        <v>11.440000000000001</v>
      </c>
      <c r="I45" s="3">
        <v>23</v>
      </c>
      <c r="J45" s="3">
        <f>1.8*I45+32</f>
        <v>73.400000000000006</v>
      </c>
      <c r="K45" s="3">
        <v>7.5</v>
      </c>
      <c r="L45" s="3">
        <f>IF(J45&gt;68,K45+(J45-68)*0.2,K45-(68-J45)*0.2)</f>
        <v>8.5800000000000018</v>
      </c>
      <c r="M45" s="3">
        <f>(C45-H45)/C45*100</f>
        <v>77.12</v>
      </c>
      <c r="N45" s="3">
        <f>100-(M45+O45)</f>
        <v>5.7199999999999989</v>
      </c>
      <c r="O45" s="3">
        <f>L45/C45*100</f>
        <v>17.160000000000004</v>
      </c>
      <c r="P45" s="2" t="s">
        <v>20</v>
      </c>
      <c r="Q45" s="21">
        <v>409069.03054399998</v>
      </c>
      <c r="R45" s="21">
        <v>3659352.0464269998</v>
      </c>
      <c r="T45" s="4">
        <v>2006111</v>
      </c>
      <c r="U45" s="4" t="s">
        <v>230</v>
      </c>
      <c r="V45" s="4">
        <v>5.944E-2</v>
      </c>
      <c r="W45" s="4">
        <v>0.38479999999999998</v>
      </c>
      <c r="X45" s="4">
        <v>2.7359999999999999E-2</v>
      </c>
      <c r="Y45" s="4">
        <v>1.3489500000000001</v>
      </c>
      <c r="Z45" s="4">
        <v>19.531410000000001</v>
      </c>
      <c r="AA45" s="4">
        <v>10.4877</v>
      </c>
      <c r="AB45" s="4">
        <v>-1.3737299999999999</v>
      </c>
    </row>
    <row r="46" spans="1:28" x14ac:dyDescent="0.25">
      <c r="A46" s="6">
        <v>5</v>
      </c>
      <c r="B46" s="4">
        <v>270</v>
      </c>
      <c r="C46" s="5">
        <v>50</v>
      </c>
      <c r="D46" s="4">
        <v>20</v>
      </c>
      <c r="E46" s="3">
        <v>24</v>
      </c>
      <c r="F46" s="3">
        <f>1.8*E46+32</f>
        <v>75.2</v>
      </c>
      <c r="G46" s="3">
        <v>9</v>
      </c>
      <c r="H46" s="3">
        <f>IF(F46&gt;68,G46+(F46-68)*0.2,#REF!-(68-F46)*0.2)</f>
        <v>10.440000000000001</v>
      </c>
      <c r="I46" s="3">
        <v>23</v>
      </c>
      <c r="J46" s="3">
        <f>1.8*I46+32</f>
        <v>73.400000000000006</v>
      </c>
      <c r="K46" s="3">
        <v>6.5</v>
      </c>
      <c r="L46" s="3">
        <f>IF(J46&gt;68,K46+(J46-68)*0.2,K46-(68-J46)*0.2)</f>
        <v>7.580000000000001</v>
      </c>
      <c r="M46" s="3">
        <f>(C46-H46)/C46*100</f>
        <v>79.12</v>
      </c>
      <c r="N46" s="3">
        <f>100-(M46+O46)</f>
        <v>5.7199999999999989</v>
      </c>
      <c r="O46" s="3">
        <f>L46/C46*100</f>
        <v>15.160000000000002</v>
      </c>
      <c r="P46" s="2" t="s">
        <v>20</v>
      </c>
      <c r="Q46" s="21">
        <v>409069.03054399998</v>
      </c>
      <c r="R46" s="21">
        <v>3659352.0464269998</v>
      </c>
      <c r="T46" s="4">
        <v>2006111</v>
      </c>
      <c r="U46" s="4" t="s">
        <v>229</v>
      </c>
      <c r="V46" s="4">
        <v>6.1830000000000003E-2</v>
      </c>
      <c r="W46" s="4">
        <v>0.38546999999999998</v>
      </c>
      <c r="X46" s="4">
        <v>2.6890000000000001E-2</v>
      </c>
      <c r="Y46" s="4">
        <v>1.3391500000000001</v>
      </c>
      <c r="Z46" s="4">
        <v>17.229749999999999</v>
      </c>
      <c r="AA46" s="4">
        <v>9.8073700000000006</v>
      </c>
      <c r="AB46" s="4">
        <v>-1.4235</v>
      </c>
    </row>
    <row r="47" spans="1:28" x14ac:dyDescent="0.25">
      <c r="A47" s="6">
        <v>5</v>
      </c>
      <c r="B47" s="4">
        <v>300</v>
      </c>
      <c r="C47" s="5">
        <v>50</v>
      </c>
      <c r="D47" s="4">
        <v>20</v>
      </c>
      <c r="E47" s="3">
        <v>24</v>
      </c>
      <c r="F47" s="3">
        <f>1.8*E47+32</f>
        <v>75.2</v>
      </c>
      <c r="G47" s="3">
        <v>7</v>
      </c>
      <c r="H47" s="3">
        <f>IF(F47&gt;68,G47+(F47-68)*0.2,#REF!-(68-F47)*0.2)</f>
        <v>8.4400000000000013</v>
      </c>
      <c r="I47" s="3">
        <v>23</v>
      </c>
      <c r="J47" s="3">
        <f>1.8*I47+32</f>
        <v>73.400000000000006</v>
      </c>
      <c r="K47" s="3">
        <v>5</v>
      </c>
      <c r="L47" s="3">
        <f>IF(J47&gt;68,K47+(J47-68)*0.2,K47-(68-J47)*0.2)</f>
        <v>6.080000000000001</v>
      </c>
      <c r="M47" s="3">
        <f>(C47-H47)/C47*100</f>
        <v>83.12</v>
      </c>
      <c r="N47" s="3">
        <f>100-(M47+O47)</f>
        <v>4.7199999999999989</v>
      </c>
      <c r="O47" s="3">
        <f>L47/C47*100</f>
        <v>12.160000000000002</v>
      </c>
      <c r="P47" s="2" t="s">
        <v>20</v>
      </c>
      <c r="Q47" s="21">
        <v>409069.03054399998</v>
      </c>
      <c r="R47" s="21">
        <v>3659352.0464269998</v>
      </c>
      <c r="T47" s="4">
        <v>2006111</v>
      </c>
      <c r="U47" s="4" t="s">
        <v>412</v>
      </c>
      <c r="V47" s="4">
        <v>6.0220000000000003E-2</v>
      </c>
      <c r="W47" s="4">
        <v>0.38328000000000001</v>
      </c>
      <c r="X47" s="4">
        <v>2.792E-2</v>
      </c>
      <c r="Y47" s="4">
        <v>1.34274</v>
      </c>
      <c r="Z47" s="4">
        <v>19.213909999999998</v>
      </c>
      <c r="AA47" s="4">
        <v>10.488379999999999</v>
      </c>
      <c r="AB47" s="4">
        <v>-1.42943</v>
      </c>
    </row>
    <row r="48" spans="1:28" x14ac:dyDescent="0.25">
      <c r="C48" s="35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3"/>
      <c r="T48" s="4">
        <v>2006111</v>
      </c>
      <c r="U48" s="4" t="s">
        <v>411</v>
      </c>
      <c r="V48" s="4">
        <v>5.7430000000000002E-2</v>
      </c>
      <c r="W48" s="4">
        <v>0.37519999999999998</v>
      </c>
      <c r="X48" s="4">
        <v>2.962E-2</v>
      </c>
      <c r="Y48" s="4">
        <v>1.3936599999999999</v>
      </c>
      <c r="Z48" s="4">
        <v>28.02628</v>
      </c>
      <c r="AA48" s="4">
        <v>12.090009999999999</v>
      </c>
      <c r="AB48" s="4">
        <v>-1.2996799999999999</v>
      </c>
    </row>
    <row r="49" spans="1:28" ht="51.75" x14ac:dyDescent="0.25">
      <c r="A49" s="15" t="s">
        <v>19</v>
      </c>
      <c r="B49" s="10" t="s">
        <v>18</v>
      </c>
      <c r="C49" s="14" t="s">
        <v>17</v>
      </c>
      <c r="D49" s="13" t="s">
        <v>16</v>
      </c>
      <c r="E49" s="12" t="s">
        <v>15</v>
      </c>
      <c r="F49" s="12" t="s">
        <v>14</v>
      </c>
      <c r="G49" s="12" t="s">
        <v>13</v>
      </c>
      <c r="H49" s="12" t="s">
        <v>12</v>
      </c>
      <c r="I49" s="12" t="s">
        <v>11</v>
      </c>
      <c r="J49" s="12" t="s">
        <v>10</v>
      </c>
      <c r="K49" s="12" t="s">
        <v>9</v>
      </c>
      <c r="L49" s="12" t="s">
        <v>8</v>
      </c>
      <c r="M49" s="11" t="s">
        <v>7</v>
      </c>
      <c r="N49" s="11" t="s">
        <v>6</v>
      </c>
      <c r="O49" s="11" t="s">
        <v>5</v>
      </c>
      <c r="P49" s="10" t="s">
        <v>4</v>
      </c>
      <c r="Q49" s="9" t="s">
        <v>3</v>
      </c>
      <c r="R49" s="8"/>
      <c r="T49" s="4">
        <v>2006111</v>
      </c>
      <c r="U49" s="4" t="s">
        <v>228</v>
      </c>
      <c r="V49" s="4">
        <v>6.4640000000000003E-2</v>
      </c>
      <c r="W49" s="4">
        <v>0.38789000000000001</v>
      </c>
      <c r="X49" s="4">
        <v>2.5909999999999999E-2</v>
      </c>
      <c r="Y49" s="4">
        <v>1.3310299999999999</v>
      </c>
      <c r="Z49" s="4">
        <v>14.63674</v>
      </c>
      <c r="AA49" s="4">
        <v>8.9674999999999994</v>
      </c>
      <c r="AB49" s="4">
        <v>-1.45058</v>
      </c>
    </row>
    <row r="50" spans="1:28" x14ac:dyDescent="0.25">
      <c r="A50" s="15"/>
      <c r="B50" s="10"/>
      <c r="C50" s="14"/>
      <c r="D50" s="13"/>
      <c r="E50" s="12"/>
      <c r="F50" s="12"/>
      <c r="G50" s="12"/>
      <c r="H50" s="12"/>
      <c r="I50" s="12"/>
      <c r="J50" s="12"/>
      <c r="K50" s="12"/>
      <c r="L50" s="12"/>
      <c r="M50" s="11"/>
      <c r="N50" s="11"/>
      <c r="O50" s="11"/>
      <c r="P50" s="10"/>
      <c r="Q50" s="7" t="s">
        <v>2</v>
      </c>
      <c r="R50" s="7" t="s">
        <v>1</v>
      </c>
      <c r="T50" s="4">
        <v>2006111</v>
      </c>
      <c r="U50" s="4" t="s">
        <v>227</v>
      </c>
      <c r="V50" s="4">
        <v>6.5750000000000003E-2</v>
      </c>
      <c r="W50" s="4">
        <v>0.38636999999999999</v>
      </c>
      <c r="X50" s="4">
        <v>2.6530000000000001E-2</v>
      </c>
      <c r="Y50" s="4">
        <v>1.3195399999999999</v>
      </c>
      <c r="Z50" s="4">
        <v>14.108320000000001</v>
      </c>
      <c r="AA50" s="4">
        <v>8.9047699999999992</v>
      </c>
      <c r="AB50" s="4">
        <v>-1.54514</v>
      </c>
    </row>
    <row r="51" spans="1:28" x14ac:dyDescent="0.25">
      <c r="A51" s="6">
        <v>6</v>
      </c>
      <c r="B51" s="4">
        <v>30</v>
      </c>
      <c r="C51" s="5">
        <v>50</v>
      </c>
      <c r="D51" s="4">
        <v>20</v>
      </c>
      <c r="E51" s="3">
        <v>24</v>
      </c>
      <c r="F51" s="3">
        <f>1.8*E51+32</f>
        <v>75.2</v>
      </c>
      <c r="G51" s="3">
        <v>15.5</v>
      </c>
      <c r="H51" s="3">
        <f>IF(F51&gt;68,G51+(F51-68)*0.2,G759-(68-F51)*0.2)</f>
        <v>16.940000000000001</v>
      </c>
      <c r="I51" s="3">
        <v>23</v>
      </c>
      <c r="J51" s="3">
        <f>1.8*I51+32</f>
        <v>73.400000000000006</v>
      </c>
      <c r="K51" s="3">
        <v>9.5</v>
      </c>
      <c r="L51" s="3">
        <f>IF(J51&gt;68,K51+(J51-68)*0.2,K51-(68-J51)*0.2)</f>
        <v>10.580000000000002</v>
      </c>
      <c r="M51" s="3">
        <f>(C51-H51)/C51*100</f>
        <v>66.12</v>
      </c>
      <c r="N51" s="3">
        <f>100-(M51+O51)</f>
        <v>12.719999999999999</v>
      </c>
      <c r="O51" s="3">
        <f>L51/C51*100</f>
        <v>21.160000000000004</v>
      </c>
      <c r="P51" s="2" t="s">
        <v>0</v>
      </c>
      <c r="Q51" s="1">
        <v>409081.29805400001</v>
      </c>
      <c r="R51" s="1">
        <v>3659351.8372260001</v>
      </c>
      <c r="T51" s="4">
        <v>2006111</v>
      </c>
      <c r="U51" s="4" t="s">
        <v>226</v>
      </c>
      <c r="V51" s="4">
        <v>6.7720000000000002E-2</v>
      </c>
      <c r="W51" s="4">
        <v>0.39184999999999998</v>
      </c>
      <c r="X51" s="4">
        <v>2.469E-2</v>
      </c>
      <c r="Y51" s="4">
        <v>1.3258099999999999</v>
      </c>
      <c r="Z51" s="4">
        <v>12.180149999999999</v>
      </c>
      <c r="AA51" s="4">
        <v>8.1219400000000004</v>
      </c>
      <c r="AB51" s="4">
        <v>-1.4523600000000001</v>
      </c>
    </row>
    <row r="52" spans="1:28" x14ac:dyDescent="0.25">
      <c r="A52" s="6">
        <v>6</v>
      </c>
      <c r="B52" s="4">
        <v>60</v>
      </c>
      <c r="C52" s="5">
        <v>50.01</v>
      </c>
      <c r="D52" s="4">
        <v>20</v>
      </c>
      <c r="E52" s="3">
        <v>24</v>
      </c>
      <c r="F52" s="3">
        <f>1.8*E52+32</f>
        <v>75.2</v>
      </c>
      <c r="G52" s="3">
        <v>18</v>
      </c>
      <c r="H52" s="3">
        <f>IF(F52&gt;68,G52+(F52-68)*0.2,G760-(68-F52)*0.2)</f>
        <v>19.440000000000001</v>
      </c>
      <c r="I52" s="3">
        <v>23</v>
      </c>
      <c r="J52" s="3">
        <f>1.8*I52+32</f>
        <v>73.400000000000006</v>
      </c>
      <c r="K52" s="3">
        <v>10</v>
      </c>
      <c r="L52" s="3">
        <f>IF(J52&gt;68,K52+(J52-68)*0.2,K52-(68-J52)*0.2)</f>
        <v>11.080000000000002</v>
      </c>
      <c r="M52" s="3">
        <f>(C52-H52)/C52*100</f>
        <v>61.127774445110973</v>
      </c>
      <c r="N52" s="3">
        <f>100-(M52+O52)</f>
        <v>16.716656668666275</v>
      </c>
      <c r="O52" s="3">
        <f>L52/C52*100</f>
        <v>22.15556888622276</v>
      </c>
      <c r="P52" s="2" t="s">
        <v>0</v>
      </c>
      <c r="Q52" s="1">
        <v>409081.29805400001</v>
      </c>
      <c r="R52" s="1">
        <v>3659351.8372260001</v>
      </c>
      <c r="T52" s="4">
        <v>2006111</v>
      </c>
      <c r="U52" s="4" t="s">
        <v>225</v>
      </c>
      <c r="V52" s="4">
        <v>7.2929999999999995E-2</v>
      </c>
      <c r="W52" s="4">
        <v>0.39466000000000001</v>
      </c>
      <c r="X52" s="4">
        <v>2.5420000000000002E-2</v>
      </c>
      <c r="Y52" s="4">
        <v>1.2918499999999999</v>
      </c>
      <c r="Z52" s="4">
        <v>10.15944</v>
      </c>
      <c r="AA52" s="4">
        <v>7.5316799999999997</v>
      </c>
      <c r="AB52" s="4">
        <v>-1.72343</v>
      </c>
    </row>
    <row r="53" spans="1:28" x14ac:dyDescent="0.25">
      <c r="A53" s="6">
        <v>6</v>
      </c>
      <c r="B53" s="4">
        <v>90</v>
      </c>
      <c r="C53" s="5">
        <v>50.01</v>
      </c>
      <c r="D53" s="4">
        <v>20</v>
      </c>
      <c r="E53" s="3">
        <v>24</v>
      </c>
      <c r="F53" s="3">
        <f>1.8*E53+32</f>
        <v>75.2</v>
      </c>
      <c r="G53" s="3">
        <v>15.5</v>
      </c>
      <c r="H53" s="3">
        <f>IF(F53&gt;68,G53+(F53-68)*0.2,G761-(68-F53)*0.2)</f>
        <v>16.940000000000001</v>
      </c>
      <c r="I53" s="3">
        <v>23</v>
      </c>
      <c r="J53" s="3">
        <f>1.8*I53+32</f>
        <v>73.400000000000006</v>
      </c>
      <c r="K53" s="3">
        <v>8.5</v>
      </c>
      <c r="L53" s="3">
        <f>IF(J53&gt;68,K53+(J53-68)*0.2,K53-(68-J53)*0.2)</f>
        <v>9.5800000000000018</v>
      </c>
      <c r="M53" s="3">
        <f>(C53-H53)/C53*100</f>
        <v>66.126774645070981</v>
      </c>
      <c r="N53" s="3">
        <f>100-(M53+O53)</f>
        <v>14.717056588682254</v>
      </c>
      <c r="O53" s="3">
        <f>L53/C53*100</f>
        <v>19.156168766246758</v>
      </c>
      <c r="P53" s="2" t="s">
        <v>20</v>
      </c>
      <c r="Q53" s="1">
        <v>409081.29805400001</v>
      </c>
      <c r="R53" s="1">
        <v>3659351.8372260001</v>
      </c>
      <c r="T53" s="4">
        <v>2006111</v>
      </c>
      <c r="U53" s="4" t="s">
        <v>224</v>
      </c>
      <c r="V53" s="4">
        <v>7.6050000000000006E-2</v>
      </c>
      <c r="W53" s="4">
        <v>0.40811999999999998</v>
      </c>
      <c r="X53" s="4">
        <v>2.1260000000000001E-2</v>
      </c>
      <c r="Y53" s="4">
        <v>1.32118</v>
      </c>
      <c r="Z53" s="4">
        <v>7.2310299999999996</v>
      </c>
      <c r="AA53" s="4">
        <v>6.21387</v>
      </c>
      <c r="AB53" s="4">
        <v>-1.3733500000000001</v>
      </c>
    </row>
    <row r="54" spans="1:28" x14ac:dyDescent="0.25">
      <c r="A54" s="6">
        <v>6</v>
      </c>
      <c r="B54" s="4">
        <v>120</v>
      </c>
      <c r="C54" s="5">
        <v>50</v>
      </c>
      <c r="D54" s="4">
        <v>20</v>
      </c>
      <c r="E54" s="3">
        <v>25.8</v>
      </c>
      <c r="F54" s="3">
        <f>1.8*E54+32</f>
        <v>78.44</v>
      </c>
      <c r="G54" s="3">
        <v>16</v>
      </c>
      <c r="H54" s="3">
        <f>IF(F54&gt;68,G54+(F54-68)*0.2,G762-(68-F54)*0.2)</f>
        <v>18.088000000000001</v>
      </c>
      <c r="I54" s="3">
        <v>23</v>
      </c>
      <c r="J54" s="3">
        <f>1.8*I54+32</f>
        <v>73.400000000000006</v>
      </c>
      <c r="K54" s="3">
        <v>9</v>
      </c>
      <c r="L54" s="3">
        <f>IF(J54&gt;68,K54+(J54-68)*0.2,K54-(68-J54)*0.2)</f>
        <v>10.080000000000002</v>
      </c>
      <c r="M54" s="3">
        <f>(C54-H54)/C54*100</f>
        <v>63.824000000000005</v>
      </c>
      <c r="N54" s="3">
        <f>100-(M54+O54)</f>
        <v>16.015999999999991</v>
      </c>
      <c r="O54" s="3">
        <f>L54/C54*100</f>
        <v>20.160000000000004</v>
      </c>
      <c r="P54" s="2" t="s">
        <v>0</v>
      </c>
      <c r="Q54" s="1">
        <v>409081.29805400001</v>
      </c>
      <c r="R54" s="1">
        <v>3659351.8372260001</v>
      </c>
      <c r="T54" s="4">
        <v>2006111</v>
      </c>
      <c r="U54" s="4" t="s">
        <v>223</v>
      </c>
      <c r="V54" s="4">
        <v>5.806E-2</v>
      </c>
      <c r="W54" s="4">
        <v>0.3795</v>
      </c>
      <c r="X54" s="4">
        <v>2.946E-2</v>
      </c>
      <c r="Y54" s="4">
        <v>1.3558699999999999</v>
      </c>
      <c r="Z54" s="4">
        <v>23.048999999999999</v>
      </c>
      <c r="AA54" s="4">
        <v>11.59381</v>
      </c>
      <c r="AB54" s="4">
        <v>-1.40903</v>
      </c>
    </row>
    <row r="55" spans="1:28" x14ac:dyDescent="0.25">
      <c r="A55" s="6">
        <v>6</v>
      </c>
      <c r="B55" s="4">
        <v>150</v>
      </c>
      <c r="C55" s="5">
        <v>50</v>
      </c>
      <c r="D55" s="4">
        <v>20</v>
      </c>
      <c r="E55" s="3">
        <v>26.8</v>
      </c>
      <c r="F55" s="3">
        <f>1.8*E55+32</f>
        <v>80.240000000000009</v>
      </c>
      <c r="G55" s="3">
        <v>16.5</v>
      </c>
      <c r="H55" s="3">
        <f>IF(F55&gt;68,G55+(F55-68)*0.2,G763-(68-F55)*0.2)</f>
        <v>18.948</v>
      </c>
      <c r="I55" s="3">
        <v>23</v>
      </c>
      <c r="J55" s="3">
        <f>1.8*I55+32</f>
        <v>73.400000000000006</v>
      </c>
      <c r="K55" s="3">
        <v>9</v>
      </c>
      <c r="L55" s="3">
        <f>IF(J55&gt;68,K55+(J55-68)*0.2,K55-(68-J55)*0.2)</f>
        <v>10.080000000000002</v>
      </c>
      <c r="M55" s="3">
        <f>(C55-H55)/C55*100</f>
        <v>62.104000000000006</v>
      </c>
      <c r="N55" s="3">
        <f>100-(M55+O55)</f>
        <v>17.73599999999999</v>
      </c>
      <c r="O55" s="3">
        <f>L55/C55*100</f>
        <v>20.160000000000004</v>
      </c>
      <c r="P55" s="2" t="s">
        <v>0</v>
      </c>
      <c r="Q55" s="1">
        <v>409081.29805400001</v>
      </c>
      <c r="R55" s="1">
        <v>3659351.8372260001</v>
      </c>
      <c r="T55" s="4">
        <v>2006111</v>
      </c>
      <c r="U55" s="4" t="s">
        <v>410</v>
      </c>
      <c r="V55" s="4">
        <v>5.7950000000000002E-2</v>
      </c>
      <c r="W55" s="4">
        <v>0.38052999999999998</v>
      </c>
      <c r="X55" s="4">
        <v>2.93E-2</v>
      </c>
      <c r="Y55" s="4">
        <v>1.3543099999999999</v>
      </c>
      <c r="Z55" s="4">
        <v>22.7502</v>
      </c>
      <c r="AA55" s="4">
        <v>11.558529999999999</v>
      </c>
      <c r="AB55" s="4">
        <v>-1.4057599999999999</v>
      </c>
    </row>
    <row r="56" spans="1:28" x14ac:dyDescent="0.25">
      <c r="A56" s="6">
        <v>6</v>
      </c>
      <c r="B56" s="4">
        <v>180</v>
      </c>
      <c r="C56" s="5">
        <v>50</v>
      </c>
      <c r="D56" s="4">
        <v>20</v>
      </c>
      <c r="E56" s="3">
        <v>26.8</v>
      </c>
      <c r="F56" s="3">
        <f>1.8*E56+32</f>
        <v>80.240000000000009</v>
      </c>
      <c r="G56" s="3">
        <v>17</v>
      </c>
      <c r="H56" s="3">
        <f>IF(F56&gt;68,G56+(F56-68)*0.2,G764-(68-F56)*0.2)</f>
        <v>19.448</v>
      </c>
      <c r="I56" s="3">
        <v>23.8</v>
      </c>
      <c r="J56" s="3">
        <f>1.8*I56+32</f>
        <v>74.84</v>
      </c>
      <c r="K56" s="3">
        <v>9.5</v>
      </c>
      <c r="L56" s="3">
        <f>IF(J56&gt;68,K56+(J56-68)*0.2,K56-(68-J56)*0.2)</f>
        <v>10.868</v>
      </c>
      <c r="M56" s="3">
        <f>(C56-H56)/C56*100</f>
        <v>61.103999999999999</v>
      </c>
      <c r="N56" s="3">
        <f>100-(M56+O56)</f>
        <v>17.159999999999997</v>
      </c>
      <c r="O56" s="3">
        <f>L56/C56*100</f>
        <v>21.736000000000001</v>
      </c>
      <c r="P56" s="2" t="s">
        <v>0</v>
      </c>
      <c r="Q56" s="1">
        <v>409081.29805400001</v>
      </c>
      <c r="R56" s="1">
        <v>3659351.8372260001</v>
      </c>
      <c r="T56" s="4">
        <v>2006111</v>
      </c>
      <c r="U56" s="4" t="s">
        <v>409</v>
      </c>
      <c r="V56" s="4">
        <v>5.892E-2</v>
      </c>
      <c r="W56" s="4">
        <v>0.37303999999999998</v>
      </c>
      <c r="X56" s="4">
        <v>2.8510000000000001E-2</v>
      </c>
      <c r="Y56" s="4">
        <v>1.4037200000000001</v>
      </c>
      <c r="Z56" s="4">
        <v>27.362269999999999</v>
      </c>
      <c r="AA56" s="4">
        <v>11.273759999999999</v>
      </c>
      <c r="AB56" s="4">
        <v>-1.2705599999999999</v>
      </c>
    </row>
    <row r="57" spans="1:28" x14ac:dyDescent="0.25">
      <c r="A57" s="6">
        <v>6</v>
      </c>
      <c r="B57" s="4">
        <v>210</v>
      </c>
      <c r="C57" s="5">
        <v>50.01</v>
      </c>
      <c r="D57" s="4">
        <v>20</v>
      </c>
      <c r="E57" s="3">
        <v>26.5</v>
      </c>
      <c r="F57" s="3">
        <f>1.8*E57+32</f>
        <v>79.7</v>
      </c>
      <c r="G57" s="3">
        <v>16</v>
      </c>
      <c r="H57" s="3">
        <f>IF(F57&gt;68,G57+(F57-68)*0.2,G765-(68-F57)*0.2)</f>
        <v>18.34</v>
      </c>
      <c r="I57" s="3">
        <v>23.8</v>
      </c>
      <c r="J57" s="3">
        <f>1.8*I57+32</f>
        <v>74.84</v>
      </c>
      <c r="K57" s="3">
        <v>9</v>
      </c>
      <c r="L57" s="3">
        <f>IF(J57&gt;68,K57+(J57-68)*0.2,K57-(68-J57)*0.2)</f>
        <v>10.368</v>
      </c>
      <c r="M57" s="3">
        <f>(C57-H57)/C57*100</f>
        <v>63.327334533093385</v>
      </c>
      <c r="N57" s="3">
        <f>100-(M57+O57)</f>
        <v>15.940811837632467</v>
      </c>
      <c r="O57" s="3">
        <f>L57/C57*100</f>
        <v>20.731853629274148</v>
      </c>
      <c r="P57" s="2" t="s">
        <v>0</v>
      </c>
      <c r="Q57" s="1">
        <v>409081.29805400001</v>
      </c>
      <c r="R57" s="1">
        <v>3659351.8372260001</v>
      </c>
      <c r="T57" s="4">
        <v>2006111</v>
      </c>
      <c r="U57" s="4" t="s">
        <v>408</v>
      </c>
      <c r="V57" s="4">
        <v>5.9799999999999999E-2</v>
      </c>
      <c r="W57" s="4">
        <v>0.39316000000000001</v>
      </c>
      <c r="X57" s="4">
        <v>2.0639999999999999E-2</v>
      </c>
      <c r="Y57" s="4">
        <v>1.3866799999999999</v>
      </c>
      <c r="Z57" s="4">
        <v>15.907</v>
      </c>
      <c r="AA57" s="4">
        <v>7.79169</v>
      </c>
      <c r="AB57" s="4">
        <v>-1.0043500000000001</v>
      </c>
    </row>
    <row r="58" spans="1:28" x14ac:dyDescent="0.25">
      <c r="A58" s="6">
        <v>6</v>
      </c>
      <c r="B58" s="4">
        <v>240</v>
      </c>
      <c r="C58" s="5">
        <v>50</v>
      </c>
      <c r="D58" s="4">
        <v>20</v>
      </c>
      <c r="E58" s="3">
        <v>26.8</v>
      </c>
      <c r="F58" s="3">
        <f>1.8*E58+32</f>
        <v>80.240000000000009</v>
      </c>
      <c r="G58" s="3">
        <v>11</v>
      </c>
      <c r="H58" s="3">
        <f>IF(F58&gt;68,G58+(F58-68)*0.2,G766-(68-F58)*0.2)</f>
        <v>13.448000000000002</v>
      </c>
      <c r="I58" s="3">
        <v>23.8</v>
      </c>
      <c r="J58" s="3">
        <f>1.8*I58+32</f>
        <v>74.84</v>
      </c>
      <c r="K58" s="3">
        <v>7.5</v>
      </c>
      <c r="L58" s="3">
        <f>IF(J58&gt;68,K58+(J58-68)*0.2,K58-(68-J58)*0.2)</f>
        <v>8.8680000000000003</v>
      </c>
      <c r="M58" s="3">
        <f>(C58-H58)/C58*100</f>
        <v>73.103999999999999</v>
      </c>
      <c r="N58" s="3">
        <f>100-(M58+O58)</f>
        <v>9.1599999999999966</v>
      </c>
      <c r="O58" s="3">
        <f>L58/C58*100</f>
        <v>17.736000000000001</v>
      </c>
      <c r="P58" s="2" t="s">
        <v>20</v>
      </c>
      <c r="Q58" s="1">
        <v>409081.29805400001</v>
      </c>
      <c r="R58" s="1">
        <v>3659351.8372260001</v>
      </c>
      <c r="T58" s="4">
        <v>2006111</v>
      </c>
      <c r="U58" s="4" t="s">
        <v>407</v>
      </c>
      <c r="V58" s="4">
        <v>5.3800000000000001E-2</v>
      </c>
      <c r="W58" s="4">
        <v>0.38201000000000002</v>
      </c>
      <c r="X58" s="4">
        <v>3.015E-2</v>
      </c>
      <c r="Y58" s="4">
        <v>1.3730800000000001</v>
      </c>
      <c r="Z58" s="4">
        <v>27.753969999999999</v>
      </c>
      <c r="AA58" s="4">
        <v>13.116239999999999</v>
      </c>
      <c r="AB58" s="4">
        <v>-1.30989</v>
      </c>
    </row>
    <row r="59" spans="1:28" x14ac:dyDescent="0.25">
      <c r="A59" s="4"/>
      <c r="B59" s="4"/>
      <c r="C59" s="4"/>
      <c r="D59" s="4"/>
      <c r="E59" s="4"/>
      <c r="F59" s="4"/>
      <c r="G59" s="4"/>
      <c r="H59" s="3" t="e">
        <f>IF(#REF!&gt;68,#REF!+(#REF!-68)*0.2,G767-(68-#REF!)*0.2)</f>
        <v>#REF!</v>
      </c>
      <c r="I59" s="4"/>
      <c r="J59" s="4"/>
      <c r="K59" s="4"/>
      <c r="L59" s="3" t="e">
        <f>IF(#REF!&gt;68,#REF!+(#REF!-68)*0.2,#REF!-(68-#REF!)*0.2)</f>
        <v>#REF!</v>
      </c>
      <c r="M59" s="4"/>
      <c r="N59" s="4"/>
      <c r="O59" s="4"/>
      <c r="P59" s="4"/>
      <c r="Q59" s="1">
        <v>409081.29805400001</v>
      </c>
      <c r="R59" s="1">
        <v>3659351.8372260001</v>
      </c>
      <c r="T59" s="4">
        <v>2006111</v>
      </c>
      <c r="U59" s="4" t="s">
        <v>406</v>
      </c>
      <c r="V59" s="4">
        <v>5.5300000000000002E-2</v>
      </c>
      <c r="W59" s="4">
        <v>0.38373000000000002</v>
      </c>
      <c r="X59" s="4">
        <v>2.862E-2</v>
      </c>
      <c r="Y59" s="4">
        <v>1.3646799999999999</v>
      </c>
      <c r="Z59" s="4">
        <v>24.366160000000001</v>
      </c>
      <c r="AA59" s="4">
        <v>11.979850000000001</v>
      </c>
      <c r="AB59" s="4">
        <v>-1.30932</v>
      </c>
    </row>
    <row r="60" spans="1:28" x14ac:dyDescent="0.25">
      <c r="A60" s="6"/>
      <c r="B60" s="4"/>
      <c r="C60" s="5"/>
      <c r="D60" s="4"/>
      <c r="E60" s="3"/>
      <c r="F60" s="3"/>
      <c r="G60" s="3"/>
      <c r="H60" s="3">
        <f>IF(F60&gt;68,G60+(F60-68)*0.2,G768-(68-F60)*0.2)</f>
        <v>-13.600000000000001</v>
      </c>
      <c r="I60" s="3"/>
      <c r="J60" s="3"/>
      <c r="K60" s="3"/>
      <c r="L60" s="3">
        <f>IF(J60&gt;68,K60+(J60-68)*0.2,K60-(68-J60)*0.2)</f>
        <v>-13.600000000000001</v>
      </c>
      <c r="M60" s="3"/>
      <c r="N60" s="3"/>
      <c r="O60" s="3"/>
      <c r="P60" s="2"/>
      <c r="Q60" s="1">
        <v>409081.29805400001</v>
      </c>
      <c r="R60" s="1">
        <v>3659351.8372260001</v>
      </c>
      <c r="T60" s="4">
        <v>2006111</v>
      </c>
      <c r="U60" s="4" t="s">
        <v>405</v>
      </c>
      <c r="V60" s="4">
        <v>6.2379999999999998E-2</v>
      </c>
      <c r="W60" s="4">
        <v>0.38500000000000001</v>
      </c>
      <c r="X60" s="4">
        <v>2.7050000000000001E-2</v>
      </c>
      <c r="Y60" s="4">
        <v>1.33511</v>
      </c>
      <c r="Z60" s="4">
        <v>16.851109999999998</v>
      </c>
      <c r="AA60" s="4">
        <v>9.7321299999999997</v>
      </c>
      <c r="AB60" s="4">
        <v>-1.4540500000000001</v>
      </c>
    </row>
    <row r="61" spans="1:28" x14ac:dyDescent="0.25">
      <c r="T61" s="4">
        <v>2006111</v>
      </c>
      <c r="U61" s="4" t="s">
        <v>404</v>
      </c>
      <c r="V61" s="4">
        <v>6.2230000000000001E-2</v>
      </c>
      <c r="W61" s="4">
        <v>0.38257999999999998</v>
      </c>
      <c r="X61" s="4">
        <v>2.7810000000000001E-2</v>
      </c>
      <c r="Y61" s="4">
        <v>1.33151</v>
      </c>
      <c r="Z61" s="4">
        <v>17.382159999999999</v>
      </c>
      <c r="AA61" s="4">
        <v>9.9586199999999998</v>
      </c>
      <c r="AB61" s="4">
        <v>-1.5009300000000001</v>
      </c>
    </row>
    <row r="62" spans="1:28" ht="51.75" x14ac:dyDescent="0.25">
      <c r="A62" s="15" t="s">
        <v>19</v>
      </c>
      <c r="B62" s="10" t="s">
        <v>18</v>
      </c>
      <c r="C62" s="14" t="s">
        <v>17</v>
      </c>
      <c r="D62" s="13" t="s">
        <v>16</v>
      </c>
      <c r="E62" s="12" t="s">
        <v>15</v>
      </c>
      <c r="F62" s="12" t="s">
        <v>14</v>
      </c>
      <c r="G62" s="12" t="s">
        <v>13</v>
      </c>
      <c r="H62" s="12" t="s">
        <v>12</v>
      </c>
      <c r="I62" s="12" t="s">
        <v>11</v>
      </c>
      <c r="J62" s="12" t="s">
        <v>10</v>
      </c>
      <c r="K62" s="12" t="s">
        <v>9</v>
      </c>
      <c r="L62" s="12" t="s">
        <v>8</v>
      </c>
      <c r="M62" s="11" t="s">
        <v>7</v>
      </c>
      <c r="N62" s="11" t="s">
        <v>6</v>
      </c>
      <c r="O62" s="11" t="s">
        <v>5</v>
      </c>
      <c r="P62" s="10" t="s">
        <v>4</v>
      </c>
      <c r="Q62" s="9" t="s">
        <v>3</v>
      </c>
      <c r="R62" s="8"/>
      <c r="T62" s="4">
        <v>2006111</v>
      </c>
      <c r="U62" s="4" t="s">
        <v>403</v>
      </c>
      <c r="V62" s="4">
        <v>5.8029999999999998E-2</v>
      </c>
      <c r="W62" s="4">
        <v>0.37980000000000003</v>
      </c>
      <c r="X62" s="4">
        <v>2.9430000000000001E-2</v>
      </c>
      <c r="Y62" s="4">
        <v>1.3553299999999999</v>
      </c>
      <c r="Z62" s="4">
        <v>22.963419999999999</v>
      </c>
      <c r="AA62" s="4">
        <v>11.587160000000001</v>
      </c>
      <c r="AB62" s="4">
        <v>-1.40873</v>
      </c>
    </row>
    <row r="63" spans="1:28" x14ac:dyDescent="0.25">
      <c r="A63" s="15"/>
      <c r="B63" s="10"/>
      <c r="C63" s="14"/>
      <c r="D63" s="13"/>
      <c r="E63" s="12"/>
      <c r="F63" s="12"/>
      <c r="G63" s="12"/>
      <c r="H63" s="12"/>
      <c r="I63" s="12"/>
      <c r="J63" s="12"/>
      <c r="K63" s="12"/>
      <c r="L63" s="12"/>
      <c r="M63" s="11"/>
      <c r="N63" s="11"/>
      <c r="O63" s="11"/>
      <c r="P63" s="10"/>
      <c r="Q63" s="7" t="s">
        <v>2</v>
      </c>
      <c r="R63" s="7" t="s">
        <v>1</v>
      </c>
      <c r="T63" s="4">
        <v>2006111</v>
      </c>
      <c r="U63" s="4" t="s">
        <v>402</v>
      </c>
      <c r="V63" s="4">
        <v>5.8229999999999997E-2</v>
      </c>
      <c r="W63" s="4">
        <v>0.37846999999999997</v>
      </c>
      <c r="X63" s="4">
        <v>2.9520000000000001E-2</v>
      </c>
      <c r="Y63" s="4">
        <v>1.35815</v>
      </c>
      <c r="Z63" s="4">
        <v>23.284500000000001</v>
      </c>
      <c r="AA63" s="4">
        <v>11.574619999999999</v>
      </c>
      <c r="AB63" s="4">
        <v>-1.4074199999999999</v>
      </c>
    </row>
    <row r="64" spans="1:28" x14ac:dyDescent="0.25">
      <c r="A64" s="6">
        <v>7</v>
      </c>
      <c r="B64" s="4">
        <v>30</v>
      </c>
      <c r="C64" s="5">
        <v>50</v>
      </c>
      <c r="D64" s="4">
        <v>20</v>
      </c>
      <c r="E64" s="3">
        <v>23</v>
      </c>
      <c r="F64" s="3">
        <f>1.8*E64+32</f>
        <v>73.400000000000006</v>
      </c>
      <c r="G64" s="3">
        <v>19.5</v>
      </c>
      <c r="H64" s="3">
        <f>IF(F64&gt;68,G64+(F64-68)*0.2,#REF!-(68-F64)*0.2)</f>
        <v>20.580000000000002</v>
      </c>
      <c r="I64" s="3">
        <v>22.2</v>
      </c>
      <c r="J64" s="3">
        <f>1.8*I64+32</f>
        <v>71.960000000000008</v>
      </c>
      <c r="K64" s="3">
        <v>11</v>
      </c>
      <c r="L64" s="3">
        <f>IF(J64&gt;68,K64+(J64-68)*0.2,K64-(68-J64)*0.2)</f>
        <v>11.792000000000002</v>
      </c>
      <c r="M64" s="3">
        <f>(C64-H64)/C64*100</f>
        <v>58.839999999999989</v>
      </c>
      <c r="N64" s="3">
        <f>100-(M64+O64)</f>
        <v>17.576000000000008</v>
      </c>
      <c r="O64" s="3">
        <f>L64/C64*100</f>
        <v>23.584000000000003</v>
      </c>
      <c r="P64" s="2" t="s">
        <v>0</v>
      </c>
      <c r="Q64" s="1">
        <v>409093.42355299997</v>
      </c>
      <c r="R64" s="1">
        <v>3659351.6304469998</v>
      </c>
      <c r="T64" s="4">
        <v>2006111</v>
      </c>
      <c r="U64" s="4" t="s">
        <v>401</v>
      </c>
      <c r="V64" s="4">
        <v>5.6500000000000002E-2</v>
      </c>
      <c r="W64" s="4">
        <v>0.38019999999999998</v>
      </c>
      <c r="X64" s="4">
        <v>2.9860000000000001E-2</v>
      </c>
      <c r="Y64" s="4">
        <v>1.3635699999999999</v>
      </c>
      <c r="Z64" s="4">
        <v>25.039709999999999</v>
      </c>
      <c r="AA64" s="4">
        <v>12.21683</v>
      </c>
      <c r="AB64" s="4">
        <v>-1.37144</v>
      </c>
    </row>
    <row r="65" spans="1:28" x14ac:dyDescent="0.25">
      <c r="A65" s="6">
        <v>7</v>
      </c>
      <c r="B65" s="4">
        <v>60</v>
      </c>
      <c r="C65" s="5">
        <v>50</v>
      </c>
      <c r="D65" s="4">
        <v>20</v>
      </c>
      <c r="E65" s="3">
        <v>23</v>
      </c>
      <c r="F65" s="3">
        <f>1.8*E65+32</f>
        <v>73.400000000000006</v>
      </c>
      <c r="G65" s="3">
        <v>19</v>
      </c>
      <c r="H65" s="3">
        <f>IF(F65&gt;68,G65+(F65-68)*0.2,#REF!-(68-F65)*0.2)</f>
        <v>20.080000000000002</v>
      </c>
      <c r="I65" s="3">
        <v>22.2</v>
      </c>
      <c r="J65" s="3">
        <f>1.8*I65+32</f>
        <v>71.960000000000008</v>
      </c>
      <c r="K65" s="3">
        <v>11.5</v>
      </c>
      <c r="L65" s="3">
        <f>IF(J65&gt;68,K65+(J65-68)*0.2,K65-(68-J65)*0.2)</f>
        <v>12.292000000000002</v>
      </c>
      <c r="M65" s="3">
        <f>(C65-H65)/C65*100</f>
        <v>59.839999999999996</v>
      </c>
      <c r="N65" s="3">
        <f>100-(M65+O65)</f>
        <v>15.575999999999993</v>
      </c>
      <c r="O65" s="3">
        <f>L65/C65*100</f>
        <v>24.584000000000003</v>
      </c>
      <c r="P65" s="2" t="s">
        <v>0</v>
      </c>
      <c r="Q65" s="1">
        <v>409093.42355299997</v>
      </c>
      <c r="R65" s="1">
        <v>3659351.6304469998</v>
      </c>
      <c r="T65" s="4">
        <v>2006111</v>
      </c>
      <c r="U65" s="4" t="s">
        <v>400</v>
      </c>
      <c r="V65" s="4">
        <v>5.3089999999999998E-2</v>
      </c>
      <c r="W65" s="4">
        <v>0.38219999999999998</v>
      </c>
      <c r="X65" s="4">
        <v>3.031E-2</v>
      </c>
      <c r="Y65" s="4">
        <v>1.3760399999999999</v>
      </c>
      <c r="Z65" s="4">
        <v>28.655950000000001</v>
      </c>
      <c r="AA65" s="4">
        <v>13.40278</v>
      </c>
      <c r="AB65" s="4">
        <v>-1.2957399999999999</v>
      </c>
    </row>
    <row r="66" spans="1:28" x14ac:dyDescent="0.25">
      <c r="A66" s="6">
        <v>7</v>
      </c>
      <c r="B66" s="4">
        <v>90</v>
      </c>
      <c r="C66" s="5">
        <v>50.01</v>
      </c>
      <c r="D66" s="4">
        <v>20</v>
      </c>
      <c r="E66" s="3">
        <v>23</v>
      </c>
      <c r="F66" s="3">
        <f>1.8*E66+32</f>
        <v>73.400000000000006</v>
      </c>
      <c r="G66" s="3">
        <v>21</v>
      </c>
      <c r="H66" s="3">
        <f>IF(F66&gt;68,G66+(F66-68)*0.2,#REF!-(68-F66)*0.2)</f>
        <v>22.080000000000002</v>
      </c>
      <c r="I66" s="3">
        <v>22.2</v>
      </c>
      <c r="J66" s="3">
        <f>1.8*I66+32</f>
        <v>71.960000000000008</v>
      </c>
      <c r="K66" s="3">
        <v>12</v>
      </c>
      <c r="L66" s="3">
        <f>IF(J66&gt;68,K66+(J66-68)*0.2,K66-(68-J66)*0.2)</f>
        <v>12.792000000000002</v>
      </c>
      <c r="M66" s="3">
        <f>(C66-H66)/C66*100</f>
        <v>55.848830233953208</v>
      </c>
      <c r="N66" s="3">
        <f>100-(M66+O66)</f>
        <v>18.572285542891422</v>
      </c>
      <c r="O66" s="3">
        <f>L66/C66*100</f>
        <v>25.578884223155374</v>
      </c>
      <c r="P66" s="2" t="s">
        <v>0</v>
      </c>
      <c r="Q66" s="1">
        <v>409093.42355299997</v>
      </c>
      <c r="R66" s="1">
        <v>3659351.6304469998</v>
      </c>
      <c r="T66" s="4">
        <v>2006111</v>
      </c>
      <c r="U66" s="4" t="s">
        <v>399</v>
      </c>
      <c r="V66" s="4">
        <v>5.4859999999999999E-2</v>
      </c>
      <c r="W66" s="4">
        <v>0.38100000000000001</v>
      </c>
      <c r="X66" s="4">
        <v>3.022E-2</v>
      </c>
      <c r="Y66" s="4">
        <v>1.3706400000000001</v>
      </c>
      <c r="Z66" s="4">
        <v>27.033010000000001</v>
      </c>
      <c r="AA66" s="4">
        <v>12.85854</v>
      </c>
      <c r="AB66" s="4">
        <v>-1.3350200000000001</v>
      </c>
    </row>
    <row r="67" spans="1:28" x14ac:dyDescent="0.25">
      <c r="A67" s="6">
        <v>7</v>
      </c>
      <c r="B67" s="4">
        <v>120</v>
      </c>
      <c r="C67" s="5">
        <v>50.01</v>
      </c>
      <c r="D67" s="4">
        <v>20</v>
      </c>
      <c r="E67" s="3">
        <v>25.2</v>
      </c>
      <c r="F67" s="3">
        <f>1.8*E67+32</f>
        <v>77.36</v>
      </c>
      <c r="G67" s="3">
        <v>21</v>
      </c>
      <c r="H67" s="3">
        <f>IF(F67&gt;68,G67+(F67-68)*0.2,#REF!-(68-F67)*0.2)</f>
        <v>22.872</v>
      </c>
      <c r="I67" s="3">
        <v>23</v>
      </c>
      <c r="J67" s="3">
        <f>1.8*I67+32</f>
        <v>73.400000000000006</v>
      </c>
      <c r="K67" s="3">
        <v>14</v>
      </c>
      <c r="L67" s="3">
        <f>IF(J67&gt;68,K67+(J67-68)*0.2,K67-(68-J67)*0.2)</f>
        <v>15.080000000000002</v>
      </c>
      <c r="M67" s="3">
        <f>(C67-H67)/C67*100</f>
        <v>54.265146970605883</v>
      </c>
      <c r="N67" s="3">
        <f>100-(M67+O67)</f>
        <v>15.580883823235354</v>
      </c>
      <c r="O67" s="3">
        <f>L67/C67*100</f>
        <v>30.15396920615877</v>
      </c>
      <c r="P67" s="2" t="s">
        <v>0</v>
      </c>
      <c r="Q67" s="1">
        <v>409093.42355299997</v>
      </c>
      <c r="R67" s="1">
        <v>3659351.6304469998</v>
      </c>
      <c r="T67" s="4">
        <v>2006111</v>
      </c>
      <c r="U67" s="4" t="s">
        <v>398</v>
      </c>
      <c r="V67" s="4">
        <v>5.9479999999999998E-2</v>
      </c>
      <c r="W67" s="4">
        <v>0.37958999999999998</v>
      </c>
      <c r="X67" s="4">
        <v>2.9000000000000001E-2</v>
      </c>
      <c r="Y67" s="4">
        <v>1.3468100000000001</v>
      </c>
      <c r="Z67" s="4">
        <v>21.024470000000001</v>
      </c>
      <c r="AA67" s="4">
        <v>11.0098</v>
      </c>
      <c r="AB67" s="4">
        <v>-1.44794</v>
      </c>
    </row>
    <row r="68" spans="1:28" x14ac:dyDescent="0.25">
      <c r="A68" s="6">
        <v>7</v>
      </c>
      <c r="B68" s="4">
        <v>150</v>
      </c>
      <c r="C68" s="5">
        <v>50</v>
      </c>
      <c r="D68" s="4">
        <v>20</v>
      </c>
      <c r="E68" s="3">
        <v>26</v>
      </c>
      <c r="F68" s="3">
        <f>1.8*E68+32</f>
        <v>78.800000000000011</v>
      </c>
      <c r="G68" s="3">
        <v>24.5</v>
      </c>
      <c r="H68" s="3">
        <f>IF(F68&gt;68,G68+(F68-68)*0.2,#REF!-(68-F68)*0.2)</f>
        <v>26.660000000000004</v>
      </c>
      <c r="I68" s="3">
        <v>23</v>
      </c>
      <c r="J68" s="3">
        <f>1.8*I68+32</f>
        <v>73.400000000000006</v>
      </c>
      <c r="K68" s="3">
        <v>14.5</v>
      </c>
      <c r="L68" s="3">
        <f>IF(J68&gt;68,K68+(J68-68)*0.2,K68-(68-J68)*0.2)</f>
        <v>15.580000000000002</v>
      </c>
      <c r="M68" s="3">
        <f>(C68-H68)/C68*100</f>
        <v>46.679999999999993</v>
      </c>
      <c r="N68" s="3">
        <f>100-(M68+O68)</f>
        <v>22.159999999999997</v>
      </c>
      <c r="O68" s="3">
        <f>L68/C68*100</f>
        <v>31.160000000000004</v>
      </c>
      <c r="P68" s="2" t="s">
        <v>0</v>
      </c>
      <c r="Q68" s="1">
        <v>409093.42355299997</v>
      </c>
      <c r="R68" s="1">
        <v>3659351.6304469998</v>
      </c>
      <c r="T68" s="4">
        <v>2006111</v>
      </c>
      <c r="U68" s="4" t="s">
        <v>397</v>
      </c>
      <c r="V68" s="4">
        <v>5.7869999999999998E-2</v>
      </c>
      <c r="W68" s="4">
        <v>0.37528</v>
      </c>
      <c r="X68" s="4">
        <v>2.947E-2</v>
      </c>
      <c r="Y68" s="4">
        <v>1.3858299999999999</v>
      </c>
      <c r="Z68" s="4">
        <v>26.65494</v>
      </c>
      <c r="AA68" s="4">
        <v>11.833970000000001</v>
      </c>
      <c r="AB68" s="4">
        <v>-1.32243</v>
      </c>
    </row>
    <row r="69" spans="1:28" x14ac:dyDescent="0.25">
      <c r="A69" s="6">
        <v>7</v>
      </c>
      <c r="B69" s="4">
        <v>180</v>
      </c>
      <c r="C69" s="5">
        <v>50.01</v>
      </c>
      <c r="D69" s="4">
        <v>20</v>
      </c>
      <c r="E69" s="3">
        <v>26</v>
      </c>
      <c r="F69" s="3">
        <f>1.8*E69+32</f>
        <v>78.800000000000011</v>
      </c>
      <c r="G69" s="3">
        <v>14</v>
      </c>
      <c r="H69" s="3">
        <f>IF(F69&gt;68,G69+(F69-68)*0.2,#REF!-(68-F69)*0.2)</f>
        <v>16.160000000000004</v>
      </c>
      <c r="I69" s="3">
        <v>23</v>
      </c>
      <c r="J69" s="3">
        <f>1.8*I69+32</f>
        <v>73.400000000000006</v>
      </c>
      <c r="K69" s="3">
        <v>8.5</v>
      </c>
      <c r="L69" s="3">
        <f>IF(J69&gt;68,K69+(J69-68)*0.2,K69-(68-J69)*0.2)</f>
        <v>9.5800000000000018</v>
      </c>
      <c r="M69" s="3">
        <f>(C69-H69)/C69*100</f>
        <v>67.686462707458489</v>
      </c>
      <c r="N69" s="3">
        <f>100-(M69+O69)</f>
        <v>13.157368526294761</v>
      </c>
      <c r="O69" s="3">
        <f>L69/C69*100</f>
        <v>19.156168766246758</v>
      </c>
      <c r="P69" s="2" t="s">
        <v>20</v>
      </c>
      <c r="Q69" s="1">
        <v>409093.42355299997</v>
      </c>
      <c r="R69" s="1">
        <v>3659351.6304469998</v>
      </c>
      <c r="T69" s="4">
        <v>2006111</v>
      </c>
      <c r="U69" s="4" t="s">
        <v>396</v>
      </c>
      <c r="V69" s="4">
        <v>5.8430000000000003E-2</v>
      </c>
      <c r="W69" s="4">
        <v>0.37751000000000001</v>
      </c>
      <c r="X69" s="4">
        <v>2.9479999999999999E-2</v>
      </c>
      <c r="Y69" s="4">
        <v>1.36103</v>
      </c>
      <c r="Z69" s="4">
        <v>23.476880000000001</v>
      </c>
      <c r="AA69" s="4">
        <v>11.51427</v>
      </c>
      <c r="AB69" s="4">
        <v>-1.40126</v>
      </c>
    </row>
    <row r="70" spans="1:28" x14ac:dyDescent="0.25">
      <c r="A70" s="6">
        <v>7</v>
      </c>
      <c r="B70" s="4">
        <v>210</v>
      </c>
      <c r="C70" s="5">
        <v>50</v>
      </c>
      <c r="D70" s="4">
        <v>20</v>
      </c>
      <c r="E70" s="3">
        <v>26</v>
      </c>
      <c r="F70" s="3">
        <f>1.8*E70+32</f>
        <v>78.800000000000011</v>
      </c>
      <c r="G70" s="3">
        <v>14.5</v>
      </c>
      <c r="H70" s="3">
        <f>IF(F70&gt;68,G70+(F70-68)*0.2,#REF!-(68-F70)*0.2)</f>
        <v>16.660000000000004</v>
      </c>
      <c r="I70" s="3">
        <v>23</v>
      </c>
      <c r="J70" s="3">
        <f>1.8*I70+32</f>
        <v>73.400000000000006</v>
      </c>
      <c r="K70" s="3">
        <v>8.5</v>
      </c>
      <c r="L70" s="3">
        <f>IF(J70&gt;68,K70+(J70-68)*0.2,K70-(68-J70)*0.2)</f>
        <v>9.5800000000000018</v>
      </c>
      <c r="M70" s="3">
        <f>(C70-H70)/C70*100</f>
        <v>66.679999999999993</v>
      </c>
      <c r="N70" s="3">
        <f>100-(M70+O70)</f>
        <v>14.159999999999997</v>
      </c>
      <c r="O70" s="3">
        <f>L70/C70*100</f>
        <v>19.160000000000004</v>
      </c>
      <c r="P70" s="2" t="s">
        <v>0</v>
      </c>
      <c r="Q70" s="1">
        <v>409093.42355299997</v>
      </c>
      <c r="R70" s="1">
        <v>3659351.6304469998</v>
      </c>
      <c r="T70" s="4">
        <v>2006111</v>
      </c>
      <c r="U70" s="4" t="s">
        <v>216</v>
      </c>
      <c r="V70" s="4">
        <v>6.4339999999999994E-2</v>
      </c>
      <c r="W70" s="4">
        <v>0.38528000000000001</v>
      </c>
      <c r="X70" s="4">
        <v>2.6870000000000002E-2</v>
      </c>
      <c r="Y70" s="4">
        <v>1.32504</v>
      </c>
      <c r="Z70" s="4">
        <v>15.238709999999999</v>
      </c>
      <c r="AA70" s="4">
        <v>9.2645300000000006</v>
      </c>
      <c r="AB70" s="4">
        <v>-1.5164599999999999</v>
      </c>
    </row>
    <row r="71" spans="1:28" x14ac:dyDescent="0.25">
      <c r="A71" s="6">
        <v>7</v>
      </c>
      <c r="B71" s="4">
        <v>240</v>
      </c>
      <c r="C71" s="5">
        <v>50.01</v>
      </c>
      <c r="D71" s="4">
        <v>20</v>
      </c>
      <c r="E71" s="3">
        <v>26</v>
      </c>
      <c r="F71" s="3">
        <f>1.8*E71+32</f>
        <v>78.800000000000011</v>
      </c>
      <c r="G71" s="3">
        <v>10.5</v>
      </c>
      <c r="H71" s="3">
        <f>IF(F71&gt;68,G71+(F71-68)*0.2,#REF!-(68-F71)*0.2)</f>
        <v>12.660000000000002</v>
      </c>
      <c r="I71" s="3">
        <v>23</v>
      </c>
      <c r="J71" s="3">
        <f>1.8*I71+32</f>
        <v>73.400000000000006</v>
      </c>
      <c r="K71" s="3">
        <v>8</v>
      </c>
      <c r="L71" s="3">
        <f>IF(J71&gt;68,K71+(J71-68)*0.2,K71-(68-J71)*0.2)</f>
        <v>9.0800000000000018</v>
      </c>
      <c r="M71" s="3">
        <f>(C71-H71)/C71*100</f>
        <v>74.685062987402503</v>
      </c>
      <c r="N71" s="3">
        <f>100-(M71+O71)</f>
        <v>7.1585682863427422</v>
      </c>
      <c r="O71" s="3">
        <f>L71/C71*100</f>
        <v>18.156368726254755</v>
      </c>
      <c r="P71" s="2" t="s">
        <v>20</v>
      </c>
      <c r="Q71" s="1">
        <v>409093.42355299997</v>
      </c>
      <c r="R71" s="1">
        <v>3659351.6304469998</v>
      </c>
      <c r="T71" s="4">
        <v>2006111</v>
      </c>
      <c r="U71" s="4" t="s">
        <v>215</v>
      </c>
      <c r="V71" s="4">
        <v>6.4460000000000003E-2</v>
      </c>
      <c r="W71" s="4">
        <v>0.38640000000000002</v>
      </c>
      <c r="X71" s="4">
        <v>2.649E-2</v>
      </c>
      <c r="Y71" s="4">
        <v>1.32738</v>
      </c>
      <c r="Z71" s="4">
        <v>14.9939</v>
      </c>
      <c r="AA71" s="4">
        <v>9.15137</v>
      </c>
      <c r="AB71" s="4">
        <v>-1.4900800000000001</v>
      </c>
    </row>
    <row r="72" spans="1:28" x14ac:dyDescent="0.25">
      <c r="A72" s="6"/>
      <c r="B72" s="4"/>
      <c r="C72" s="5"/>
      <c r="D72" s="4"/>
      <c r="E72" s="3"/>
      <c r="F72" s="3"/>
      <c r="G72" s="3"/>
      <c r="H72" s="3" t="e">
        <f>IF(F72&gt;68,G72+(F72-68)*0.2,#REF!-(68-F72)*0.2)</f>
        <v>#REF!</v>
      </c>
      <c r="I72" s="3"/>
      <c r="J72" s="3"/>
      <c r="K72" s="3"/>
      <c r="L72" s="3">
        <f>IF(J72&gt;68,K72+(J72-68)*0.2,K72-(68-J72)*0.2)</f>
        <v>-13.600000000000001</v>
      </c>
      <c r="M72" s="3"/>
      <c r="N72" s="3"/>
      <c r="O72" s="3"/>
      <c r="P72" s="2"/>
      <c r="Q72" s="1">
        <v>409093.42355299997</v>
      </c>
      <c r="R72" s="1">
        <v>3659351.6304469998</v>
      </c>
      <c r="T72" s="4">
        <v>2006111</v>
      </c>
      <c r="U72" s="4" t="s">
        <v>214</v>
      </c>
      <c r="V72" s="4">
        <v>6.6070000000000004E-2</v>
      </c>
      <c r="W72" s="4">
        <v>0.38890000000000002</v>
      </c>
      <c r="X72" s="4">
        <v>2.564E-2</v>
      </c>
      <c r="Y72" s="4">
        <v>1.3257300000000001</v>
      </c>
      <c r="Z72" s="4">
        <v>13.555709999999999</v>
      </c>
      <c r="AA72" s="4">
        <v>8.6399600000000003</v>
      </c>
      <c r="AB72" s="4">
        <v>-1.4784600000000001</v>
      </c>
    </row>
    <row r="73" spans="1:28" x14ac:dyDescent="0.25">
      <c r="A73" s="6"/>
      <c r="B73" s="4"/>
      <c r="C73" s="5"/>
      <c r="D73" s="4"/>
      <c r="E73" s="3"/>
      <c r="F73" s="3"/>
      <c r="G73" s="3"/>
      <c r="H73" s="3" t="e">
        <f>IF(F73&gt;68,G73+(F73-68)*0.2,#REF!-(68-F73)*0.2)</f>
        <v>#REF!</v>
      </c>
      <c r="I73" s="3"/>
      <c r="J73" s="3"/>
      <c r="K73" s="3"/>
      <c r="L73" s="3">
        <f>IF(J73&gt;68,K73+(J73-68)*0.2,K73-(68-J73)*0.2)</f>
        <v>-13.600000000000001</v>
      </c>
      <c r="M73" s="3"/>
      <c r="N73" s="3"/>
      <c r="O73" s="3"/>
      <c r="P73" s="2"/>
      <c r="Q73" s="1">
        <v>409093.42355299997</v>
      </c>
      <c r="R73" s="1">
        <v>3659351.6304469998</v>
      </c>
      <c r="T73" s="4">
        <v>2006111</v>
      </c>
      <c r="U73" s="4" t="s">
        <v>213</v>
      </c>
      <c r="V73" s="4">
        <v>8.5919999999999996E-2</v>
      </c>
      <c r="W73" s="4">
        <v>0.43902999999999998</v>
      </c>
      <c r="X73" s="4">
        <v>1.8020000000000001E-2</v>
      </c>
      <c r="Y73" s="4">
        <v>1.3081</v>
      </c>
      <c r="Z73" s="4">
        <v>5.7348499999999998</v>
      </c>
      <c r="AA73" s="4">
        <v>4.67082</v>
      </c>
      <c r="AB73" s="4">
        <v>-1.2852399999999999</v>
      </c>
    </row>
    <row r="74" spans="1:28" x14ac:dyDescent="0.25">
      <c r="A74" s="36"/>
      <c r="C74" s="35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3"/>
      <c r="T74" s="4">
        <v>2006111</v>
      </c>
      <c r="U74" s="4" t="s">
        <v>212</v>
      </c>
      <c r="V74" s="4">
        <v>7.7200000000000005E-2</v>
      </c>
      <c r="W74" s="4">
        <v>0.41289999999999999</v>
      </c>
      <c r="X74" s="4">
        <v>1.975E-2</v>
      </c>
      <c r="Y74" s="4">
        <v>1.3321099999999999</v>
      </c>
      <c r="Z74" s="4">
        <v>6.4456199999999999</v>
      </c>
      <c r="AA74" s="4">
        <v>5.6944100000000004</v>
      </c>
      <c r="AB74" s="4">
        <v>-1.25528</v>
      </c>
    </row>
    <row r="75" spans="1:28" ht="51.75" x14ac:dyDescent="0.25">
      <c r="A75" s="15" t="s">
        <v>19</v>
      </c>
      <c r="B75" s="10" t="s">
        <v>18</v>
      </c>
      <c r="C75" s="14" t="s">
        <v>17</v>
      </c>
      <c r="D75" s="13" t="s">
        <v>16</v>
      </c>
      <c r="E75" s="12" t="s">
        <v>15</v>
      </c>
      <c r="F75" s="12" t="s">
        <v>14</v>
      </c>
      <c r="G75" s="12" t="s">
        <v>13</v>
      </c>
      <c r="H75" s="12" t="s">
        <v>12</v>
      </c>
      <c r="I75" s="12" t="s">
        <v>11</v>
      </c>
      <c r="J75" s="12" t="s">
        <v>10</v>
      </c>
      <c r="K75" s="12" t="s">
        <v>9</v>
      </c>
      <c r="L75" s="12" t="s">
        <v>8</v>
      </c>
      <c r="M75" s="11" t="s">
        <v>7</v>
      </c>
      <c r="N75" s="11" t="s">
        <v>6</v>
      </c>
      <c r="O75" s="11" t="s">
        <v>5</v>
      </c>
      <c r="P75" s="10" t="s">
        <v>4</v>
      </c>
      <c r="Q75" s="9" t="s">
        <v>3</v>
      </c>
      <c r="R75" s="8"/>
      <c r="T75" s="4">
        <v>2006111</v>
      </c>
      <c r="U75" s="4" t="s">
        <v>211</v>
      </c>
      <c r="V75" s="4">
        <v>6.4199999999999993E-2</v>
      </c>
      <c r="W75" s="4">
        <v>0.38352999999999998</v>
      </c>
      <c r="X75" s="4">
        <v>2.7349999999999999E-2</v>
      </c>
      <c r="Y75" s="4">
        <v>1.32196</v>
      </c>
      <c r="Z75" s="4">
        <v>15.55772</v>
      </c>
      <c r="AA75" s="4">
        <v>9.3888599999999993</v>
      </c>
      <c r="AB75" s="4">
        <v>-1.5523199999999999</v>
      </c>
    </row>
    <row r="76" spans="1:28" x14ac:dyDescent="0.25">
      <c r="A76" s="15"/>
      <c r="B76" s="10"/>
      <c r="C76" s="14"/>
      <c r="D76" s="13"/>
      <c r="E76" s="12"/>
      <c r="F76" s="12"/>
      <c r="G76" s="12"/>
      <c r="H76" s="12"/>
      <c r="I76" s="12"/>
      <c r="J76" s="12"/>
      <c r="K76" s="12"/>
      <c r="L76" s="12"/>
      <c r="M76" s="11"/>
      <c r="N76" s="11"/>
      <c r="O76" s="11"/>
      <c r="P76" s="10"/>
      <c r="Q76" s="7" t="s">
        <v>2</v>
      </c>
      <c r="R76" s="7" t="s">
        <v>1</v>
      </c>
      <c r="T76" s="4">
        <v>2006111</v>
      </c>
      <c r="U76" s="4" t="s">
        <v>395</v>
      </c>
      <c r="V76" s="4">
        <v>5.8979999999999998E-2</v>
      </c>
      <c r="W76" s="4">
        <v>0.37758000000000003</v>
      </c>
      <c r="X76" s="4">
        <v>2.929E-2</v>
      </c>
      <c r="Y76" s="4">
        <v>1.3562000000000001</v>
      </c>
      <c r="Z76" s="4">
        <v>22.51698</v>
      </c>
      <c r="AA76" s="4">
        <v>11.26642</v>
      </c>
      <c r="AB76" s="4">
        <v>-1.41991</v>
      </c>
    </row>
    <row r="77" spans="1:28" x14ac:dyDescent="0.25">
      <c r="A77" s="6">
        <v>8</v>
      </c>
      <c r="B77" s="4">
        <v>240</v>
      </c>
      <c r="C77" s="5">
        <v>50.01</v>
      </c>
      <c r="D77" s="4">
        <v>20</v>
      </c>
      <c r="E77" s="3">
        <v>26</v>
      </c>
      <c r="F77" s="3">
        <f>1.8*E77+32</f>
        <v>78.800000000000011</v>
      </c>
      <c r="G77" s="3">
        <v>21</v>
      </c>
      <c r="H77" s="3">
        <f>IF(F77&gt;68,G77+(F77-68)*0.2,#REF!-(68-F77)*0.2)</f>
        <v>23.160000000000004</v>
      </c>
      <c r="I77" s="3">
        <v>22.2</v>
      </c>
      <c r="J77" s="3">
        <f>1.8*I77+32</f>
        <v>71.960000000000008</v>
      </c>
      <c r="K77" s="3">
        <v>9</v>
      </c>
      <c r="L77" s="3">
        <f>IF(J77&gt;68,K77+(J77-68)*0.2,K77-(68-J77)*0.2)</f>
        <v>9.7920000000000016</v>
      </c>
      <c r="M77" s="3">
        <f>(C77-H77)/C77*100</f>
        <v>53.689262147570474</v>
      </c>
      <c r="N77" s="3">
        <f>100-(M77+O77)</f>
        <v>26.73065386922616</v>
      </c>
      <c r="O77" s="3">
        <f>L77/C77*100</f>
        <v>19.580083983203362</v>
      </c>
      <c r="P77" s="2" t="s">
        <v>0</v>
      </c>
      <c r="Q77" s="1">
        <v>409105.64320699999</v>
      </c>
      <c r="R77" s="1">
        <v>3659351.4220619998</v>
      </c>
      <c r="T77" s="4">
        <v>2006111</v>
      </c>
      <c r="U77" s="4" t="s">
        <v>394</v>
      </c>
      <c r="V77" s="4">
        <v>5.8979999999999998E-2</v>
      </c>
      <c r="W77" s="4">
        <v>0.37203000000000003</v>
      </c>
      <c r="X77" s="4">
        <v>2.811E-2</v>
      </c>
      <c r="Y77" s="4">
        <v>1.4277500000000001</v>
      </c>
      <c r="Z77" s="4">
        <v>29.962540000000001</v>
      </c>
      <c r="AA77" s="4">
        <v>11.27416</v>
      </c>
      <c r="AB77" s="4">
        <v>-1.2123299999999999</v>
      </c>
    </row>
    <row r="78" spans="1:28" x14ac:dyDescent="0.25">
      <c r="A78" s="6">
        <v>8</v>
      </c>
      <c r="B78" s="4">
        <v>270</v>
      </c>
      <c r="C78" s="5">
        <v>50</v>
      </c>
      <c r="D78" s="4">
        <v>20</v>
      </c>
      <c r="E78" s="3">
        <v>24.5</v>
      </c>
      <c r="F78" s="3">
        <f>1.8*E78+32</f>
        <v>76.099999999999994</v>
      </c>
      <c r="G78" s="3">
        <v>15</v>
      </c>
      <c r="H78" s="3">
        <f>IF(F78&gt;68,G78+(F78-68)*0.2,#REF!-(68-F78)*0.2)</f>
        <v>16.619999999999997</v>
      </c>
      <c r="I78" s="3">
        <v>22.2</v>
      </c>
      <c r="J78" s="3">
        <f>1.8*I78+32</f>
        <v>71.960000000000008</v>
      </c>
      <c r="K78" s="3">
        <v>7.5</v>
      </c>
      <c r="L78" s="3">
        <f>IF(J78&gt;68,K78+(J78-68)*0.2,K78-(68-J78)*0.2)</f>
        <v>8.2920000000000016</v>
      </c>
      <c r="M78" s="3">
        <f>(C78-H78)/C78*100</f>
        <v>66.760000000000005</v>
      </c>
      <c r="N78" s="3">
        <f>100-(M78+O78)</f>
        <v>16.655999999999992</v>
      </c>
      <c r="O78" s="3">
        <f>L78/C78*100</f>
        <v>16.584000000000003</v>
      </c>
      <c r="P78" s="2" t="s">
        <v>20</v>
      </c>
      <c r="Q78" s="1">
        <v>409105.64320699999</v>
      </c>
      <c r="R78" s="1">
        <v>3659351.4220619998</v>
      </c>
      <c r="T78" s="4">
        <v>2006111</v>
      </c>
      <c r="U78" s="4" t="s">
        <v>393</v>
      </c>
      <c r="V78" s="4">
        <v>5.4469999999999998E-2</v>
      </c>
      <c r="W78" s="4">
        <v>0.37908999999999998</v>
      </c>
      <c r="X78" s="4">
        <v>3.0939999999999999E-2</v>
      </c>
      <c r="Y78" s="4">
        <v>1.3847799999999999</v>
      </c>
      <c r="Z78" s="4">
        <v>29.894649999999999</v>
      </c>
      <c r="AA78" s="4">
        <v>13.44476</v>
      </c>
      <c r="AB78" s="4">
        <v>-1.3101400000000001</v>
      </c>
    </row>
    <row r="79" spans="1:28" x14ac:dyDescent="0.25">
      <c r="A79" s="6">
        <v>8</v>
      </c>
      <c r="B79" s="4">
        <v>300</v>
      </c>
      <c r="C79" s="5">
        <v>50.01</v>
      </c>
      <c r="D79" s="4">
        <v>20</v>
      </c>
      <c r="E79" s="3">
        <v>24</v>
      </c>
      <c r="F79" s="3">
        <f>1.8*E79+32</f>
        <v>75.2</v>
      </c>
      <c r="G79" s="3">
        <v>16.5</v>
      </c>
      <c r="H79" s="3">
        <f>IF(F79&gt;68,G79+(F79-68)*0.2,#REF!-(68-F79)*0.2)</f>
        <v>17.940000000000001</v>
      </c>
      <c r="I79" s="3">
        <v>22.2</v>
      </c>
      <c r="J79" s="3">
        <f>1.8*I79+32</f>
        <v>71.960000000000008</v>
      </c>
      <c r="K79" s="3">
        <v>8</v>
      </c>
      <c r="L79" s="3">
        <f>IF(J79&gt;68,K79+(J79-68)*0.2,K79-(68-J79)*0.2)</f>
        <v>8.7920000000000016</v>
      </c>
      <c r="M79" s="3">
        <f>(C79-H79)/C79*100</f>
        <v>64.127174565086975</v>
      </c>
      <c r="N79" s="3">
        <f>100-(M79+O79)</f>
        <v>18.292341531693666</v>
      </c>
      <c r="O79" s="3">
        <f>L79/C79*100</f>
        <v>17.58048390321936</v>
      </c>
      <c r="P79" s="2" t="s">
        <v>20</v>
      </c>
      <c r="Q79" s="1">
        <v>409105.64320699999</v>
      </c>
      <c r="R79" s="1">
        <v>3659351.4220619998</v>
      </c>
      <c r="T79" s="4">
        <v>2006111</v>
      </c>
      <c r="U79" s="4" t="s">
        <v>392</v>
      </c>
      <c r="V79" s="4">
        <v>6.8790000000000004E-2</v>
      </c>
      <c r="W79" s="4">
        <v>0.39132</v>
      </c>
      <c r="X79" s="4">
        <v>2.5190000000000001E-2</v>
      </c>
      <c r="Y79" s="4">
        <v>1.31549</v>
      </c>
      <c r="Z79" s="4">
        <v>11.74729</v>
      </c>
      <c r="AA79" s="4">
        <v>8.0810700000000004</v>
      </c>
      <c r="AB79" s="4">
        <v>-1.5361199999999999</v>
      </c>
    </row>
    <row r="80" spans="1:28" x14ac:dyDescent="0.25">
      <c r="A80" s="6"/>
      <c r="B80" s="4"/>
      <c r="C80" s="5"/>
      <c r="D80" s="4"/>
      <c r="E80" s="3"/>
      <c r="F80" s="3"/>
      <c r="G80" s="3"/>
      <c r="H80" s="3" t="e">
        <f>IF(F80&gt;68,G80+(F80-68)*0.2,#REF!-(68-F80)*0.2)</f>
        <v>#REF!</v>
      </c>
      <c r="I80" s="3"/>
      <c r="J80" s="3"/>
      <c r="K80" s="3"/>
      <c r="L80" s="3">
        <f>IF(J80&gt;68,K80+(J80-68)*0.2,K80-(68-J80)*0.2)</f>
        <v>-13.600000000000001</v>
      </c>
      <c r="M80" s="3"/>
      <c r="N80" s="3"/>
      <c r="O80" s="3"/>
      <c r="P80" s="2"/>
      <c r="Q80" s="1">
        <v>409105.64320699999</v>
      </c>
      <c r="R80" s="1">
        <v>3659351.4220619998</v>
      </c>
      <c r="T80" s="4">
        <v>2006111</v>
      </c>
      <c r="U80" s="4" t="s">
        <v>210</v>
      </c>
      <c r="V80" s="4">
        <v>6.4839999999999995E-2</v>
      </c>
      <c r="W80" s="4">
        <v>0.38118000000000002</v>
      </c>
      <c r="X80" s="4">
        <v>2.7650000000000001E-2</v>
      </c>
      <c r="Y80" s="4">
        <v>1.3147200000000001</v>
      </c>
      <c r="Z80" s="4">
        <v>15.338039999999999</v>
      </c>
      <c r="AA80" s="4">
        <v>9.2503499999999992</v>
      </c>
      <c r="AB80" s="4">
        <v>-1.6166700000000001</v>
      </c>
    </row>
    <row r="81" spans="1:28" x14ac:dyDescent="0.25">
      <c r="A81" s="6"/>
      <c r="B81" s="4"/>
      <c r="C81" s="5"/>
      <c r="D81" s="4"/>
      <c r="E81" s="3"/>
      <c r="F81" s="3"/>
      <c r="G81" s="3"/>
      <c r="H81" s="3" t="e">
        <f>IF(F81&gt;68,G81+(F81-68)*0.2,#REF!-(68-F81)*0.2)</f>
        <v>#REF!</v>
      </c>
      <c r="I81" s="3"/>
      <c r="J81" s="3"/>
      <c r="K81" s="3"/>
      <c r="L81" s="3">
        <f>IF(J81&gt;68,K81+(J81-68)*0.2,K81-(68-J81)*0.2)</f>
        <v>-13.600000000000001</v>
      </c>
      <c r="M81" s="3"/>
      <c r="N81" s="3"/>
      <c r="O81" s="3"/>
      <c r="P81" s="2"/>
      <c r="Q81" s="1">
        <v>409105.64320699999</v>
      </c>
      <c r="R81" s="1">
        <v>3659351.4220619998</v>
      </c>
      <c r="T81" s="4">
        <v>2006111</v>
      </c>
      <c r="U81" s="4" t="s">
        <v>209</v>
      </c>
      <c r="V81" s="4">
        <v>6.3960000000000003E-2</v>
      </c>
      <c r="W81" s="4">
        <v>0.37534000000000001</v>
      </c>
      <c r="X81" s="4">
        <v>2.7560000000000001E-2</v>
      </c>
      <c r="Y81" s="4">
        <v>1.3246199999999999</v>
      </c>
      <c r="Z81" s="4">
        <v>16.874359999999999</v>
      </c>
      <c r="AA81" s="4">
        <v>9.2418600000000009</v>
      </c>
      <c r="AB81" s="4">
        <v>-1.57169</v>
      </c>
    </row>
    <row r="82" spans="1:28" x14ac:dyDescent="0.25">
      <c r="A82" s="6"/>
      <c r="B82" s="4"/>
      <c r="C82" s="5"/>
      <c r="D82" s="4"/>
      <c r="E82" s="3"/>
      <c r="F82" s="3"/>
      <c r="G82" s="3"/>
      <c r="H82" s="3" t="e">
        <f>IF(F82&gt;68,G82+(F82-68)*0.2,#REF!-(68-F82)*0.2)</f>
        <v>#REF!</v>
      </c>
      <c r="I82" s="3"/>
      <c r="J82" s="3"/>
      <c r="K82" s="3"/>
      <c r="L82" s="3">
        <f>IF(J82&gt;68,K82+(J82-68)*0.2,K82-(68-J82)*0.2)</f>
        <v>-13.600000000000001</v>
      </c>
      <c r="M82" s="3"/>
      <c r="N82" s="3"/>
      <c r="O82" s="3"/>
      <c r="P82" s="2"/>
      <c r="Q82" s="1">
        <v>409105.64320699999</v>
      </c>
      <c r="R82" s="1">
        <v>3659351.4220619998</v>
      </c>
      <c r="T82" s="4">
        <v>2006111</v>
      </c>
      <c r="U82" s="4" t="s">
        <v>208</v>
      </c>
      <c r="V82" s="4">
        <v>5.6390000000000003E-2</v>
      </c>
      <c r="W82" s="4">
        <v>0.38100000000000001</v>
      </c>
      <c r="X82" s="4">
        <v>2.9669999999999998E-2</v>
      </c>
      <c r="Y82" s="4">
        <v>1.36208</v>
      </c>
      <c r="Z82" s="4">
        <v>24.699069999999999</v>
      </c>
      <c r="AA82" s="4">
        <v>12.15546</v>
      </c>
      <c r="AB82" s="4">
        <v>-1.36778</v>
      </c>
    </row>
    <row r="83" spans="1:28" x14ac:dyDescent="0.25">
      <c r="A83" s="6"/>
      <c r="B83" s="4"/>
      <c r="C83" s="5"/>
      <c r="D83" s="4"/>
      <c r="E83" s="3"/>
      <c r="F83" s="3"/>
      <c r="G83" s="3"/>
      <c r="H83" s="3" t="e">
        <f>IF(F83&gt;68,G83+(F83-68)*0.2,#REF!-(68-F83)*0.2)</f>
        <v>#REF!</v>
      </c>
      <c r="I83" s="3"/>
      <c r="J83" s="3"/>
      <c r="K83" s="3"/>
      <c r="L83" s="3">
        <f>IF(J83&gt;68,K83+(J83-68)*0.2,K83-(68-J83)*0.2)</f>
        <v>-13.600000000000001</v>
      </c>
      <c r="M83" s="3"/>
      <c r="N83" s="3"/>
      <c r="O83" s="3"/>
      <c r="P83" s="2"/>
      <c r="Q83" s="1">
        <v>409105.64320699999</v>
      </c>
      <c r="R83" s="1">
        <v>3659351.4220619998</v>
      </c>
      <c r="T83" s="4">
        <v>2006111</v>
      </c>
      <c r="U83" s="4" t="s">
        <v>207</v>
      </c>
      <c r="V83" s="4">
        <v>5.4899999999999997E-2</v>
      </c>
      <c r="W83" s="4">
        <v>0.38073000000000001</v>
      </c>
      <c r="X83" s="4">
        <v>3.0300000000000001E-2</v>
      </c>
      <c r="Y83" s="4">
        <v>1.3714299999999999</v>
      </c>
      <c r="Z83" s="4">
        <v>27.209340000000001</v>
      </c>
      <c r="AA83" s="4">
        <v>12.89404</v>
      </c>
      <c r="AB83" s="4">
        <v>-1.3359300000000001</v>
      </c>
    </row>
    <row r="84" spans="1:28" x14ac:dyDescent="0.25">
      <c r="A84" s="6"/>
      <c r="B84" s="4"/>
      <c r="C84" s="5"/>
      <c r="D84" s="4"/>
      <c r="E84" s="3"/>
      <c r="F84" s="3"/>
      <c r="G84" s="3"/>
      <c r="H84" s="3" t="e">
        <f>IF(F84&gt;68,G84+(F84-68)*0.2,#REF!-(68-F84)*0.2)</f>
        <v>#REF!</v>
      </c>
      <c r="I84" s="3"/>
      <c r="J84" s="3"/>
      <c r="K84" s="3"/>
      <c r="L84" s="3">
        <f>IF(J84&gt;68,K84+(J84-68)*0.2,K84-(68-J84)*0.2)</f>
        <v>-13.600000000000001</v>
      </c>
      <c r="M84" s="3"/>
      <c r="N84" s="3"/>
      <c r="O84" s="3"/>
      <c r="P84" s="2"/>
      <c r="Q84" s="1">
        <v>409105.64320699999</v>
      </c>
      <c r="R84" s="1">
        <v>3659351.4220619998</v>
      </c>
      <c r="T84" s="4">
        <v>2006111</v>
      </c>
      <c r="U84" s="4" t="s">
        <v>206</v>
      </c>
      <c r="V84" s="4">
        <v>6.0839999999999998E-2</v>
      </c>
      <c r="W84" s="4">
        <v>0.38022</v>
      </c>
      <c r="X84" s="4">
        <v>2.8549999999999999E-2</v>
      </c>
      <c r="Y84" s="4">
        <v>1.3381099999999999</v>
      </c>
      <c r="Z84" s="4">
        <v>19.20673</v>
      </c>
      <c r="AA84" s="4">
        <v>10.491020000000001</v>
      </c>
      <c r="AB84" s="4">
        <v>-1.48533</v>
      </c>
    </row>
    <row r="85" spans="1:28" x14ac:dyDescent="0.25">
      <c r="A85" s="6"/>
      <c r="B85" s="4"/>
      <c r="C85" s="5"/>
      <c r="D85" s="4"/>
      <c r="E85" s="3"/>
      <c r="F85" s="3"/>
      <c r="G85" s="3"/>
      <c r="H85" s="3" t="e">
        <f>IF(F85&gt;68,G85+(F85-68)*0.2,#REF!-(68-F85)*0.2)</f>
        <v>#REF!</v>
      </c>
      <c r="I85" s="3"/>
      <c r="J85" s="3"/>
      <c r="K85" s="3"/>
      <c r="L85" s="3">
        <f>IF(J85&gt;68,K85+(J85-68)*0.2,K85-(68-J85)*0.2)</f>
        <v>-13.600000000000001</v>
      </c>
      <c r="M85" s="3"/>
      <c r="N85" s="3"/>
      <c r="O85" s="3"/>
      <c r="P85" s="2"/>
      <c r="Q85" s="1">
        <v>409105.64320699999</v>
      </c>
      <c r="R85" s="1">
        <v>3659351.4220619998</v>
      </c>
      <c r="T85" s="4">
        <v>2006111</v>
      </c>
      <c r="U85" s="4" t="s">
        <v>205</v>
      </c>
      <c r="V85" s="4">
        <v>6.2239999999999997E-2</v>
      </c>
      <c r="W85" s="4">
        <v>0.37964999999999999</v>
      </c>
      <c r="X85" s="4">
        <v>2.827E-2</v>
      </c>
      <c r="Y85" s="4">
        <v>1.32999</v>
      </c>
      <c r="Z85" s="4">
        <v>17.782689999999999</v>
      </c>
      <c r="AA85" s="4">
        <v>10.02229</v>
      </c>
      <c r="AB85" s="4">
        <v>-1.5324899999999999</v>
      </c>
    </row>
    <row r="86" spans="1:28" x14ac:dyDescent="0.25">
      <c r="A86" s="6"/>
      <c r="B86" s="4"/>
      <c r="C86" s="5"/>
      <c r="D86" s="4"/>
      <c r="E86" s="3"/>
      <c r="F86" s="3"/>
      <c r="G86" s="3"/>
      <c r="H86" s="3" t="e">
        <f>IF(F86&gt;68,G86+(F86-68)*0.2,#REF!-(68-F86)*0.2)</f>
        <v>#REF!</v>
      </c>
      <c r="I86" s="3"/>
      <c r="J86" s="3"/>
      <c r="K86" s="3"/>
      <c r="L86" s="3">
        <f>IF(J86&gt;68,K86+(J86-68)*0.2,K86-(68-J86)*0.2)</f>
        <v>-13.600000000000001</v>
      </c>
      <c r="M86" s="3"/>
      <c r="N86" s="3"/>
      <c r="O86" s="3"/>
      <c r="P86" s="2"/>
      <c r="Q86" s="1">
        <v>409105.64320699999</v>
      </c>
      <c r="R86" s="1">
        <v>3659351.4220619998</v>
      </c>
      <c r="T86" s="4">
        <v>2006111</v>
      </c>
      <c r="U86" s="4" t="s">
        <v>391</v>
      </c>
      <c r="V86" s="4">
        <v>6.4829999999999999E-2</v>
      </c>
      <c r="W86" s="4">
        <v>0.38117000000000001</v>
      </c>
      <c r="X86" s="4">
        <v>2.7650000000000001E-2</v>
      </c>
      <c r="Y86" s="4">
        <v>1.3147500000000001</v>
      </c>
      <c r="Z86" s="4">
        <v>15.343400000000001</v>
      </c>
      <c r="AA86" s="4">
        <v>9.2519899999999993</v>
      </c>
      <c r="AB86" s="4">
        <v>-1.6165</v>
      </c>
    </row>
    <row r="87" spans="1:28" x14ac:dyDescent="0.25">
      <c r="T87" s="4">
        <v>2006111</v>
      </c>
      <c r="U87" s="4" t="s">
        <v>390</v>
      </c>
      <c r="V87" s="4">
        <v>5.8049999999999997E-2</v>
      </c>
      <c r="W87" s="4">
        <v>0.37295</v>
      </c>
      <c r="X87" s="4">
        <v>2.8760000000000001E-2</v>
      </c>
      <c r="Y87" s="4">
        <v>1.4279500000000001</v>
      </c>
      <c r="Z87" s="4">
        <v>31.21801</v>
      </c>
      <c r="AA87" s="4">
        <v>11.829980000000001</v>
      </c>
      <c r="AB87" s="4">
        <v>-1.2141999999999999</v>
      </c>
    </row>
    <row r="88" spans="1:28" ht="51.75" x14ac:dyDescent="0.25">
      <c r="A88" s="15" t="s">
        <v>19</v>
      </c>
      <c r="B88" s="10" t="s">
        <v>18</v>
      </c>
      <c r="C88" s="14" t="s">
        <v>17</v>
      </c>
      <c r="D88" s="13" t="s">
        <v>16</v>
      </c>
      <c r="E88" s="12" t="s">
        <v>15</v>
      </c>
      <c r="F88" s="12" t="s">
        <v>14</v>
      </c>
      <c r="G88" s="12" t="s">
        <v>13</v>
      </c>
      <c r="H88" s="12" t="s">
        <v>12</v>
      </c>
      <c r="I88" s="12" t="s">
        <v>11</v>
      </c>
      <c r="J88" s="12" t="s">
        <v>10</v>
      </c>
      <c r="K88" s="12" t="s">
        <v>9</v>
      </c>
      <c r="L88" s="12" t="s">
        <v>8</v>
      </c>
      <c r="M88" s="11" t="s">
        <v>7</v>
      </c>
      <c r="N88" s="11" t="s">
        <v>6</v>
      </c>
      <c r="O88" s="11" t="s">
        <v>5</v>
      </c>
      <c r="P88" s="10" t="s">
        <v>4</v>
      </c>
      <c r="Q88" s="9" t="s">
        <v>3</v>
      </c>
      <c r="R88" s="8"/>
      <c r="T88" s="4">
        <v>2006111</v>
      </c>
      <c r="U88" s="4" t="s">
        <v>389</v>
      </c>
      <c r="V88" s="4">
        <v>5.62E-2</v>
      </c>
      <c r="W88" s="4">
        <v>0.37339</v>
      </c>
      <c r="X88" s="4">
        <v>2.954E-2</v>
      </c>
      <c r="Y88" s="4">
        <v>1.48441</v>
      </c>
      <c r="Z88" s="4">
        <v>41.692419999999998</v>
      </c>
      <c r="AA88" s="4">
        <v>13.29655</v>
      </c>
      <c r="AB88" s="4">
        <v>-1.1173900000000001</v>
      </c>
    </row>
    <row r="89" spans="1:28" x14ac:dyDescent="0.25">
      <c r="A89" s="15"/>
      <c r="B89" s="10"/>
      <c r="C89" s="14"/>
      <c r="D89" s="13"/>
      <c r="E89" s="12"/>
      <c r="F89" s="12"/>
      <c r="G89" s="12"/>
      <c r="H89" s="12"/>
      <c r="I89" s="12"/>
      <c r="J89" s="12"/>
      <c r="K89" s="12"/>
      <c r="L89" s="12"/>
      <c r="M89" s="11"/>
      <c r="N89" s="11"/>
      <c r="O89" s="11"/>
      <c r="P89" s="10"/>
      <c r="Q89" s="7" t="s">
        <v>2</v>
      </c>
      <c r="R89" s="7" t="s">
        <v>1</v>
      </c>
      <c r="T89" s="4">
        <v>2006111</v>
      </c>
      <c r="U89" s="4" t="s">
        <v>388</v>
      </c>
      <c r="V89" s="4">
        <v>6.0920000000000002E-2</v>
      </c>
      <c r="W89" s="4">
        <v>0.37907999999999997</v>
      </c>
      <c r="X89" s="4">
        <v>2.8639999999999999E-2</v>
      </c>
      <c r="Y89" s="4">
        <v>1.33863</v>
      </c>
      <c r="Z89" s="4">
        <v>19.344380000000001</v>
      </c>
      <c r="AA89" s="4">
        <v>10.47992</v>
      </c>
      <c r="AB89" s="4">
        <v>-1.49065</v>
      </c>
    </row>
    <row r="90" spans="1:28" x14ac:dyDescent="0.25">
      <c r="A90" s="6">
        <v>10</v>
      </c>
      <c r="B90" s="4">
        <v>30</v>
      </c>
      <c r="C90" s="5">
        <v>50</v>
      </c>
      <c r="D90" s="4">
        <v>20</v>
      </c>
      <c r="E90" s="3">
        <v>25</v>
      </c>
      <c r="F90" s="3">
        <f>1.8*E90+32</f>
        <v>77</v>
      </c>
      <c r="G90" s="3">
        <v>17.5</v>
      </c>
      <c r="H90" s="3">
        <f>IF(F90&gt;68,G90+(F90-68)*0.2,G22-(68-F90)*0.2)</f>
        <v>19.3</v>
      </c>
      <c r="I90" s="3">
        <v>23</v>
      </c>
      <c r="J90" s="3">
        <f>1.8*I90+32</f>
        <v>73.400000000000006</v>
      </c>
      <c r="K90" s="3">
        <v>10</v>
      </c>
      <c r="L90" s="3">
        <f>IF(J90&gt;68,K90+(J90-68)*0.2,K90-(68-J90)*0.2)</f>
        <v>11.080000000000002</v>
      </c>
      <c r="M90" s="3">
        <f>(C90-H90)/C90*100</f>
        <v>61.4</v>
      </c>
      <c r="N90" s="3">
        <f>100-(M90+O90)</f>
        <v>16.439999999999998</v>
      </c>
      <c r="O90" s="3">
        <f>L90/C90*100</f>
        <v>22.160000000000004</v>
      </c>
      <c r="P90" s="2" t="s">
        <v>0</v>
      </c>
      <c r="Q90" s="1">
        <v>409009.349949</v>
      </c>
      <c r="R90" s="1">
        <v>3659311.5805879999</v>
      </c>
      <c r="T90" s="4">
        <v>2006111</v>
      </c>
      <c r="U90" s="4" t="s">
        <v>204</v>
      </c>
      <c r="V90" s="4">
        <v>5.8540000000000002E-2</v>
      </c>
      <c r="W90" s="4">
        <v>0.38085000000000002</v>
      </c>
      <c r="X90" s="4">
        <v>2.904E-2</v>
      </c>
      <c r="Y90" s="4">
        <v>1.3506</v>
      </c>
      <c r="Z90" s="4">
        <v>21.8355</v>
      </c>
      <c r="AA90" s="4">
        <v>11.29532</v>
      </c>
      <c r="AB90" s="4">
        <v>-1.4189499999999999</v>
      </c>
    </row>
    <row r="91" spans="1:28" x14ac:dyDescent="0.25">
      <c r="A91" s="6">
        <v>10</v>
      </c>
      <c r="B91" s="4">
        <v>60</v>
      </c>
      <c r="C91" s="5">
        <v>50.01</v>
      </c>
      <c r="D91" s="4">
        <v>20</v>
      </c>
      <c r="E91" s="3">
        <v>25</v>
      </c>
      <c r="F91" s="3">
        <f>1.8*E91+32</f>
        <v>77</v>
      </c>
      <c r="G91" s="3">
        <v>16.5</v>
      </c>
      <c r="H91" s="3">
        <f>IF(F91&gt;68,G91+(F91-68)*0.2,#REF!-(68-F91)*0.2)</f>
        <v>18.3</v>
      </c>
      <c r="I91" s="3">
        <v>23</v>
      </c>
      <c r="J91" s="3">
        <f>1.8*I91+32</f>
        <v>73.400000000000006</v>
      </c>
      <c r="K91" s="3">
        <v>10</v>
      </c>
      <c r="L91" s="3">
        <f>IF(J91&gt;68,K91+(J91-68)*0.2,K91-(68-J91)*0.2)</f>
        <v>11.080000000000002</v>
      </c>
      <c r="M91" s="3">
        <f>(C91-H91)/C91*100</f>
        <v>63.407318536292735</v>
      </c>
      <c r="N91" s="3">
        <f>100-(M91+O91)</f>
        <v>14.437112577484498</v>
      </c>
      <c r="O91" s="3">
        <f>L91/C91*100</f>
        <v>22.15556888622276</v>
      </c>
      <c r="P91" s="2" t="s">
        <v>0</v>
      </c>
      <c r="Q91" s="1">
        <v>409009.349949</v>
      </c>
      <c r="R91" s="1">
        <v>3659311.5805879999</v>
      </c>
      <c r="T91" s="4">
        <v>2006111</v>
      </c>
      <c r="U91" s="4" t="s">
        <v>203</v>
      </c>
      <c r="V91" s="4">
        <v>5.6759999999999998E-2</v>
      </c>
      <c r="W91" s="4">
        <v>0.38164999999999999</v>
      </c>
      <c r="X91" s="4">
        <v>2.9319999999999999E-2</v>
      </c>
      <c r="Y91" s="4">
        <v>1.3590500000000001</v>
      </c>
      <c r="Z91" s="4">
        <v>23.80556</v>
      </c>
      <c r="AA91" s="4">
        <v>11.898239999999999</v>
      </c>
      <c r="AB91" s="4">
        <v>-1.37138</v>
      </c>
    </row>
    <row r="92" spans="1:28" x14ac:dyDescent="0.25">
      <c r="A92" s="6">
        <v>10</v>
      </c>
      <c r="B92" s="4">
        <v>90</v>
      </c>
      <c r="C92" s="5">
        <v>50</v>
      </c>
      <c r="D92" s="4">
        <v>20</v>
      </c>
      <c r="E92" s="3">
        <v>25</v>
      </c>
      <c r="F92" s="3">
        <f>1.8*E92+32</f>
        <v>77</v>
      </c>
      <c r="G92" s="3">
        <v>14.5</v>
      </c>
      <c r="H92" s="3">
        <f>IF(F92&gt;68,G92+(F92-68)*0.2,G127-(68-F92)*0.2)</f>
        <v>16.3</v>
      </c>
      <c r="I92" s="3">
        <v>23</v>
      </c>
      <c r="J92" s="3">
        <f>1.8*I92+32</f>
        <v>73.400000000000006</v>
      </c>
      <c r="K92" s="3">
        <v>8.5</v>
      </c>
      <c r="L92" s="3">
        <f>IF(J92&gt;68,K92+(J92-68)*0.2,K92-(68-J92)*0.2)</f>
        <v>9.5800000000000018</v>
      </c>
      <c r="M92" s="3">
        <f>(C92-H92)/C92*100</f>
        <v>67.400000000000006</v>
      </c>
      <c r="N92" s="3">
        <f>100-(M92+O92)</f>
        <v>13.439999999999998</v>
      </c>
      <c r="O92" s="3">
        <f>L92/C92*100</f>
        <v>19.160000000000004</v>
      </c>
      <c r="P92" s="2" t="s">
        <v>20</v>
      </c>
      <c r="Q92" s="1">
        <v>409009.349949</v>
      </c>
      <c r="R92" s="1">
        <v>3659311.5805879999</v>
      </c>
      <c r="T92" s="4">
        <v>2006111</v>
      </c>
      <c r="U92" s="4" t="s">
        <v>202</v>
      </c>
      <c r="V92" s="4">
        <v>4.9189999999999998E-2</v>
      </c>
      <c r="W92" s="4">
        <v>0.37955</v>
      </c>
      <c r="X92" s="4">
        <v>3.39E-2</v>
      </c>
      <c r="Y92" s="4">
        <v>1.46309</v>
      </c>
      <c r="Z92" s="4">
        <v>48.165959999999998</v>
      </c>
      <c r="AA92" s="4">
        <v>17.880030000000001</v>
      </c>
      <c r="AB92" s="4">
        <v>-1.1361300000000001</v>
      </c>
    </row>
    <row r="93" spans="1:28" x14ac:dyDescent="0.25">
      <c r="A93" s="6">
        <v>10</v>
      </c>
      <c r="B93" s="4">
        <v>120</v>
      </c>
      <c r="C93" s="5">
        <v>50</v>
      </c>
      <c r="D93" s="4">
        <v>20</v>
      </c>
      <c r="E93" s="3">
        <v>26</v>
      </c>
      <c r="F93" s="3">
        <f>1.8*E93+32</f>
        <v>78.800000000000011</v>
      </c>
      <c r="G93" s="3">
        <v>13.5</v>
      </c>
      <c r="H93" s="3">
        <f>IF(F93&gt;68,G93+(F93-68)*0.2,#REF!-(68-F93)*0.2)</f>
        <v>15.660000000000002</v>
      </c>
      <c r="I93" s="3">
        <v>23</v>
      </c>
      <c r="J93" s="3">
        <f>1.8*I93+32</f>
        <v>73.400000000000006</v>
      </c>
      <c r="K93" s="3">
        <v>8.5</v>
      </c>
      <c r="L93" s="3">
        <f>IF(J93&gt;68,K93+(J93-68)*0.2,K93-(68-J93)*0.2)</f>
        <v>9.5800000000000018</v>
      </c>
      <c r="M93" s="3">
        <f>(C93-H93)/C93*100</f>
        <v>68.679999999999993</v>
      </c>
      <c r="N93" s="3">
        <f>100-(M93+O93)</f>
        <v>12.159999999999997</v>
      </c>
      <c r="O93" s="3">
        <f>L93/C93*100</f>
        <v>19.160000000000004</v>
      </c>
      <c r="P93" s="2" t="s">
        <v>20</v>
      </c>
      <c r="Q93" s="1">
        <v>409009.349949</v>
      </c>
      <c r="R93" s="1">
        <v>3659311.5805879999</v>
      </c>
      <c r="T93" s="4">
        <v>2006111</v>
      </c>
      <c r="U93" s="4" t="s">
        <v>201</v>
      </c>
      <c r="V93" s="4">
        <v>4.8419999999999998E-2</v>
      </c>
      <c r="W93" s="4">
        <v>0.37952000000000002</v>
      </c>
      <c r="X93" s="4">
        <v>3.4529999999999998E-2</v>
      </c>
      <c r="Y93" s="4">
        <v>1.50176</v>
      </c>
      <c r="Z93" s="4">
        <v>56.024909999999998</v>
      </c>
      <c r="AA93" s="4">
        <v>19.267029999999998</v>
      </c>
      <c r="AB93" s="4">
        <v>-1.0813999999999999</v>
      </c>
    </row>
    <row r="94" spans="1:28" x14ac:dyDescent="0.25">
      <c r="A94" s="6">
        <v>10</v>
      </c>
      <c r="B94" s="4">
        <v>150</v>
      </c>
      <c r="C94" s="5">
        <v>50</v>
      </c>
      <c r="D94" s="4">
        <v>20</v>
      </c>
      <c r="E94" s="3">
        <v>26</v>
      </c>
      <c r="F94" s="3">
        <f>1.8*E94+32</f>
        <v>78.800000000000011</v>
      </c>
      <c r="G94" s="3">
        <v>14</v>
      </c>
      <c r="H94" s="3">
        <f>IF(F94&gt;68,G94+(F94-68)*0.2,G129-(68-F94)*0.2)</f>
        <v>16.160000000000004</v>
      </c>
      <c r="I94" s="3">
        <v>23</v>
      </c>
      <c r="J94" s="3">
        <f>1.8*I94+32</f>
        <v>73.400000000000006</v>
      </c>
      <c r="K94" s="3">
        <v>8</v>
      </c>
      <c r="L94" s="3">
        <f>IF(J94&gt;68,K94+(J94-68)*0.2,K94-(68-J94)*0.2)</f>
        <v>9.0800000000000018</v>
      </c>
      <c r="M94" s="3">
        <f>(C94-H94)/C94*100</f>
        <v>67.679999999999993</v>
      </c>
      <c r="N94" s="3">
        <f>100-(M94+O94)</f>
        <v>14.159999999999997</v>
      </c>
      <c r="O94" s="3">
        <f>L94/C94*100</f>
        <v>18.160000000000004</v>
      </c>
      <c r="P94" s="2" t="s">
        <v>20</v>
      </c>
      <c r="Q94" s="1">
        <v>409009.349949</v>
      </c>
      <c r="R94" s="1">
        <v>3659311.5805879999</v>
      </c>
      <c r="T94" s="4">
        <v>2006111</v>
      </c>
      <c r="U94" s="4" t="s">
        <v>200</v>
      </c>
      <c r="V94" s="4">
        <v>4.7750000000000001E-2</v>
      </c>
      <c r="W94" s="4">
        <v>0.38024000000000002</v>
      </c>
      <c r="X94" s="4">
        <v>3.4799999999999998E-2</v>
      </c>
      <c r="Y94" s="4">
        <v>1.48305</v>
      </c>
      <c r="Z94" s="4">
        <v>53.164870000000001</v>
      </c>
      <c r="AA94" s="4">
        <v>19.363959999999999</v>
      </c>
      <c r="AB94" s="4">
        <v>-1.10249</v>
      </c>
    </row>
    <row r="95" spans="1:28" x14ac:dyDescent="0.25">
      <c r="A95" s="6">
        <v>10</v>
      </c>
      <c r="B95" s="4">
        <v>180</v>
      </c>
      <c r="C95" s="5">
        <v>50</v>
      </c>
      <c r="D95" s="4">
        <v>20</v>
      </c>
      <c r="E95" s="3">
        <v>25.8</v>
      </c>
      <c r="F95" s="3">
        <f>1.8*E95+32</f>
        <v>78.44</v>
      </c>
      <c r="G95" s="3">
        <v>14.5</v>
      </c>
      <c r="H95" s="3">
        <f>IF(F95&gt;68,G95+(F95-68)*0.2,G130-(68-F95)*0.2)</f>
        <v>16.588000000000001</v>
      </c>
      <c r="I95" s="3">
        <v>23</v>
      </c>
      <c r="J95" s="3">
        <f>1.8*I95+32</f>
        <v>73.400000000000006</v>
      </c>
      <c r="K95" s="3">
        <v>7</v>
      </c>
      <c r="L95" s="3">
        <f>IF(J95&gt;68,K95+(J95-68)*0.2,K95-(68-J95)*0.2)</f>
        <v>8.0800000000000018</v>
      </c>
      <c r="M95" s="3">
        <f>(C95-H95)/C95*100</f>
        <v>66.823999999999998</v>
      </c>
      <c r="N95" s="3">
        <f>100-(M95+O95)</f>
        <v>17.015999999999991</v>
      </c>
      <c r="O95" s="3">
        <f>L95/C95*100</f>
        <v>16.160000000000004</v>
      </c>
      <c r="P95" s="2" t="s">
        <v>20</v>
      </c>
      <c r="Q95" s="1">
        <v>409009.349949</v>
      </c>
      <c r="R95" s="1">
        <v>3659311.5805879999</v>
      </c>
      <c r="T95" s="4">
        <v>2006111</v>
      </c>
      <c r="U95" s="4" t="s">
        <v>199</v>
      </c>
      <c r="V95" s="4">
        <v>4.6149999999999997E-2</v>
      </c>
      <c r="W95" s="4">
        <v>0.38212000000000002</v>
      </c>
      <c r="X95" s="4">
        <v>3.483E-2</v>
      </c>
      <c r="Y95" s="4">
        <v>1.4409700000000001</v>
      </c>
      <c r="Z95" s="4">
        <v>46.351799999999997</v>
      </c>
      <c r="AA95" s="4">
        <v>19.113910000000001</v>
      </c>
      <c r="AB95" s="4">
        <v>-1.1517999999999999</v>
      </c>
    </row>
    <row r="96" spans="1:28" x14ac:dyDescent="0.25">
      <c r="A96" s="6">
        <v>10</v>
      </c>
      <c r="B96" s="4">
        <v>210</v>
      </c>
      <c r="C96" s="5">
        <v>50</v>
      </c>
      <c r="D96" s="4">
        <v>20</v>
      </c>
      <c r="E96" s="3">
        <v>26.2</v>
      </c>
      <c r="F96" s="3">
        <f>1.8*E96+32</f>
        <v>79.16</v>
      </c>
      <c r="G96" s="3">
        <v>14</v>
      </c>
      <c r="H96" s="3">
        <f>IF(F96&gt;68,G96+(F96-68)*0.2,G131-(68-F96)*0.2)</f>
        <v>16.231999999999999</v>
      </c>
      <c r="I96" s="3">
        <v>23</v>
      </c>
      <c r="J96" s="3">
        <f>1.8*I96+32</f>
        <v>73.400000000000006</v>
      </c>
      <c r="K96" s="3">
        <v>7.5</v>
      </c>
      <c r="L96" s="3">
        <f>IF(J96&gt;68,K96+(J96-68)*0.2,K96-(68-J96)*0.2)</f>
        <v>8.5800000000000018</v>
      </c>
      <c r="M96" s="3">
        <f>(C96-H96)/C96*100</f>
        <v>67.536000000000001</v>
      </c>
      <c r="N96" s="3">
        <f>100-(M96+O96)</f>
        <v>15.304000000000002</v>
      </c>
      <c r="O96" s="3">
        <f>L96/C96*100</f>
        <v>17.160000000000004</v>
      </c>
      <c r="P96" s="2" t="s">
        <v>20</v>
      </c>
      <c r="Q96" s="1">
        <v>409009.349949</v>
      </c>
      <c r="R96" s="1">
        <v>3659311.5805879999</v>
      </c>
      <c r="T96" s="4">
        <v>2006111</v>
      </c>
      <c r="U96" s="4" t="s">
        <v>387</v>
      </c>
      <c r="V96" s="4">
        <v>4.7149999999999997E-2</v>
      </c>
      <c r="W96" s="4">
        <v>0.38091000000000003</v>
      </c>
      <c r="X96" s="4">
        <v>3.4939999999999999E-2</v>
      </c>
      <c r="Y96" s="4">
        <v>1.46688</v>
      </c>
      <c r="Z96" s="4">
        <v>50.62574</v>
      </c>
      <c r="AA96" s="4">
        <v>19.36863</v>
      </c>
      <c r="AB96" s="4">
        <v>-1.12161</v>
      </c>
    </row>
    <row r="97" spans="1:28" x14ac:dyDescent="0.25">
      <c r="A97" s="6">
        <v>10</v>
      </c>
      <c r="B97" s="4">
        <v>240</v>
      </c>
      <c r="C97" s="5">
        <v>50</v>
      </c>
      <c r="D97" s="4">
        <v>20</v>
      </c>
      <c r="E97" s="3">
        <v>27</v>
      </c>
      <c r="F97" s="3">
        <f>1.8*E97+32</f>
        <v>80.599999999999994</v>
      </c>
      <c r="G97" s="3">
        <v>14</v>
      </c>
      <c r="H97" s="3">
        <f>IF(F97&gt;68,G97+(F97-68)*0.2,G132-(68-F97)*0.2)</f>
        <v>16.52</v>
      </c>
      <c r="I97" s="3">
        <v>23</v>
      </c>
      <c r="J97" s="3">
        <f>1.8*I97+32</f>
        <v>73.400000000000006</v>
      </c>
      <c r="K97" s="3">
        <v>9</v>
      </c>
      <c r="L97" s="3">
        <f>IF(J97&gt;68,K97+(J97-68)*0.2,K97-(68-J97)*0.2)</f>
        <v>10.080000000000002</v>
      </c>
      <c r="M97" s="3">
        <f>(C97-H97)/C97*100</f>
        <v>66.960000000000008</v>
      </c>
      <c r="N97" s="3">
        <f>100-(M97+O97)</f>
        <v>12.879999999999995</v>
      </c>
      <c r="O97" s="3">
        <f>L97/C97*100</f>
        <v>20.160000000000004</v>
      </c>
      <c r="P97" s="2" t="s">
        <v>0</v>
      </c>
      <c r="Q97" s="1">
        <v>409009.349949</v>
      </c>
      <c r="R97" s="1">
        <v>3659311.5805879999</v>
      </c>
      <c r="T97" s="4">
        <v>2006111</v>
      </c>
      <c r="U97" s="4" t="s">
        <v>386</v>
      </c>
      <c r="V97" s="4">
        <v>5.1290000000000002E-2</v>
      </c>
      <c r="W97" s="4">
        <v>0.37978000000000001</v>
      </c>
      <c r="X97" s="4">
        <v>3.2419999999999997E-2</v>
      </c>
      <c r="Y97" s="4">
        <v>1.4113100000000001</v>
      </c>
      <c r="Z97" s="4">
        <v>36.979939999999999</v>
      </c>
      <c r="AA97" s="4">
        <v>15.468030000000001</v>
      </c>
      <c r="AB97" s="4">
        <v>-1.2339</v>
      </c>
    </row>
    <row r="98" spans="1:28" x14ac:dyDescent="0.25">
      <c r="A98" s="6">
        <v>10</v>
      </c>
      <c r="B98" s="4">
        <v>270</v>
      </c>
      <c r="C98" s="5">
        <v>50.01</v>
      </c>
      <c r="D98" s="4">
        <v>20</v>
      </c>
      <c r="E98" s="3">
        <v>27.5</v>
      </c>
      <c r="F98" s="3">
        <f>1.8*E98+32</f>
        <v>81.5</v>
      </c>
      <c r="G98" s="3">
        <v>11</v>
      </c>
      <c r="H98" s="3">
        <f>IF(F98&gt;68,G98+(F98-68)*0.2,G133-(68-F98)*0.2)</f>
        <v>13.7</v>
      </c>
      <c r="I98" s="3">
        <v>23</v>
      </c>
      <c r="J98" s="3">
        <f>1.8*I98+32</f>
        <v>73.400000000000006</v>
      </c>
      <c r="K98" s="3">
        <v>8</v>
      </c>
      <c r="L98" s="3">
        <f>IF(J98&gt;68,K98+(J98-68)*0.2,K98-(68-J98)*0.2)</f>
        <v>9.0800000000000018</v>
      </c>
      <c r="M98" s="3">
        <f>(C98-H98)/C98*100</f>
        <v>72.605478904219169</v>
      </c>
      <c r="N98" s="3">
        <f>100-(M98+O98)</f>
        <v>9.2381523695260768</v>
      </c>
      <c r="O98" s="3">
        <f>L98/C98*100</f>
        <v>18.156368726254755</v>
      </c>
      <c r="P98" s="2" t="s">
        <v>20</v>
      </c>
      <c r="Q98" s="1">
        <v>409009.349949</v>
      </c>
      <c r="R98" s="1">
        <v>3659311.5805879999</v>
      </c>
      <c r="T98" s="4">
        <v>2006111</v>
      </c>
      <c r="U98" s="4" t="s">
        <v>385</v>
      </c>
      <c r="V98" s="4">
        <v>5.3330000000000002E-2</v>
      </c>
      <c r="W98" s="4">
        <v>0.37478</v>
      </c>
      <c r="X98" s="4">
        <v>3.1179999999999999E-2</v>
      </c>
      <c r="Y98" s="4">
        <v>1.6524300000000001</v>
      </c>
      <c r="Z98" s="4">
        <v>77.467240000000004</v>
      </c>
      <c r="AA98" s="4">
        <v>17.049859999999999</v>
      </c>
      <c r="AB98" s="4">
        <v>-0.96326000000000001</v>
      </c>
    </row>
    <row r="99" spans="1:28" x14ac:dyDescent="0.25">
      <c r="A99" s="6">
        <v>10</v>
      </c>
      <c r="B99" s="4">
        <v>300</v>
      </c>
      <c r="C99" s="5">
        <v>50</v>
      </c>
      <c r="D99" s="4">
        <v>20</v>
      </c>
      <c r="E99" s="3">
        <v>27.5</v>
      </c>
      <c r="F99" s="3">
        <f>1.8*E99+32</f>
        <v>81.5</v>
      </c>
      <c r="G99" s="3">
        <v>12.5</v>
      </c>
      <c r="H99" s="3">
        <f>IF(F99&gt;68,G99+(F99-68)*0.2,G134-(68-F99)*0.2)</f>
        <v>15.2</v>
      </c>
      <c r="I99" s="3">
        <v>23</v>
      </c>
      <c r="J99" s="3">
        <f>1.8*I99+32</f>
        <v>73.400000000000006</v>
      </c>
      <c r="K99" s="3">
        <v>8.5</v>
      </c>
      <c r="L99" s="3">
        <f>IF(J99&gt;68,K99+(J99-68)*0.2,K99-(68-J99)*0.2)</f>
        <v>9.5800000000000018</v>
      </c>
      <c r="M99" s="3">
        <f>(C99-H99)/C99*100</f>
        <v>69.599999999999994</v>
      </c>
      <c r="N99" s="3">
        <f>100-(M99+O99)</f>
        <v>11.240000000000009</v>
      </c>
      <c r="O99" s="3">
        <f>L99/C99*100</f>
        <v>19.160000000000004</v>
      </c>
      <c r="P99" s="2" t="s">
        <v>20</v>
      </c>
      <c r="Q99" s="1">
        <v>409009.349949</v>
      </c>
      <c r="R99" s="1">
        <v>3659311.5805879999</v>
      </c>
      <c r="T99" s="4">
        <v>2006111</v>
      </c>
      <c r="U99" s="4" t="s">
        <v>384</v>
      </c>
      <c r="V99" s="4">
        <v>5.1569999999999998E-2</v>
      </c>
      <c r="W99" s="4">
        <v>0.37766</v>
      </c>
      <c r="X99" s="4">
        <v>3.261E-2</v>
      </c>
      <c r="Y99" s="4">
        <v>1.4671799999999999</v>
      </c>
      <c r="Z99" s="4">
        <v>46.194339999999997</v>
      </c>
      <c r="AA99" s="4">
        <v>16.326270000000001</v>
      </c>
      <c r="AB99" s="4">
        <v>-1.13805</v>
      </c>
    </row>
    <row r="100" spans="1:28" x14ac:dyDescent="0.25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T100" s="4">
        <v>2006111</v>
      </c>
      <c r="U100" s="4" t="s">
        <v>192</v>
      </c>
      <c r="V100" s="4">
        <v>6.2330000000000003E-2</v>
      </c>
      <c r="W100" s="4">
        <v>0.38446000000000002</v>
      </c>
      <c r="X100" s="4">
        <v>2.725E-2</v>
      </c>
      <c r="Y100" s="4">
        <v>1.33416</v>
      </c>
      <c r="Z100" s="4">
        <v>16.988910000000001</v>
      </c>
      <c r="AA100" s="4">
        <v>9.7962600000000002</v>
      </c>
      <c r="AB100" s="4">
        <v>-1.46583</v>
      </c>
    </row>
    <row r="101" spans="1:28" ht="51.75" x14ac:dyDescent="0.25">
      <c r="A101" s="15" t="s">
        <v>19</v>
      </c>
      <c r="B101" s="10" t="s">
        <v>18</v>
      </c>
      <c r="C101" s="14" t="s">
        <v>17</v>
      </c>
      <c r="D101" s="13" t="s">
        <v>16</v>
      </c>
      <c r="E101" s="12" t="s">
        <v>15</v>
      </c>
      <c r="F101" s="12" t="s">
        <v>14</v>
      </c>
      <c r="G101" s="12" t="s">
        <v>13</v>
      </c>
      <c r="H101" s="12" t="s">
        <v>12</v>
      </c>
      <c r="I101" s="12" t="s">
        <v>11</v>
      </c>
      <c r="J101" s="12" t="s">
        <v>10</v>
      </c>
      <c r="K101" s="12" t="s">
        <v>9</v>
      </c>
      <c r="L101" s="12" t="s">
        <v>8</v>
      </c>
      <c r="M101" s="11" t="s">
        <v>7</v>
      </c>
      <c r="N101" s="11" t="s">
        <v>6</v>
      </c>
      <c r="O101" s="11" t="s">
        <v>5</v>
      </c>
      <c r="P101" s="10" t="s">
        <v>4</v>
      </c>
      <c r="Q101" s="9" t="s">
        <v>3</v>
      </c>
      <c r="R101" s="8"/>
      <c r="T101" s="4">
        <v>2006111</v>
      </c>
      <c r="U101" s="4" t="s">
        <v>191</v>
      </c>
      <c r="V101" s="4">
        <v>6.0810000000000003E-2</v>
      </c>
      <c r="W101" s="4">
        <v>0.38136999999999999</v>
      </c>
      <c r="X101" s="4">
        <v>2.835E-2</v>
      </c>
      <c r="Y101" s="4">
        <v>1.3381700000000001</v>
      </c>
      <c r="Z101" s="4">
        <v>19.011990000000001</v>
      </c>
      <c r="AA101" s="4">
        <v>10.45476</v>
      </c>
      <c r="AB101" s="4">
        <v>-1.47506</v>
      </c>
    </row>
    <row r="102" spans="1:28" x14ac:dyDescent="0.25">
      <c r="A102" s="15"/>
      <c r="B102" s="10"/>
      <c r="C102" s="14"/>
      <c r="D102" s="13"/>
      <c r="E102" s="12"/>
      <c r="F102" s="12"/>
      <c r="G102" s="12"/>
      <c r="H102" s="12"/>
      <c r="I102" s="12"/>
      <c r="J102" s="12"/>
      <c r="K102" s="12"/>
      <c r="L102" s="12"/>
      <c r="M102" s="11"/>
      <c r="N102" s="11"/>
      <c r="O102" s="11"/>
      <c r="P102" s="10"/>
      <c r="Q102" s="7" t="s">
        <v>2</v>
      </c>
      <c r="R102" s="7" t="s">
        <v>1</v>
      </c>
      <c r="T102" s="4">
        <v>2006111</v>
      </c>
      <c r="U102" s="4" t="s">
        <v>190</v>
      </c>
      <c r="V102" s="4">
        <v>5.6710000000000003E-2</v>
      </c>
      <c r="W102" s="4">
        <v>0.37907999999999997</v>
      </c>
      <c r="X102" s="4">
        <v>3.0009999999999998E-2</v>
      </c>
      <c r="Y102" s="4">
        <v>1.3666499999999999</v>
      </c>
      <c r="Z102" s="4">
        <v>25.479780000000002</v>
      </c>
      <c r="AA102" s="4">
        <v>12.24508</v>
      </c>
      <c r="AB102" s="4">
        <v>-1.37052</v>
      </c>
    </row>
    <row r="103" spans="1:28" x14ac:dyDescent="0.25">
      <c r="A103" s="6">
        <v>11</v>
      </c>
      <c r="B103" s="4">
        <v>30</v>
      </c>
      <c r="C103" s="5">
        <v>50.01</v>
      </c>
      <c r="D103" s="4">
        <v>20</v>
      </c>
      <c r="E103" s="3">
        <v>23</v>
      </c>
      <c r="F103" s="3">
        <f>1.8*E103+32</f>
        <v>73.400000000000006</v>
      </c>
      <c r="G103" s="3">
        <v>18.5</v>
      </c>
      <c r="H103" s="3">
        <f>IF(F103&gt;68,G103+(F103-68)*0.2,G649-(68-F103)*0.2)</f>
        <v>19.580000000000002</v>
      </c>
      <c r="I103" s="3">
        <v>22.2</v>
      </c>
      <c r="J103" s="3">
        <f>1.8*I103+32</f>
        <v>71.960000000000008</v>
      </c>
      <c r="K103" s="3">
        <v>11</v>
      </c>
      <c r="L103" s="3">
        <f>IF(J103&gt;68,K103+(J103-68)*0.2,K103-(68-J103)*0.2)</f>
        <v>11.792000000000002</v>
      </c>
      <c r="M103" s="3">
        <f>(C103-H103)/C103*100</f>
        <v>60.847830433913209</v>
      </c>
      <c r="N103" s="3">
        <f>100-(M103+O103)</f>
        <v>15.572885422915419</v>
      </c>
      <c r="O103" s="3">
        <f>L103/C103*100</f>
        <v>23.579284143171371</v>
      </c>
      <c r="P103" s="2" t="s">
        <v>0</v>
      </c>
      <c r="Q103" s="16">
        <v>409019.96477000002</v>
      </c>
      <c r="R103" s="1">
        <v>3659325.851053</v>
      </c>
      <c r="T103" s="4">
        <v>2006111</v>
      </c>
      <c r="U103" s="4" t="s">
        <v>189</v>
      </c>
      <c r="V103" s="4">
        <v>5.6680000000000001E-2</v>
      </c>
      <c r="W103" s="4">
        <v>0.37916</v>
      </c>
      <c r="X103" s="4">
        <v>3.0009999999999998E-2</v>
      </c>
      <c r="Y103" s="4">
        <v>1.3664499999999999</v>
      </c>
      <c r="Z103" s="4">
        <v>25.46133</v>
      </c>
      <c r="AA103" s="4">
        <v>12.24794</v>
      </c>
      <c r="AB103" s="4">
        <v>-1.3706499999999999</v>
      </c>
    </row>
    <row r="104" spans="1:28" x14ac:dyDescent="0.25">
      <c r="A104" s="6">
        <v>11</v>
      </c>
      <c r="B104" s="4">
        <v>60</v>
      </c>
      <c r="C104" s="5">
        <v>50</v>
      </c>
      <c r="D104" s="4">
        <v>20</v>
      </c>
      <c r="E104" s="3">
        <v>22.8</v>
      </c>
      <c r="F104" s="3">
        <f>1.8*E104+32</f>
        <v>73.039999999999992</v>
      </c>
      <c r="G104" s="3">
        <v>19</v>
      </c>
      <c r="H104" s="3">
        <f>IF(F104&gt;68,G104+(F104-68)*0.2,G650-(68-F104)*0.2)</f>
        <v>20.007999999999999</v>
      </c>
      <c r="I104" s="3">
        <v>22.2</v>
      </c>
      <c r="J104" s="3">
        <f>1.8*I104+32</f>
        <v>71.960000000000008</v>
      </c>
      <c r="K104" s="3">
        <v>11</v>
      </c>
      <c r="L104" s="3">
        <f>IF(J104&gt;68,K104+(J104-68)*0.2,K104-(68-J104)*0.2)</f>
        <v>11.792000000000002</v>
      </c>
      <c r="M104" s="3">
        <f>(C104-H104)/C104*100</f>
        <v>59.984000000000002</v>
      </c>
      <c r="N104" s="3">
        <f>100-(M104+O104)</f>
        <v>16.431999999999988</v>
      </c>
      <c r="O104" s="3">
        <f>L104/C104*100</f>
        <v>23.584000000000003</v>
      </c>
      <c r="P104" s="2" t="s">
        <v>0</v>
      </c>
      <c r="Q104" s="16">
        <v>409019.96477000002</v>
      </c>
      <c r="R104" s="1">
        <v>3659325.851053</v>
      </c>
      <c r="T104" s="4">
        <v>2006111</v>
      </c>
      <c r="U104" s="4" t="s">
        <v>188</v>
      </c>
      <c r="V104" s="4">
        <v>6.3570000000000002E-2</v>
      </c>
      <c r="W104" s="4">
        <v>0.38216</v>
      </c>
      <c r="X104" s="4">
        <v>2.7699999999999999E-2</v>
      </c>
      <c r="Y104" s="4">
        <v>1.3234399999999999</v>
      </c>
      <c r="Z104" s="4">
        <v>16.22711</v>
      </c>
      <c r="AA104" s="4">
        <v>9.5951699999999995</v>
      </c>
      <c r="AB104" s="4">
        <v>-1.5536799999999999</v>
      </c>
    </row>
    <row r="105" spans="1:28" x14ac:dyDescent="0.25">
      <c r="A105" s="6">
        <v>11</v>
      </c>
      <c r="B105" s="4">
        <v>90</v>
      </c>
      <c r="C105" s="5">
        <v>50</v>
      </c>
      <c r="D105" s="4">
        <v>20</v>
      </c>
      <c r="E105" s="3">
        <v>22.8</v>
      </c>
      <c r="F105" s="3">
        <f>1.8*E105+32</f>
        <v>73.039999999999992</v>
      </c>
      <c r="G105" s="3">
        <v>20</v>
      </c>
      <c r="H105" s="3">
        <f>IF(F105&gt;68,G105+(F105-68)*0.2,G651-(68-F105)*0.2)</f>
        <v>21.007999999999999</v>
      </c>
      <c r="I105" s="3">
        <v>22.2</v>
      </c>
      <c r="J105" s="3">
        <f>1.8*I105+32</f>
        <v>71.960000000000008</v>
      </c>
      <c r="K105" s="3">
        <v>11.5</v>
      </c>
      <c r="L105" s="3">
        <f>IF(J105&gt;68,K105+(J105-68)*0.2,K105-(68-J105)*0.2)</f>
        <v>12.292000000000002</v>
      </c>
      <c r="M105" s="3">
        <f>(C105-H105)/C105*100</f>
        <v>57.984000000000002</v>
      </c>
      <c r="N105" s="3">
        <f>100-(M105+O105)</f>
        <v>17.431999999999988</v>
      </c>
      <c r="O105" s="3">
        <f>L105/C105*100</f>
        <v>24.584000000000003</v>
      </c>
      <c r="P105" s="2" t="s">
        <v>0</v>
      </c>
      <c r="Q105" s="16">
        <v>409019.96477000002</v>
      </c>
      <c r="R105" s="1">
        <v>3659325.851053</v>
      </c>
      <c r="T105" s="4">
        <v>2006111</v>
      </c>
      <c r="U105" s="4" t="s">
        <v>187</v>
      </c>
      <c r="V105" s="4">
        <v>6.2269999999999999E-2</v>
      </c>
      <c r="W105" s="4">
        <v>0.37897999999999998</v>
      </c>
      <c r="X105" s="4">
        <v>2.8299999999999999E-2</v>
      </c>
      <c r="Y105" s="4">
        <v>1.3301499999999999</v>
      </c>
      <c r="Z105" s="4">
        <v>17.847930000000002</v>
      </c>
      <c r="AA105" s="4">
        <v>10.00328</v>
      </c>
      <c r="AB105" s="4">
        <v>-1.5353000000000001</v>
      </c>
    </row>
    <row r="106" spans="1:28" x14ac:dyDescent="0.25">
      <c r="A106" s="6">
        <v>11</v>
      </c>
      <c r="B106" s="4">
        <v>120</v>
      </c>
      <c r="C106" s="5">
        <v>50</v>
      </c>
      <c r="D106" s="4">
        <v>20</v>
      </c>
      <c r="E106" s="3">
        <v>22.8</v>
      </c>
      <c r="F106" s="3">
        <f>1.8*E106+32</f>
        <v>73.039999999999992</v>
      </c>
      <c r="G106" s="3">
        <v>32</v>
      </c>
      <c r="H106" s="3">
        <f>IF(F106&gt;68,G106+(F106-68)*0.2,G652-(68-F106)*0.2)</f>
        <v>33.007999999999996</v>
      </c>
      <c r="I106" s="3">
        <v>22.2</v>
      </c>
      <c r="J106" s="3">
        <f>1.8*I106+32</f>
        <v>71.960000000000008</v>
      </c>
      <c r="K106" s="3">
        <v>19</v>
      </c>
      <c r="L106" s="3">
        <f>IF(J106&gt;68,K106+(J106-68)*0.2,K106-(68-J106)*0.2)</f>
        <v>19.792000000000002</v>
      </c>
      <c r="M106" s="3">
        <f>(C106-H106)/C106*100</f>
        <v>33.984000000000009</v>
      </c>
      <c r="N106" s="3">
        <f>100-(M106+O106)</f>
        <v>26.431999999999988</v>
      </c>
      <c r="O106" s="3">
        <f>L106/C106*100</f>
        <v>39.584000000000003</v>
      </c>
      <c r="P106" s="2" t="s">
        <v>23</v>
      </c>
      <c r="Q106" s="16">
        <v>409019.96477000002</v>
      </c>
      <c r="R106" s="1">
        <v>3659325.851053</v>
      </c>
      <c r="T106" s="4">
        <v>2006111</v>
      </c>
      <c r="U106" s="4" t="s">
        <v>383</v>
      </c>
      <c r="V106" s="4">
        <v>6.0819999999999999E-2</v>
      </c>
      <c r="W106" s="4">
        <v>0.38113999999999998</v>
      </c>
      <c r="X106" s="4">
        <v>2.8400000000000002E-2</v>
      </c>
      <c r="Y106" s="4">
        <v>1.3381000000000001</v>
      </c>
      <c r="Z106" s="4">
        <v>19.053159999999998</v>
      </c>
      <c r="AA106" s="4">
        <v>10.464980000000001</v>
      </c>
      <c r="AB106" s="4">
        <v>-1.4775499999999999</v>
      </c>
    </row>
    <row r="107" spans="1:28" x14ac:dyDescent="0.25">
      <c r="A107" s="6">
        <v>11</v>
      </c>
      <c r="B107" s="4">
        <v>150</v>
      </c>
      <c r="C107" s="5">
        <v>50</v>
      </c>
      <c r="D107" s="4">
        <v>20</v>
      </c>
      <c r="E107" s="3">
        <v>22.5</v>
      </c>
      <c r="F107" s="3">
        <f>1.8*E107+32</f>
        <v>72.5</v>
      </c>
      <c r="G107" s="3">
        <v>27</v>
      </c>
      <c r="H107" s="3">
        <f>IF(F107&gt;68,G107+(F107-68)*0.2,G653-(68-F107)*0.2)</f>
        <v>27.9</v>
      </c>
      <c r="I107" s="3">
        <v>22.2</v>
      </c>
      <c r="J107" s="3">
        <f>1.8*I107+32</f>
        <v>71.960000000000008</v>
      </c>
      <c r="K107" s="3">
        <v>15</v>
      </c>
      <c r="L107" s="3">
        <f>IF(J107&gt;68,K107+(J107-68)*0.2,K107-(68-J107)*0.2)</f>
        <v>15.792000000000002</v>
      </c>
      <c r="M107" s="3">
        <f>(C107-H107)/C107*100</f>
        <v>44.2</v>
      </c>
      <c r="N107" s="3">
        <f>100-(M107+O107)</f>
        <v>24.215999999999994</v>
      </c>
      <c r="O107" s="3">
        <f>L107/C107*100</f>
        <v>31.584</v>
      </c>
      <c r="P107" s="2" t="s">
        <v>0</v>
      </c>
      <c r="Q107" s="16">
        <v>409019.96477000002</v>
      </c>
      <c r="R107" s="1">
        <v>3659325.851053</v>
      </c>
      <c r="T107" s="4">
        <v>2006111</v>
      </c>
      <c r="U107" s="4" t="s">
        <v>382</v>
      </c>
      <c r="V107" s="4">
        <v>5.8540000000000002E-2</v>
      </c>
      <c r="W107" s="4">
        <v>0.37703999999999999</v>
      </c>
      <c r="X107" s="4">
        <v>2.9430000000000001E-2</v>
      </c>
      <c r="Y107" s="4">
        <v>1.36269</v>
      </c>
      <c r="Z107" s="4">
        <v>23.560919999999999</v>
      </c>
      <c r="AA107" s="4">
        <v>11.470039999999999</v>
      </c>
      <c r="AB107" s="4">
        <v>-1.39679</v>
      </c>
    </row>
    <row r="108" spans="1:28" x14ac:dyDescent="0.25">
      <c r="A108" s="6">
        <v>11</v>
      </c>
      <c r="B108" s="4">
        <v>180</v>
      </c>
      <c r="C108" s="5">
        <v>50</v>
      </c>
      <c r="D108" s="4">
        <v>20</v>
      </c>
      <c r="E108" s="3">
        <v>22.5</v>
      </c>
      <c r="F108" s="3">
        <f>1.8*E108+32</f>
        <v>72.5</v>
      </c>
      <c r="G108" s="3">
        <v>18</v>
      </c>
      <c r="H108" s="3">
        <f>IF(F108&gt;68,G108+(F108-68)*0.2,G654-(68-F108)*0.2)</f>
        <v>18.899999999999999</v>
      </c>
      <c r="I108" s="3">
        <v>22.2</v>
      </c>
      <c r="J108" s="3">
        <f>1.8*I108+32</f>
        <v>71.960000000000008</v>
      </c>
      <c r="K108" s="3">
        <v>11</v>
      </c>
      <c r="L108" s="3">
        <f>IF(J108&gt;68,K108+(J108-68)*0.2,K108-(68-J108)*0.2)</f>
        <v>11.792000000000002</v>
      </c>
      <c r="M108" s="3">
        <f>(C108-H108)/C108*100</f>
        <v>62.2</v>
      </c>
      <c r="N108" s="3">
        <f>100-(M108+O108)</f>
        <v>14.215999999999994</v>
      </c>
      <c r="O108" s="3">
        <f>L108/C108*100</f>
        <v>23.584000000000003</v>
      </c>
      <c r="P108" s="2" t="s">
        <v>0</v>
      </c>
      <c r="Q108" s="16">
        <v>409019.96477000002</v>
      </c>
      <c r="R108" s="1">
        <v>3659325.851053</v>
      </c>
      <c r="T108" s="4">
        <v>2006111</v>
      </c>
      <c r="U108" s="4" t="s">
        <v>381</v>
      </c>
      <c r="V108" s="4">
        <v>6.0040000000000003E-2</v>
      </c>
      <c r="W108" s="4">
        <v>0.37619000000000002</v>
      </c>
      <c r="X108" s="4">
        <v>2.8840000000000001E-2</v>
      </c>
      <c r="Y108" s="4">
        <v>1.3540300000000001</v>
      </c>
      <c r="Z108" s="4">
        <v>21.46293</v>
      </c>
      <c r="AA108" s="4">
        <v>10.78852</v>
      </c>
      <c r="AB108" s="4">
        <v>-1.4327799999999999</v>
      </c>
    </row>
    <row r="109" spans="1:28" x14ac:dyDescent="0.25">
      <c r="A109" s="6">
        <v>11</v>
      </c>
      <c r="B109" s="4">
        <v>210</v>
      </c>
      <c r="C109" s="5">
        <v>50.01</v>
      </c>
      <c r="D109" s="4">
        <v>20</v>
      </c>
      <c r="E109" s="3">
        <v>22.5</v>
      </c>
      <c r="F109" s="3">
        <f>1.8*E109+32</f>
        <v>72.5</v>
      </c>
      <c r="G109" s="3">
        <v>14.5</v>
      </c>
      <c r="H109" s="3">
        <f>IF(F109&gt;68,G109+(F109-68)*0.2,G655-(68-F109)*0.2)</f>
        <v>15.4</v>
      </c>
      <c r="I109" s="3">
        <v>22.2</v>
      </c>
      <c r="J109" s="3">
        <f>1.8*I109+32</f>
        <v>71.960000000000008</v>
      </c>
      <c r="K109" s="3">
        <v>9</v>
      </c>
      <c r="L109" s="3">
        <f>IF(J109&gt;68,K109+(J109-68)*0.2,K109-(68-J109)*0.2)</f>
        <v>9.7920000000000016</v>
      </c>
      <c r="M109" s="3">
        <f>(C109-H109)/C109*100</f>
        <v>69.206158768246354</v>
      </c>
      <c r="N109" s="3">
        <f>100-(M109+O109)</f>
        <v>11.21375724855028</v>
      </c>
      <c r="O109" s="3">
        <f>L109/C109*100</f>
        <v>19.580083983203362</v>
      </c>
      <c r="P109" s="2" t="s">
        <v>0</v>
      </c>
      <c r="Q109" s="16">
        <v>409019.96477000002</v>
      </c>
      <c r="R109" s="1">
        <v>3659325.851053</v>
      </c>
      <c r="T109" s="4">
        <v>2006111</v>
      </c>
      <c r="U109" s="4" t="s">
        <v>380</v>
      </c>
      <c r="V109" s="4">
        <v>5.8069999999999997E-2</v>
      </c>
      <c r="W109" s="4">
        <v>0.37481999999999999</v>
      </c>
      <c r="X109" s="4">
        <v>2.9309999999999999E-2</v>
      </c>
      <c r="Y109" s="4">
        <v>1.3890400000000001</v>
      </c>
      <c r="Z109" s="4">
        <v>26.777249999999999</v>
      </c>
      <c r="AA109" s="4">
        <v>11.732799999999999</v>
      </c>
      <c r="AB109" s="4">
        <v>-1.31298</v>
      </c>
    </row>
    <row r="110" spans="1:28" x14ac:dyDescent="0.25">
      <c r="A110" s="6">
        <v>11</v>
      </c>
      <c r="B110" s="4">
        <v>240</v>
      </c>
      <c r="C110" s="5">
        <v>50.01</v>
      </c>
      <c r="D110" s="4">
        <v>20</v>
      </c>
      <c r="E110" s="3">
        <v>22.5</v>
      </c>
      <c r="F110" s="3">
        <f>1.8*E110+32</f>
        <v>72.5</v>
      </c>
      <c r="G110" s="3">
        <v>11</v>
      </c>
      <c r="H110" s="3">
        <f>IF(F110&gt;68,G110+(F110-68)*0.2,G656-(68-F110)*0.2)</f>
        <v>11.9</v>
      </c>
      <c r="I110" s="3">
        <v>22.2</v>
      </c>
      <c r="J110" s="3">
        <f>1.8*I110+32</f>
        <v>71.960000000000008</v>
      </c>
      <c r="K110" s="3">
        <v>8</v>
      </c>
      <c r="L110" s="3">
        <f>IF(J110&gt;68,K110+(J110-68)*0.2,K110-(68-J110)*0.2)</f>
        <v>8.7920000000000016</v>
      </c>
      <c r="M110" s="3">
        <f>(C110-H110)/C110*100</f>
        <v>76.204759048190368</v>
      </c>
      <c r="N110" s="3">
        <f>100-(M110+O110)</f>
        <v>6.2147570485902719</v>
      </c>
      <c r="O110" s="3">
        <f>L110/C110*100</f>
        <v>17.58048390321936</v>
      </c>
      <c r="P110" s="2" t="s">
        <v>20</v>
      </c>
      <c r="Q110" s="16">
        <v>409019.96477000002</v>
      </c>
      <c r="R110" s="1">
        <v>3659325.851053</v>
      </c>
      <c r="T110" s="4">
        <v>2006111</v>
      </c>
      <c r="U110" s="4" t="s">
        <v>186</v>
      </c>
      <c r="V110" s="4">
        <v>6.1710000000000001E-2</v>
      </c>
      <c r="W110" s="4">
        <v>0.38102999999999998</v>
      </c>
      <c r="X110" s="4">
        <v>2.8230000000000002E-2</v>
      </c>
      <c r="Y110" s="4">
        <v>1.3331200000000001</v>
      </c>
      <c r="Z110" s="4">
        <v>18.124669999999998</v>
      </c>
      <c r="AA110" s="4">
        <v>10.17892</v>
      </c>
      <c r="AB110" s="4">
        <v>-1.5054700000000001</v>
      </c>
    </row>
    <row r="111" spans="1:28" x14ac:dyDescent="0.25">
      <c r="A111" s="6">
        <v>11</v>
      </c>
      <c r="B111" s="4">
        <v>270</v>
      </c>
      <c r="C111" s="5">
        <v>50.01</v>
      </c>
      <c r="D111" s="4">
        <v>20</v>
      </c>
      <c r="E111" s="3">
        <v>22.5</v>
      </c>
      <c r="F111" s="3">
        <f>1.8*E111+32</f>
        <v>72.5</v>
      </c>
      <c r="G111" s="3">
        <v>14</v>
      </c>
      <c r="H111" s="3">
        <f>IF(F111&gt;68,G111+(F111-68)*0.2,G657-(68-F111)*0.2)</f>
        <v>14.9</v>
      </c>
      <c r="I111" s="3">
        <v>22.2</v>
      </c>
      <c r="J111" s="3">
        <f>1.8*I111+32</f>
        <v>71.960000000000008</v>
      </c>
      <c r="K111" s="3">
        <v>7.5</v>
      </c>
      <c r="L111" s="3">
        <f>IF(J111&gt;68,K111+(J111-68)*0.2,K111-(68-J111)*0.2)</f>
        <v>8.2920000000000016</v>
      </c>
      <c r="M111" s="3">
        <f>(C111-H111)/C111*100</f>
        <v>70.20595880823835</v>
      </c>
      <c r="N111" s="3">
        <f>100-(M111+O111)</f>
        <v>13.2133573285343</v>
      </c>
      <c r="O111" s="3">
        <f>L111/C111*100</f>
        <v>16.580683863227357</v>
      </c>
      <c r="P111" s="2" t="s">
        <v>20</v>
      </c>
      <c r="Q111" s="16">
        <v>409019.96477000002</v>
      </c>
      <c r="R111" s="1">
        <v>3659325.851053</v>
      </c>
      <c r="T111" s="4">
        <v>2006111</v>
      </c>
      <c r="U111" s="4" t="s">
        <v>185</v>
      </c>
      <c r="V111" s="4">
        <v>5.731E-2</v>
      </c>
      <c r="W111" s="4">
        <v>0.38173000000000001</v>
      </c>
      <c r="X111" s="4">
        <v>2.913E-2</v>
      </c>
      <c r="Y111" s="4">
        <v>1.3562099999999999</v>
      </c>
      <c r="Z111" s="4">
        <v>23.042280000000002</v>
      </c>
      <c r="AA111" s="4">
        <v>11.667389999999999</v>
      </c>
      <c r="AB111" s="4">
        <v>-1.3827799999999999</v>
      </c>
    </row>
    <row r="112" spans="1:28" x14ac:dyDescent="0.25">
      <c r="A112" s="6">
        <v>11</v>
      </c>
      <c r="B112" s="4">
        <v>300</v>
      </c>
      <c r="C112" s="5">
        <v>50.01</v>
      </c>
      <c r="D112" s="4">
        <v>20</v>
      </c>
      <c r="E112" s="3">
        <v>22.5</v>
      </c>
      <c r="F112" s="3">
        <f>1.8*E112+32</f>
        <v>72.5</v>
      </c>
      <c r="G112" s="3">
        <v>21</v>
      </c>
      <c r="H112" s="3">
        <f>IF(F112&gt;68,G112+(F112-68)*0.2,G658-(68-F112)*0.2)</f>
        <v>21.9</v>
      </c>
      <c r="I112" s="3">
        <v>22.2</v>
      </c>
      <c r="J112" s="3">
        <f>1.8*I112+32</f>
        <v>71.960000000000008</v>
      </c>
      <c r="K112" s="3">
        <v>12.5</v>
      </c>
      <c r="L112" s="3">
        <f>IF(J112&gt;68,K112+(J112-68)*0.2,K112-(68-J112)*0.2)</f>
        <v>13.292000000000002</v>
      </c>
      <c r="M112" s="3">
        <f>(C112-H112)/C112*100</f>
        <v>56.208758248350335</v>
      </c>
      <c r="N112" s="3">
        <f>100-(M112+O112)</f>
        <v>17.212557488502284</v>
      </c>
      <c r="O112" s="3">
        <f>L112/C112*100</f>
        <v>26.578684263147373</v>
      </c>
      <c r="P112" s="2" t="s">
        <v>0</v>
      </c>
      <c r="Q112" s="16">
        <v>409019.96477000002</v>
      </c>
      <c r="R112" s="1">
        <v>3659325.851053</v>
      </c>
      <c r="T112" s="4">
        <v>2006111</v>
      </c>
      <c r="U112" s="4" t="s">
        <v>184</v>
      </c>
      <c r="V112" s="4">
        <v>5.2589999999999998E-2</v>
      </c>
      <c r="W112" s="4">
        <v>0.38174000000000002</v>
      </c>
      <c r="X112" s="4">
        <v>3.0800000000000001E-2</v>
      </c>
      <c r="Y112" s="4">
        <v>1.3805700000000001</v>
      </c>
      <c r="Z112" s="4">
        <v>30.038620000000002</v>
      </c>
      <c r="AA112" s="4">
        <v>13.82776</v>
      </c>
      <c r="AB112" s="4">
        <v>-1.28949</v>
      </c>
    </row>
    <row r="113" spans="1:28" x14ac:dyDescent="0.25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T113" s="4">
        <v>2006111</v>
      </c>
      <c r="U113" s="4" t="s">
        <v>183</v>
      </c>
      <c r="V113" s="4">
        <v>5.3999999999999999E-2</v>
      </c>
      <c r="W113" s="4">
        <v>0.38356000000000001</v>
      </c>
      <c r="X113" s="4">
        <v>2.9059999999999999E-2</v>
      </c>
      <c r="Y113" s="4">
        <v>1.36974</v>
      </c>
      <c r="Z113" s="4">
        <v>26.066880000000001</v>
      </c>
      <c r="AA113" s="4">
        <v>12.51459</v>
      </c>
      <c r="AB113" s="4">
        <v>-1.2900400000000001</v>
      </c>
    </row>
    <row r="114" spans="1:28" ht="51.75" x14ac:dyDescent="0.25">
      <c r="A114" s="15" t="s">
        <v>19</v>
      </c>
      <c r="B114" s="10" t="s">
        <v>18</v>
      </c>
      <c r="C114" s="14" t="s">
        <v>17</v>
      </c>
      <c r="D114" s="13" t="s">
        <v>16</v>
      </c>
      <c r="E114" s="12" t="s">
        <v>15</v>
      </c>
      <c r="F114" s="12" t="s">
        <v>14</v>
      </c>
      <c r="G114" s="12" t="s">
        <v>13</v>
      </c>
      <c r="H114" s="12" t="s">
        <v>12</v>
      </c>
      <c r="I114" s="12" t="s">
        <v>11</v>
      </c>
      <c r="J114" s="12" t="s">
        <v>10</v>
      </c>
      <c r="K114" s="12" t="s">
        <v>9</v>
      </c>
      <c r="L114" s="12" t="s">
        <v>8</v>
      </c>
      <c r="M114" s="11" t="s">
        <v>7</v>
      </c>
      <c r="N114" s="11" t="s">
        <v>6</v>
      </c>
      <c r="O114" s="11" t="s">
        <v>5</v>
      </c>
      <c r="P114" s="10" t="s">
        <v>4</v>
      </c>
      <c r="Q114" s="9" t="s">
        <v>3</v>
      </c>
      <c r="R114" s="8"/>
      <c r="T114" s="4">
        <v>2006111</v>
      </c>
      <c r="U114" s="4" t="s">
        <v>182</v>
      </c>
      <c r="V114" s="4">
        <v>5.3990000000000003E-2</v>
      </c>
      <c r="W114" s="4">
        <v>0.38424000000000003</v>
      </c>
      <c r="X114" s="4">
        <v>2.852E-2</v>
      </c>
      <c r="Y114" s="4">
        <v>1.3698699999999999</v>
      </c>
      <c r="Z114" s="4">
        <v>25.52186</v>
      </c>
      <c r="AA114" s="4">
        <v>12.260149999999999</v>
      </c>
      <c r="AB114" s="4">
        <v>-1.2727599999999999</v>
      </c>
    </row>
    <row r="115" spans="1:28" x14ac:dyDescent="0.25">
      <c r="A115" s="15"/>
      <c r="B115" s="10"/>
      <c r="C115" s="14"/>
      <c r="D115" s="13"/>
      <c r="E115" s="12"/>
      <c r="F115" s="12"/>
      <c r="G115" s="12"/>
      <c r="H115" s="12"/>
      <c r="I115" s="12"/>
      <c r="J115" s="12"/>
      <c r="K115" s="12"/>
      <c r="L115" s="12"/>
      <c r="M115" s="11"/>
      <c r="N115" s="11"/>
      <c r="O115" s="11"/>
      <c r="P115" s="10"/>
      <c r="Q115" s="7" t="s">
        <v>2</v>
      </c>
      <c r="R115" s="7" t="s">
        <v>1</v>
      </c>
      <c r="T115" s="4">
        <v>2006111</v>
      </c>
      <c r="U115" s="4" t="s">
        <v>181</v>
      </c>
      <c r="V115" s="4">
        <v>7.7479999999999993E-2</v>
      </c>
      <c r="W115" s="4">
        <v>0.40905000000000002</v>
      </c>
      <c r="X115" s="4">
        <v>2.2179999999999998E-2</v>
      </c>
      <c r="Y115" s="4">
        <v>1.3051299999999999</v>
      </c>
      <c r="Z115" s="4">
        <v>7.1219799999999998</v>
      </c>
      <c r="AA115" s="4">
        <v>6.3288700000000002</v>
      </c>
      <c r="AB115" s="4">
        <v>-1.5079499999999999</v>
      </c>
    </row>
    <row r="116" spans="1:28" x14ac:dyDescent="0.25">
      <c r="A116" s="6">
        <v>12</v>
      </c>
      <c r="B116" s="4">
        <v>30</v>
      </c>
      <c r="C116" s="5">
        <v>50</v>
      </c>
      <c r="D116" s="4">
        <v>20</v>
      </c>
      <c r="E116" s="3">
        <v>23</v>
      </c>
      <c r="F116" s="3">
        <f>1.8*E116+32</f>
        <v>73.400000000000006</v>
      </c>
      <c r="G116" s="3">
        <v>17</v>
      </c>
      <c r="H116" s="3">
        <f>IF(F116&gt;68,G116+(F116-68)*0.2,G386-(68-F116)*0.2)</f>
        <v>18.080000000000002</v>
      </c>
      <c r="I116" s="3">
        <v>23</v>
      </c>
      <c r="J116" s="3">
        <f>1.8*I116+32</f>
        <v>73.400000000000006</v>
      </c>
      <c r="K116" s="3">
        <v>11</v>
      </c>
      <c r="L116" s="3">
        <f>IF(J116&gt;68,K116+(J116-68)*0.2,K116-(68-J116)*0.2)</f>
        <v>12.080000000000002</v>
      </c>
      <c r="M116" s="3">
        <f>(C116-H116)/C116*100</f>
        <v>63.839999999999996</v>
      </c>
      <c r="N116" s="3">
        <f>100-(M116+O116)</f>
        <v>12</v>
      </c>
      <c r="O116" s="3">
        <f>L116/C116*100</f>
        <v>24.160000000000004</v>
      </c>
      <c r="P116" s="2" t="s">
        <v>0</v>
      </c>
      <c r="Q116" s="1">
        <v>409032.159873</v>
      </c>
      <c r="R116" s="1">
        <v>3659325.6422950001</v>
      </c>
      <c r="T116" s="4">
        <v>2006111</v>
      </c>
      <c r="U116" s="4" t="s">
        <v>379</v>
      </c>
      <c r="V116" s="4">
        <v>6.6820000000000004E-2</v>
      </c>
      <c r="W116" s="4">
        <v>0.39362999999999998</v>
      </c>
      <c r="X116" s="4">
        <v>2.349E-2</v>
      </c>
      <c r="Y116" s="4">
        <v>1.3405899999999999</v>
      </c>
      <c r="Z116" s="4">
        <v>12.34202</v>
      </c>
      <c r="AA116" s="4">
        <v>7.9158200000000001</v>
      </c>
      <c r="AB116" s="4">
        <v>-1.3293200000000001</v>
      </c>
    </row>
    <row r="117" spans="1:28" x14ac:dyDescent="0.25">
      <c r="A117" s="6">
        <v>12</v>
      </c>
      <c r="B117" s="4">
        <v>60</v>
      </c>
      <c r="C117" s="5">
        <v>50</v>
      </c>
      <c r="D117" s="4">
        <v>20</v>
      </c>
      <c r="E117" s="3">
        <v>23</v>
      </c>
      <c r="F117" s="3">
        <f>1.8*E117+32</f>
        <v>73.400000000000006</v>
      </c>
      <c r="G117" s="3">
        <v>14.5</v>
      </c>
      <c r="H117" s="3">
        <f>IF(F117&gt;68,G117+(F117-68)*0.2,#REF!-(68-F117)*0.2)</f>
        <v>15.580000000000002</v>
      </c>
      <c r="I117" s="3">
        <v>23</v>
      </c>
      <c r="J117" s="3">
        <f>1.8*I117+32</f>
        <v>73.400000000000006</v>
      </c>
      <c r="K117" s="3">
        <v>10.5</v>
      </c>
      <c r="L117" s="3">
        <f>IF(J117&gt;68,K117+(J117-68)*0.2,K117-(68-J117)*0.2)</f>
        <v>11.580000000000002</v>
      </c>
      <c r="M117" s="3">
        <f>(C117-H117)/C117*100</f>
        <v>68.84</v>
      </c>
      <c r="N117" s="3">
        <f>100-(M117+O117)</f>
        <v>8</v>
      </c>
      <c r="O117" s="3">
        <f>L117/C117*100</f>
        <v>23.160000000000004</v>
      </c>
      <c r="P117" s="2" t="s">
        <v>0</v>
      </c>
      <c r="Q117" s="1">
        <v>409032.159873</v>
      </c>
      <c r="R117" s="1">
        <v>3659325.6422950001</v>
      </c>
      <c r="T117" s="4">
        <v>2006111</v>
      </c>
      <c r="U117" s="4" t="s">
        <v>378</v>
      </c>
      <c r="V117" s="4">
        <v>5.8979999999999998E-2</v>
      </c>
      <c r="W117" s="4">
        <v>0.37380999999999998</v>
      </c>
      <c r="X117" s="4">
        <v>2.8729999999999999E-2</v>
      </c>
      <c r="Y117" s="4">
        <v>1.3890100000000001</v>
      </c>
      <c r="Z117" s="4">
        <v>25.7576</v>
      </c>
      <c r="AA117" s="4">
        <v>11.236750000000001</v>
      </c>
      <c r="AB117" s="4">
        <v>-1.31219</v>
      </c>
    </row>
    <row r="118" spans="1:28" x14ac:dyDescent="0.25">
      <c r="A118" s="6">
        <v>12</v>
      </c>
      <c r="B118" s="4">
        <v>90</v>
      </c>
      <c r="C118" s="5">
        <v>50.01</v>
      </c>
      <c r="D118" s="4">
        <v>20</v>
      </c>
      <c r="E118" s="3">
        <v>23</v>
      </c>
      <c r="F118" s="3">
        <f>1.8*E118+32</f>
        <v>73.400000000000006</v>
      </c>
      <c r="G118" s="3">
        <v>15.5</v>
      </c>
      <c r="H118" s="3">
        <f>IF(F118&gt;68,G118+(F118-68)*0.2,G309-(68-F118)*0.2)</f>
        <v>16.580000000000002</v>
      </c>
      <c r="I118" s="3">
        <v>23</v>
      </c>
      <c r="J118" s="3">
        <f>1.8*I118+32</f>
        <v>73.400000000000006</v>
      </c>
      <c r="K118" s="3">
        <v>8</v>
      </c>
      <c r="L118" s="3">
        <f>IF(J118&gt;68,K118+(J118-68)*0.2,K118-(68-J118)*0.2)</f>
        <v>9.0800000000000018</v>
      </c>
      <c r="M118" s="3">
        <f>(C118-H118)/C118*100</f>
        <v>66.846630673865221</v>
      </c>
      <c r="N118" s="3">
        <f>100-(M118+O118)</f>
        <v>14.997000599880025</v>
      </c>
      <c r="O118" s="3">
        <f>L118/C118*100</f>
        <v>18.156368726254755</v>
      </c>
      <c r="P118" s="2" t="s">
        <v>20</v>
      </c>
      <c r="Q118" s="1">
        <v>409032.159873</v>
      </c>
      <c r="R118" s="1">
        <v>3659325.6422950001</v>
      </c>
      <c r="T118" s="4">
        <v>2006111</v>
      </c>
      <c r="U118" s="4" t="s">
        <v>377</v>
      </c>
      <c r="V118" s="4">
        <v>6.0299999999999999E-2</v>
      </c>
      <c r="W118" s="4">
        <v>0.38092999999999999</v>
      </c>
      <c r="X118" s="4">
        <v>2.8559999999999999E-2</v>
      </c>
      <c r="Y118" s="4">
        <v>1.3409199999999999</v>
      </c>
      <c r="Z118" s="4">
        <v>19.672509999999999</v>
      </c>
      <c r="AA118" s="4">
        <v>10.64921</v>
      </c>
      <c r="AB118" s="4">
        <v>-1.4649300000000001</v>
      </c>
    </row>
    <row r="119" spans="1:28" x14ac:dyDescent="0.25">
      <c r="A119" s="6">
        <v>12</v>
      </c>
      <c r="B119" s="4">
        <v>120</v>
      </c>
      <c r="C119" s="5">
        <v>50.01</v>
      </c>
      <c r="D119" s="4">
        <v>20</v>
      </c>
      <c r="E119" s="3">
        <v>23</v>
      </c>
      <c r="F119" s="3">
        <f>1.8*E119+32</f>
        <v>73.400000000000006</v>
      </c>
      <c r="G119" s="3">
        <v>15</v>
      </c>
      <c r="H119" s="3">
        <f>IF(F119&gt;68,G119+(F119-68)*0.2,#REF!-(68-F119)*0.2)</f>
        <v>16.080000000000002</v>
      </c>
      <c r="I119" s="3">
        <v>23</v>
      </c>
      <c r="J119" s="3">
        <f>1.8*I119+32</f>
        <v>73.400000000000006</v>
      </c>
      <c r="K119" s="3">
        <v>7.5</v>
      </c>
      <c r="L119" s="3">
        <f>IF(J119&gt;68,K119+(J119-68)*0.2,K119-(68-J119)*0.2)</f>
        <v>8.5800000000000018</v>
      </c>
      <c r="M119" s="3">
        <f>(C119-H119)/C119*100</f>
        <v>67.846430713857217</v>
      </c>
      <c r="N119" s="3">
        <f>100-(M119+O119)</f>
        <v>14.997000599880039</v>
      </c>
      <c r="O119" s="3">
        <f>L119/C119*100</f>
        <v>17.156568686262752</v>
      </c>
      <c r="P119" s="2" t="s">
        <v>20</v>
      </c>
      <c r="Q119" s="1">
        <v>409032.159873</v>
      </c>
      <c r="R119" s="1">
        <v>3659325.6422950001</v>
      </c>
      <c r="T119" s="4">
        <v>2006111</v>
      </c>
      <c r="U119" s="4" t="s">
        <v>376</v>
      </c>
      <c r="V119" s="4">
        <v>5.5879999999999999E-2</v>
      </c>
      <c r="W119" s="4">
        <v>0.38069999999999998</v>
      </c>
      <c r="X119" s="4">
        <v>2.9940000000000001E-2</v>
      </c>
      <c r="Y119" s="4">
        <v>1.36572</v>
      </c>
      <c r="Z119" s="4">
        <v>25.660499999999999</v>
      </c>
      <c r="AA119" s="4">
        <v>12.43022</v>
      </c>
      <c r="AB119" s="4">
        <v>-1.3573</v>
      </c>
    </row>
    <row r="120" spans="1:28" x14ac:dyDescent="0.25">
      <c r="A120" s="6">
        <v>12</v>
      </c>
      <c r="B120" s="4">
        <v>150</v>
      </c>
      <c r="C120" s="5">
        <v>50.01</v>
      </c>
      <c r="D120" s="4">
        <v>20</v>
      </c>
      <c r="E120" s="3">
        <v>23</v>
      </c>
      <c r="F120" s="3">
        <f>1.8*E120+32</f>
        <v>73.400000000000006</v>
      </c>
      <c r="G120" s="3">
        <v>16</v>
      </c>
      <c r="H120" s="3">
        <f>IF(F120&gt;68,G120+(F120-68)*0.2,G311-(68-F120)*0.2)</f>
        <v>17.080000000000002</v>
      </c>
      <c r="I120" s="3">
        <v>23</v>
      </c>
      <c r="J120" s="3">
        <f>1.8*I120+32</f>
        <v>73.400000000000006</v>
      </c>
      <c r="K120" s="3">
        <v>9.5</v>
      </c>
      <c r="L120" s="3">
        <f>IF(J120&gt;68,K120+(J120-68)*0.2,K120-(68-J120)*0.2)</f>
        <v>10.580000000000002</v>
      </c>
      <c r="M120" s="3">
        <f>(C120-H120)/C120*100</f>
        <v>65.846830633873211</v>
      </c>
      <c r="N120" s="3">
        <f>100-(M120+O120)</f>
        <v>12.997400519896033</v>
      </c>
      <c r="O120" s="3">
        <f>L120/C120*100</f>
        <v>21.155768846230757</v>
      </c>
      <c r="P120" s="2" t="s">
        <v>0</v>
      </c>
      <c r="Q120" s="1">
        <v>409032.159873</v>
      </c>
      <c r="R120" s="1">
        <v>3659325.6422950001</v>
      </c>
      <c r="T120" s="4">
        <v>2006111</v>
      </c>
      <c r="U120" s="4" t="s">
        <v>180</v>
      </c>
      <c r="V120" s="4">
        <v>6.3369999999999996E-2</v>
      </c>
      <c r="W120" s="4">
        <v>0.38167000000000001</v>
      </c>
      <c r="X120" s="4">
        <v>2.7820000000000001E-2</v>
      </c>
      <c r="Y120" s="4">
        <v>1.3240700000000001</v>
      </c>
      <c r="Z120" s="4">
        <v>16.460370000000001</v>
      </c>
      <c r="AA120" s="4">
        <v>9.6624300000000005</v>
      </c>
      <c r="AB120" s="4">
        <v>-1.5534300000000001</v>
      </c>
    </row>
    <row r="121" spans="1:28" x14ac:dyDescent="0.25">
      <c r="A121" s="6">
        <v>12</v>
      </c>
      <c r="B121" s="4">
        <v>180</v>
      </c>
      <c r="C121" s="5">
        <v>50</v>
      </c>
      <c r="D121" s="4">
        <v>20</v>
      </c>
      <c r="E121" s="3">
        <v>23</v>
      </c>
      <c r="F121" s="3">
        <f>1.8*E121+32</f>
        <v>73.400000000000006</v>
      </c>
      <c r="G121" s="3">
        <v>16</v>
      </c>
      <c r="H121" s="3">
        <f>IF(F121&gt;68,G121+(F121-68)*0.2,G312-(68-F121)*0.2)</f>
        <v>17.080000000000002</v>
      </c>
      <c r="I121" s="3">
        <v>23</v>
      </c>
      <c r="J121" s="3">
        <f>1.8*I121+32</f>
        <v>73.400000000000006</v>
      </c>
      <c r="K121" s="3">
        <v>10</v>
      </c>
      <c r="L121" s="3">
        <f>IF(J121&gt;68,K121+(J121-68)*0.2,K121-(68-J121)*0.2)</f>
        <v>11.080000000000002</v>
      </c>
      <c r="M121" s="3">
        <f>(C121-H121)/C121*100</f>
        <v>65.84</v>
      </c>
      <c r="N121" s="3">
        <f>100-(M121+O121)</f>
        <v>12</v>
      </c>
      <c r="O121" s="3">
        <f>L121/C121*100</f>
        <v>22.160000000000004</v>
      </c>
      <c r="P121" s="2" t="s">
        <v>0</v>
      </c>
      <c r="Q121" s="1">
        <v>409032.159873</v>
      </c>
      <c r="R121" s="1">
        <v>3659325.6422950001</v>
      </c>
      <c r="T121" s="4">
        <v>2006111</v>
      </c>
      <c r="U121" s="4" t="s">
        <v>179</v>
      </c>
      <c r="V121" s="4">
        <v>6.4649999999999999E-2</v>
      </c>
      <c r="W121" s="4">
        <v>0.37994</v>
      </c>
      <c r="X121" s="4">
        <v>2.776E-2</v>
      </c>
      <c r="Y121" s="4">
        <v>1.3150299999999999</v>
      </c>
      <c r="Z121" s="4">
        <v>15.61894</v>
      </c>
      <c r="AA121" s="4">
        <v>9.2797400000000003</v>
      </c>
      <c r="AB121" s="4">
        <v>-1.62076</v>
      </c>
    </row>
    <row r="122" spans="1:28" x14ac:dyDescent="0.25">
      <c r="A122" s="6">
        <v>12</v>
      </c>
      <c r="B122" s="4">
        <v>210</v>
      </c>
      <c r="C122" s="5">
        <v>50.01</v>
      </c>
      <c r="D122" s="4">
        <v>20</v>
      </c>
      <c r="E122" s="3">
        <v>23</v>
      </c>
      <c r="F122" s="3">
        <f>1.8*E122+32</f>
        <v>73.400000000000006</v>
      </c>
      <c r="G122" s="3">
        <v>17</v>
      </c>
      <c r="H122" s="3">
        <f>IF(F122&gt;68,G122+(F122-68)*0.2,G313-(68-F122)*0.2)</f>
        <v>18.080000000000002</v>
      </c>
      <c r="I122" s="3">
        <v>23</v>
      </c>
      <c r="J122" s="3">
        <f>1.8*I122+32</f>
        <v>73.400000000000006</v>
      </c>
      <c r="K122" s="3">
        <v>11</v>
      </c>
      <c r="L122" s="3">
        <f>IF(J122&gt;68,K122+(J122-68)*0.2,K122-(68-J122)*0.2)</f>
        <v>12.080000000000002</v>
      </c>
      <c r="M122" s="3">
        <f>(C122-H122)/C122*100</f>
        <v>63.847230553889212</v>
      </c>
      <c r="N122" s="3">
        <f>100-(M122+O122)</f>
        <v>11.997600479904023</v>
      </c>
      <c r="O122" s="3">
        <f>L122/C122*100</f>
        <v>24.155168966206762</v>
      </c>
      <c r="P122" s="2" t="s">
        <v>0</v>
      </c>
      <c r="Q122" s="1">
        <v>409032.159873</v>
      </c>
      <c r="R122" s="1">
        <v>3659325.6422950001</v>
      </c>
      <c r="T122" s="4">
        <v>2006111</v>
      </c>
      <c r="U122" s="4" t="s">
        <v>178</v>
      </c>
      <c r="V122" s="4">
        <v>5.926E-2</v>
      </c>
      <c r="W122" s="4">
        <v>0.37981999999999999</v>
      </c>
      <c r="X122" s="4">
        <v>2.904E-2</v>
      </c>
      <c r="Y122" s="4">
        <v>1.34782</v>
      </c>
      <c r="Z122" s="4">
        <v>21.2529</v>
      </c>
      <c r="AA122" s="4">
        <v>11.087910000000001</v>
      </c>
      <c r="AB122" s="4">
        <v>-1.4414899999999999</v>
      </c>
    </row>
    <row r="123" spans="1:28" x14ac:dyDescent="0.25">
      <c r="A123" s="6">
        <v>12</v>
      </c>
      <c r="B123" s="4">
        <v>240</v>
      </c>
      <c r="C123" s="5">
        <v>50</v>
      </c>
      <c r="D123" s="4">
        <v>20</v>
      </c>
      <c r="E123" s="3">
        <v>23</v>
      </c>
      <c r="F123" s="3">
        <f>1.8*E123+32</f>
        <v>73.400000000000006</v>
      </c>
      <c r="G123" s="3">
        <v>11</v>
      </c>
      <c r="H123" s="3">
        <f>IF(F123&gt;68,G123+(F123-68)*0.2,G314-(68-F123)*0.2)</f>
        <v>12.080000000000002</v>
      </c>
      <c r="I123" s="3">
        <v>23</v>
      </c>
      <c r="J123" s="3">
        <f>1.8*I123+32</f>
        <v>73.400000000000006</v>
      </c>
      <c r="K123" s="3">
        <v>7.5</v>
      </c>
      <c r="L123" s="3">
        <f>IF(J123&gt;68,K123+(J123-68)*0.2,K123-(68-J123)*0.2)</f>
        <v>8.5800000000000018</v>
      </c>
      <c r="M123" s="3">
        <f>(C123-H123)/C123*100</f>
        <v>75.84</v>
      </c>
      <c r="N123" s="3">
        <f>100-(M123+O123)</f>
        <v>7</v>
      </c>
      <c r="O123" s="3">
        <f>L123/C123*100</f>
        <v>17.160000000000004</v>
      </c>
      <c r="P123" s="2" t="s">
        <v>20</v>
      </c>
      <c r="Q123" s="1">
        <v>409032.159873</v>
      </c>
      <c r="R123" s="1">
        <v>3659325.6422950001</v>
      </c>
      <c r="T123" s="4">
        <v>2006111</v>
      </c>
      <c r="U123" s="4" t="s">
        <v>177</v>
      </c>
      <c r="V123" s="4">
        <v>5.5930000000000001E-2</v>
      </c>
      <c r="W123" s="4">
        <v>0.37713000000000002</v>
      </c>
      <c r="X123" s="4">
        <v>3.0439999999999998E-2</v>
      </c>
      <c r="Y123" s="4">
        <v>1.3890800000000001</v>
      </c>
      <c r="Z123" s="4">
        <v>29.157530000000001</v>
      </c>
      <c r="AA123" s="4">
        <v>12.84207</v>
      </c>
      <c r="AB123" s="4">
        <v>-1.3088900000000001</v>
      </c>
    </row>
    <row r="124" spans="1:28" x14ac:dyDescent="0.25">
      <c r="A124" s="6">
        <v>12</v>
      </c>
      <c r="B124" s="4">
        <v>270</v>
      </c>
      <c r="C124" s="5">
        <v>50.01</v>
      </c>
      <c r="D124" s="4">
        <v>20</v>
      </c>
      <c r="E124" s="3">
        <v>23</v>
      </c>
      <c r="F124" s="3">
        <f>1.8*E124+32</f>
        <v>73.400000000000006</v>
      </c>
      <c r="G124" s="3">
        <v>10</v>
      </c>
      <c r="H124" s="3">
        <f>IF(F124&gt;68,G124+(F124-68)*0.2,G315-(68-F124)*0.2)</f>
        <v>11.080000000000002</v>
      </c>
      <c r="I124" s="3">
        <v>23</v>
      </c>
      <c r="J124" s="3">
        <f>1.8*I124+32</f>
        <v>73.400000000000006</v>
      </c>
      <c r="K124" s="3">
        <v>6.5</v>
      </c>
      <c r="L124" s="3">
        <f>IF(J124&gt;68,K124+(J124-68)*0.2,K124-(68-J124)*0.2)</f>
        <v>7.580000000000001</v>
      </c>
      <c r="M124" s="3">
        <f>(C124-H124)/C124*100</f>
        <v>77.844431113777233</v>
      </c>
      <c r="N124" s="3">
        <f>100-(M124+O124)</f>
        <v>6.9986002799440143</v>
      </c>
      <c r="O124" s="3">
        <f>L124/C124*100</f>
        <v>15.156968606278747</v>
      </c>
      <c r="P124" s="2" t="s">
        <v>20</v>
      </c>
      <c r="Q124" s="1">
        <v>409032.159873</v>
      </c>
      <c r="R124" s="1">
        <v>3659325.6422950001</v>
      </c>
      <c r="T124" s="4">
        <v>2006111</v>
      </c>
      <c r="U124" s="4" t="s">
        <v>176</v>
      </c>
      <c r="V124" s="4">
        <v>6.7110000000000003E-2</v>
      </c>
      <c r="W124" s="4">
        <v>0.38819999999999999</v>
      </c>
      <c r="X124" s="4">
        <v>2.6040000000000001E-2</v>
      </c>
      <c r="Y124" s="4">
        <v>1.3163100000000001</v>
      </c>
      <c r="Z124" s="4">
        <v>13.041130000000001</v>
      </c>
      <c r="AA124" s="4">
        <v>8.5457900000000002</v>
      </c>
      <c r="AB124" s="4">
        <v>-1.5540700000000001</v>
      </c>
    </row>
    <row r="125" spans="1:28" x14ac:dyDescent="0.25">
      <c r="A125" s="6">
        <v>12</v>
      </c>
      <c r="B125" s="4">
        <v>300</v>
      </c>
      <c r="C125" s="5">
        <v>50</v>
      </c>
      <c r="D125" s="4">
        <v>20</v>
      </c>
      <c r="E125" s="3">
        <v>23</v>
      </c>
      <c r="F125" s="3">
        <f>1.8*E125+32</f>
        <v>73.400000000000006</v>
      </c>
      <c r="G125" s="3">
        <v>15.5</v>
      </c>
      <c r="H125" s="3">
        <f>IF(F125&gt;68,G125+(F125-68)*0.2,G316-(68-F125)*0.2)</f>
        <v>16.580000000000002</v>
      </c>
      <c r="I125" s="3">
        <v>23</v>
      </c>
      <c r="J125" s="3">
        <f>1.8*I125+32</f>
        <v>73.400000000000006</v>
      </c>
      <c r="K125" s="3">
        <v>9.5</v>
      </c>
      <c r="L125" s="3">
        <f>IF(J125&gt;68,K125+(J125-68)*0.2,K125-(68-J125)*0.2)</f>
        <v>10.580000000000002</v>
      </c>
      <c r="M125" s="3">
        <f>(C125-H125)/C125*100</f>
        <v>66.84</v>
      </c>
      <c r="N125" s="3">
        <f>100-(M125+O125)</f>
        <v>12</v>
      </c>
      <c r="O125" s="3">
        <f>L125/C125*100</f>
        <v>21.160000000000004</v>
      </c>
      <c r="P125" s="2" t="s">
        <v>0</v>
      </c>
      <c r="Q125" s="1">
        <v>409032.159873</v>
      </c>
      <c r="R125" s="1">
        <v>3659325.6422950001</v>
      </c>
      <c r="T125" s="4">
        <v>2006111</v>
      </c>
      <c r="U125" s="4" t="s">
        <v>175</v>
      </c>
      <c r="V125" s="4">
        <v>5.8569999999999997E-2</v>
      </c>
      <c r="W125" s="4">
        <v>0.37955</v>
      </c>
      <c r="X125" s="4">
        <v>2.929E-2</v>
      </c>
      <c r="Y125" s="4">
        <v>1.3525400000000001</v>
      </c>
      <c r="Z125" s="4">
        <v>22.28847</v>
      </c>
      <c r="AA125" s="4">
        <v>11.376620000000001</v>
      </c>
      <c r="AB125" s="4">
        <v>-1.42279</v>
      </c>
    </row>
    <row r="126" spans="1:28" x14ac:dyDescent="0.25">
      <c r="C126" s="35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3"/>
      <c r="T126" s="4">
        <v>2006111</v>
      </c>
      <c r="U126" s="4" t="s">
        <v>375</v>
      </c>
      <c r="V126" s="4">
        <v>5.9029999999999999E-2</v>
      </c>
      <c r="W126" s="4">
        <v>0.37189</v>
      </c>
      <c r="X126" s="4">
        <v>2.8029999999999999E-2</v>
      </c>
      <c r="Y126" s="4">
        <v>1.4310700000000001</v>
      </c>
      <c r="Z126" s="4">
        <v>30.293109999999999</v>
      </c>
      <c r="AA126" s="4">
        <v>11.2567</v>
      </c>
      <c r="AB126" s="4">
        <v>-1.20506</v>
      </c>
    </row>
    <row r="127" spans="1:28" ht="51.75" x14ac:dyDescent="0.25">
      <c r="A127" s="15" t="s">
        <v>19</v>
      </c>
      <c r="B127" s="10" t="s">
        <v>18</v>
      </c>
      <c r="C127" s="14" t="s">
        <v>17</v>
      </c>
      <c r="D127" s="13" t="s">
        <v>16</v>
      </c>
      <c r="E127" s="12" t="s">
        <v>15</v>
      </c>
      <c r="F127" s="12" t="s">
        <v>14</v>
      </c>
      <c r="G127" s="12" t="s">
        <v>13</v>
      </c>
      <c r="H127" s="12" t="s">
        <v>12</v>
      </c>
      <c r="I127" s="12" t="s">
        <v>11</v>
      </c>
      <c r="J127" s="12" t="s">
        <v>10</v>
      </c>
      <c r="K127" s="12" t="s">
        <v>9</v>
      </c>
      <c r="L127" s="12" t="s">
        <v>8</v>
      </c>
      <c r="M127" s="11" t="s">
        <v>7</v>
      </c>
      <c r="N127" s="11" t="s">
        <v>6</v>
      </c>
      <c r="O127" s="11" t="s">
        <v>5</v>
      </c>
      <c r="P127" s="10" t="s">
        <v>4</v>
      </c>
      <c r="Q127" s="9" t="s">
        <v>3</v>
      </c>
      <c r="R127" s="8"/>
      <c r="T127" s="4">
        <v>2006111</v>
      </c>
      <c r="U127" s="4" t="s">
        <v>374</v>
      </c>
      <c r="V127" s="4">
        <v>6.0990000000000003E-2</v>
      </c>
      <c r="W127" s="4">
        <v>0.37433</v>
      </c>
      <c r="X127" s="4">
        <v>2.8209999999999999E-2</v>
      </c>
      <c r="Y127" s="4">
        <v>1.3566100000000001</v>
      </c>
      <c r="Z127" s="4">
        <v>20.937989999999999</v>
      </c>
      <c r="AA127" s="4">
        <v>10.300549999999999</v>
      </c>
      <c r="AB127" s="4">
        <v>-1.4224600000000001</v>
      </c>
    </row>
    <row r="128" spans="1:28" x14ac:dyDescent="0.25">
      <c r="A128" s="15"/>
      <c r="B128" s="10"/>
      <c r="C128" s="14"/>
      <c r="D128" s="13"/>
      <c r="E128" s="12"/>
      <c r="F128" s="12"/>
      <c r="G128" s="12"/>
      <c r="H128" s="12"/>
      <c r="I128" s="12"/>
      <c r="J128" s="12"/>
      <c r="K128" s="12"/>
      <c r="L128" s="12"/>
      <c r="M128" s="11"/>
      <c r="N128" s="11"/>
      <c r="O128" s="11"/>
      <c r="P128" s="10"/>
      <c r="Q128" s="7" t="s">
        <v>2</v>
      </c>
      <c r="R128" s="7" t="s">
        <v>1</v>
      </c>
      <c r="T128" s="4">
        <v>2006111</v>
      </c>
      <c r="U128" s="4" t="s">
        <v>373</v>
      </c>
      <c r="V128" s="4">
        <v>6.0179999999999997E-2</v>
      </c>
      <c r="W128" s="4">
        <v>0.37791000000000002</v>
      </c>
      <c r="X128" s="4">
        <v>2.8899999999999999E-2</v>
      </c>
      <c r="Y128" s="4">
        <v>1.3459399999999999</v>
      </c>
      <c r="Z128" s="4">
        <v>20.585000000000001</v>
      </c>
      <c r="AA128" s="4">
        <v>10.75881</v>
      </c>
      <c r="AB128" s="4">
        <v>-1.46221</v>
      </c>
    </row>
    <row r="129" spans="1:28" x14ac:dyDescent="0.25">
      <c r="A129" s="6">
        <v>13</v>
      </c>
      <c r="B129" s="4">
        <v>30</v>
      </c>
      <c r="C129" s="5">
        <v>50.01</v>
      </c>
      <c r="D129" s="4">
        <v>20</v>
      </c>
      <c r="E129" s="3">
        <v>24</v>
      </c>
      <c r="F129" s="3">
        <f>1.8*E129+32</f>
        <v>75.2</v>
      </c>
      <c r="G129" s="3">
        <v>15.5</v>
      </c>
      <c r="H129" s="3">
        <f>IF(F129&gt;68,G129+(F129-68)*0.2,#REF!-(68-F129)*0.2)</f>
        <v>16.940000000000001</v>
      </c>
      <c r="I129" s="3">
        <v>22.2</v>
      </c>
      <c r="J129" s="3">
        <f>1.8*I129+32</f>
        <v>71.960000000000008</v>
      </c>
      <c r="K129" s="3">
        <v>9</v>
      </c>
      <c r="L129" s="3">
        <f>IF(J129&gt;68,K129+(J129-68)*0.2,K129-(68-J129)*0.2)</f>
        <v>9.7920000000000016</v>
      </c>
      <c r="M129" s="3">
        <f>(C129-H129)/C129*100</f>
        <v>66.126774645070981</v>
      </c>
      <c r="N129" s="3">
        <f>100-(M129+O129)</f>
        <v>14.293141371725653</v>
      </c>
      <c r="O129" s="3">
        <f>L129/C129*100</f>
        <v>19.580083983203362</v>
      </c>
      <c r="P129" s="2" t="s">
        <v>0</v>
      </c>
      <c r="Q129" s="21">
        <v>409044.35154900001</v>
      </c>
      <c r="R129" s="21">
        <v>3659325.4346540002</v>
      </c>
      <c r="T129" s="4">
        <v>2006111</v>
      </c>
      <c r="U129" s="4" t="s">
        <v>169</v>
      </c>
      <c r="V129" s="4">
        <v>5.9409999999999998E-2</v>
      </c>
      <c r="W129" s="4">
        <v>0.38935999999999998</v>
      </c>
      <c r="X129" s="4">
        <v>2.4240000000000001E-2</v>
      </c>
      <c r="Y129" s="4">
        <v>1.36494</v>
      </c>
      <c r="Z129" s="4">
        <v>17.86016</v>
      </c>
      <c r="AA129" s="4">
        <v>9.3222900000000006</v>
      </c>
      <c r="AB129" s="4">
        <v>-1.2031799999999999</v>
      </c>
    </row>
    <row r="130" spans="1:28" x14ac:dyDescent="0.25">
      <c r="A130" s="6">
        <v>13</v>
      </c>
      <c r="B130" s="4">
        <v>60</v>
      </c>
      <c r="C130" s="5">
        <v>50.01</v>
      </c>
      <c r="D130" s="4">
        <v>20</v>
      </c>
      <c r="E130" s="3">
        <v>24.2</v>
      </c>
      <c r="F130" s="3">
        <f>1.8*E130+32</f>
        <v>75.56</v>
      </c>
      <c r="G130" s="3">
        <v>15.5</v>
      </c>
      <c r="H130" s="3">
        <f>IF(F130&gt;68,G130+(F130-68)*0.2,#REF!-(68-F130)*0.2)</f>
        <v>17.012</v>
      </c>
      <c r="I130" s="3">
        <v>22</v>
      </c>
      <c r="J130" s="3">
        <f>1.8*I130+32</f>
        <v>71.599999999999994</v>
      </c>
      <c r="K130" s="3">
        <v>8.5</v>
      </c>
      <c r="L130" s="3">
        <f>IF(J130&gt;68,K130+(J130-68)*0.2,K130-(68-J130)*0.2)</f>
        <v>9.2199999999999989</v>
      </c>
      <c r="M130" s="3">
        <f>(C130-H130)/C130*100</f>
        <v>65.982803439312136</v>
      </c>
      <c r="N130" s="3">
        <f>100-(M130+O130)</f>
        <v>15.580883823235354</v>
      </c>
      <c r="O130" s="3">
        <f>L130/C130*100</f>
        <v>18.436312737452511</v>
      </c>
      <c r="P130" s="2" t="s">
        <v>20</v>
      </c>
      <c r="Q130" s="21">
        <v>409044.35154900001</v>
      </c>
      <c r="R130" s="21">
        <v>3659325.4346540002</v>
      </c>
      <c r="T130" s="4">
        <v>2006111</v>
      </c>
      <c r="U130" s="4" t="s">
        <v>372</v>
      </c>
      <c r="V130" s="4">
        <v>5.2769999999999997E-2</v>
      </c>
      <c r="W130" s="4">
        <v>0.38097999999999999</v>
      </c>
      <c r="X130" s="4">
        <v>3.1119999999999998E-2</v>
      </c>
      <c r="Y130" s="4">
        <v>1.38385</v>
      </c>
      <c r="Z130" s="4">
        <v>30.764299999999999</v>
      </c>
      <c r="AA130" s="4">
        <v>13.98522</v>
      </c>
      <c r="AB130" s="4">
        <v>-1.29182</v>
      </c>
    </row>
    <row r="131" spans="1:28" x14ac:dyDescent="0.25">
      <c r="A131" s="6">
        <v>13</v>
      </c>
      <c r="B131" s="4">
        <v>90</v>
      </c>
      <c r="C131" s="5">
        <v>50</v>
      </c>
      <c r="D131" s="4">
        <v>20</v>
      </c>
      <c r="E131" s="3">
        <v>24.5</v>
      </c>
      <c r="F131" s="3">
        <f>1.8*E131+32</f>
        <v>76.099999999999994</v>
      </c>
      <c r="G131" s="3">
        <v>11</v>
      </c>
      <c r="H131" s="3">
        <f>IF(F131&gt;68,G131+(F131-68)*0.2,#REF!-(68-F131)*0.2)</f>
        <v>12.62</v>
      </c>
      <c r="I131" s="3">
        <v>22</v>
      </c>
      <c r="J131" s="3">
        <f>1.8*I131+32</f>
        <v>71.599999999999994</v>
      </c>
      <c r="K131" s="3">
        <v>5.5</v>
      </c>
      <c r="L131" s="3">
        <f>IF(J131&gt;68,K131+(J131-68)*0.2,K131-(68-J131)*0.2)</f>
        <v>6.2199999999999989</v>
      </c>
      <c r="M131" s="3">
        <f>(C131-H131)/C131*100</f>
        <v>74.760000000000005</v>
      </c>
      <c r="N131" s="3">
        <f>100-(M131+O131)</f>
        <v>12.799999999999997</v>
      </c>
      <c r="O131" s="3">
        <f>L131/C131*100</f>
        <v>12.439999999999998</v>
      </c>
      <c r="P131" s="2" t="s">
        <v>20</v>
      </c>
      <c r="Q131" s="21">
        <v>409044.35154900001</v>
      </c>
      <c r="R131" s="21">
        <v>3659325.4346540002</v>
      </c>
      <c r="T131" s="4">
        <v>2006111</v>
      </c>
      <c r="U131" s="4" t="s">
        <v>371</v>
      </c>
      <c r="V131" s="4">
        <v>5.2589999999999998E-2</v>
      </c>
      <c r="W131" s="4">
        <v>0.38175999999999999</v>
      </c>
      <c r="X131" s="4">
        <v>3.0790000000000001E-2</v>
      </c>
      <c r="Y131" s="4">
        <v>1.38049</v>
      </c>
      <c r="Z131" s="4">
        <v>30.015360000000001</v>
      </c>
      <c r="AA131" s="4">
        <v>13.821249999999999</v>
      </c>
      <c r="AB131" s="4">
        <v>-1.28948</v>
      </c>
    </row>
    <row r="132" spans="1:28" x14ac:dyDescent="0.25">
      <c r="A132" s="6">
        <v>13</v>
      </c>
      <c r="B132" s="4">
        <v>120</v>
      </c>
      <c r="C132" s="5">
        <v>50.01</v>
      </c>
      <c r="D132" s="4">
        <v>20</v>
      </c>
      <c r="E132" s="3">
        <v>25</v>
      </c>
      <c r="F132" s="3">
        <f>1.8*E132+32</f>
        <v>77</v>
      </c>
      <c r="G132" s="3">
        <v>10</v>
      </c>
      <c r="H132" s="3">
        <f>IF(F132&gt;68,G132+(F132-68)*0.2,#REF!-(68-F132)*0.2)</f>
        <v>11.8</v>
      </c>
      <c r="I132" s="3">
        <v>22</v>
      </c>
      <c r="J132" s="3">
        <f>1.8*I132+32</f>
        <v>71.599999999999994</v>
      </c>
      <c r="K132" s="3">
        <v>5</v>
      </c>
      <c r="L132" s="3">
        <f>IF(J132&gt;68,K132+(J132-68)*0.2,K132-(68-J132)*0.2)</f>
        <v>5.7199999999999989</v>
      </c>
      <c r="M132" s="3">
        <f>(C132-H132)/C132*100</f>
        <v>76.404719056188753</v>
      </c>
      <c r="N132" s="3">
        <f>100-(M132+O132)</f>
        <v>12.15756848630275</v>
      </c>
      <c r="O132" s="3">
        <f>L132/C132*100</f>
        <v>11.437712457508496</v>
      </c>
      <c r="P132" s="2" t="s">
        <v>20</v>
      </c>
      <c r="Q132" s="21">
        <v>409044.35154900001</v>
      </c>
      <c r="R132" s="21">
        <v>3659325.4346540002</v>
      </c>
      <c r="T132" s="4">
        <v>2006111</v>
      </c>
      <c r="U132" s="4" t="s">
        <v>370</v>
      </c>
      <c r="V132" s="4">
        <v>6.132E-2</v>
      </c>
      <c r="W132" s="4">
        <v>0.39161000000000001</v>
      </c>
      <c r="X132" s="4">
        <v>2.2919999999999999E-2</v>
      </c>
      <c r="Y132" s="4">
        <v>1.36653</v>
      </c>
      <c r="Z132" s="4">
        <v>15.814120000000001</v>
      </c>
      <c r="AA132" s="4">
        <v>8.5064799999999998</v>
      </c>
      <c r="AB132" s="4">
        <v>-1.1657599999999999</v>
      </c>
    </row>
    <row r="133" spans="1:28" x14ac:dyDescent="0.25">
      <c r="A133" s="6">
        <v>13</v>
      </c>
      <c r="B133" s="4">
        <v>150</v>
      </c>
      <c r="C133" s="5">
        <v>50</v>
      </c>
      <c r="D133" s="4">
        <v>20</v>
      </c>
      <c r="E133" s="3">
        <v>25</v>
      </c>
      <c r="F133" s="3">
        <f>1.8*E133+32</f>
        <v>77</v>
      </c>
      <c r="G133" s="3">
        <v>10.5</v>
      </c>
      <c r="H133" s="3">
        <f>IF(F133&gt;68,G133+(F133-68)*0.2,#REF!-(68-F133)*0.2)</f>
        <v>12.3</v>
      </c>
      <c r="I133" s="3">
        <v>22</v>
      </c>
      <c r="J133" s="3">
        <f>1.8*I133+32</f>
        <v>71.599999999999994</v>
      </c>
      <c r="K133" s="3">
        <v>5</v>
      </c>
      <c r="L133" s="3">
        <f>IF(J133&gt;68,K133+(J133-68)*0.2,K133-(68-J133)*0.2)</f>
        <v>5.7199999999999989</v>
      </c>
      <c r="M133" s="3">
        <f>(C133-H133)/C133*100</f>
        <v>75.400000000000006</v>
      </c>
      <c r="N133" s="3">
        <f>100-(M133+O133)</f>
        <v>13.159999999999997</v>
      </c>
      <c r="O133" s="3">
        <f>L133/C133*100</f>
        <v>11.439999999999998</v>
      </c>
      <c r="P133" s="2" t="s">
        <v>20</v>
      </c>
      <c r="Q133" s="21">
        <v>409044.35154900001</v>
      </c>
      <c r="R133" s="21">
        <v>3659325.4346540002</v>
      </c>
      <c r="T133" s="4">
        <v>2006111</v>
      </c>
      <c r="U133" s="4" t="s">
        <v>369</v>
      </c>
      <c r="V133" s="4">
        <v>5.3999999999999999E-2</v>
      </c>
      <c r="W133" s="4">
        <v>0.38512999999999997</v>
      </c>
      <c r="X133" s="4">
        <v>2.7709999999999999E-2</v>
      </c>
      <c r="Y133" s="4">
        <v>1.3709</v>
      </c>
      <c r="Z133" s="4">
        <v>24.786159999999999</v>
      </c>
      <c r="AA133" s="4">
        <v>11.87358</v>
      </c>
      <c r="AB133" s="4">
        <v>-1.24414</v>
      </c>
    </row>
    <row r="134" spans="1:28" x14ac:dyDescent="0.25">
      <c r="A134" s="6">
        <v>13</v>
      </c>
      <c r="B134" s="4">
        <v>180</v>
      </c>
      <c r="C134" s="5">
        <v>50.01</v>
      </c>
      <c r="D134" s="4">
        <v>20</v>
      </c>
      <c r="E134" s="3">
        <v>25</v>
      </c>
      <c r="F134" s="3">
        <f>1.8*E134+32</f>
        <v>77</v>
      </c>
      <c r="G134" s="3">
        <v>12</v>
      </c>
      <c r="H134" s="3">
        <f>IF(F134&gt;68,G134+(F134-68)*0.2,#REF!-(68-F134)*0.2)</f>
        <v>13.8</v>
      </c>
      <c r="I134" s="3">
        <v>22</v>
      </c>
      <c r="J134" s="3">
        <f>1.8*I134+32</f>
        <v>71.599999999999994</v>
      </c>
      <c r="K134" s="3">
        <v>5</v>
      </c>
      <c r="L134" s="3">
        <f>IF(J134&gt;68,K134+(J134-68)*0.2,K134-(68-J134)*0.2)</f>
        <v>5.7199999999999989</v>
      </c>
      <c r="M134" s="3">
        <f>(C134-H134)/C134*100</f>
        <v>72.405518896220741</v>
      </c>
      <c r="N134" s="3">
        <f>100-(M134+O134)</f>
        <v>16.156768646270763</v>
      </c>
      <c r="O134" s="3">
        <f>L134/C134*100</f>
        <v>11.437712457508496</v>
      </c>
      <c r="P134" s="2" t="s">
        <v>20</v>
      </c>
      <c r="Q134" s="21">
        <v>409044.35154900001</v>
      </c>
      <c r="R134" s="21">
        <v>3659325.4346540002</v>
      </c>
      <c r="T134" s="4">
        <v>2006111</v>
      </c>
      <c r="U134" s="4" t="s">
        <v>168</v>
      </c>
      <c r="V134" s="4">
        <v>6.4430000000000001E-2</v>
      </c>
      <c r="W134" s="4">
        <v>0.38279999999999997</v>
      </c>
      <c r="X134" s="4">
        <v>2.7480000000000001E-2</v>
      </c>
      <c r="Y134" s="4">
        <v>1.31932</v>
      </c>
      <c r="Z134" s="4">
        <v>15.46006</v>
      </c>
      <c r="AA134" s="4">
        <v>9.3512799999999991</v>
      </c>
      <c r="AB134" s="4">
        <v>-1.5754699999999999</v>
      </c>
    </row>
    <row r="135" spans="1:28" x14ac:dyDescent="0.25">
      <c r="A135" s="6">
        <v>13</v>
      </c>
      <c r="B135" s="4">
        <v>210</v>
      </c>
      <c r="C135" s="5">
        <v>50</v>
      </c>
      <c r="D135" s="4">
        <v>20</v>
      </c>
      <c r="E135" s="3">
        <v>25</v>
      </c>
      <c r="F135" s="3">
        <f>1.8*E135+32</f>
        <v>77</v>
      </c>
      <c r="G135" s="3">
        <v>11</v>
      </c>
      <c r="H135" s="3">
        <f>IF(F135&gt;68,G135+(F135-68)*0.2,#REF!-(68-F135)*0.2)</f>
        <v>12.8</v>
      </c>
      <c r="I135" s="3">
        <v>22</v>
      </c>
      <c r="J135" s="3">
        <f>1.8*I135+32</f>
        <v>71.599999999999994</v>
      </c>
      <c r="K135" s="3">
        <v>5</v>
      </c>
      <c r="L135" s="3">
        <f>IF(J135&gt;68,K135+(J135-68)*0.2,K135-(68-J135)*0.2)</f>
        <v>5.7199999999999989</v>
      </c>
      <c r="M135" s="3">
        <f>(C135-H135)/C135*100</f>
        <v>74.400000000000006</v>
      </c>
      <c r="N135" s="3">
        <f>100-(M135+O135)</f>
        <v>14.159999999999997</v>
      </c>
      <c r="O135" s="3">
        <f>L135/C135*100</f>
        <v>11.439999999999998</v>
      </c>
      <c r="P135" s="2" t="s">
        <v>0</v>
      </c>
      <c r="Q135" s="21">
        <v>409044.35154900001</v>
      </c>
      <c r="R135" s="21">
        <v>3659325.4346540002</v>
      </c>
      <c r="T135" s="4">
        <v>2006111</v>
      </c>
      <c r="U135" s="4" t="s">
        <v>167</v>
      </c>
      <c r="V135" s="4">
        <v>6.2609999999999999E-2</v>
      </c>
      <c r="W135" s="4">
        <v>0.37966</v>
      </c>
      <c r="X135" s="4">
        <v>2.819E-2</v>
      </c>
      <c r="Y135" s="4">
        <v>1.3277300000000001</v>
      </c>
      <c r="Z135" s="4">
        <v>17.412569999999999</v>
      </c>
      <c r="AA135" s="4">
        <v>9.9019499999999994</v>
      </c>
      <c r="AB135" s="4">
        <v>-1.54504</v>
      </c>
    </row>
    <row r="136" spans="1:28" x14ac:dyDescent="0.25">
      <c r="A136" s="6">
        <v>13</v>
      </c>
      <c r="B136" s="4">
        <v>240</v>
      </c>
      <c r="C136" s="5">
        <v>50</v>
      </c>
      <c r="D136" s="4">
        <v>20</v>
      </c>
      <c r="E136" s="3">
        <v>26</v>
      </c>
      <c r="F136" s="3">
        <f>1.8*E136+32</f>
        <v>78.800000000000011</v>
      </c>
      <c r="G136" s="3">
        <v>12</v>
      </c>
      <c r="H136" s="3">
        <f>IF(F136&gt;68,G136+(F136-68)*0.2,#REF!-(68-F136)*0.2)</f>
        <v>14.160000000000002</v>
      </c>
      <c r="I136" s="3">
        <v>22</v>
      </c>
      <c r="J136" s="3">
        <f>1.8*I136+32</f>
        <v>71.599999999999994</v>
      </c>
      <c r="K136" s="3">
        <v>6.5</v>
      </c>
      <c r="L136" s="3">
        <f>IF(J136&gt;68,K136+(J136-68)*0.2,K136-(68-J136)*0.2)</f>
        <v>7.2199999999999989</v>
      </c>
      <c r="M136" s="3">
        <f>(C136-H136)/C136*100</f>
        <v>71.679999999999993</v>
      </c>
      <c r="N136" s="3">
        <f>100-(M136+O136)</f>
        <v>13.88000000000001</v>
      </c>
      <c r="O136" s="3">
        <f>L136/C136*100</f>
        <v>14.439999999999998</v>
      </c>
      <c r="P136" s="2" t="s">
        <v>20</v>
      </c>
      <c r="Q136" s="21">
        <v>409044.35154900001</v>
      </c>
      <c r="R136" s="21">
        <v>3659325.4346540002</v>
      </c>
      <c r="T136" s="4">
        <v>2006111</v>
      </c>
      <c r="U136" s="4" t="s">
        <v>166</v>
      </c>
      <c r="V136" s="4">
        <v>7.5939999999999994E-2</v>
      </c>
      <c r="W136" s="4">
        <v>0.40139999999999998</v>
      </c>
      <c r="X136" s="4">
        <v>2.4580000000000001E-2</v>
      </c>
      <c r="Y136" s="4">
        <v>1.2870999999999999</v>
      </c>
      <c r="Z136" s="4">
        <v>8.8159799999999997</v>
      </c>
      <c r="AA136" s="4">
        <v>7.0285099999999998</v>
      </c>
      <c r="AB136" s="4">
        <v>-1.7340500000000001</v>
      </c>
    </row>
    <row r="137" spans="1:28" x14ac:dyDescent="0.25">
      <c r="A137" s="6">
        <v>13</v>
      </c>
      <c r="B137" s="4">
        <v>270</v>
      </c>
      <c r="C137" s="5">
        <v>50.01</v>
      </c>
      <c r="D137" s="4">
        <v>20</v>
      </c>
      <c r="E137" s="3">
        <v>26</v>
      </c>
      <c r="F137" s="3">
        <f>1.8*E137+32</f>
        <v>78.800000000000011</v>
      </c>
      <c r="G137" s="3">
        <v>7</v>
      </c>
      <c r="H137" s="3">
        <f>IF(F137&gt;68,G137+(F137-68)*0.2,#REF!-(68-F137)*0.2)</f>
        <v>9.1600000000000019</v>
      </c>
      <c r="I137" s="3">
        <v>22</v>
      </c>
      <c r="J137" s="3">
        <f>1.8*I137+32</f>
        <v>71.599999999999994</v>
      </c>
      <c r="K137" s="3">
        <v>5</v>
      </c>
      <c r="L137" s="3">
        <f>IF(J137&gt;68,K137+(J137-68)*0.2,K137-(68-J137)*0.2)</f>
        <v>5.7199999999999989</v>
      </c>
      <c r="M137" s="3">
        <f>(C137-H137)/C137*100</f>
        <v>81.683663267346518</v>
      </c>
      <c r="N137" s="3">
        <f>100-(M137+O137)</f>
        <v>6.8786242751449862</v>
      </c>
      <c r="O137" s="3">
        <f>L137/C137*100</f>
        <v>11.437712457508496</v>
      </c>
      <c r="P137" s="2" t="s">
        <v>20</v>
      </c>
      <c r="Q137" s="21">
        <v>409044.35154900001</v>
      </c>
      <c r="R137" s="21">
        <v>3659325.4346540002</v>
      </c>
      <c r="T137" s="4">
        <v>2006111</v>
      </c>
      <c r="U137" s="4" t="s">
        <v>165</v>
      </c>
      <c r="V137" s="4">
        <v>7.46E-2</v>
      </c>
      <c r="W137" s="4">
        <v>0.39810000000000001</v>
      </c>
      <c r="X137" s="4">
        <v>2.5020000000000001E-2</v>
      </c>
      <c r="Y137" s="4">
        <v>1.2884</v>
      </c>
      <c r="Z137" s="4">
        <v>9.4340899999999994</v>
      </c>
      <c r="AA137" s="4">
        <v>7.2590500000000002</v>
      </c>
      <c r="AB137" s="4">
        <v>-1.7389399999999999</v>
      </c>
    </row>
    <row r="138" spans="1:28" x14ac:dyDescent="0.25">
      <c r="A138" s="6">
        <v>13</v>
      </c>
      <c r="B138" s="4">
        <v>300</v>
      </c>
      <c r="C138" s="5">
        <v>50</v>
      </c>
      <c r="D138" s="4">
        <v>20</v>
      </c>
      <c r="E138" s="3">
        <v>26</v>
      </c>
      <c r="F138" s="3">
        <f>1.8*E138+32</f>
        <v>78.800000000000011</v>
      </c>
      <c r="G138" s="3">
        <v>10</v>
      </c>
      <c r="H138" s="3">
        <f>IF(F138&gt;68,G138+(F138-68)*0.2,#REF!-(68-F138)*0.2)</f>
        <v>12.160000000000002</v>
      </c>
      <c r="I138" s="3">
        <v>22</v>
      </c>
      <c r="J138" s="3">
        <f>1.8*I138+32</f>
        <v>71.599999999999994</v>
      </c>
      <c r="K138" s="3">
        <v>6</v>
      </c>
      <c r="L138" s="3">
        <f>IF(J138&gt;68,K138+(J138-68)*0.2,K138-(68-J138)*0.2)</f>
        <v>6.7199999999999989</v>
      </c>
      <c r="M138" s="3">
        <f>(C138-H138)/C138*100</f>
        <v>75.679999999999993</v>
      </c>
      <c r="N138" s="3">
        <f>100-(M138+O138)</f>
        <v>10.88000000000001</v>
      </c>
      <c r="O138" s="3">
        <f>L138/C138*100</f>
        <v>13.439999999999996</v>
      </c>
      <c r="P138" s="2" t="s">
        <v>20</v>
      </c>
      <c r="Q138" s="21">
        <v>409044.35154900001</v>
      </c>
      <c r="R138" s="21">
        <v>3659325.4346540002</v>
      </c>
      <c r="T138" s="4">
        <v>2006111</v>
      </c>
      <c r="U138" s="4" t="s">
        <v>164</v>
      </c>
      <c r="V138" s="4">
        <v>6.9680000000000006E-2</v>
      </c>
      <c r="W138" s="4">
        <v>0.39101999999999998</v>
      </c>
      <c r="X138" s="4">
        <v>2.554E-2</v>
      </c>
      <c r="Y138" s="4">
        <v>1.3071600000000001</v>
      </c>
      <c r="Z138" s="4">
        <v>11.4452</v>
      </c>
      <c r="AA138" s="4">
        <v>8.0158199999999997</v>
      </c>
      <c r="AB138" s="4">
        <v>-1.6064499999999999</v>
      </c>
    </row>
    <row r="139" spans="1:28" x14ac:dyDescent="0.25">
      <c r="A139" s="36"/>
      <c r="C139" s="35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3"/>
      <c r="T139" s="4">
        <v>2006111</v>
      </c>
      <c r="U139" s="4" t="s">
        <v>163</v>
      </c>
      <c r="V139" s="4">
        <v>6.8250000000000005E-2</v>
      </c>
      <c r="W139" s="4">
        <v>0.38512999999999997</v>
      </c>
      <c r="X139" s="4">
        <v>2.691E-2</v>
      </c>
      <c r="Y139" s="4">
        <v>1.29948</v>
      </c>
      <c r="Z139" s="4">
        <v>12.96669</v>
      </c>
      <c r="AA139" s="4">
        <v>8.4568300000000001</v>
      </c>
      <c r="AB139" s="4">
        <v>-1.70882</v>
      </c>
    </row>
    <row r="140" spans="1:28" ht="51.75" x14ac:dyDescent="0.25">
      <c r="A140" s="15" t="s">
        <v>19</v>
      </c>
      <c r="B140" s="10" t="s">
        <v>18</v>
      </c>
      <c r="C140" s="14" t="s">
        <v>17</v>
      </c>
      <c r="D140" s="13" t="s">
        <v>16</v>
      </c>
      <c r="E140" s="12" t="s">
        <v>15</v>
      </c>
      <c r="F140" s="12" t="s">
        <v>14</v>
      </c>
      <c r="G140" s="12" t="s">
        <v>13</v>
      </c>
      <c r="H140" s="12" t="s">
        <v>12</v>
      </c>
      <c r="I140" s="12" t="s">
        <v>11</v>
      </c>
      <c r="J140" s="12" t="s">
        <v>10</v>
      </c>
      <c r="K140" s="12" t="s">
        <v>9</v>
      </c>
      <c r="L140" s="12" t="s">
        <v>8</v>
      </c>
      <c r="M140" s="11" t="s">
        <v>7</v>
      </c>
      <c r="N140" s="11" t="s">
        <v>6</v>
      </c>
      <c r="O140" s="11" t="s">
        <v>5</v>
      </c>
      <c r="P140" s="10" t="s">
        <v>4</v>
      </c>
      <c r="Q140" s="9" t="s">
        <v>3</v>
      </c>
      <c r="R140" s="8"/>
      <c r="T140" s="4">
        <v>2006111</v>
      </c>
      <c r="U140" s="4" t="s">
        <v>368</v>
      </c>
      <c r="V140" s="4">
        <v>7.1029999999999996E-2</v>
      </c>
      <c r="W140" s="4">
        <v>0.39061000000000001</v>
      </c>
      <c r="X140" s="4">
        <v>2.6040000000000001E-2</v>
      </c>
      <c r="Y140" s="4">
        <v>1.29423</v>
      </c>
      <c r="Z140" s="4">
        <v>11.217890000000001</v>
      </c>
      <c r="AA140" s="4">
        <v>7.8938800000000002</v>
      </c>
      <c r="AB140" s="4">
        <v>-1.7239800000000001</v>
      </c>
    </row>
    <row r="141" spans="1:28" x14ac:dyDescent="0.25">
      <c r="A141" s="4"/>
      <c r="B141" s="4"/>
      <c r="C141" s="5"/>
      <c r="D141" s="4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2"/>
      <c r="Q141" s="7" t="s">
        <v>2</v>
      </c>
      <c r="R141" s="7" t="s">
        <v>1</v>
      </c>
      <c r="T141" s="4">
        <v>2006111</v>
      </c>
      <c r="U141" s="4" t="s">
        <v>367</v>
      </c>
      <c r="V141" s="4">
        <v>5.9380000000000002E-2</v>
      </c>
      <c r="W141" s="4">
        <v>0.37345</v>
      </c>
      <c r="X141" s="4">
        <v>2.8490000000000001E-2</v>
      </c>
      <c r="Y141" s="4">
        <v>1.3878200000000001</v>
      </c>
      <c r="Z141" s="4">
        <v>25.21452</v>
      </c>
      <c r="AA141" s="4">
        <v>11.021459999999999</v>
      </c>
      <c r="AB141" s="4">
        <v>-1.3149999999999999</v>
      </c>
    </row>
    <row r="142" spans="1:28" x14ac:dyDescent="0.25">
      <c r="A142" s="6">
        <v>15</v>
      </c>
      <c r="B142" s="4">
        <v>30</v>
      </c>
      <c r="C142" s="5">
        <v>50.01</v>
      </c>
      <c r="D142" s="4">
        <v>20</v>
      </c>
      <c r="E142" s="3">
        <v>23</v>
      </c>
      <c r="F142" s="3">
        <f>1.8*E142+32</f>
        <v>73.400000000000006</v>
      </c>
      <c r="G142" s="3">
        <v>18</v>
      </c>
      <c r="H142" s="3">
        <f>IF(F142&gt;68,G142+(F142-68)*0.2,#REF!-(68-F142)*0.2)</f>
        <v>19.080000000000002</v>
      </c>
      <c r="I142" s="3">
        <v>23</v>
      </c>
      <c r="J142" s="3">
        <f>1.8*I142+32</f>
        <v>73.400000000000006</v>
      </c>
      <c r="K142" s="3">
        <v>10</v>
      </c>
      <c r="L142" s="3">
        <f>IF(J142&gt;68,K142+(J142-68)*0.2,K142-(68-J142)*0.2)</f>
        <v>11.080000000000002</v>
      </c>
      <c r="M142" s="3">
        <f>(C142-H142)/C142*100</f>
        <v>61.847630473905213</v>
      </c>
      <c r="N142" s="3">
        <f>100-(M142+O142)</f>
        <v>15.996800639872021</v>
      </c>
      <c r="O142" s="3">
        <f>L142/C142*100</f>
        <v>22.15556888622276</v>
      </c>
      <c r="P142" s="2" t="s">
        <v>0</v>
      </c>
      <c r="Q142" s="1">
        <v>409068.72473900003</v>
      </c>
      <c r="R142" s="1">
        <v>3659325.0185670001</v>
      </c>
      <c r="T142" s="4">
        <v>2006111</v>
      </c>
      <c r="U142" s="4" t="s">
        <v>366</v>
      </c>
      <c r="V142" s="4">
        <v>5.5710000000000003E-2</v>
      </c>
      <c r="W142" s="4">
        <v>0.37659999999999999</v>
      </c>
      <c r="X142" s="4">
        <v>3.0509999999999999E-2</v>
      </c>
      <c r="Y142" s="4">
        <v>1.39916</v>
      </c>
      <c r="Z142" s="4">
        <v>30.697130000000001</v>
      </c>
      <c r="AA142" s="4">
        <v>13.03646</v>
      </c>
      <c r="AB142" s="4">
        <v>-1.28233</v>
      </c>
    </row>
    <row r="143" spans="1:28" x14ac:dyDescent="0.25">
      <c r="A143" s="6">
        <v>15</v>
      </c>
      <c r="B143" s="4">
        <v>60</v>
      </c>
      <c r="C143" s="5">
        <v>50</v>
      </c>
      <c r="D143" s="4">
        <v>20</v>
      </c>
      <c r="E143" s="3">
        <v>23</v>
      </c>
      <c r="F143" s="3">
        <f>1.8*E143+32</f>
        <v>73.400000000000006</v>
      </c>
      <c r="G143" s="3">
        <v>16.5</v>
      </c>
      <c r="H143" s="3">
        <f>IF(F143&gt;68,G143+(F143-68)*0.2,#REF!-(68-F143)*0.2)</f>
        <v>17.580000000000002</v>
      </c>
      <c r="I143" s="3">
        <v>23</v>
      </c>
      <c r="J143" s="3">
        <f>1.8*I143+32</f>
        <v>73.400000000000006</v>
      </c>
      <c r="K143" s="3">
        <v>9.5</v>
      </c>
      <c r="L143" s="3">
        <f>IF(J143&gt;68,K143+(J143-68)*0.2,K143-(68-J143)*0.2)</f>
        <v>10.580000000000002</v>
      </c>
      <c r="M143" s="3">
        <f>(C143-H143)/C143*100</f>
        <v>64.84</v>
      </c>
      <c r="N143" s="3">
        <f>100-(M143+O143)</f>
        <v>14</v>
      </c>
      <c r="O143" s="3">
        <f>L143/C143*100</f>
        <v>21.160000000000004</v>
      </c>
      <c r="P143" s="2" t="s">
        <v>0</v>
      </c>
      <c r="Q143" s="1">
        <v>409068.72473900003</v>
      </c>
      <c r="R143" s="1">
        <v>3659325.0185670001</v>
      </c>
      <c r="T143" s="4">
        <v>2006111</v>
      </c>
      <c r="U143" s="4" t="s">
        <v>162</v>
      </c>
      <c r="V143" s="4">
        <v>6.2019999999999999E-2</v>
      </c>
      <c r="W143" s="4">
        <v>0.38212000000000002</v>
      </c>
      <c r="X143" s="4">
        <v>2.7949999999999999E-2</v>
      </c>
      <c r="Y143" s="4">
        <v>1.33212</v>
      </c>
      <c r="Z143" s="4">
        <v>17.647099999999998</v>
      </c>
      <c r="AA143" s="4">
        <v>10.041359999999999</v>
      </c>
      <c r="AB143" s="4">
        <v>-1.5016400000000001</v>
      </c>
    </row>
    <row r="144" spans="1:28" x14ac:dyDescent="0.25">
      <c r="A144" s="6">
        <v>15</v>
      </c>
      <c r="B144" s="4">
        <v>90</v>
      </c>
      <c r="C144" s="5">
        <v>50</v>
      </c>
      <c r="D144" s="4">
        <v>20</v>
      </c>
      <c r="E144" s="3">
        <v>23</v>
      </c>
      <c r="F144" s="3">
        <f>1.8*E144+32</f>
        <v>73.400000000000006</v>
      </c>
      <c r="G144" s="3">
        <v>14.5</v>
      </c>
      <c r="H144" s="3">
        <f>IF(F144&gt;68,G144+(F144-68)*0.2,G374-(68-F144)*0.2)</f>
        <v>15.580000000000002</v>
      </c>
      <c r="I144" s="3">
        <v>23</v>
      </c>
      <c r="J144" s="3">
        <f>1.8*I144+32</f>
        <v>73.400000000000006</v>
      </c>
      <c r="K144" s="3">
        <v>8</v>
      </c>
      <c r="L144" s="3">
        <f>IF(J144&gt;68,K144+(J144-68)*0.2,K144-(68-J144)*0.2)</f>
        <v>9.0800000000000018</v>
      </c>
      <c r="M144" s="3">
        <f>(C144-H144)/C144*100</f>
        <v>68.84</v>
      </c>
      <c r="N144" s="3">
        <f>100-(M144+O144)</f>
        <v>13</v>
      </c>
      <c r="O144" s="3">
        <f>L144/C144*100</f>
        <v>18.160000000000004</v>
      </c>
      <c r="P144" s="2" t="s">
        <v>20</v>
      </c>
      <c r="Q144" s="1">
        <v>409068.72473900003</v>
      </c>
      <c r="R144" s="1">
        <v>3659325.0185670001</v>
      </c>
      <c r="T144" s="4">
        <v>2006111</v>
      </c>
      <c r="U144" s="4" t="s">
        <v>161</v>
      </c>
      <c r="V144" s="4">
        <v>6.4479999999999996E-2</v>
      </c>
      <c r="W144" s="4">
        <v>0.38345000000000001</v>
      </c>
      <c r="X144" s="4">
        <v>2.734E-2</v>
      </c>
      <c r="Y144" s="4">
        <v>1.3202</v>
      </c>
      <c r="Z144" s="4">
        <v>15.35256</v>
      </c>
      <c r="AA144" s="4">
        <v>9.3226700000000005</v>
      </c>
      <c r="AB144" s="4">
        <v>-1.5646500000000001</v>
      </c>
    </row>
    <row r="145" spans="1:28" x14ac:dyDescent="0.25">
      <c r="A145" s="6">
        <v>15</v>
      </c>
      <c r="B145" s="4">
        <v>120</v>
      </c>
      <c r="C145" s="5">
        <v>50.01</v>
      </c>
      <c r="D145" s="4">
        <v>20</v>
      </c>
      <c r="E145" s="3">
        <v>24.5</v>
      </c>
      <c r="F145" s="3">
        <f>1.8*E145+32</f>
        <v>76.099999999999994</v>
      </c>
      <c r="G145" s="3">
        <v>14</v>
      </c>
      <c r="H145" s="3">
        <f>IF(F145&gt;68,G145+(F145-68)*0.2,#REF!-(68-F145)*0.2)</f>
        <v>15.62</v>
      </c>
      <c r="I145" s="3">
        <v>23</v>
      </c>
      <c r="J145" s="3">
        <f>1.8*I145+32</f>
        <v>73.400000000000006</v>
      </c>
      <c r="K145" s="3">
        <v>8</v>
      </c>
      <c r="L145" s="3">
        <f>IF(J145&gt;68,K145+(J145-68)*0.2,K145-(68-J145)*0.2)</f>
        <v>9.0800000000000018</v>
      </c>
      <c r="M145" s="3">
        <f>(C145-H145)/C145*100</f>
        <v>68.76624675064987</v>
      </c>
      <c r="N145" s="3">
        <f>100-(M145+O145)</f>
        <v>13.077384523095375</v>
      </c>
      <c r="O145" s="3">
        <f>L145/C145*100</f>
        <v>18.156368726254755</v>
      </c>
      <c r="P145" s="2" t="s">
        <v>20</v>
      </c>
      <c r="Q145" s="1">
        <v>409068.72473900003</v>
      </c>
      <c r="R145" s="1">
        <v>3659325.0185670001</v>
      </c>
      <c r="T145" s="4">
        <v>2006111</v>
      </c>
      <c r="U145" s="4" t="s">
        <v>160</v>
      </c>
      <c r="V145" s="4">
        <v>7.6920000000000002E-2</v>
      </c>
      <c r="W145" s="4">
        <v>0.40565000000000001</v>
      </c>
      <c r="X145" s="4">
        <v>2.341E-2</v>
      </c>
      <c r="Y145" s="4">
        <v>1.29504</v>
      </c>
      <c r="Z145" s="4">
        <v>7.8494799999999998</v>
      </c>
      <c r="AA145" s="4">
        <v>6.6767000000000003</v>
      </c>
      <c r="AB145" s="4">
        <v>-1.62662</v>
      </c>
    </row>
    <row r="146" spans="1:28" x14ac:dyDescent="0.25">
      <c r="A146" s="6">
        <v>15</v>
      </c>
      <c r="B146" s="4">
        <v>150</v>
      </c>
      <c r="C146" s="5">
        <v>50</v>
      </c>
      <c r="D146" s="4">
        <v>20</v>
      </c>
      <c r="E146" s="3">
        <v>25</v>
      </c>
      <c r="F146" s="3">
        <f>1.8*E146+32</f>
        <v>77</v>
      </c>
      <c r="G146" s="3">
        <v>16.5</v>
      </c>
      <c r="H146" s="3">
        <f>IF(F146&gt;68,G146+(F146-68)*0.2,G376-(68-F146)*0.2)</f>
        <v>18.3</v>
      </c>
      <c r="I146" s="3">
        <v>23</v>
      </c>
      <c r="J146" s="3">
        <f>1.8*I146+32</f>
        <v>73.400000000000006</v>
      </c>
      <c r="K146" s="3">
        <v>10.5</v>
      </c>
      <c r="L146" s="3">
        <f>IF(J146&gt;68,K146+(J146-68)*0.2,K146-(68-J146)*0.2)</f>
        <v>11.580000000000002</v>
      </c>
      <c r="M146" s="3">
        <f>(C146-H146)/C146*100</f>
        <v>63.4</v>
      </c>
      <c r="N146" s="3">
        <f>100-(M146+O146)</f>
        <v>13.439999999999998</v>
      </c>
      <c r="O146" s="3">
        <f>L146/C146*100</f>
        <v>23.160000000000004</v>
      </c>
      <c r="P146" s="2" t="s">
        <v>0</v>
      </c>
      <c r="Q146" s="1">
        <v>409068.72473900003</v>
      </c>
      <c r="R146" s="1">
        <v>3659325.0185670001</v>
      </c>
      <c r="T146" s="4">
        <v>2006111</v>
      </c>
      <c r="U146" s="4" t="s">
        <v>159</v>
      </c>
      <c r="V146" s="4">
        <v>8.0360000000000001E-2</v>
      </c>
      <c r="W146" s="4">
        <v>0.41815000000000002</v>
      </c>
      <c r="X146" s="4">
        <v>2.0590000000000001E-2</v>
      </c>
      <c r="Y146" s="4">
        <v>1.3087500000000001</v>
      </c>
      <c r="Z146" s="4">
        <v>5.8986599999999996</v>
      </c>
      <c r="AA146" s="4">
        <v>5.6870500000000002</v>
      </c>
      <c r="AB146" s="4">
        <v>-1.4177900000000001</v>
      </c>
    </row>
    <row r="147" spans="1:28" x14ac:dyDescent="0.25">
      <c r="A147" s="6">
        <v>15</v>
      </c>
      <c r="B147" s="4">
        <v>180</v>
      </c>
      <c r="C147" s="5">
        <v>50</v>
      </c>
      <c r="D147" s="4">
        <v>20</v>
      </c>
      <c r="E147" s="3">
        <v>25</v>
      </c>
      <c r="F147" s="3">
        <f>1.8*E147+32</f>
        <v>77</v>
      </c>
      <c r="G147" s="3">
        <v>15</v>
      </c>
      <c r="H147" s="3">
        <f>IF(F147&gt;68,G147+(F147-68)*0.2,G377-(68-F147)*0.2)</f>
        <v>16.8</v>
      </c>
      <c r="I147" s="3">
        <v>23</v>
      </c>
      <c r="J147" s="3">
        <f>1.8*I147+32</f>
        <v>73.400000000000006</v>
      </c>
      <c r="K147" s="3">
        <v>10</v>
      </c>
      <c r="L147" s="3">
        <f>IF(J147&gt;68,K147+(J147-68)*0.2,K147-(68-J147)*0.2)</f>
        <v>11.080000000000002</v>
      </c>
      <c r="M147" s="3">
        <f>(C147-H147)/C147*100</f>
        <v>66.400000000000006</v>
      </c>
      <c r="N147" s="3">
        <f>100-(M147+O147)</f>
        <v>11.439999999999998</v>
      </c>
      <c r="O147" s="3">
        <f>L147/C147*100</f>
        <v>22.160000000000004</v>
      </c>
      <c r="P147" s="2" t="s">
        <v>0</v>
      </c>
      <c r="Q147" s="1">
        <v>409068.72473900003</v>
      </c>
      <c r="R147" s="1">
        <v>3659325.0185670001</v>
      </c>
      <c r="T147" s="4">
        <v>2006111</v>
      </c>
      <c r="U147" s="4" t="s">
        <v>158</v>
      </c>
      <c r="V147" s="4">
        <v>7.417E-2</v>
      </c>
      <c r="W147" s="4">
        <v>0.40286</v>
      </c>
      <c r="X147" s="4">
        <v>2.248E-2</v>
      </c>
      <c r="Y147" s="4">
        <v>1.3169900000000001</v>
      </c>
      <c r="Z147" s="4">
        <v>8.3017000000000003</v>
      </c>
      <c r="AA147" s="4">
        <v>6.7242300000000004</v>
      </c>
      <c r="AB147" s="4">
        <v>-1.44265</v>
      </c>
    </row>
    <row r="148" spans="1:28" x14ac:dyDescent="0.25">
      <c r="A148" s="6">
        <v>15</v>
      </c>
      <c r="B148" s="4">
        <v>210</v>
      </c>
      <c r="C148" s="5">
        <v>50</v>
      </c>
      <c r="D148" s="4">
        <v>20</v>
      </c>
      <c r="E148" s="3">
        <v>25.5</v>
      </c>
      <c r="F148" s="3">
        <f>1.8*E148+32</f>
        <v>77.900000000000006</v>
      </c>
      <c r="G148" s="3">
        <v>15.5</v>
      </c>
      <c r="H148" s="3">
        <f>IF(F148&gt;68,G148+(F148-68)*0.2,G378-(68-F148)*0.2)</f>
        <v>17.48</v>
      </c>
      <c r="I148" s="3">
        <v>23</v>
      </c>
      <c r="J148" s="3">
        <f>1.8*I148+32</f>
        <v>73.400000000000006</v>
      </c>
      <c r="K148" s="3">
        <v>9.5</v>
      </c>
      <c r="L148" s="3">
        <f>IF(J148&gt;68,K148+(J148-68)*0.2,K148-(68-J148)*0.2)</f>
        <v>10.580000000000002</v>
      </c>
      <c r="M148" s="3">
        <f>(C148-H148)/C148*100</f>
        <v>65.039999999999992</v>
      </c>
      <c r="N148" s="3">
        <f>100-(M148+O148)</f>
        <v>13.800000000000011</v>
      </c>
      <c r="O148" s="3">
        <f>L148/C148*100</f>
        <v>21.160000000000004</v>
      </c>
      <c r="P148" s="2" t="s">
        <v>0</v>
      </c>
      <c r="Q148" s="1">
        <v>409068.72473900003</v>
      </c>
      <c r="R148" s="1">
        <v>3659325.0185670001</v>
      </c>
      <c r="T148" s="4">
        <v>2006111</v>
      </c>
      <c r="U148" s="4" t="s">
        <v>157</v>
      </c>
      <c r="V148" s="4">
        <v>7.2059999999999999E-2</v>
      </c>
      <c r="W148" s="4">
        <v>0.39589000000000002</v>
      </c>
      <c r="X148" s="4">
        <v>2.4510000000000001E-2</v>
      </c>
      <c r="Y148" s="4">
        <v>1.3059799999999999</v>
      </c>
      <c r="Z148" s="4">
        <v>9.9218100000000007</v>
      </c>
      <c r="AA148" s="4">
        <v>7.4633399999999996</v>
      </c>
      <c r="AB148" s="4">
        <v>-1.5837000000000001</v>
      </c>
    </row>
    <row r="149" spans="1:28" x14ac:dyDescent="0.25">
      <c r="A149" s="6">
        <v>15</v>
      </c>
      <c r="B149" s="4">
        <v>240</v>
      </c>
      <c r="C149" s="5">
        <v>50</v>
      </c>
      <c r="D149" s="4">
        <v>20</v>
      </c>
      <c r="E149" s="3">
        <v>25.5</v>
      </c>
      <c r="F149" s="3">
        <f>1.8*E149+32</f>
        <v>77.900000000000006</v>
      </c>
      <c r="G149" s="3">
        <v>13</v>
      </c>
      <c r="H149" s="3">
        <f>IF(F149&gt;68,G149+(F149-68)*0.2,G379-(68-F149)*0.2)</f>
        <v>14.98</v>
      </c>
      <c r="I149" s="3">
        <v>23</v>
      </c>
      <c r="J149" s="3">
        <f>1.8*I149+32</f>
        <v>73.400000000000006</v>
      </c>
      <c r="K149" s="3">
        <v>8.5</v>
      </c>
      <c r="L149" s="3">
        <f>IF(J149&gt;68,K149+(J149-68)*0.2,K149-(68-J149)*0.2)</f>
        <v>9.5800000000000018</v>
      </c>
      <c r="M149" s="3">
        <f>(C149-H149)/C149*100</f>
        <v>70.039999999999992</v>
      </c>
      <c r="N149" s="3">
        <f>100-(M149+O149)</f>
        <v>10.800000000000011</v>
      </c>
      <c r="O149" s="3">
        <f>L149/C149*100</f>
        <v>19.160000000000004</v>
      </c>
      <c r="P149" s="2" t="s">
        <v>20</v>
      </c>
      <c r="Q149" s="1">
        <v>409068.72473900003</v>
      </c>
      <c r="R149" s="1">
        <v>3659325.0185670001</v>
      </c>
      <c r="T149" s="4">
        <v>2006111</v>
      </c>
      <c r="U149" s="4" t="s">
        <v>365</v>
      </c>
      <c r="V149" s="4">
        <v>5.9880000000000003E-2</v>
      </c>
      <c r="W149" s="4">
        <v>0.37690000000000001</v>
      </c>
      <c r="X149" s="4">
        <v>2.896E-2</v>
      </c>
      <c r="Y149" s="4">
        <v>1.3519399999999999</v>
      </c>
      <c r="Z149" s="4">
        <v>21.396049999999999</v>
      </c>
      <c r="AA149" s="4">
        <v>10.87372</v>
      </c>
      <c r="AB149" s="4">
        <v>-1.4398500000000001</v>
      </c>
    </row>
    <row r="150" spans="1:28" x14ac:dyDescent="0.25">
      <c r="A150" s="6">
        <v>15</v>
      </c>
      <c r="B150" s="4">
        <v>270</v>
      </c>
      <c r="C150" s="5">
        <v>50</v>
      </c>
      <c r="D150" s="4">
        <v>20</v>
      </c>
      <c r="E150" s="3">
        <v>25.5</v>
      </c>
      <c r="F150" s="3">
        <f>1.8*E150+32</f>
        <v>77.900000000000006</v>
      </c>
      <c r="G150" s="3">
        <v>13</v>
      </c>
      <c r="H150" s="3">
        <f>IF(F150&gt;68,G150+(F150-68)*0.2,G380-(68-F150)*0.2)</f>
        <v>14.98</v>
      </c>
      <c r="I150" s="3">
        <v>23</v>
      </c>
      <c r="J150" s="3">
        <f>1.8*I150+32</f>
        <v>73.400000000000006</v>
      </c>
      <c r="K150" s="3">
        <v>9</v>
      </c>
      <c r="L150" s="3">
        <f>IF(J150&gt;68,K150+(J150-68)*0.2,K150-(68-J150)*0.2)</f>
        <v>10.080000000000002</v>
      </c>
      <c r="M150" s="3">
        <f>(C150-H150)/C150*100</f>
        <v>70.039999999999992</v>
      </c>
      <c r="N150" s="3">
        <f>100-(M150+O150)</f>
        <v>9.8000000000000114</v>
      </c>
      <c r="O150" s="3">
        <f>L150/C150*100</f>
        <v>20.160000000000004</v>
      </c>
      <c r="P150" s="2" t="s">
        <v>0</v>
      </c>
      <c r="Q150" s="1">
        <v>409068.72473900003</v>
      </c>
      <c r="R150" s="1">
        <v>3659325.0185670001</v>
      </c>
      <c r="T150" s="4">
        <v>2006111</v>
      </c>
      <c r="U150" s="4" t="s">
        <v>364</v>
      </c>
      <c r="V150" s="4">
        <v>5.6779999999999997E-2</v>
      </c>
      <c r="W150" s="4">
        <v>0.37359999999999999</v>
      </c>
      <c r="X150" s="4">
        <v>2.9420000000000002E-2</v>
      </c>
      <c r="Y150" s="4">
        <v>1.4474800000000001</v>
      </c>
      <c r="Z150" s="4">
        <v>35.52496</v>
      </c>
      <c r="AA150" s="4">
        <v>12.69046</v>
      </c>
      <c r="AB150" s="4">
        <v>-1.1768700000000001</v>
      </c>
    </row>
    <row r="151" spans="1:28" x14ac:dyDescent="0.25">
      <c r="A151" s="6">
        <v>15</v>
      </c>
      <c r="B151" s="4">
        <v>300</v>
      </c>
      <c r="C151" s="5">
        <v>50</v>
      </c>
      <c r="D151" s="4">
        <v>20</v>
      </c>
      <c r="E151" s="3">
        <v>25.5</v>
      </c>
      <c r="F151" s="3">
        <f>1.8*E151+32</f>
        <v>77.900000000000006</v>
      </c>
      <c r="G151" s="3">
        <v>11.5</v>
      </c>
      <c r="H151" s="3">
        <f>IF(F151&gt;68,G151+(F151-68)*0.2,G381-(68-F151)*0.2)</f>
        <v>13.48</v>
      </c>
      <c r="I151" s="3">
        <v>23</v>
      </c>
      <c r="J151" s="3">
        <f>1.8*I151+32</f>
        <v>73.400000000000006</v>
      </c>
      <c r="K151" s="3">
        <v>8</v>
      </c>
      <c r="L151" s="3">
        <f>IF(J151&gt;68,K151+(J151-68)*0.2,K151-(68-J151)*0.2)</f>
        <v>9.0800000000000018</v>
      </c>
      <c r="M151" s="3">
        <f>(C151-H151)/C151*100</f>
        <v>73.039999999999992</v>
      </c>
      <c r="N151" s="3">
        <f>100-(M151+O151)</f>
        <v>8.8000000000000114</v>
      </c>
      <c r="O151" s="3">
        <f>L151/C151*100</f>
        <v>18.160000000000004</v>
      </c>
      <c r="P151" s="2" t="s">
        <v>20</v>
      </c>
      <c r="Q151" s="1">
        <v>409068.72473900003</v>
      </c>
      <c r="R151" s="1">
        <v>3659325.0185670001</v>
      </c>
      <c r="T151" s="4">
        <v>2006111</v>
      </c>
      <c r="U151" s="4" t="s">
        <v>363</v>
      </c>
      <c r="V151" s="4">
        <v>5.6329999999999998E-2</v>
      </c>
      <c r="W151" s="4">
        <v>0.37580999999999998</v>
      </c>
      <c r="X151" s="4">
        <v>3.0159999999999999E-2</v>
      </c>
      <c r="Y151" s="4">
        <v>1.4019600000000001</v>
      </c>
      <c r="Z151" s="4">
        <v>30.318860000000001</v>
      </c>
      <c r="AA151" s="4">
        <v>12.72217</v>
      </c>
      <c r="AB151" s="4">
        <v>-1.2765299999999999</v>
      </c>
    </row>
    <row r="152" spans="1:28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T152" s="4">
        <v>2006111</v>
      </c>
      <c r="U152" s="4" t="s">
        <v>362</v>
      </c>
      <c r="V152" s="4">
        <v>5.944E-2</v>
      </c>
      <c r="W152" s="4">
        <v>0.37828000000000001</v>
      </c>
      <c r="X152" s="4">
        <v>2.913E-2</v>
      </c>
      <c r="Y152" s="4">
        <v>1.35015</v>
      </c>
      <c r="Z152" s="4">
        <v>21.517029999999998</v>
      </c>
      <c r="AA152" s="4">
        <v>11.060409999999999</v>
      </c>
      <c r="AB152" s="4">
        <v>-1.4417899999999999</v>
      </c>
    </row>
    <row r="153" spans="1:28" ht="51.75" x14ac:dyDescent="0.25">
      <c r="A153" s="15" t="s">
        <v>19</v>
      </c>
      <c r="B153" s="10" t="s">
        <v>18</v>
      </c>
      <c r="C153" s="14" t="s">
        <v>17</v>
      </c>
      <c r="D153" s="13" t="s">
        <v>16</v>
      </c>
      <c r="E153" s="12" t="s">
        <v>15</v>
      </c>
      <c r="F153" s="12" t="s">
        <v>14</v>
      </c>
      <c r="G153" s="12" t="s">
        <v>13</v>
      </c>
      <c r="H153" s="12" t="s">
        <v>12</v>
      </c>
      <c r="I153" s="12" t="s">
        <v>11</v>
      </c>
      <c r="J153" s="12" t="s">
        <v>10</v>
      </c>
      <c r="K153" s="12" t="s">
        <v>9</v>
      </c>
      <c r="L153" s="12" t="s">
        <v>8</v>
      </c>
      <c r="M153" s="11" t="s">
        <v>7</v>
      </c>
      <c r="N153" s="11" t="s">
        <v>6</v>
      </c>
      <c r="O153" s="11" t="s">
        <v>5</v>
      </c>
      <c r="P153" s="10" t="s">
        <v>4</v>
      </c>
      <c r="Q153" s="17" t="s">
        <v>3</v>
      </c>
      <c r="R153" s="17"/>
      <c r="T153" s="4">
        <v>2006111</v>
      </c>
      <c r="U153" s="4" t="s">
        <v>156</v>
      </c>
      <c r="V153" s="4">
        <v>6.0819999999999999E-2</v>
      </c>
      <c r="W153" s="4">
        <v>0.38073000000000001</v>
      </c>
      <c r="X153" s="4">
        <v>2.8479999999999998E-2</v>
      </c>
      <c r="Y153" s="4">
        <v>1.3380700000000001</v>
      </c>
      <c r="Z153" s="4">
        <v>19.130030000000001</v>
      </c>
      <c r="AA153" s="4">
        <v>10.481299999999999</v>
      </c>
      <c r="AB153" s="4">
        <v>-1.48139</v>
      </c>
    </row>
    <row r="154" spans="1:28" x14ac:dyDescent="0.25">
      <c r="A154" s="15"/>
      <c r="B154" s="10"/>
      <c r="C154" s="14"/>
      <c r="D154" s="13"/>
      <c r="E154" s="12"/>
      <c r="F154" s="12"/>
      <c r="G154" s="12"/>
      <c r="H154" s="12"/>
      <c r="I154" s="12"/>
      <c r="J154" s="12"/>
      <c r="K154" s="12"/>
      <c r="L154" s="12"/>
      <c r="M154" s="11"/>
      <c r="N154" s="11"/>
      <c r="O154" s="11"/>
      <c r="P154" s="10"/>
      <c r="Q154" s="7" t="s">
        <v>2</v>
      </c>
      <c r="R154" s="7" t="s">
        <v>1</v>
      </c>
      <c r="T154" s="4">
        <v>2006111</v>
      </c>
      <c r="U154" s="4" t="s">
        <v>155</v>
      </c>
      <c r="V154" s="4">
        <v>5.8169999999999999E-2</v>
      </c>
      <c r="W154" s="4">
        <v>0.37875999999999999</v>
      </c>
      <c r="X154" s="4">
        <v>2.9520000000000001E-2</v>
      </c>
      <c r="Y154" s="4">
        <v>1.3574600000000001</v>
      </c>
      <c r="Z154" s="4">
        <v>23.229469999999999</v>
      </c>
      <c r="AA154" s="4">
        <v>11.586679999999999</v>
      </c>
      <c r="AB154" s="4">
        <v>-1.4082699999999999</v>
      </c>
    </row>
    <row r="155" spans="1:28" x14ac:dyDescent="0.25">
      <c r="A155" s="6">
        <v>16</v>
      </c>
      <c r="B155" s="4">
        <v>30</v>
      </c>
      <c r="C155" s="5">
        <v>50.01</v>
      </c>
      <c r="D155" s="4">
        <v>20</v>
      </c>
      <c r="E155" s="3">
        <v>23</v>
      </c>
      <c r="F155" s="3">
        <f>1.8*E155+32</f>
        <v>73.400000000000006</v>
      </c>
      <c r="G155" s="3">
        <v>16.5</v>
      </c>
      <c r="H155" s="3">
        <f>IF(F155&gt;68,G155+(F155-68)*0.2,G677-(68-F155)*0.2)</f>
        <v>17.580000000000002</v>
      </c>
      <c r="I155" s="3">
        <v>22.5</v>
      </c>
      <c r="J155" s="3">
        <f>1.8*I155+32</f>
        <v>72.5</v>
      </c>
      <c r="K155" s="3">
        <v>10</v>
      </c>
      <c r="L155" s="3">
        <f>IF(J155&gt;68,K155+(J155-68)*0.2,K155-(68-J155)*0.2)</f>
        <v>10.9</v>
      </c>
      <c r="M155" s="3">
        <f>(C155-H155)/C155*100</f>
        <v>64.847030593881215</v>
      </c>
      <c r="N155" s="3">
        <f>100-(M155+O155)</f>
        <v>13.357328534293146</v>
      </c>
      <c r="O155" s="3">
        <f>L155/C155*100</f>
        <v>21.795640871825636</v>
      </c>
      <c r="P155" s="2" t="s">
        <v>0</v>
      </c>
      <c r="Q155" s="1">
        <v>409080.915637</v>
      </c>
      <c r="R155" s="1">
        <v>3659324.8100769999</v>
      </c>
      <c r="T155" s="4">
        <v>2006111</v>
      </c>
      <c r="U155" s="4" t="s">
        <v>154</v>
      </c>
      <c r="V155" s="4">
        <v>5.1549999999999999E-2</v>
      </c>
      <c r="W155" s="4">
        <v>0.37870999999999999</v>
      </c>
      <c r="X155" s="4">
        <v>3.2539999999999999E-2</v>
      </c>
      <c r="Y155" s="4">
        <v>1.4298599999999999</v>
      </c>
      <c r="Z155" s="4">
        <v>39.938090000000003</v>
      </c>
      <c r="AA155" s="4">
        <v>15.735950000000001</v>
      </c>
      <c r="AB155" s="4">
        <v>-1.2010099999999999</v>
      </c>
    </row>
    <row r="156" spans="1:28" x14ac:dyDescent="0.25">
      <c r="A156" s="6">
        <v>16</v>
      </c>
      <c r="B156" s="4">
        <v>60</v>
      </c>
      <c r="C156" s="5">
        <v>50</v>
      </c>
      <c r="D156" s="4">
        <v>20</v>
      </c>
      <c r="E156" s="3">
        <v>23.2</v>
      </c>
      <c r="F156" s="3">
        <f>1.8*E156+32</f>
        <v>73.759999999999991</v>
      </c>
      <c r="G156" s="3">
        <v>16</v>
      </c>
      <c r="H156" s="3">
        <f>IF(F156&gt;68,G156+(F156-68)*0.2,G678-(68-F156)*0.2)</f>
        <v>17.151999999999997</v>
      </c>
      <c r="I156" s="3">
        <v>22.5</v>
      </c>
      <c r="J156" s="3">
        <f>1.8*I156+32</f>
        <v>72.5</v>
      </c>
      <c r="K156" s="3">
        <v>8.5</v>
      </c>
      <c r="L156" s="3">
        <f>IF(J156&gt;68,K156+(J156-68)*0.2,K156-(68-J156)*0.2)</f>
        <v>9.4</v>
      </c>
      <c r="M156" s="3">
        <f>(C156-H156)/C156*100</f>
        <v>65.695999999999998</v>
      </c>
      <c r="N156" s="3">
        <f>100-(M156+O156)</f>
        <v>15.504000000000005</v>
      </c>
      <c r="O156" s="3">
        <f>L156/C156*100</f>
        <v>18.8</v>
      </c>
      <c r="P156" s="2" t="s">
        <v>20</v>
      </c>
      <c r="Q156" s="1">
        <v>409080.915637</v>
      </c>
      <c r="R156" s="1">
        <v>3659324.8100769999</v>
      </c>
      <c r="T156" s="4">
        <v>2006111</v>
      </c>
      <c r="U156" s="4" t="s">
        <v>153</v>
      </c>
      <c r="V156" s="4">
        <v>5.3240000000000003E-2</v>
      </c>
      <c r="W156" s="4">
        <v>0.37625999999999998</v>
      </c>
      <c r="X156" s="4">
        <v>3.1600000000000003E-2</v>
      </c>
      <c r="Y156" s="4">
        <v>1.46855</v>
      </c>
      <c r="Z156" s="4">
        <v>44.094259999999998</v>
      </c>
      <c r="AA156" s="4">
        <v>15.19374</v>
      </c>
      <c r="AB156" s="4">
        <v>-1.1395500000000001</v>
      </c>
    </row>
    <row r="157" spans="1:28" x14ac:dyDescent="0.25">
      <c r="A157" s="6">
        <v>16</v>
      </c>
      <c r="B157" s="4">
        <v>90</v>
      </c>
      <c r="C157" s="5">
        <v>50.01</v>
      </c>
      <c r="D157" s="4">
        <v>20</v>
      </c>
      <c r="E157" s="3">
        <v>23.2</v>
      </c>
      <c r="F157" s="3">
        <f>1.8*E157+32</f>
        <v>73.759999999999991</v>
      </c>
      <c r="G157" s="3">
        <v>15</v>
      </c>
      <c r="H157" s="3">
        <f>IF(F157&gt;68,G157+(F157-68)*0.2,G679-(68-F157)*0.2)</f>
        <v>16.151999999999997</v>
      </c>
      <c r="I157" s="3">
        <v>22.5</v>
      </c>
      <c r="J157" s="3">
        <f>1.8*I157+32</f>
        <v>72.5</v>
      </c>
      <c r="K157" s="3">
        <v>7</v>
      </c>
      <c r="L157" s="3">
        <f>IF(J157&gt;68,K157+(J157-68)*0.2,K157-(68-J157)*0.2)</f>
        <v>7.9</v>
      </c>
      <c r="M157" s="3">
        <f>(C157-H157)/C157*100</f>
        <v>67.702459508098386</v>
      </c>
      <c r="N157" s="3">
        <f>100-(M157+O157)</f>
        <v>16.500699860027993</v>
      </c>
      <c r="O157" s="3">
        <f>L157/C157*100</f>
        <v>15.796840631873627</v>
      </c>
      <c r="P157" s="2" t="s">
        <v>20</v>
      </c>
      <c r="Q157" s="1">
        <v>409080.915637</v>
      </c>
      <c r="R157" s="1">
        <v>3659324.8100769999</v>
      </c>
      <c r="T157" s="4">
        <v>2006111</v>
      </c>
      <c r="U157" s="4" t="s">
        <v>152</v>
      </c>
      <c r="V157" s="4">
        <v>5.2069999999999998E-2</v>
      </c>
      <c r="W157" s="4">
        <v>0.37789</v>
      </c>
      <c r="X157" s="4">
        <v>3.2320000000000002E-2</v>
      </c>
      <c r="Y157" s="4">
        <v>1.4416199999999999</v>
      </c>
      <c r="Z157" s="4">
        <v>41.304810000000003</v>
      </c>
      <c r="AA157" s="4">
        <v>15.617319999999999</v>
      </c>
      <c r="AB157" s="4">
        <v>-1.1817299999999999</v>
      </c>
    </row>
    <row r="158" spans="1:28" x14ac:dyDescent="0.25">
      <c r="A158" s="6">
        <v>16</v>
      </c>
      <c r="B158" s="4">
        <v>120</v>
      </c>
      <c r="C158" s="5">
        <v>50.01</v>
      </c>
      <c r="D158" s="4">
        <v>20</v>
      </c>
      <c r="E158" s="3">
        <v>23.2</v>
      </c>
      <c r="F158" s="3">
        <f>1.8*E158+32</f>
        <v>73.759999999999991</v>
      </c>
      <c r="G158" s="3">
        <v>16.5</v>
      </c>
      <c r="H158" s="3">
        <f>IF(F158&gt;68,G158+(F158-68)*0.2,G680-(68-F158)*0.2)</f>
        <v>17.651999999999997</v>
      </c>
      <c r="I158" s="3">
        <v>22.5</v>
      </c>
      <c r="J158" s="3">
        <f>1.8*I158+32</f>
        <v>72.5</v>
      </c>
      <c r="K158" s="3">
        <v>7.5</v>
      </c>
      <c r="L158" s="3">
        <f>IF(J158&gt;68,K158+(J158-68)*0.2,K158-(68-J158)*0.2)</f>
        <v>8.4</v>
      </c>
      <c r="M158" s="3">
        <f>(C158-H158)/C158*100</f>
        <v>64.703059388122384</v>
      </c>
      <c r="N158" s="3">
        <f>100-(M158+O158)</f>
        <v>18.500299940011985</v>
      </c>
      <c r="O158" s="3">
        <f>L158/C158*100</f>
        <v>16.796640671865628</v>
      </c>
      <c r="P158" s="2" t="s">
        <v>20</v>
      </c>
      <c r="Q158" s="1">
        <v>409080.915637</v>
      </c>
      <c r="R158" s="1">
        <v>3659324.8100769999</v>
      </c>
      <c r="T158" s="4">
        <v>2006111</v>
      </c>
      <c r="U158" s="4" t="s">
        <v>151</v>
      </c>
      <c r="V158" s="4">
        <v>6.6259999999999999E-2</v>
      </c>
      <c r="W158" s="4">
        <v>0.37064000000000002</v>
      </c>
      <c r="X158" s="4">
        <v>2.5489999999999999E-2</v>
      </c>
      <c r="Y158" s="4">
        <v>1.3252900000000001</v>
      </c>
      <c r="Z158" s="4">
        <v>16.19896</v>
      </c>
      <c r="AA158" s="4">
        <v>7.9778900000000004</v>
      </c>
      <c r="AB158" s="4">
        <v>-1.54294</v>
      </c>
    </row>
    <row r="159" spans="1:28" x14ac:dyDescent="0.25">
      <c r="A159" s="6">
        <v>16</v>
      </c>
      <c r="B159" s="4">
        <v>150</v>
      </c>
      <c r="C159" s="5">
        <v>50</v>
      </c>
      <c r="D159" s="4">
        <v>20</v>
      </c>
      <c r="E159" s="3">
        <v>23</v>
      </c>
      <c r="F159" s="3">
        <f>1.8*E159+32</f>
        <v>73.400000000000006</v>
      </c>
      <c r="G159" s="3">
        <v>17</v>
      </c>
      <c r="H159" s="3">
        <f>IF(F159&gt;68,G159+(F159-68)*0.2,G681-(68-F159)*0.2)</f>
        <v>18.080000000000002</v>
      </c>
      <c r="I159" s="3">
        <v>22.5</v>
      </c>
      <c r="J159" s="3">
        <f>1.8*I159+32</f>
        <v>72.5</v>
      </c>
      <c r="K159" s="3">
        <v>7.5</v>
      </c>
      <c r="L159" s="3">
        <f>IF(J159&gt;68,K159+(J159-68)*0.2,K159-(68-J159)*0.2)</f>
        <v>8.4</v>
      </c>
      <c r="M159" s="3">
        <f>(C159-H159)/C159*100</f>
        <v>63.839999999999996</v>
      </c>
      <c r="N159" s="3">
        <f>100-(M159+O159)</f>
        <v>19.36</v>
      </c>
      <c r="O159" s="3">
        <f>L159/C159*100</f>
        <v>16.8</v>
      </c>
      <c r="P159" s="2" t="s">
        <v>20</v>
      </c>
      <c r="Q159" s="1">
        <v>409080.915637</v>
      </c>
      <c r="R159" s="1">
        <v>3659324.8100769999</v>
      </c>
      <c r="T159" s="4">
        <v>2006111</v>
      </c>
      <c r="U159" s="4" t="s">
        <v>361</v>
      </c>
      <c r="V159" s="4">
        <v>5.5620000000000003E-2</v>
      </c>
      <c r="W159" s="4">
        <v>0.37413999999999997</v>
      </c>
      <c r="X159" s="4">
        <v>3.0030000000000001E-2</v>
      </c>
      <c r="Y159" s="4">
        <v>1.47116</v>
      </c>
      <c r="Z159" s="4">
        <v>40.711329999999997</v>
      </c>
      <c r="AA159" s="4">
        <v>13.59609</v>
      </c>
      <c r="AB159" s="4">
        <v>-1.13731</v>
      </c>
    </row>
    <row r="160" spans="1:28" x14ac:dyDescent="0.25">
      <c r="A160" s="6">
        <v>16</v>
      </c>
      <c r="B160" s="4">
        <v>180</v>
      </c>
      <c r="C160" s="5">
        <v>50.01</v>
      </c>
      <c r="D160" s="4">
        <v>20</v>
      </c>
      <c r="E160" s="3">
        <v>22</v>
      </c>
      <c r="F160" s="3">
        <f>1.8*E160+32</f>
        <v>71.599999999999994</v>
      </c>
      <c r="G160" s="3">
        <v>26</v>
      </c>
      <c r="H160" s="3">
        <f>IF(F160&gt;68,G160+(F160-68)*0.2,G682-(68-F160)*0.2)</f>
        <v>26.72</v>
      </c>
      <c r="I160" s="3">
        <v>22.5</v>
      </c>
      <c r="J160" s="3">
        <f>1.8*I160+32</f>
        <v>72.5</v>
      </c>
      <c r="K160" s="3">
        <v>15.5</v>
      </c>
      <c r="L160" s="3">
        <f>IF(J160&gt;68,K160+(J160-68)*0.2,K160-(68-J160)*0.2)</f>
        <v>16.399999999999999</v>
      </c>
      <c r="M160" s="3">
        <f>(C160-H160)/C160*100</f>
        <v>46.570685862827432</v>
      </c>
      <c r="N160" s="3">
        <f>100-(M160+O160)</f>
        <v>20.635872825434916</v>
      </c>
      <c r="O160" s="3">
        <f>L160/C160*100</f>
        <v>32.793441311737652</v>
      </c>
      <c r="P160" s="2" t="s">
        <v>0</v>
      </c>
      <c r="Q160" s="1">
        <v>409080.915637</v>
      </c>
      <c r="R160" s="1">
        <v>3659324.8100769999</v>
      </c>
      <c r="T160" s="4">
        <v>2006111</v>
      </c>
      <c r="U160" s="4" t="s">
        <v>360</v>
      </c>
      <c r="V160" s="4">
        <v>5.6370000000000003E-2</v>
      </c>
      <c r="W160" s="4">
        <v>0.37223000000000001</v>
      </c>
      <c r="X160" s="4">
        <v>2.8989999999999998E-2</v>
      </c>
      <c r="Y160" s="4">
        <v>1.61314</v>
      </c>
      <c r="Z160" s="4">
        <v>62.90795</v>
      </c>
      <c r="AA160" s="4">
        <v>14.12763</v>
      </c>
      <c r="AB160" s="4">
        <v>-0.99007000000000001</v>
      </c>
    </row>
    <row r="161" spans="1:28" x14ac:dyDescent="0.25">
      <c r="A161" s="6">
        <v>16</v>
      </c>
      <c r="B161" s="4">
        <v>210</v>
      </c>
      <c r="C161" s="5">
        <v>50</v>
      </c>
      <c r="D161" s="4">
        <v>20</v>
      </c>
      <c r="E161" s="3">
        <v>22</v>
      </c>
      <c r="F161" s="3">
        <f>1.8*E161+32</f>
        <v>71.599999999999994</v>
      </c>
      <c r="G161" s="3">
        <v>22</v>
      </c>
      <c r="H161" s="3">
        <f>IF(F161&gt;68,G161+(F161-68)*0.2,G683-(68-F161)*0.2)</f>
        <v>22.72</v>
      </c>
      <c r="I161" s="3">
        <v>22.2</v>
      </c>
      <c r="J161" s="3">
        <f>1.8*I161+32</f>
        <v>71.960000000000008</v>
      </c>
      <c r="K161" s="3">
        <v>11.5</v>
      </c>
      <c r="L161" s="3">
        <f>IF(J161&gt;68,K161+(J161-68)*0.2,K161-(68-J161)*0.2)</f>
        <v>12.292000000000002</v>
      </c>
      <c r="M161" s="3">
        <f>(C161-H161)/C161*100</f>
        <v>54.559999999999995</v>
      </c>
      <c r="N161" s="3">
        <f>100-(M161+O161)</f>
        <v>20.855999999999995</v>
      </c>
      <c r="O161" s="3">
        <f>L161/C161*100</f>
        <v>24.584000000000003</v>
      </c>
      <c r="P161" s="2" t="s">
        <v>0</v>
      </c>
      <c r="Q161" s="1">
        <v>409080.915637</v>
      </c>
      <c r="R161" s="1">
        <v>3659324.8100769999</v>
      </c>
      <c r="T161" s="4">
        <v>2006111</v>
      </c>
      <c r="U161" s="4" t="s">
        <v>359</v>
      </c>
      <c r="V161" s="4">
        <v>5.5460000000000002E-2</v>
      </c>
      <c r="W161" s="4">
        <v>0.37291999999999997</v>
      </c>
      <c r="X161" s="4">
        <v>2.9610000000000001E-2</v>
      </c>
      <c r="Y161" s="4">
        <v>1.66255</v>
      </c>
      <c r="Z161" s="4">
        <v>74.613839999999996</v>
      </c>
      <c r="AA161" s="4">
        <v>15.25604</v>
      </c>
      <c r="AB161" s="4">
        <v>-0.95957000000000003</v>
      </c>
    </row>
    <row r="162" spans="1:28" x14ac:dyDescent="0.25">
      <c r="A162" s="6">
        <v>16</v>
      </c>
      <c r="B162" s="4">
        <v>240</v>
      </c>
      <c r="C162" s="5">
        <v>50</v>
      </c>
      <c r="D162" s="4">
        <v>20</v>
      </c>
      <c r="E162" s="3">
        <v>22</v>
      </c>
      <c r="F162" s="3">
        <f>1.8*E162+32</f>
        <v>71.599999999999994</v>
      </c>
      <c r="G162" s="3">
        <v>12.5</v>
      </c>
      <c r="H162" s="3">
        <f>IF(F162&gt;68,G162+(F162-68)*0.2,G684-(68-F162)*0.2)</f>
        <v>13.219999999999999</v>
      </c>
      <c r="I162" s="3">
        <v>22.2</v>
      </c>
      <c r="J162" s="3">
        <f>1.8*I162+32</f>
        <v>71.960000000000008</v>
      </c>
      <c r="K162" s="3">
        <v>8.5</v>
      </c>
      <c r="L162" s="3">
        <f>IF(J162&gt;68,K162+(J162-68)*0.2,K162-(68-J162)*0.2)</f>
        <v>9.2920000000000016</v>
      </c>
      <c r="M162" s="3">
        <f>(C162-H162)/C162*100</f>
        <v>73.56</v>
      </c>
      <c r="N162" s="3">
        <f>100-(M162+O162)</f>
        <v>7.8559999999999945</v>
      </c>
      <c r="O162" s="3">
        <f>L162/C162*100</f>
        <v>18.584000000000003</v>
      </c>
      <c r="P162" s="2" t="s">
        <v>20</v>
      </c>
      <c r="Q162" s="1">
        <v>409080.915637</v>
      </c>
      <c r="R162" s="1">
        <v>3659324.8100769999</v>
      </c>
      <c r="T162" s="4">
        <v>2006111</v>
      </c>
      <c r="U162" s="4" t="s">
        <v>358</v>
      </c>
      <c r="V162" s="4">
        <v>5.4359999999999999E-2</v>
      </c>
      <c r="W162" s="4">
        <v>0.37591000000000002</v>
      </c>
      <c r="X162" s="4">
        <v>3.1019999999999999E-2</v>
      </c>
      <c r="Y162" s="4">
        <v>1.44354</v>
      </c>
      <c r="Z162" s="4">
        <v>38.598120000000002</v>
      </c>
      <c r="AA162" s="4">
        <v>14.201460000000001</v>
      </c>
      <c r="AB162" s="4">
        <v>-1.1836100000000001</v>
      </c>
    </row>
    <row r="163" spans="1:28" x14ac:dyDescent="0.25">
      <c r="A163" s="6">
        <v>16</v>
      </c>
      <c r="B163" s="4">
        <v>270</v>
      </c>
      <c r="C163" s="5">
        <v>50.01</v>
      </c>
      <c r="D163" s="4">
        <v>20</v>
      </c>
      <c r="E163" s="3">
        <v>25</v>
      </c>
      <c r="F163" s="3">
        <f>1.8*E163+32</f>
        <v>77</v>
      </c>
      <c r="G163" s="3">
        <v>15.5</v>
      </c>
      <c r="H163" s="3">
        <f>IF(F163&gt;68,G163+(F163-68)*0.2,G685-(68-F163)*0.2)</f>
        <v>17.3</v>
      </c>
      <c r="I163" s="3">
        <v>22.5</v>
      </c>
      <c r="J163" s="3">
        <f>1.8*I163+32</f>
        <v>72.5</v>
      </c>
      <c r="K163" s="3">
        <v>9.5</v>
      </c>
      <c r="L163" s="3">
        <f>IF(J163&gt;68,K163+(J163-68)*0.2,K163-(68-J163)*0.2)</f>
        <v>10.4</v>
      </c>
      <c r="M163" s="3">
        <f>(C163-H163)/C163*100</f>
        <v>65.406918616276727</v>
      </c>
      <c r="N163" s="3">
        <f>100-(M163+O163)</f>
        <v>13.797240551889644</v>
      </c>
      <c r="O163" s="3">
        <f>L163/C163*100</f>
        <v>20.795840831833633</v>
      </c>
      <c r="P163" s="2" t="s">
        <v>0</v>
      </c>
      <c r="Q163" s="1">
        <v>409080.915637</v>
      </c>
      <c r="R163" s="1">
        <v>3659324.8100769999</v>
      </c>
      <c r="T163" s="4">
        <v>2006111</v>
      </c>
      <c r="U163" s="4" t="s">
        <v>150</v>
      </c>
      <c r="V163" s="4">
        <v>6.225E-2</v>
      </c>
      <c r="W163" s="4">
        <v>0.38292999999999999</v>
      </c>
      <c r="X163" s="4">
        <v>2.7720000000000002E-2</v>
      </c>
      <c r="Y163" s="4">
        <v>1.3318700000000001</v>
      </c>
      <c r="Z163" s="4">
        <v>17.312639999999998</v>
      </c>
      <c r="AA163" s="4">
        <v>9.9339200000000005</v>
      </c>
      <c r="AB163" s="4">
        <v>-1.49552</v>
      </c>
    </row>
    <row r="164" spans="1:28" x14ac:dyDescent="0.25">
      <c r="A164" s="6">
        <v>16</v>
      </c>
      <c r="B164" s="4">
        <v>300</v>
      </c>
      <c r="C164" s="5">
        <v>50.01</v>
      </c>
      <c r="D164" s="4">
        <v>20</v>
      </c>
      <c r="E164" s="3">
        <v>25</v>
      </c>
      <c r="F164" s="3">
        <f>1.8*E164+32</f>
        <v>77</v>
      </c>
      <c r="G164" s="3">
        <v>14.5</v>
      </c>
      <c r="H164" s="3">
        <f>IF(F164&gt;68,G164+(F164-68)*0.2,G686-(68-F164)*0.2)</f>
        <v>16.3</v>
      </c>
      <c r="I164" s="3">
        <v>22.5</v>
      </c>
      <c r="J164" s="3">
        <f>1.8*I164+32</f>
        <v>72.5</v>
      </c>
      <c r="K164" s="3">
        <v>8</v>
      </c>
      <c r="L164" s="3">
        <f>IF(J164&gt;68,K164+(J164-68)*0.2,K164-(68-J164)*0.2)</f>
        <v>8.9</v>
      </c>
      <c r="M164" s="3">
        <f>(C164-H164)/C164*100</f>
        <v>67.406518696260747</v>
      </c>
      <c r="N164" s="3">
        <f>100-(M164+O164)</f>
        <v>14.797040591881625</v>
      </c>
      <c r="O164" s="3">
        <f>L164/C164*100</f>
        <v>17.796440711857631</v>
      </c>
      <c r="P164" s="2" t="s">
        <v>20</v>
      </c>
      <c r="Q164" s="1">
        <v>409080.915637</v>
      </c>
      <c r="R164" s="1">
        <v>3659324.8100769999</v>
      </c>
      <c r="T164" s="4">
        <v>2006111</v>
      </c>
      <c r="U164" s="4" t="s">
        <v>149</v>
      </c>
      <c r="V164" s="4">
        <v>6.5040000000000001E-2</v>
      </c>
      <c r="W164" s="4">
        <v>0.38474999999999998</v>
      </c>
      <c r="X164" s="4">
        <v>2.7E-2</v>
      </c>
      <c r="Y164" s="4">
        <v>1.3196300000000001</v>
      </c>
      <c r="Z164" s="4">
        <v>14.79119</v>
      </c>
      <c r="AA164" s="4">
        <v>9.1404399999999999</v>
      </c>
      <c r="AB164" s="4">
        <v>-1.55809</v>
      </c>
    </row>
    <row r="165" spans="1:28" x14ac:dyDescent="0.2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T165" s="4">
        <v>2006111</v>
      </c>
      <c r="U165" s="4" t="s">
        <v>148</v>
      </c>
      <c r="V165" s="4">
        <v>8.0089999999999995E-2</v>
      </c>
      <c r="W165" s="4">
        <v>0.41500999999999999</v>
      </c>
      <c r="X165" s="4">
        <v>2.2030000000000001E-2</v>
      </c>
      <c r="Y165" s="4">
        <v>1.2950299999999999</v>
      </c>
      <c r="Z165" s="4">
        <v>6.5482800000000001</v>
      </c>
      <c r="AA165" s="4">
        <v>6.0787800000000001</v>
      </c>
      <c r="AB165" s="4">
        <v>-1.5705499999999999</v>
      </c>
    </row>
    <row r="166" spans="1:28" ht="51.75" x14ac:dyDescent="0.25">
      <c r="A166" s="15" t="s">
        <v>19</v>
      </c>
      <c r="B166" s="10" t="s">
        <v>18</v>
      </c>
      <c r="C166" s="14" t="s">
        <v>17</v>
      </c>
      <c r="D166" s="13" t="s">
        <v>16</v>
      </c>
      <c r="E166" s="12" t="s">
        <v>15</v>
      </c>
      <c r="F166" s="12" t="s">
        <v>14</v>
      </c>
      <c r="G166" s="12" t="s">
        <v>13</v>
      </c>
      <c r="H166" s="12" t="s">
        <v>12</v>
      </c>
      <c r="I166" s="12" t="s">
        <v>11</v>
      </c>
      <c r="J166" s="12" t="s">
        <v>10</v>
      </c>
      <c r="K166" s="12" t="s">
        <v>9</v>
      </c>
      <c r="L166" s="12" t="s">
        <v>8</v>
      </c>
      <c r="M166" s="11" t="s">
        <v>7</v>
      </c>
      <c r="N166" s="11" t="s">
        <v>6</v>
      </c>
      <c r="O166" s="11" t="s">
        <v>5</v>
      </c>
      <c r="P166" s="10" t="s">
        <v>4</v>
      </c>
      <c r="Q166" s="17" t="s">
        <v>3</v>
      </c>
      <c r="R166" s="17"/>
      <c r="T166" s="4">
        <v>2006111</v>
      </c>
      <c r="U166" s="4" t="s">
        <v>147</v>
      </c>
      <c r="V166" s="4">
        <v>8.5760000000000003E-2</v>
      </c>
      <c r="W166" s="4">
        <v>0.43446000000000001</v>
      </c>
      <c r="X166" s="4">
        <v>2.0129999999999999E-2</v>
      </c>
      <c r="Y166" s="4">
        <v>1.2878799999999999</v>
      </c>
      <c r="Z166" s="4">
        <v>5.7962999999999996</v>
      </c>
      <c r="AA166" s="4">
        <v>5.2355999999999998</v>
      </c>
      <c r="AB166" s="4">
        <v>-1.5260499999999999</v>
      </c>
    </row>
    <row r="167" spans="1:28" x14ac:dyDescent="0.25">
      <c r="A167" s="4"/>
      <c r="B167" s="4"/>
      <c r="C167" s="5"/>
      <c r="D167" s="4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2"/>
      <c r="Q167" s="7" t="s">
        <v>2</v>
      </c>
      <c r="R167" s="7" t="s">
        <v>1</v>
      </c>
      <c r="T167" s="4">
        <v>2006111</v>
      </c>
      <c r="U167" s="4" t="s">
        <v>146</v>
      </c>
      <c r="V167" s="4">
        <v>7.1599999999999997E-2</v>
      </c>
      <c r="W167" s="4">
        <v>0.39738000000000001</v>
      </c>
      <c r="X167" s="4">
        <v>2.3599999999999999E-2</v>
      </c>
      <c r="Y167" s="4">
        <v>1.3174600000000001</v>
      </c>
      <c r="Z167" s="4">
        <v>9.7616899999999998</v>
      </c>
      <c r="AA167" s="4">
        <v>7.30532</v>
      </c>
      <c r="AB167" s="4">
        <v>-1.4759599999999999</v>
      </c>
    </row>
    <row r="168" spans="1:28" x14ac:dyDescent="0.25">
      <c r="A168" s="6">
        <v>17</v>
      </c>
      <c r="B168" s="4">
        <v>30</v>
      </c>
      <c r="C168" s="5">
        <v>50</v>
      </c>
      <c r="D168" s="4">
        <v>20</v>
      </c>
      <c r="E168" s="3">
        <v>23</v>
      </c>
      <c r="F168" s="3">
        <f>1.8*E168+32</f>
        <v>73.400000000000006</v>
      </c>
      <c r="G168" s="3">
        <v>17</v>
      </c>
      <c r="H168" s="3">
        <f>IF(F168&gt;68,G168+(F168-68)*0.2,G165-(68-F168)*0.2)</f>
        <v>18.080000000000002</v>
      </c>
      <c r="I168" s="3">
        <v>22.8</v>
      </c>
      <c r="J168" s="3">
        <f>1.8*I168+32</f>
        <v>73.039999999999992</v>
      </c>
      <c r="K168" s="3">
        <v>10.5</v>
      </c>
      <c r="L168" s="3">
        <f>IF(J168&gt;68,K168+(J168-68)*0.2,K168-(68-J168)*0.2)</f>
        <v>11.507999999999999</v>
      </c>
      <c r="M168" s="3">
        <f>(C168-H168)/C168*100</f>
        <v>63.839999999999996</v>
      </c>
      <c r="N168" s="3">
        <f>100-(M168+O168)</f>
        <v>13.144000000000005</v>
      </c>
      <c r="O168" s="3">
        <f>L168/C168*100</f>
        <v>23.015999999999998</v>
      </c>
      <c r="P168" s="2" t="s">
        <v>0</v>
      </c>
      <c r="Q168" s="1">
        <v>409093.084668</v>
      </c>
      <c r="R168" s="1">
        <v>3659324.6039479999</v>
      </c>
      <c r="T168" s="4">
        <v>2006111</v>
      </c>
      <c r="U168" s="4" t="s">
        <v>145</v>
      </c>
      <c r="V168" s="4">
        <v>7.0790000000000006E-2</v>
      </c>
      <c r="W168" s="4">
        <v>0.40326000000000001</v>
      </c>
      <c r="X168" s="4">
        <v>1.9820000000000001E-2</v>
      </c>
      <c r="Y168" s="4">
        <v>1.35815</v>
      </c>
      <c r="Z168" s="4">
        <v>9.07057</v>
      </c>
      <c r="AA168" s="4">
        <v>6.2793900000000002</v>
      </c>
      <c r="AB168" s="4">
        <v>-1.1317699999999999</v>
      </c>
    </row>
    <row r="169" spans="1:28" x14ac:dyDescent="0.25">
      <c r="A169" s="6">
        <v>17</v>
      </c>
      <c r="B169" s="4">
        <v>60</v>
      </c>
      <c r="C169" s="5">
        <v>50</v>
      </c>
      <c r="D169" s="4">
        <v>20</v>
      </c>
      <c r="E169" s="3">
        <v>23</v>
      </c>
      <c r="F169" s="3">
        <f>1.8*E169+32</f>
        <v>73.400000000000006</v>
      </c>
      <c r="G169" s="3">
        <v>16.5</v>
      </c>
      <c r="H169" s="3">
        <f>IF(F169&gt;68,G169+(F169-68)*0.2,#REF!-(68-F169)*0.2)</f>
        <v>17.580000000000002</v>
      </c>
      <c r="I169" s="3">
        <v>22.8</v>
      </c>
      <c r="J169" s="3">
        <f>1.8*I169+32</f>
        <v>73.039999999999992</v>
      </c>
      <c r="K169" s="3">
        <v>11</v>
      </c>
      <c r="L169" s="3">
        <f>IF(J169&gt;68,K169+(J169-68)*0.2,K169-(68-J169)*0.2)</f>
        <v>12.007999999999999</v>
      </c>
      <c r="M169" s="3">
        <f>(C169-H169)/C169*100</f>
        <v>64.84</v>
      </c>
      <c r="N169" s="3">
        <f>100-(M169+O169)</f>
        <v>11.144000000000005</v>
      </c>
      <c r="O169" s="3">
        <f>L169/C169*100</f>
        <v>24.015999999999998</v>
      </c>
      <c r="P169" s="2" t="s">
        <v>0</v>
      </c>
      <c r="Q169" s="1">
        <v>409093.084668</v>
      </c>
      <c r="R169" s="1">
        <v>3659324.6039479999</v>
      </c>
      <c r="T169" s="4">
        <v>2006111</v>
      </c>
      <c r="U169" s="4" t="s">
        <v>357</v>
      </c>
      <c r="V169" s="4">
        <v>5.1159999999999997E-2</v>
      </c>
      <c r="W169" s="4">
        <v>0.37734000000000001</v>
      </c>
      <c r="X169" s="4">
        <v>3.2849999999999997E-2</v>
      </c>
      <c r="Y169" s="4">
        <v>1.50962</v>
      </c>
      <c r="Z169" s="4">
        <v>54.167589999999997</v>
      </c>
      <c r="AA169" s="4">
        <v>17.247540000000001</v>
      </c>
      <c r="AB169" s="4">
        <v>-1.0796399999999999</v>
      </c>
    </row>
    <row r="170" spans="1:28" x14ac:dyDescent="0.25">
      <c r="A170" s="6">
        <v>17</v>
      </c>
      <c r="B170" s="4">
        <v>90</v>
      </c>
      <c r="C170" s="5">
        <v>50</v>
      </c>
      <c r="D170" s="4">
        <v>20</v>
      </c>
      <c r="E170" s="3">
        <v>23</v>
      </c>
      <c r="F170" s="3">
        <f>1.8*E170+32</f>
        <v>73.400000000000006</v>
      </c>
      <c r="G170" s="3">
        <v>15.5</v>
      </c>
      <c r="H170" s="3">
        <f>IF(F170&gt;68,G170+(F170-68)*0.2,G192-(68-F170)*0.2)</f>
        <v>16.580000000000002</v>
      </c>
      <c r="I170" s="3">
        <v>22.8</v>
      </c>
      <c r="J170" s="3">
        <f>1.8*I170+32</f>
        <v>73.039999999999992</v>
      </c>
      <c r="K170" s="3">
        <v>9</v>
      </c>
      <c r="L170" s="3">
        <f>IF(J170&gt;68,K170+(J170-68)*0.2,K170-(68-J170)*0.2)</f>
        <v>10.007999999999999</v>
      </c>
      <c r="M170" s="3">
        <f>(C170-H170)/C170*100</f>
        <v>66.84</v>
      </c>
      <c r="N170" s="3">
        <f>100-(M170+O170)</f>
        <v>13.144000000000005</v>
      </c>
      <c r="O170" s="3">
        <f>L170/C170*100</f>
        <v>20.015999999999998</v>
      </c>
      <c r="P170" s="2" t="s">
        <v>0</v>
      </c>
      <c r="Q170" s="1">
        <v>409093.084668</v>
      </c>
      <c r="R170" s="1">
        <v>3659324.6039479999</v>
      </c>
      <c r="T170" s="4">
        <v>2006111</v>
      </c>
      <c r="U170" s="4" t="s">
        <v>356</v>
      </c>
      <c r="V170" s="4">
        <v>4.759E-2</v>
      </c>
      <c r="W170" s="4">
        <v>0.37966</v>
      </c>
      <c r="X170" s="4">
        <v>3.5229999999999997E-2</v>
      </c>
      <c r="Y170" s="4">
        <v>1.56487</v>
      </c>
      <c r="Z170" s="4">
        <v>68.739649999999997</v>
      </c>
      <c r="AA170" s="4">
        <v>21.245159999999998</v>
      </c>
      <c r="AB170" s="4">
        <v>-1.0139199999999999</v>
      </c>
    </row>
    <row r="171" spans="1:28" x14ac:dyDescent="0.25">
      <c r="A171" s="6">
        <v>17</v>
      </c>
      <c r="B171" s="4">
        <v>120</v>
      </c>
      <c r="C171" s="5">
        <v>50</v>
      </c>
      <c r="D171" s="4">
        <v>20</v>
      </c>
      <c r="E171" s="3">
        <v>24.5</v>
      </c>
      <c r="F171" s="3">
        <f>1.8*E171+32</f>
        <v>76.099999999999994</v>
      </c>
      <c r="G171" s="3">
        <v>12.5</v>
      </c>
      <c r="H171" s="3">
        <f>IF(F171&gt;68,G171+(F171-68)*0.2,#REF!-(68-F171)*0.2)</f>
        <v>14.12</v>
      </c>
      <c r="I171" s="3">
        <v>23</v>
      </c>
      <c r="J171" s="3">
        <f>1.8*I171+32</f>
        <v>73.400000000000006</v>
      </c>
      <c r="K171" s="3">
        <v>7.5</v>
      </c>
      <c r="L171" s="3">
        <f>IF(J171&gt;68,K171+(J171-68)*0.2,K171-(68-J171)*0.2)</f>
        <v>8.5800000000000018</v>
      </c>
      <c r="M171" s="3">
        <f>(C171-H171)/C171*100</f>
        <v>71.760000000000005</v>
      </c>
      <c r="N171" s="3">
        <f>100-(M171+O171)</f>
        <v>11.079999999999984</v>
      </c>
      <c r="O171" s="3">
        <f>L171/C171*100</f>
        <v>17.160000000000004</v>
      </c>
      <c r="P171" s="2" t="s">
        <v>20</v>
      </c>
      <c r="Q171" s="1">
        <v>409093.084668</v>
      </c>
      <c r="R171" s="1">
        <v>3659324.6039479999</v>
      </c>
      <c r="T171" s="4">
        <v>2006111</v>
      </c>
      <c r="U171" s="4" t="s">
        <v>355</v>
      </c>
      <c r="V171" s="4">
        <v>5.126E-2</v>
      </c>
      <c r="W171" s="4">
        <v>0.37722</v>
      </c>
      <c r="X171" s="4">
        <v>3.2770000000000001E-2</v>
      </c>
      <c r="Y171" s="4">
        <v>1.51268</v>
      </c>
      <c r="Z171" s="4">
        <v>54.559849999999997</v>
      </c>
      <c r="AA171" s="4">
        <v>17.206440000000001</v>
      </c>
      <c r="AB171" s="4">
        <v>-1.0762700000000001</v>
      </c>
    </row>
    <row r="172" spans="1:28" x14ac:dyDescent="0.25">
      <c r="A172" s="6">
        <v>17</v>
      </c>
      <c r="B172" s="4">
        <v>150</v>
      </c>
      <c r="C172" s="5">
        <v>50.01</v>
      </c>
      <c r="D172" s="4">
        <v>20</v>
      </c>
      <c r="E172" s="3">
        <v>25</v>
      </c>
      <c r="F172" s="3">
        <f>1.8*E172+32</f>
        <v>77</v>
      </c>
      <c r="G172" s="3">
        <v>19</v>
      </c>
      <c r="H172" s="3">
        <f>IF(F172&gt;68,G172+(F172-68)*0.2,G194-(68-F172)*0.2)</f>
        <v>20.8</v>
      </c>
      <c r="I172" s="3">
        <v>23.5</v>
      </c>
      <c r="J172" s="3">
        <f>1.8*I172+32</f>
        <v>74.300000000000011</v>
      </c>
      <c r="K172" s="3">
        <v>11.5</v>
      </c>
      <c r="L172" s="3">
        <f>IF(J172&gt;68,K172+(J172-68)*0.2,K172-(68-J172)*0.2)</f>
        <v>12.760000000000002</v>
      </c>
      <c r="M172" s="3">
        <f>(C172-H172)/C172*100</f>
        <v>58.408318336332734</v>
      </c>
      <c r="N172" s="3">
        <f>100-(M172+O172)</f>
        <v>16.076784643071392</v>
      </c>
      <c r="O172" s="3">
        <f>L172/C172*100</f>
        <v>25.514897020595882</v>
      </c>
      <c r="P172" s="2" t="s">
        <v>0</v>
      </c>
      <c r="Q172" s="1">
        <v>409093.084668</v>
      </c>
      <c r="R172" s="1">
        <v>3659324.6039479999</v>
      </c>
      <c r="T172" s="4">
        <v>2006111</v>
      </c>
      <c r="U172" s="4" t="s">
        <v>354</v>
      </c>
      <c r="V172" s="4">
        <v>5.6640000000000003E-2</v>
      </c>
      <c r="W172" s="4">
        <v>0.37245</v>
      </c>
      <c r="X172" s="4">
        <v>2.8989999999999998E-2</v>
      </c>
      <c r="Y172" s="4">
        <v>1.5305500000000001</v>
      </c>
      <c r="Z172" s="4">
        <v>48.027059999999999</v>
      </c>
      <c r="AA172" s="4">
        <v>13.30987</v>
      </c>
      <c r="AB172" s="4">
        <v>-1.0603400000000001</v>
      </c>
    </row>
    <row r="173" spans="1:28" x14ac:dyDescent="0.25">
      <c r="A173" s="6">
        <v>17</v>
      </c>
      <c r="B173" s="4">
        <v>180</v>
      </c>
      <c r="C173" s="5">
        <v>50.01</v>
      </c>
      <c r="D173" s="4">
        <v>20</v>
      </c>
      <c r="E173" s="3">
        <v>25</v>
      </c>
      <c r="F173" s="3">
        <f>1.8*E173+32</f>
        <v>77</v>
      </c>
      <c r="G173" s="3">
        <v>14.5</v>
      </c>
      <c r="H173" s="3">
        <f>IF(F173&gt;68,G173+(F173-68)*0.2,G195-(68-F173)*0.2)</f>
        <v>16.3</v>
      </c>
      <c r="I173" s="3">
        <v>23.5</v>
      </c>
      <c r="J173" s="3">
        <f>1.8*I173+32</f>
        <v>74.300000000000011</v>
      </c>
      <c r="K173" s="3">
        <v>8.5</v>
      </c>
      <c r="L173" s="3">
        <f>IF(J173&gt;68,K173+(J173-68)*0.2,K173-(68-J173)*0.2)</f>
        <v>9.7600000000000016</v>
      </c>
      <c r="M173" s="3">
        <f>(C173-H173)/C173*100</f>
        <v>67.406518696260747</v>
      </c>
      <c r="N173" s="3">
        <f>100-(M173+O173)</f>
        <v>13.077384523095375</v>
      </c>
      <c r="O173" s="3">
        <f>L173/C173*100</f>
        <v>19.516096780643874</v>
      </c>
      <c r="P173" s="2" t="s">
        <v>20</v>
      </c>
      <c r="Q173" s="1">
        <v>409093.084668</v>
      </c>
      <c r="R173" s="1">
        <v>3659324.6039479999</v>
      </c>
      <c r="T173" s="4">
        <v>2006111</v>
      </c>
      <c r="U173" s="4" t="s">
        <v>144</v>
      </c>
      <c r="V173" s="4">
        <v>5.9380000000000002E-2</v>
      </c>
      <c r="W173" s="4">
        <v>0.38357000000000002</v>
      </c>
      <c r="X173" s="4">
        <v>2.794E-2</v>
      </c>
      <c r="Y173" s="4">
        <v>1.34714</v>
      </c>
      <c r="Z173" s="4">
        <v>19.984819999999999</v>
      </c>
      <c r="AA173" s="4">
        <v>10.701000000000001</v>
      </c>
      <c r="AB173" s="4">
        <v>-1.4014800000000001</v>
      </c>
    </row>
    <row r="174" spans="1:28" x14ac:dyDescent="0.25">
      <c r="A174" s="6">
        <v>17</v>
      </c>
      <c r="B174" s="4">
        <v>210</v>
      </c>
      <c r="C174" s="5">
        <v>50</v>
      </c>
      <c r="D174" s="4">
        <v>20</v>
      </c>
      <c r="E174" s="3">
        <v>25</v>
      </c>
      <c r="F174" s="3">
        <f>1.8*E174+32</f>
        <v>77</v>
      </c>
      <c r="G174" s="3">
        <v>10</v>
      </c>
      <c r="H174" s="3">
        <f>IF(F174&gt;68,G174+(F174-68)*0.2,G196-(68-F174)*0.2)</f>
        <v>11.8</v>
      </c>
      <c r="I174" s="3">
        <v>23.5</v>
      </c>
      <c r="J174" s="3">
        <f>1.8*I174+32</f>
        <v>74.300000000000011</v>
      </c>
      <c r="K174" s="3">
        <v>7.5</v>
      </c>
      <c r="L174" s="3">
        <f>IF(J174&gt;68,K174+(J174-68)*0.2,K174-(68-J174)*0.2)</f>
        <v>8.7600000000000016</v>
      </c>
      <c r="M174" s="3">
        <f>(C174-H174)/C174*100</f>
        <v>76.400000000000006</v>
      </c>
      <c r="N174" s="3">
        <f>100-(M174+O174)</f>
        <v>6.0799999999999841</v>
      </c>
      <c r="O174" s="3">
        <f>L174/C174*100</f>
        <v>17.520000000000003</v>
      </c>
      <c r="P174" s="2" t="s">
        <v>20</v>
      </c>
      <c r="Q174" s="1">
        <v>409093.084668</v>
      </c>
      <c r="R174" s="1">
        <v>3659324.6039479999</v>
      </c>
      <c r="T174" s="4">
        <v>2006111</v>
      </c>
      <c r="U174" s="4" t="s">
        <v>143</v>
      </c>
      <c r="V174" s="4">
        <v>5.8040000000000001E-2</v>
      </c>
      <c r="W174" s="4">
        <v>0.37970999999999999</v>
      </c>
      <c r="X174" s="4">
        <v>2.9440000000000001E-2</v>
      </c>
      <c r="Y174" s="4">
        <v>1.35547</v>
      </c>
      <c r="Z174" s="4">
        <v>22.985610000000001</v>
      </c>
      <c r="AA174" s="4">
        <v>11.58877</v>
      </c>
      <c r="AB174" s="4">
        <v>-1.4089</v>
      </c>
    </row>
    <row r="175" spans="1:28" x14ac:dyDescent="0.25">
      <c r="A175" s="6">
        <v>17</v>
      </c>
      <c r="B175" s="4">
        <v>240</v>
      </c>
      <c r="C175" s="5">
        <v>50.01</v>
      </c>
      <c r="D175" s="4">
        <v>20</v>
      </c>
      <c r="E175" s="3">
        <v>25</v>
      </c>
      <c r="F175" s="3">
        <f>1.8*E175+32</f>
        <v>77</v>
      </c>
      <c r="G175" s="3">
        <v>12.5</v>
      </c>
      <c r="H175" s="3">
        <f>IF(F175&gt;68,G175+(F175-68)*0.2,G197-(68-F175)*0.2)</f>
        <v>14.3</v>
      </c>
      <c r="I175" s="3">
        <v>23.5</v>
      </c>
      <c r="J175" s="3">
        <f>1.8*I175+32</f>
        <v>74.300000000000011</v>
      </c>
      <c r="K175" s="3">
        <v>9</v>
      </c>
      <c r="L175" s="3">
        <f>IF(J175&gt;68,K175+(J175-68)*0.2,K175-(68-J175)*0.2)</f>
        <v>10.260000000000002</v>
      </c>
      <c r="M175" s="3">
        <f>(C175-H175)/C175*100</f>
        <v>71.405718856228745</v>
      </c>
      <c r="N175" s="3">
        <f>100-(M175+O175)</f>
        <v>8.0783843231353814</v>
      </c>
      <c r="O175" s="3">
        <f>L175/C175*100</f>
        <v>20.515896820635877</v>
      </c>
      <c r="P175" s="2" t="s">
        <v>0</v>
      </c>
      <c r="Q175" s="1">
        <v>409093.084668</v>
      </c>
      <c r="R175" s="1">
        <v>3659324.6039479999</v>
      </c>
      <c r="T175" s="4">
        <v>2006111</v>
      </c>
      <c r="U175" s="4" t="s">
        <v>142</v>
      </c>
      <c r="V175" s="4">
        <v>5.7110000000000001E-2</v>
      </c>
      <c r="W175" s="4">
        <v>0.37746000000000002</v>
      </c>
      <c r="X175" s="4">
        <v>2.997E-2</v>
      </c>
      <c r="Y175" s="4">
        <v>1.37314</v>
      </c>
      <c r="Z175" s="4">
        <v>26.019310000000001</v>
      </c>
      <c r="AA175" s="4">
        <v>12.161</v>
      </c>
      <c r="AB175" s="4">
        <v>-1.3577699999999999</v>
      </c>
    </row>
    <row r="176" spans="1:28" x14ac:dyDescent="0.25">
      <c r="A176" s="6">
        <v>17</v>
      </c>
      <c r="B176" s="4">
        <v>270</v>
      </c>
      <c r="C176" s="5">
        <v>50</v>
      </c>
      <c r="D176" s="4">
        <v>20</v>
      </c>
      <c r="E176" s="3">
        <v>25.2</v>
      </c>
      <c r="F176" s="3">
        <f>1.8*E176+32</f>
        <v>77.36</v>
      </c>
      <c r="G176" s="3">
        <v>14</v>
      </c>
      <c r="H176" s="3">
        <f>IF(F176&gt;68,G176+(F176-68)*0.2,G198-(68-F176)*0.2)</f>
        <v>15.872</v>
      </c>
      <c r="I176" s="3">
        <v>23.5</v>
      </c>
      <c r="J176" s="3">
        <f>1.8*I176+32</f>
        <v>74.300000000000011</v>
      </c>
      <c r="K176" s="3">
        <v>9</v>
      </c>
      <c r="L176" s="3">
        <f>IF(J176&gt;68,K176+(J176-68)*0.2,K176-(68-J176)*0.2)</f>
        <v>10.260000000000002</v>
      </c>
      <c r="M176" s="3">
        <f>(C176-H176)/C176*100</f>
        <v>68.256</v>
      </c>
      <c r="N176" s="3">
        <f>100-(M176+O176)</f>
        <v>11.22399999999999</v>
      </c>
      <c r="O176" s="3">
        <f>L176/C176*100</f>
        <v>20.520000000000003</v>
      </c>
      <c r="P176" s="2" t="s">
        <v>0</v>
      </c>
      <c r="Q176" s="1">
        <v>409093.084668</v>
      </c>
      <c r="R176" s="1">
        <v>3659324.6039479999</v>
      </c>
      <c r="T176" s="4">
        <v>2006111</v>
      </c>
      <c r="U176" s="4" t="s">
        <v>141</v>
      </c>
      <c r="V176" s="4">
        <v>5.9540000000000003E-2</v>
      </c>
      <c r="W176" s="4">
        <v>0.37902999999999998</v>
      </c>
      <c r="X176" s="4">
        <v>2.9049999999999999E-2</v>
      </c>
      <c r="Y176" s="4">
        <v>1.34751</v>
      </c>
      <c r="Z176" s="4">
        <v>21.118300000000001</v>
      </c>
      <c r="AA176" s="4">
        <v>11.00409</v>
      </c>
      <c r="AB176" s="4">
        <v>-1.4489099999999999</v>
      </c>
    </row>
    <row r="177" spans="1:28" x14ac:dyDescent="0.25">
      <c r="A177" s="6">
        <v>17</v>
      </c>
      <c r="B177" s="4">
        <v>300</v>
      </c>
      <c r="C177" s="5"/>
      <c r="D177" s="4"/>
      <c r="E177" s="3"/>
      <c r="F177" s="3"/>
      <c r="G177" s="3"/>
      <c r="H177" s="3">
        <f>IF(F177&gt;68,G177+(F177-68)*0.2,G199-(68-F177)*0.2)</f>
        <v>4.3999999999999986</v>
      </c>
      <c r="I177" s="3"/>
      <c r="J177" s="3"/>
      <c r="K177" s="3"/>
      <c r="L177" s="3">
        <f>IF(J177&gt;68,K177+(J177-68)*0.2,K177-(68-J177)*0.2)</f>
        <v>-13.600000000000001</v>
      </c>
      <c r="M177" s="3"/>
      <c r="N177" s="3"/>
      <c r="O177" s="3"/>
      <c r="P177" s="2"/>
      <c r="Q177" s="1">
        <v>409093.084668</v>
      </c>
      <c r="R177" s="1">
        <v>3659324.6039479999</v>
      </c>
      <c r="T177" s="4">
        <v>2006111</v>
      </c>
      <c r="U177" s="4" t="s">
        <v>140</v>
      </c>
      <c r="V177" s="4">
        <v>5.6649999999999999E-2</v>
      </c>
      <c r="W177" s="4">
        <v>0.37936999999999999</v>
      </c>
      <c r="X177" s="4">
        <v>2.9989999999999999E-2</v>
      </c>
      <c r="Y177" s="4">
        <v>1.36575</v>
      </c>
      <c r="Z177" s="4">
        <v>25.372409999999999</v>
      </c>
      <c r="AA177" s="4">
        <v>12.244669999999999</v>
      </c>
      <c r="AB177" s="4">
        <v>-1.3714</v>
      </c>
    </row>
    <row r="178" spans="1:28" x14ac:dyDescent="0.25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T178" s="4">
        <v>2006111</v>
      </c>
      <c r="U178" s="4" t="s">
        <v>139</v>
      </c>
      <c r="V178" s="4">
        <v>5.382E-2</v>
      </c>
      <c r="W178" s="4">
        <v>0.37928000000000001</v>
      </c>
      <c r="X178" s="4">
        <v>3.1210000000000002E-2</v>
      </c>
      <c r="Y178" s="4">
        <v>1.3891899999999999</v>
      </c>
      <c r="Z178" s="4">
        <v>31.120360000000002</v>
      </c>
      <c r="AA178" s="4">
        <v>13.806330000000001</v>
      </c>
      <c r="AB178" s="4">
        <v>-1.29552</v>
      </c>
    </row>
    <row r="179" spans="1:28" ht="51.75" x14ac:dyDescent="0.25">
      <c r="A179" s="15" t="s">
        <v>19</v>
      </c>
      <c r="B179" s="10" t="s">
        <v>18</v>
      </c>
      <c r="C179" s="14" t="s">
        <v>17</v>
      </c>
      <c r="D179" s="13" t="s">
        <v>16</v>
      </c>
      <c r="E179" s="12" t="s">
        <v>15</v>
      </c>
      <c r="F179" s="12" t="s">
        <v>14</v>
      </c>
      <c r="G179" s="12" t="s">
        <v>13</v>
      </c>
      <c r="H179" s="12" t="s">
        <v>12</v>
      </c>
      <c r="I179" s="12" t="s">
        <v>11</v>
      </c>
      <c r="J179" s="12" t="s">
        <v>10</v>
      </c>
      <c r="K179" s="12" t="s">
        <v>9</v>
      </c>
      <c r="L179" s="12" t="s">
        <v>8</v>
      </c>
      <c r="M179" s="11" t="s">
        <v>7</v>
      </c>
      <c r="N179" s="11" t="s">
        <v>6</v>
      </c>
      <c r="O179" s="11" t="s">
        <v>5</v>
      </c>
      <c r="P179" s="10" t="s">
        <v>4</v>
      </c>
      <c r="Q179" s="9" t="s">
        <v>3</v>
      </c>
      <c r="R179" s="8"/>
      <c r="T179" s="4">
        <v>2006111</v>
      </c>
      <c r="U179" s="4" t="s">
        <v>353</v>
      </c>
      <c r="V179" s="4">
        <v>6.0319999999999999E-2</v>
      </c>
      <c r="W179" s="4">
        <v>0.37224000000000002</v>
      </c>
      <c r="X179" s="4">
        <v>2.7789999999999999E-2</v>
      </c>
      <c r="Y179" s="4">
        <v>1.3904000000000001</v>
      </c>
      <c r="Z179" s="4">
        <v>24.510280000000002</v>
      </c>
      <c r="AA179" s="4">
        <v>10.503170000000001</v>
      </c>
      <c r="AB179" s="4">
        <v>-1.30406</v>
      </c>
    </row>
    <row r="180" spans="1:28" x14ac:dyDescent="0.25">
      <c r="A180" s="4"/>
      <c r="B180" s="4"/>
      <c r="C180" s="5"/>
      <c r="D180" s="4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2"/>
      <c r="Q180" s="7" t="s">
        <v>2</v>
      </c>
      <c r="R180" s="7" t="s">
        <v>1</v>
      </c>
      <c r="T180" s="4">
        <v>2006111</v>
      </c>
      <c r="U180" s="4" t="s">
        <v>352</v>
      </c>
      <c r="V180" s="4">
        <v>5.8439999999999999E-2</v>
      </c>
      <c r="W180" s="4">
        <v>0.37234</v>
      </c>
      <c r="X180" s="4">
        <v>2.8400000000000002E-2</v>
      </c>
      <c r="Y180" s="4">
        <v>1.4353899999999999</v>
      </c>
      <c r="Z180" s="4">
        <v>31.583739999999999</v>
      </c>
      <c r="AA180" s="4">
        <v>11.617929999999999</v>
      </c>
      <c r="AB180" s="4">
        <v>-1.19764</v>
      </c>
    </row>
    <row r="181" spans="1:28" x14ac:dyDescent="0.25">
      <c r="A181" s="6">
        <v>18</v>
      </c>
      <c r="B181" s="4">
        <v>180</v>
      </c>
      <c r="C181" s="5">
        <v>50.01</v>
      </c>
      <c r="D181" s="4">
        <v>20</v>
      </c>
      <c r="E181" s="3">
        <v>26</v>
      </c>
      <c r="F181" s="3">
        <f>1.8*E181+32</f>
        <v>78.800000000000011</v>
      </c>
      <c r="G181" s="3">
        <v>19</v>
      </c>
      <c r="H181" s="3">
        <f>IF(F181&gt;68,G181+(F181-68)*0.2,G747-(68-F181)*0.2)</f>
        <v>21.160000000000004</v>
      </c>
      <c r="I181" s="3">
        <v>22.5</v>
      </c>
      <c r="J181" s="3">
        <f>1.8*I181+32</f>
        <v>72.5</v>
      </c>
      <c r="K181" s="3">
        <v>9</v>
      </c>
      <c r="L181" s="3">
        <f>IF(J181&gt;68,K181+(J181-68)*0.2,K181-(68-J181)*0.2)</f>
        <v>9.9</v>
      </c>
      <c r="M181" s="3">
        <f>(C181-H181)/C181*100</f>
        <v>57.688462307538479</v>
      </c>
      <c r="N181" s="3">
        <f>100-(M181+O181)</f>
        <v>22.515496900619894</v>
      </c>
      <c r="O181" s="3">
        <f>L181/C181*100</f>
        <v>19.796040791841634</v>
      </c>
      <c r="P181" s="2" t="s">
        <v>0</v>
      </c>
      <c r="Q181" s="1">
        <v>409105.27472599997</v>
      </c>
      <c r="R181" s="1">
        <v>3659324.3952230001</v>
      </c>
      <c r="T181" s="4">
        <v>2006111</v>
      </c>
      <c r="U181" s="4" t="s">
        <v>351</v>
      </c>
      <c r="V181" s="4">
        <v>5.9339999999999997E-2</v>
      </c>
      <c r="W181" s="4">
        <v>0.37023</v>
      </c>
      <c r="X181" s="4">
        <v>2.716E-2</v>
      </c>
      <c r="Y181" s="4">
        <v>1.50176</v>
      </c>
      <c r="Z181" s="4">
        <v>38.85575</v>
      </c>
      <c r="AA181" s="4">
        <v>11.3169</v>
      </c>
      <c r="AB181" s="4">
        <v>-1.0886199999999999</v>
      </c>
    </row>
    <row r="182" spans="1:28" x14ac:dyDescent="0.25">
      <c r="A182" s="6">
        <v>18</v>
      </c>
      <c r="B182" s="4">
        <v>210</v>
      </c>
      <c r="C182" s="5">
        <v>50.01</v>
      </c>
      <c r="D182" s="4">
        <v>20</v>
      </c>
      <c r="E182" s="3">
        <v>26</v>
      </c>
      <c r="F182" s="3">
        <f>1.8*E182+32</f>
        <v>78.800000000000011</v>
      </c>
      <c r="G182" s="3">
        <v>13.5</v>
      </c>
      <c r="H182" s="3">
        <f>IF(F182&gt;68,G182+(F182-68)*0.2,G748-(68-F182)*0.2)</f>
        <v>15.660000000000002</v>
      </c>
      <c r="I182" s="3">
        <v>22.5</v>
      </c>
      <c r="J182" s="3">
        <f>1.8*I182+32</f>
        <v>72.5</v>
      </c>
      <c r="K182" s="3">
        <v>7</v>
      </c>
      <c r="L182" s="3">
        <f>IF(J182&gt;68,K182+(J182-68)*0.2,K182-(68-J182)*0.2)</f>
        <v>7.9</v>
      </c>
      <c r="M182" s="3">
        <f>(C182-H182)/C182*100</f>
        <v>68.686262747450499</v>
      </c>
      <c r="N182" s="3">
        <f>100-(M182+O182)</f>
        <v>15.51689662067588</v>
      </c>
      <c r="O182" s="3">
        <f>L182/C182*100</f>
        <v>15.796840631873627</v>
      </c>
      <c r="P182" s="2" t="s">
        <v>20</v>
      </c>
      <c r="Q182" s="1">
        <v>409105.27472599997</v>
      </c>
      <c r="R182" s="1">
        <v>3659324.3952230001</v>
      </c>
      <c r="T182" s="4">
        <v>2006111</v>
      </c>
      <c r="U182" s="4" t="s">
        <v>350</v>
      </c>
      <c r="V182" s="4">
        <v>6.0060000000000002E-2</v>
      </c>
      <c r="W182" s="4">
        <v>0.37003000000000003</v>
      </c>
      <c r="X182" s="4">
        <v>2.6890000000000001E-2</v>
      </c>
      <c r="Y182" s="4">
        <v>1.4672400000000001</v>
      </c>
      <c r="Z182" s="4">
        <v>33.264040000000001</v>
      </c>
      <c r="AA182" s="4">
        <v>10.736359999999999</v>
      </c>
      <c r="AB182" s="4">
        <v>-1.1347700000000001</v>
      </c>
    </row>
    <row r="183" spans="1:28" x14ac:dyDescent="0.25">
      <c r="A183" s="6">
        <v>18</v>
      </c>
      <c r="B183" s="4">
        <v>240</v>
      </c>
      <c r="C183" s="5">
        <v>50</v>
      </c>
      <c r="D183" s="4">
        <v>20</v>
      </c>
      <c r="E183" s="3">
        <v>26</v>
      </c>
      <c r="F183" s="3">
        <f>1.8*E183+32</f>
        <v>78.800000000000011</v>
      </c>
      <c r="G183" s="3">
        <v>14</v>
      </c>
      <c r="H183" s="3">
        <f>IF(F183&gt;68,G183+(F183-68)*0.2,G749-(68-F183)*0.2)</f>
        <v>16.160000000000004</v>
      </c>
      <c r="I183" s="3">
        <v>22.5</v>
      </c>
      <c r="J183" s="3">
        <f>1.8*I183+32</f>
        <v>72.5</v>
      </c>
      <c r="K183" s="3">
        <v>7</v>
      </c>
      <c r="L183" s="3">
        <f>IF(J183&gt;68,K183+(J183-68)*0.2,K183-(68-J183)*0.2)</f>
        <v>7.9</v>
      </c>
      <c r="M183" s="3">
        <f>(C183-H183)/C183*100</f>
        <v>67.679999999999993</v>
      </c>
      <c r="N183" s="3">
        <f>100-(M183+O183)</f>
        <v>16.52000000000001</v>
      </c>
      <c r="O183" s="3">
        <f>L183/C183*100</f>
        <v>15.8</v>
      </c>
      <c r="P183" s="2" t="s">
        <v>20</v>
      </c>
      <c r="Q183" s="1">
        <v>409105.27472599997</v>
      </c>
      <c r="R183" s="1">
        <v>3659324.3952230001</v>
      </c>
      <c r="T183" s="4">
        <v>2006111</v>
      </c>
      <c r="U183" s="4" t="s">
        <v>138</v>
      </c>
      <c r="V183" s="4">
        <v>5.0070000000000003E-2</v>
      </c>
      <c r="W183" s="4">
        <v>0.38312000000000002</v>
      </c>
      <c r="X183" s="4">
        <v>3.0859999999999999E-2</v>
      </c>
      <c r="Y183" s="4">
        <v>1.3869</v>
      </c>
      <c r="Z183" s="4">
        <v>32.22099</v>
      </c>
      <c r="AA183" s="4">
        <v>14.57873</v>
      </c>
      <c r="AB183" s="4">
        <v>-1.2393000000000001</v>
      </c>
    </row>
    <row r="184" spans="1:28" x14ac:dyDescent="0.25">
      <c r="A184" s="6">
        <v>18</v>
      </c>
      <c r="B184" s="4">
        <v>270</v>
      </c>
      <c r="C184" s="5">
        <v>50</v>
      </c>
      <c r="D184" s="4">
        <v>20</v>
      </c>
      <c r="E184" s="3">
        <v>26</v>
      </c>
      <c r="F184" s="3">
        <f>1.8*E184+32</f>
        <v>78.800000000000011</v>
      </c>
      <c r="G184" s="3">
        <v>20</v>
      </c>
      <c r="H184" s="3">
        <f>IF(F184&gt;68,G184+(F184-68)*0.2,G750-(68-F184)*0.2)</f>
        <v>22.160000000000004</v>
      </c>
      <c r="I184" s="3">
        <v>22.5</v>
      </c>
      <c r="J184" s="3">
        <f>1.8*I184+32</f>
        <v>72.5</v>
      </c>
      <c r="K184" s="3">
        <v>9.5</v>
      </c>
      <c r="L184" s="3">
        <f>IF(J184&gt;68,K184+(J184-68)*0.2,K184-(68-J184)*0.2)</f>
        <v>10.4</v>
      </c>
      <c r="M184" s="3">
        <f>(C184-H184)/C184*100</f>
        <v>55.679999999999993</v>
      </c>
      <c r="N184" s="3">
        <f>100-(M184+O184)</f>
        <v>23.52000000000001</v>
      </c>
      <c r="O184" s="3">
        <f>L184/C184*100</f>
        <v>20.8</v>
      </c>
      <c r="P184" s="2" t="s">
        <v>0</v>
      </c>
      <c r="Q184" s="1">
        <v>409105.27472599997</v>
      </c>
      <c r="R184" s="1">
        <v>3659324.3952230001</v>
      </c>
      <c r="T184" s="4">
        <v>2006111</v>
      </c>
      <c r="U184" s="4" t="s">
        <v>137</v>
      </c>
      <c r="V184" s="4">
        <v>4.9570000000000003E-2</v>
      </c>
      <c r="W184" s="4">
        <v>0.38058999999999998</v>
      </c>
      <c r="X184" s="4">
        <v>3.3169999999999998E-2</v>
      </c>
      <c r="Y184" s="4">
        <v>1.4205099999999999</v>
      </c>
      <c r="Z184" s="4">
        <v>40.038409999999999</v>
      </c>
      <c r="AA184" s="4">
        <v>16.569800000000001</v>
      </c>
      <c r="AB184" s="4">
        <v>-1.20604</v>
      </c>
    </row>
    <row r="185" spans="1:28" x14ac:dyDescent="0.25">
      <c r="A185" s="6">
        <v>18</v>
      </c>
      <c r="B185" s="4">
        <v>300</v>
      </c>
      <c r="C185" s="5">
        <v>50</v>
      </c>
      <c r="D185" s="4">
        <v>20</v>
      </c>
      <c r="E185" s="3">
        <v>26</v>
      </c>
      <c r="F185" s="3">
        <f>1.8*E185+32</f>
        <v>78.800000000000011</v>
      </c>
      <c r="G185" s="3">
        <v>16.5</v>
      </c>
      <c r="H185" s="3">
        <f>IF(F185&gt;68,G185+(F185-68)*0.2,G751-(68-F185)*0.2)</f>
        <v>18.660000000000004</v>
      </c>
      <c r="I185" s="3">
        <v>22.5</v>
      </c>
      <c r="J185" s="3">
        <f>1.8*I185+32</f>
        <v>72.5</v>
      </c>
      <c r="K185" s="3">
        <v>7.5</v>
      </c>
      <c r="L185" s="3">
        <f>IF(J185&gt;68,K185+(J185-68)*0.2,K185-(68-J185)*0.2)</f>
        <v>8.4</v>
      </c>
      <c r="M185" s="3">
        <f>(C185-H185)/C185*100</f>
        <v>62.679999999999993</v>
      </c>
      <c r="N185" s="3">
        <f>100-(M185+O185)</f>
        <v>20.52000000000001</v>
      </c>
      <c r="O185" s="3">
        <f>L185/C185*100</f>
        <v>16.8</v>
      </c>
      <c r="P185" s="2" t="s">
        <v>20</v>
      </c>
      <c r="Q185" s="1">
        <v>409105.27472599997</v>
      </c>
      <c r="R185" s="1">
        <v>3659324.3952230001</v>
      </c>
      <c r="T185" s="4">
        <v>2006111</v>
      </c>
      <c r="U185" s="4" t="s">
        <v>136</v>
      </c>
      <c r="V185" s="4">
        <v>5.5070000000000001E-2</v>
      </c>
      <c r="W185" s="4">
        <v>0.38402999999999998</v>
      </c>
      <c r="X185" s="4">
        <v>2.8469999999999999E-2</v>
      </c>
      <c r="Y185" s="4">
        <v>1.36575</v>
      </c>
      <c r="Z185" s="4">
        <v>24.43873</v>
      </c>
      <c r="AA185" s="4">
        <v>11.96833</v>
      </c>
      <c r="AB185" s="4">
        <v>-1.29779</v>
      </c>
    </row>
    <row r="186" spans="1:28" x14ac:dyDescent="0.25">
      <c r="A186" s="6"/>
      <c r="B186" s="4"/>
      <c r="C186" s="5"/>
      <c r="D186" s="4"/>
      <c r="E186" s="3"/>
      <c r="F186" s="3"/>
      <c r="G186" s="3"/>
      <c r="H186" s="3">
        <f>IF(F186&gt;68,G186+(F186-68)*0.2,G752-(68-F186)*0.2)</f>
        <v>-13.600000000000001</v>
      </c>
      <c r="I186" s="3"/>
      <c r="J186" s="3"/>
      <c r="K186" s="3"/>
      <c r="L186" s="3">
        <f>IF(J186&gt;68,K186+(J186-68)*0.2,K186-(68-J186)*0.2)</f>
        <v>-13.600000000000001</v>
      </c>
      <c r="M186" s="3"/>
      <c r="N186" s="3"/>
      <c r="O186" s="3"/>
      <c r="P186" s="2"/>
      <c r="Q186" s="1">
        <v>409105.27472599997</v>
      </c>
      <c r="R186" s="1">
        <v>3659324.3952230001</v>
      </c>
      <c r="T186" s="4">
        <v>2006111</v>
      </c>
      <c r="U186" s="4" t="s">
        <v>135</v>
      </c>
      <c r="V186" s="4">
        <v>5.8529999999999999E-2</v>
      </c>
      <c r="W186" s="4">
        <v>0.38704</v>
      </c>
      <c r="X186" s="4">
        <v>2.5989999999999999E-2</v>
      </c>
      <c r="Y186" s="4">
        <v>1.3591500000000001</v>
      </c>
      <c r="Z186" s="4">
        <v>19.494800000000001</v>
      </c>
      <c r="AA186" s="4">
        <v>10.168150000000001</v>
      </c>
      <c r="AB186" s="4">
        <v>-1.2765299999999999</v>
      </c>
    </row>
    <row r="187" spans="1:28" x14ac:dyDescent="0.25">
      <c r="A187" s="6"/>
      <c r="B187" s="4"/>
      <c r="C187" s="5"/>
      <c r="D187" s="4"/>
      <c r="E187" s="3"/>
      <c r="F187" s="3"/>
      <c r="G187" s="3"/>
      <c r="H187" s="3">
        <f>IF(F187&gt;68,G187+(F187-68)*0.2,G753-(68-F187)*0.2)</f>
        <v>-13.600000000000001</v>
      </c>
      <c r="I187" s="3"/>
      <c r="J187" s="3"/>
      <c r="K187" s="3"/>
      <c r="L187" s="3">
        <f>IF(J187&gt;68,K187+(J187-68)*0.2,K187-(68-J187)*0.2)</f>
        <v>-13.600000000000001</v>
      </c>
      <c r="M187" s="3"/>
      <c r="N187" s="3"/>
      <c r="O187" s="3"/>
      <c r="P187" s="2"/>
      <c r="Q187" s="1">
        <v>409105.27472599997</v>
      </c>
      <c r="R187" s="1">
        <v>3659324.3952230001</v>
      </c>
      <c r="T187" s="4">
        <v>2006111</v>
      </c>
      <c r="U187" s="4" t="s">
        <v>134</v>
      </c>
      <c r="V187" s="4">
        <v>5.3530000000000001E-2</v>
      </c>
      <c r="W187" s="4">
        <v>0.38723000000000002</v>
      </c>
      <c r="X187" s="4">
        <v>2.528E-2</v>
      </c>
      <c r="Y187" s="4">
        <v>1.37927</v>
      </c>
      <c r="Z187" s="4">
        <v>23.442779999999999</v>
      </c>
      <c r="AA187" s="4">
        <v>10.824210000000001</v>
      </c>
      <c r="AB187" s="4">
        <v>-1.13531</v>
      </c>
    </row>
    <row r="188" spans="1:28" x14ac:dyDescent="0.25">
      <c r="A188" s="6"/>
      <c r="B188" s="4"/>
      <c r="C188" s="5"/>
      <c r="D188" s="4"/>
      <c r="E188" s="3"/>
      <c r="F188" s="3"/>
      <c r="G188" s="3"/>
      <c r="H188" s="3">
        <f>IF(F188&gt;68,G188+(F188-68)*0.2,G754-(68-F188)*0.2)</f>
        <v>-13.600000000000001</v>
      </c>
      <c r="I188" s="3"/>
      <c r="J188" s="3"/>
      <c r="K188" s="3"/>
      <c r="L188" s="3">
        <f>IF(J188&gt;68,K188+(J188-68)*0.2,K188-(68-J188)*0.2)</f>
        <v>-13.600000000000001</v>
      </c>
      <c r="M188" s="3"/>
      <c r="N188" s="3"/>
      <c r="O188" s="3"/>
      <c r="P188" s="2"/>
      <c r="Q188" s="1">
        <v>409105.27472599997</v>
      </c>
      <c r="R188" s="1">
        <v>3659324.3952230001</v>
      </c>
      <c r="T188" s="4">
        <v>2006111</v>
      </c>
      <c r="U188" s="4" t="s">
        <v>133</v>
      </c>
      <c r="V188" s="4">
        <v>5.7509999999999999E-2</v>
      </c>
      <c r="W188" s="4">
        <v>0.39073999999999998</v>
      </c>
      <c r="X188" s="4">
        <v>2.213E-2</v>
      </c>
      <c r="Y188" s="4">
        <v>1.3831</v>
      </c>
      <c r="Z188" s="4">
        <v>18.301290000000002</v>
      </c>
      <c r="AA188" s="4">
        <v>8.7344600000000003</v>
      </c>
      <c r="AB188" s="4">
        <v>-1.0525500000000001</v>
      </c>
    </row>
    <row r="189" spans="1:28" x14ac:dyDescent="0.25">
      <c r="A189" s="6"/>
      <c r="B189" s="4"/>
      <c r="C189" s="5"/>
      <c r="D189" s="4"/>
      <c r="E189" s="3"/>
      <c r="F189" s="3"/>
      <c r="G189" s="3"/>
      <c r="H189" s="3">
        <f>IF(F189&gt;68,G189+(F189-68)*0.2,G755-(68-F189)*0.2)</f>
        <v>-13.600000000000001</v>
      </c>
      <c r="I189" s="3"/>
      <c r="J189" s="3"/>
      <c r="K189" s="3"/>
      <c r="L189" s="3">
        <f>IF(J189&gt;68,K189+(J189-68)*0.2,K189-(68-J189)*0.2)</f>
        <v>-13.600000000000001</v>
      </c>
      <c r="M189" s="3"/>
      <c r="N189" s="3"/>
      <c r="O189" s="3"/>
      <c r="P189" s="2"/>
      <c r="Q189" s="1">
        <v>409105.27472599997</v>
      </c>
      <c r="R189" s="1">
        <v>3659324.3952230001</v>
      </c>
      <c r="T189" s="4">
        <v>2006111</v>
      </c>
      <c r="U189" s="4" t="s">
        <v>349</v>
      </c>
      <c r="V189" s="4">
        <v>5.5309999999999998E-2</v>
      </c>
      <c r="W189" s="4">
        <v>0.37486999999999998</v>
      </c>
      <c r="X189" s="4">
        <v>3.0370000000000001E-2</v>
      </c>
      <c r="Y189" s="4">
        <v>1.4504999999999999</v>
      </c>
      <c r="Z189" s="4">
        <v>38.195459999999997</v>
      </c>
      <c r="AA189" s="4">
        <v>13.647690000000001</v>
      </c>
      <c r="AB189" s="4">
        <v>-1.1717599999999999</v>
      </c>
    </row>
    <row r="190" spans="1:28" x14ac:dyDescent="0.25">
      <c r="A190" s="6"/>
      <c r="B190" s="4"/>
      <c r="C190" s="5"/>
      <c r="D190" s="4"/>
      <c r="E190" s="3"/>
      <c r="F190" s="3"/>
      <c r="G190" s="3"/>
      <c r="H190" s="3">
        <f>IF(F190&gt;68,G190+(F190-68)*0.2,G756-(68-F190)*0.2)</f>
        <v>-13.600000000000001</v>
      </c>
      <c r="I190" s="3"/>
      <c r="J190" s="3"/>
      <c r="K190" s="3"/>
      <c r="L190" s="3">
        <f>IF(J190&gt;68,K190+(J190-68)*0.2,K190-(68-J190)*0.2)</f>
        <v>-13.600000000000001</v>
      </c>
      <c r="M190" s="3"/>
      <c r="N190" s="3"/>
      <c r="O190" s="3"/>
      <c r="P190" s="2"/>
      <c r="Q190" s="1">
        <v>409105.27472599997</v>
      </c>
      <c r="R190" s="1">
        <v>3659324.3952230001</v>
      </c>
      <c r="T190" s="4">
        <v>2006111</v>
      </c>
      <c r="U190" s="4" t="s">
        <v>348</v>
      </c>
      <c r="V190" s="4">
        <v>5.466E-2</v>
      </c>
      <c r="W190" s="4">
        <v>0.37584000000000001</v>
      </c>
      <c r="X190" s="4">
        <v>3.0870000000000002E-2</v>
      </c>
      <c r="Y190" s="4">
        <v>1.43676</v>
      </c>
      <c r="Z190" s="4">
        <v>37.172379999999997</v>
      </c>
      <c r="AA190" s="4">
        <v>13.946809999999999</v>
      </c>
      <c r="AB190" s="4">
        <v>-1.1968700000000001</v>
      </c>
    </row>
    <row r="191" spans="1:28" x14ac:dyDescent="0.25">
      <c r="T191" s="4">
        <v>2006111</v>
      </c>
      <c r="U191" s="4" t="s">
        <v>347</v>
      </c>
      <c r="V191" s="4">
        <v>5.0909999999999997E-2</v>
      </c>
      <c r="W191" s="4">
        <v>0.37703999999999999</v>
      </c>
      <c r="X191" s="4">
        <v>3.2969999999999999E-2</v>
      </c>
      <c r="Y191" s="4">
        <v>1.5750200000000001</v>
      </c>
      <c r="Z191" s="4">
        <v>66.656189999999995</v>
      </c>
      <c r="AA191" s="4">
        <v>18.36186</v>
      </c>
      <c r="AB191" s="4">
        <v>-1.01352</v>
      </c>
    </row>
    <row r="192" spans="1:28" ht="51.75" x14ac:dyDescent="0.25">
      <c r="A192" s="15" t="s">
        <v>19</v>
      </c>
      <c r="B192" s="10" t="s">
        <v>18</v>
      </c>
      <c r="C192" s="14" t="s">
        <v>17</v>
      </c>
      <c r="D192" s="13" t="s">
        <v>16</v>
      </c>
      <c r="E192" s="12" t="s">
        <v>15</v>
      </c>
      <c r="F192" s="12" t="s">
        <v>14</v>
      </c>
      <c r="G192" s="12" t="s">
        <v>13</v>
      </c>
      <c r="H192" s="12" t="s">
        <v>12</v>
      </c>
      <c r="I192" s="12" t="s">
        <v>11</v>
      </c>
      <c r="J192" s="12" t="s">
        <v>10</v>
      </c>
      <c r="K192" s="12" t="s">
        <v>9</v>
      </c>
      <c r="L192" s="12" t="s">
        <v>8</v>
      </c>
      <c r="M192" s="11" t="s">
        <v>7</v>
      </c>
      <c r="N192" s="11" t="s">
        <v>6</v>
      </c>
      <c r="O192" s="11" t="s">
        <v>5</v>
      </c>
      <c r="P192" s="10" t="s">
        <v>4</v>
      </c>
      <c r="Q192" s="9" t="s">
        <v>3</v>
      </c>
      <c r="R192" s="8"/>
      <c r="T192" s="4">
        <v>2006111</v>
      </c>
      <c r="U192" s="4" t="s">
        <v>346</v>
      </c>
      <c r="V192" s="4">
        <v>4.4130000000000003E-2</v>
      </c>
      <c r="W192" s="4">
        <v>0.38627</v>
      </c>
      <c r="X192" s="4">
        <v>2.7709999999999999E-2</v>
      </c>
      <c r="Y192" s="4">
        <v>1.3975500000000001</v>
      </c>
      <c r="Z192" s="4">
        <v>34.541960000000003</v>
      </c>
      <c r="AA192" s="4">
        <v>14.216340000000001</v>
      </c>
      <c r="AB192" s="4">
        <v>-1.0541199999999999</v>
      </c>
    </row>
    <row r="193" spans="1:28" x14ac:dyDescent="0.25">
      <c r="A193" s="15"/>
      <c r="B193" s="10"/>
      <c r="C193" s="14"/>
      <c r="D193" s="13"/>
      <c r="E193" s="12"/>
      <c r="F193" s="12"/>
      <c r="G193" s="12"/>
      <c r="H193" s="12"/>
      <c r="I193" s="12"/>
      <c r="J193" s="12"/>
      <c r="K193" s="12"/>
      <c r="L193" s="12"/>
      <c r="M193" s="11"/>
      <c r="N193" s="11"/>
      <c r="O193" s="11"/>
      <c r="P193" s="10"/>
      <c r="Q193" s="7" t="s">
        <v>2</v>
      </c>
      <c r="R193" s="7" t="s">
        <v>1</v>
      </c>
      <c r="T193" s="4">
        <v>2006111</v>
      </c>
      <c r="U193" s="4" t="s">
        <v>132</v>
      </c>
      <c r="V193" s="4">
        <v>6.2210000000000001E-2</v>
      </c>
      <c r="W193" s="4">
        <v>0.38156000000000001</v>
      </c>
      <c r="X193" s="4">
        <v>2.8029999999999999E-2</v>
      </c>
      <c r="Y193" s="4">
        <v>1.3305800000000001</v>
      </c>
      <c r="Z193" s="4">
        <v>17.54477</v>
      </c>
      <c r="AA193" s="4">
        <v>10.00653</v>
      </c>
      <c r="AB193" s="4">
        <v>-1.5155000000000001</v>
      </c>
    </row>
    <row r="194" spans="1:28" x14ac:dyDescent="0.25">
      <c r="A194" s="6">
        <v>21</v>
      </c>
      <c r="B194" s="4">
        <v>30</v>
      </c>
      <c r="C194" s="5">
        <v>50.01</v>
      </c>
      <c r="D194" s="4">
        <v>20</v>
      </c>
      <c r="E194" s="3">
        <v>23.2</v>
      </c>
      <c r="F194" s="3">
        <f>1.8*E194+32</f>
        <v>73.759999999999991</v>
      </c>
      <c r="G194" s="3">
        <v>17.5</v>
      </c>
      <c r="H194" s="3">
        <f>IF(F194&gt;68,G194+(F194-68)*0.2,G691-(68-F194)*0.2)</f>
        <v>18.651999999999997</v>
      </c>
      <c r="I194" s="3">
        <v>22.5</v>
      </c>
      <c r="J194" s="3">
        <f>1.8*I194+32</f>
        <v>72.5</v>
      </c>
      <c r="K194" s="3">
        <v>11</v>
      </c>
      <c r="L194" s="3">
        <f>IF(J194&gt;68,K194+(J194-68)*0.2,K194-(68-J194)*0.2)</f>
        <v>11.9</v>
      </c>
      <c r="M194" s="3">
        <f>(C194-H194)/C194*100</f>
        <v>62.703459308138378</v>
      </c>
      <c r="N194" s="3">
        <f>100-(M194+O194)</f>
        <v>13.501299740051991</v>
      </c>
      <c r="O194" s="3">
        <f>L194/C194*100</f>
        <v>23.795240951809639</v>
      </c>
      <c r="P194" s="2" t="s">
        <v>0</v>
      </c>
      <c r="Q194" s="1">
        <v>409019.72465300001</v>
      </c>
      <c r="R194" s="1">
        <v>3659307.3601370002</v>
      </c>
      <c r="T194" s="4">
        <v>2006111</v>
      </c>
      <c r="U194" s="4" t="s">
        <v>131</v>
      </c>
      <c r="V194" s="4">
        <v>6.9379999999999997E-2</v>
      </c>
      <c r="W194" s="4">
        <v>0.39101999999999998</v>
      </c>
      <c r="X194" s="4">
        <v>2.546E-2</v>
      </c>
      <c r="Y194" s="4">
        <v>1.3096099999999999</v>
      </c>
      <c r="Z194" s="4">
        <v>11.55322</v>
      </c>
      <c r="AA194" s="4">
        <v>8.0470299999999995</v>
      </c>
      <c r="AB194" s="4">
        <v>-1.5859399999999999</v>
      </c>
    </row>
    <row r="195" spans="1:28" x14ac:dyDescent="0.25">
      <c r="A195" s="6">
        <v>21</v>
      </c>
      <c r="B195" s="4">
        <v>60</v>
      </c>
      <c r="C195" s="5">
        <v>50.01</v>
      </c>
      <c r="D195" s="4">
        <v>20</v>
      </c>
      <c r="E195" s="3">
        <v>23.2</v>
      </c>
      <c r="F195" s="3">
        <f>1.8*E195+32</f>
        <v>73.759999999999991</v>
      </c>
      <c r="G195" s="3">
        <v>16</v>
      </c>
      <c r="H195" s="3">
        <f>IF(F195&gt;68,G195+(F195-68)*0.2,G692-(68-F195)*0.2)</f>
        <v>17.151999999999997</v>
      </c>
      <c r="I195" s="3">
        <v>22</v>
      </c>
      <c r="J195" s="3">
        <f>1.8*I195+32</f>
        <v>71.599999999999994</v>
      </c>
      <c r="K195" s="3">
        <v>10.5</v>
      </c>
      <c r="L195" s="3">
        <f>IF(J195&gt;68,K195+(J195-68)*0.2,K195-(68-J195)*0.2)</f>
        <v>11.219999999999999</v>
      </c>
      <c r="M195" s="3">
        <f>(C195-H195)/C195*100</f>
        <v>65.702859428114394</v>
      </c>
      <c r="N195" s="3">
        <f>100-(M195+O195)</f>
        <v>11.861627674465097</v>
      </c>
      <c r="O195" s="3">
        <f>L195/C195*100</f>
        <v>22.435512897420516</v>
      </c>
      <c r="P195" s="2" t="s">
        <v>0</v>
      </c>
      <c r="Q195" s="1">
        <v>409019.72465300001</v>
      </c>
      <c r="R195" s="1">
        <v>3659307.3601370002</v>
      </c>
      <c r="T195" s="4">
        <v>2006111</v>
      </c>
      <c r="U195" s="4" t="s">
        <v>130</v>
      </c>
      <c r="V195" s="4">
        <v>8.0049999999999996E-2</v>
      </c>
      <c r="W195" s="4">
        <v>0.41475000000000001</v>
      </c>
      <c r="X195" s="4">
        <v>2.213E-2</v>
      </c>
      <c r="Y195" s="4">
        <v>1.29426</v>
      </c>
      <c r="Z195" s="4">
        <v>6.6014999999999997</v>
      </c>
      <c r="AA195" s="4">
        <v>6.10527</v>
      </c>
      <c r="AB195" s="4">
        <v>-1.58002</v>
      </c>
    </row>
    <row r="196" spans="1:28" x14ac:dyDescent="0.25">
      <c r="A196" s="6">
        <v>21</v>
      </c>
      <c r="B196" s="4">
        <v>90</v>
      </c>
      <c r="C196" s="5">
        <v>50</v>
      </c>
      <c r="D196" s="4">
        <v>20</v>
      </c>
      <c r="E196" s="3">
        <v>23.2</v>
      </c>
      <c r="F196" s="3">
        <f>1.8*E196+32</f>
        <v>73.759999999999991</v>
      </c>
      <c r="G196" s="3">
        <v>23.5</v>
      </c>
      <c r="H196" s="3">
        <f>IF(F196&gt;68,G196+(F196-68)*0.2,G693-(68-F196)*0.2)</f>
        <v>24.651999999999997</v>
      </c>
      <c r="I196" s="3">
        <v>22</v>
      </c>
      <c r="J196" s="3">
        <f>1.8*I196+32</f>
        <v>71.599999999999994</v>
      </c>
      <c r="K196" s="3">
        <v>15.5</v>
      </c>
      <c r="L196" s="3">
        <f>IF(J196&gt;68,K196+(J196-68)*0.2,K196-(68-J196)*0.2)</f>
        <v>16.22</v>
      </c>
      <c r="M196" s="3">
        <f>(C196-H196)/C196*100</f>
        <v>50.696000000000005</v>
      </c>
      <c r="N196" s="3">
        <f>100-(M196+O196)</f>
        <v>16.864000000000004</v>
      </c>
      <c r="O196" s="3">
        <f>L196/C196*100</f>
        <v>32.44</v>
      </c>
      <c r="P196" s="2" t="s">
        <v>0</v>
      </c>
      <c r="Q196" s="1">
        <v>409019.72465300001</v>
      </c>
      <c r="R196" s="1">
        <v>3659307.3601370002</v>
      </c>
      <c r="T196" s="4">
        <v>2006111</v>
      </c>
      <c r="U196" s="4" t="s">
        <v>129</v>
      </c>
      <c r="V196" s="4">
        <v>8.6639999999999995E-2</v>
      </c>
      <c r="W196" s="4">
        <v>0.44239000000000001</v>
      </c>
      <c r="X196" s="4">
        <v>1.7639999999999999E-2</v>
      </c>
      <c r="Y196" s="4">
        <v>1.3080400000000001</v>
      </c>
      <c r="Z196" s="4">
        <v>6.2176799999999997</v>
      </c>
      <c r="AA196" s="4">
        <v>4.5362499999999999</v>
      </c>
      <c r="AB196" s="4">
        <v>-1.2620400000000001</v>
      </c>
    </row>
    <row r="197" spans="1:28" x14ac:dyDescent="0.25">
      <c r="A197" s="6">
        <v>21</v>
      </c>
      <c r="B197" s="4">
        <v>120</v>
      </c>
      <c r="C197" s="5">
        <v>50</v>
      </c>
      <c r="D197" s="4">
        <v>20</v>
      </c>
      <c r="E197" s="3">
        <v>25</v>
      </c>
      <c r="F197" s="3">
        <f>1.8*E197+32</f>
        <v>77</v>
      </c>
      <c r="G197" s="3">
        <v>22</v>
      </c>
      <c r="H197" s="3">
        <f>IF(F197&gt;68,G197+(F197-68)*0.2,G694-(68-F197)*0.2)</f>
        <v>23.8</v>
      </c>
      <c r="I197" s="3">
        <v>22</v>
      </c>
      <c r="J197" s="3">
        <f>1.8*I197+32</f>
        <v>71.599999999999994</v>
      </c>
      <c r="K197" s="3">
        <v>15</v>
      </c>
      <c r="L197" s="3">
        <f>IF(J197&gt;68,K197+(J197-68)*0.2,K197-(68-J197)*0.2)</f>
        <v>15.719999999999999</v>
      </c>
      <c r="M197" s="3">
        <f>(C197-H197)/C197*100</f>
        <v>52.400000000000006</v>
      </c>
      <c r="N197" s="3">
        <f>100-(M197+O197)</f>
        <v>16.159999999999997</v>
      </c>
      <c r="O197" s="3">
        <f>L197/C197*100</f>
        <v>31.439999999999994</v>
      </c>
      <c r="P197" s="2" t="s">
        <v>0</v>
      </c>
      <c r="Q197" s="1">
        <v>409019.72465300001</v>
      </c>
      <c r="R197" s="1">
        <v>3659307.3601370002</v>
      </c>
      <c r="T197" s="4">
        <v>2006111</v>
      </c>
      <c r="U197" s="4" t="s">
        <v>128</v>
      </c>
      <c r="V197" s="4">
        <v>8.0379999999999993E-2</v>
      </c>
      <c r="W197" s="4">
        <v>0.40412999999999999</v>
      </c>
      <c r="X197" s="4">
        <v>2.7570000000000001E-2</v>
      </c>
      <c r="Y197" s="4">
        <v>1.2369300000000001</v>
      </c>
      <c r="Z197" s="4">
        <v>12.754910000000001</v>
      </c>
      <c r="AA197" s="4">
        <v>7.0479900000000004</v>
      </c>
      <c r="AB197" s="4">
        <v>-2.4289299999999998</v>
      </c>
    </row>
    <row r="198" spans="1:28" x14ac:dyDescent="0.25">
      <c r="A198" s="6">
        <v>21</v>
      </c>
      <c r="B198" s="4">
        <v>150</v>
      </c>
      <c r="C198" s="5">
        <v>50.01</v>
      </c>
      <c r="D198" s="4">
        <v>20</v>
      </c>
      <c r="E198" s="3">
        <v>25</v>
      </c>
      <c r="F198" s="3">
        <f>1.8*E198+32</f>
        <v>77</v>
      </c>
      <c r="G198" s="3">
        <v>20</v>
      </c>
      <c r="H198" s="3">
        <f>IF(F198&gt;68,G198+(F198-68)*0.2,G695-(68-F198)*0.2)</f>
        <v>21.8</v>
      </c>
      <c r="I198" s="3">
        <v>22</v>
      </c>
      <c r="J198" s="3">
        <f>1.8*I198+32</f>
        <v>71.599999999999994</v>
      </c>
      <c r="K198" s="3">
        <v>13</v>
      </c>
      <c r="L198" s="3">
        <f>IF(J198&gt;68,K198+(J198-68)*0.2,K198-(68-J198)*0.2)</f>
        <v>13.719999999999999</v>
      </c>
      <c r="M198" s="3">
        <f>(C198-H198)/C198*100</f>
        <v>56.40871825634872</v>
      </c>
      <c r="N198" s="3">
        <f>100-(M198+O198)</f>
        <v>16.156768646270763</v>
      </c>
      <c r="O198" s="3">
        <f>L198/C198*100</f>
        <v>27.434513097380524</v>
      </c>
      <c r="P198" s="2" t="s">
        <v>0</v>
      </c>
      <c r="Q198" s="1">
        <v>409019.72465300001</v>
      </c>
      <c r="R198" s="1">
        <v>3659307.3601370002</v>
      </c>
      <c r="T198" s="4">
        <v>2006111</v>
      </c>
      <c r="U198" s="4" t="s">
        <v>127</v>
      </c>
      <c r="V198" s="4">
        <v>6.0769999999999998E-2</v>
      </c>
      <c r="W198" s="4">
        <v>0.37419999999999998</v>
      </c>
      <c r="X198" s="4">
        <v>2.8250000000000001E-2</v>
      </c>
      <c r="Y198" s="4">
        <v>1.3600099999999999</v>
      </c>
      <c r="Z198" s="4">
        <v>21.389690000000002</v>
      </c>
      <c r="AA198" s="4">
        <v>10.38668</v>
      </c>
      <c r="AB198" s="4">
        <v>-1.40916</v>
      </c>
    </row>
    <row r="199" spans="1:28" x14ac:dyDescent="0.25">
      <c r="A199" s="6">
        <v>21</v>
      </c>
      <c r="B199" s="4">
        <v>180</v>
      </c>
      <c r="C199" s="5">
        <v>50.01</v>
      </c>
      <c r="D199" s="4">
        <v>20</v>
      </c>
      <c r="E199" s="3">
        <v>25</v>
      </c>
      <c r="F199" s="3">
        <f>1.8*E199+32</f>
        <v>77</v>
      </c>
      <c r="G199" s="3">
        <v>18</v>
      </c>
      <c r="H199" s="3">
        <f>IF(F199&gt;68,G199+(F199-68)*0.2,G696-(68-F199)*0.2)</f>
        <v>19.8</v>
      </c>
      <c r="I199" s="3">
        <v>22.5</v>
      </c>
      <c r="J199" s="3">
        <f>1.8*I199+32</f>
        <v>72.5</v>
      </c>
      <c r="K199" s="3">
        <v>12.5</v>
      </c>
      <c r="L199" s="3">
        <f>IF(J199&gt;68,K199+(J199-68)*0.2,K199-(68-J199)*0.2)</f>
        <v>13.4</v>
      </c>
      <c r="M199" s="3">
        <f>(C199-H199)/C199*100</f>
        <v>60.407918416316733</v>
      </c>
      <c r="N199" s="3">
        <f>100-(M199+O199)</f>
        <v>12.797440511897619</v>
      </c>
      <c r="O199" s="3">
        <f>L199/C199*100</f>
        <v>26.794641071785648</v>
      </c>
      <c r="P199" s="2" t="s">
        <v>0</v>
      </c>
      <c r="Q199" s="1">
        <v>409019.72465300001</v>
      </c>
      <c r="R199" s="1">
        <v>3659307.3601370002</v>
      </c>
      <c r="T199" s="4">
        <v>2006111</v>
      </c>
      <c r="U199" s="4" t="s">
        <v>345</v>
      </c>
      <c r="V199" s="4">
        <v>5.7230000000000003E-2</v>
      </c>
      <c r="W199" s="4">
        <v>0.37312000000000001</v>
      </c>
      <c r="X199" s="4">
        <v>2.9090000000000001E-2</v>
      </c>
      <c r="Y199" s="4">
        <v>1.4498200000000001</v>
      </c>
      <c r="Z199" s="4">
        <v>35.15645</v>
      </c>
      <c r="AA199" s="4">
        <v>12.42009</v>
      </c>
      <c r="AB199" s="4">
        <v>-1.17205</v>
      </c>
    </row>
    <row r="200" spans="1:28" x14ac:dyDescent="0.25">
      <c r="A200" s="6">
        <v>21</v>
      </c>
      <c r="B200" s="4">
        <v>210</v>
      </c>
      <c r="C200" s="5">
        <v>50.01</v>
      </c>
      <c r="D200" s="4">
        <v>20</v>
      </c>
      <c r="E200" s="3">
        <v>26</v>
      </c>
      <c r="F200" s="3">
        <f>1.8*E200+32</f>
        <v>78.800000000000011</v>
      </c>
      <c r="G200" s="3">
        <v>19.5</v>
      </c>
      <c r="H200" s="3">
        <f>IF(F200&gt;68,G200+(F200-68)*0.2,G697-(68-F200)*0.2)</f>
        <v>21.660000000000004</v>
      </c>
      <c r="I200" s="3">
        <v>22.5</v>
      </c>
      <c r="J200" s="3">
        <f>1.8*I200+32</f>
        <v>72.5</v>
      </c>
      <c r="K200" s="3">
        <v>13.5</v>
      </c>
      <c r="L200" s="3">
        <f>IF(J200&gt;68,K200+(J200-68)*0.2,K200-(68-J200)*0.2)</f>
        <v>14.4</v>
      </c>
      <c r="M200" s="3">
        <f>(C200-H200)/C200*100</f>
        <v>56.688662267546484</v>
      </c>
      <c r="N200" s="3">
        <f>100-(M200+O200)</f>
        <v>14.517096580683869</v>
      </c>
      <c r="O200" s="3">
        <f>L200/C200*100</f>
        <v>28.794241151769651</v>
      </c>
      <c r="P200" s="2" t="s">
        <v>0</v>
      </c>
      <c r="Q200" s="1">
        <v>409019.72465300001</v>
      </c>
      <c r="R200" s="1">
        <v>3659307.3601370002</v>
      </c>
      <c r="T200" s="4">
        <v>2006111</v>
      </c>
      <c r="U200" s="4" t="s">
        <v>344</v>
      </c>
      <c r="V200" s="4">
        <v>6.1879999999999998E-2</v>
      </c>
      <c r="W200" s="4">
        <v>0.37448999999999999</v>
      </c>
      <c r="X200" s="4">
        <v>2.7980000000000001E-2</v>
      </c>
      <c r="Y200" s="4">
        <v>1.3462700000000001</v>
      </c>
      <c r="Z200" s="4">
        <v>19.485939999999999</v>
      </c>
      <c r="AA200" s="4">
        <v>9.9417299999999997</v>
      </c>
      <c r="AB200" s="4">
        <v>-1.4653099999999999</v>
      </c>
    </row>
    <row r="201" spans="1:28" x14ac:dyDescent="0.25">
      <c r="A201" s="6">
        <v>21</v>
      </c>
      <c r="B201" s="4">
        <v>240</v>
      </c>
      <c r="C201" s="5">
        <v>50</v>
      </c>
      <c r="D201" s="4">
        <v>20</v>
      </c>
      <c r="E201" s="3">
        <v>26</v>
      </c>
      <c r="F201" s="3">
        <f>1.8*E201+32</f>
        <v>78.800000000000011</v>
      </c>
      <c r="G201" s="3">
        <v>11</v>
      </c>
      <c r="H201" s="3">
        <f>IF(F201&gt;68,G201+(F201-68)*0.2,G698-(68-F201)*0.2)</f>
        <v>13.160000000000002</v>
      </c>
      <c r="I201" s="3">
        <v>22.5</v>
      </c>
      <c r="J201" s="3">
        <f>1.8*I201+32</f>
        <v>72.5</v>
      </c>
      <c r="K201" s="3">
        <v>8.5</v>
      </c>
      <c r="L201" s="3">
        <f>IF(J201&gt;68,K201+(J201-68)*0.2,K201-(68-J201)*0.2)</f>
        <v>9.4</v>
      </c>
      <c r="M201" s="3">
        <f>(C201-H201)/C201*100</f>
        <v>73.679999999999993</v>
      </c>
      <c r="N201" s="3">
        <f>100-(M201+O201)</f>
        <v>7.5200000000000102</v>
      </c>
      <c r="O201" s="3">
        <f>L201/C201*100</f>
        <v>18.8</v>
      </c>
      <c r="P201" s="2" t="s">
        <v>20</v>
      </c>
      <c r="Q201" s="1">
        <v>409019.72465300001</v>
      </c>
      <c r="R201" s="1">
        <v>3659307.3601370002</v>
      </c>
      <c r="T201" s="4">
        <v>2006111</v>
      </c>
      <c r="U201" s="4" t="s">
        <v>343</v>
      </c>
      <c r="V201" s="4">
        <v>7.0050000000000001E-2</v>
      </c>
      <c r="W201" s="4">
        <v>0.39422000000000001</v>
      </c>
      <c r="X201" s="4">
        <v>2.4369999999999999E-2</v>
      </c>
      <c r="Y201" s="4">
        <v>1.3173299999999999</v>
      </c>
      <c r="Z201" s="4">
        <v>10.78229</v>
      </c>
      <c r="AA201" s="4">
        <v>7.70092</v>
      </c>
      <c r="AB201" s="4">
        <v>-1.49973</v>
      </c>
    </row>
    <row r="202" spans="1:28" x14ac:dyDescent="0.25">
      <c r="A202" s="6">
        <v>21</v>
      </c>
      <c r="B202" s="4">
        <v>270</v>
      </c>
      <c r="C202" s="5">
        <v>50.01</v>
      </c>
      <c r="D202" s="4">
        <v>20</v>
      </c>
      <c r="E202" s="3">
        <v>26</v>
      </c>
      <c r="F202" s="3">
        <f>1.8*E202+32</f>
        <v>78.800000000000011</v>
      </c>
      <c r="G202" s="3">
        <v>11.5</v>
      </c>
      <c r="H202" s="3">
        <f>IF(F202&gt;68,G202+(F202-68)*0.2,G699-(68-F202)*0.2)</f>
        <v>13.660000000000002</v>
      </c>
      <c r="I202" s="3">
        <v>22.5</v>
      </c>
      <c r="J202" s="3">
        <f>1.8*I202+32</f>
        <v>72.5</v>
      </c>
      <c r="K202" s="3">
        <v>7.5</v>
      </c>
      <c r="L202" s="3">
        <f>IF(J202&gt;68,K202+(J202-68)*0.2,K202-(68-J202)*0.2)</f>
        <v>8.4</v>
      </c>
      <c r="M202" s="3">
        <f>(C202-H202)/C202*100</f>
        <v>72.685462907418511</v>
      </c>
      <c r="N202" s="3">
        <f>100-(M202+O202)</f>
        <v>10.517896420715857</v>
      </c>
      <c r="O202" s="3">
        <f>L202/C202*100</f>
        <v>16.796640671865628</v>
      </c>
      <c r="P202" s="2" t="s">
        <v>20</v>
      </c>
      <c r="Q202" s="1">
        <v>409019.72465300001</v>
      </c>
      <c r="R202" s="1">
        <v>3659307.3601370002</v>
      </c>
      <c r="T202" s="4">
        <v>2006111</v>
      </c>
      <c r="U202" s="4" t="s">
        <v>342</v>
      </c>
      <c r="V202" s="4">
        <v>7.0269999999999999E-2</v>
      </c>
      <c r="W202" s="4">
        <v>0.38863999999999999</v>
      </c>
      <c r="X202" s="4">
        <v>2.64E-2</v>
      </c>
      <c r="Y202" s="4">
        <v>1.29399</v>
      </c>
      <c r="Z202" s="4">
        <v>11.76529</v>
      </c>
      <c r="AA202" s="4">
        <v>8.0566800000000001</v>
      </c>
      <c r="AB202" s="4">
        <v>-1.7374400000000001</v>
      </c>
    </row>
    <row r="203" spans="1:28" x14ac:dyDescent="0.25">
      <c r="A203" s="6">
        <v>21</v>
      </c>
      <c r="B203" s="4">
        <v>300</v>
      </c>
      <c r="C203" s="5"/>
      <c r="D203" s="4"/>
      <c r="E203" s="3"/>
      <c r="F203" s="3"/>
      <c r="G203" s="3"/>
      <c r="H203" s="3">
        <f>IF(F203&gt;68,G203+(F203-68)*0.2,G700-(68-F203)*0.2)</f>
        <v>-13.600000000000001</v>
      </c>
      <c r="I203" s="3"/>
      <c r="J203" s="3"/>
      <c r="K203" s="3"/>
      <c r="L203" s="3">
        <f>IF(J203&gt;68,K203+(J203-68)*0.2,K203-(68-J203)*0.2)</f>
        <v>-13.600000000000001</v>
      </c>
      <c r="M203" s="3"/>
      <c r="N203" s="3"/>
      <c r="O203" s="3"/>
      <c r="P203" s="2"/>
      <c r="Q203" s="1">
        <v>409019.72465300001</v>
      </c>
      <c r="R203" s="1">
        <v>3659307.3601370002</v>
      </c>
      <c r="T203" s="4">
        <v>2006111</v>
      </c>
      <c r="U203" s="4" t="s">
        <v>126</v>
      </c>
      <c r="V203" s="4">
        <v>5.9450000000000003E-2</v>
      </c>
      <c r="W203" s="4">
        <v>0.38718999999999998</v>
      </c>
      <c r="X203" s="4">
        <v>2.5940000000000001E-2</v>
      </c>
      <c r="Y203" s="4">
        <v>1.35562</v>
      </c>
      <c r="Z203" s="4">
        <v>18.693909999999999</v>
      </c>
      <c r="AA203" s="4">
        <v>9.9688800000000004</v>
      </c>
      <c r="AB203" s="4">
        <v>-1.29701</v>
      </c>
    </row>
    <row r="204" spans="1:28" x14ac:dyDescent="0.25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T204" s="4">
        <v>2006111</v>
      </c>
      <c r="U204" s="4" t="s">
        <v>125</v>
      </c>
      <c r="V204" s="4">
        <v>6.6030000000000005E-2</v>
      </c>
      <c r="W204" s="4">
        <v>0.39317999999999997</v>
      </c>
      <c r="X204" s="4">
        <v>2.3480000000000001E-2</v>
      </c>
      <c r="Y204" s="4">
        <v>1.3441700000000001</v>
      </c>
      <c r="Z204" s="4">
        <v>12.83004</v>
      </c>
      <c r="AA204" s="4">
        <v>8.0229300000000006</v>
      </c>
      <c r="AB204" s="4">
        <v>-1.3077700000000001</v>
      </c>
    </row>
    <row r="205" spans="1:28" ht="51.75" x14ac:dyDescent="0.25">
      <c r="A205" s="15" t="s">
        <v>19</v>
      </c>
      <c r="B205" s="10" t="s">
        <v>18</v>
      </c>
      <c r="C205" s="14" t="s">
        <v>17</v>
      </c>
      <c r="D205" s="13" t="s">
        <v>16</v>
      </c>
      <c r="E205" s="12" t="s">
        <v>15</v>
      </c>
      <c r="F205" s="12" t="s">
        <v>14</v>
      </c>
      <c r="G205" s="12" t="s">
        <v>13</v>
      </c>
      <c r="H205" s="12" t="s">
        <v>12</v>
      </c>
      <c r="I205" s="12" t="s">
        <v>11</v>
      </c>
      <c r="J205" s="12" t="s">
        <v>10</v>
      </c>
      <c r="K205" s="12" t="s">
        <v>9</v>
      </c>
      <c r="L205" s="12" t="s">
        <v>8</v>
      </c>
      <c r="M205" s="11" t="s">
        <v>7</v>
      </c>
      <c r="N205" s="11" t="s">
        <v>6</v>
      </c>
      <c r="O205" s="11" t="s">
        <v>5</v>
      </c>
      <c r="P205" s="10" t="s">
        <v>4</v>
      </c>
      <c r="Q205" s="9" t="s">
        <v>3</v>
      </c>
      <c r="R205" s="8"/>
      <c r="T205" s="4">
        <v>2006111</v>
      </c>
      <c r="U205" s="4" t="s">
        <v>124</v>
      </c>
      <c r="V205" s="4">
        <v>6.7479999999999998E-2</v>
      </c>
      <c r="W205" s="4">
        <v>0.40246999999999999</v>
      </c>
      <c r="X205" s="4">
        <v>1.779E-2</v>
      </c>
      <c r="Y205" s="4">
        <v>1.38913</v>
      </c>
      <c r="Z205" s="4">
        <v>10.10589</v>
      </c>
      <c r="AA205" s="4">
        <v>5.8780799999999997</v>
      </c>
      <c r="AB205" s="4">
        <v>-0.92820000000000003</v>
      </c>
    </row>
    <row r="206" spans="1:28" x14ac:dyDescent="0.25">
      <c r="A206" s="15"/>
      <c r="B206" s="10"/>
      <c r="C206" s="14"/>
      <c r="D206" s="13"/>
      <c r="E206" s="12"/>
      <c r="F206" s="12"/>
      <c r="G206" s="12"/>
      <c r="H206" s="12"/>
      <c r="I206" s="12"/>
      <c r="J206" s="12"/>
      <c r="K206" s="12"/>
      <c r="L206" s="12"/>
      <c r="M206" s="11"/>
      <c r="N206" s="11"/>
      <c r="O206" s="11"/>
      <c r="P206" s="10"/>
      <c r="Q206" s="7" t="s">
        <v>2</v>
      </c>
      <c r="R206" s="7" t="s">
        <v>1</v>
      </c>
      <c r="T206" s="4">
        <v>2006111</v>
      </c>
      <c r="U206" s="4" t="s">
        <v>123</v>
      </c>
      <c r="V206" s="4">
        <v>6.3439999999999996E-2</v>
      </c>
      <c r="W206" s="4">
        <v>0.3952</v>
      </c>
      <c r="X206" s="4">
        <v>2.087E-2</v>
      </c>
      <c r="Y206" s="4">
        <v>1.3744799999999999</v>
      </c>
      <c r="Z206" s="4">
        <v>13.556660000000001</v>
      </c>
      <c r="AA206" s="4">
        <v>7.4414899999999999</v>
      </c>
      <c r="AB206" s="4">
        <v>-1.0770599999999999</v>
      </c>
    </row>
    <row r="207" spans="1:28" x14ac:dyDescent="0.25">
      <c r="A207" s="6">
        <v>22</v>
      </c>
      <c r="B207" s="4">
        <v>30</v>
      </c>
      <c r="C207" s="5">
        <v>50</v>
      </c>
      <c r="D207" s="4">
        <v>20</v>
      </c>
      <c r="E207" s="3">
        <v>23</v>
      </c>
      <c r="F207" s="3">
        <f>1.8*E207+32</f>
        <v>73.400000000000006</v>
      </c>
      <c r="G207" s="3">
        <v>17</v>
      </c>
      <c r="H207" s="3">
        <f>IF(F207&gt;68,G207+(F207-68)*0.2,G269-(68-F207)*0.2)</f>
        <v>18.080000000000002</v>
      </c>
      <c r="I207" s="3">
        <v>22.8</v>
      </c>
      <c r="J207" s="3">
        <f>1.8*I207+32</f>
        <v>73.039999999999992</v>
      </c>
      <c r="K207" s="3">
        <v>10</v>
      </c>
      <c r="L207" s="3">
        <f>IF(J207&gt;68,K207+(J207-68)*0.2,K207-(68-J207)*0.2)</f>
        <v>11.007999999999999</v>
      </c>
      <c r="M207" s="3">
        <f>(C207-H207)/C207*100</f>
        <v>63.839999999999996</v>
      </c>
      <c r="N207" s="3">
        <f>100-(M207+O207)</f>
        <v>14.144000000000005</v>
      </c>
      <c r="O207" s="3">
        <f>L207/C207*100</f>
        <v>22.015999999999998</v>
      </c>
      <c r="P207" s="2" t="s">
        <v>0</v>
      </c>
      <c r="Q207" s="1">
        <v>409031.91011400003</v>
      </c>
      <c r="R207" s="1">
        <v>3659307.1523350002</v>
      </c>
      <c r="T207" s="4">
        <v>2006111</v>
      </c>
      <c r="U207" s="4" t="s">
        <v>122</v>
      </c>
      <c r="V207" s="4">
        <v>6.837E-2</v>
      </c>
      <c r="W207" s="4">
        <v>0.40826000000000001</v>
      </c>
      <c r="X207" s="4">
        <v>1.422E-2</v>
      </c>
      <c r="Y207" s="4">
        <v>1.42411</v>
      </c>
      <c r="Z207" s="4">
        <v>8.0222499999999997</v>
      </c>
      <c r="AA207" s="4">
        <v>4.4968599999999999</v>
      </c>
      <c r="AB207" s="4">
        <v>-0.66946000000000006</v>
      </c>
    </row>
    <row r="208" spans="1:28" x14ac:dyDescent="0.25">
      <c r="A208" s="6">
        <v>22</v>
      </c>
      <c r="B208" s="4">
        <v>60</v>
      </c>
      <c r="C208" s="5">
        <v>50</v>
      </c>
      <c r="D208" s="4">
        <v>20</v>
      </c>
      <c r="E208" s="3">
        <v>22.5</v>
      </c>
      <c r="F208" s="3">
        <f>1.8*E208+32</f>
        <v>72.5</v>
      </c>
      <c r="G208" s="3">
        <v>18</v>
      </c>
      <c r="H208" s="3">
        <f>IF(F208&gt;68,G208+(F208-68)*0.2,#REF!-(68-F208)*0.2)</f>
        <v>18.899999999999999</v>
      </c>
      <c r="I208" s="3">
        <v>22.5</v>
      </c>
      <c r="J208" s="3">
        <f>1.8*I208+32</f>
        <v>72.5</v>
      </c>
      <c r="K208" s="3">
        <v>11</v>
      </c>
      <c r="L208" s="3">
        <f>IF(J208&gt;68,K208+(J208-68)*0.2,K208-(68-J208)*0.2)</f>
        <v>11.9</v>
      </c>
      <c r="M208" s="3">
        <f>(C208-H208)/C208*100</f>
        <v>62.2</v>
      </c>
      <c r="N208" s="3">
        <f>100-(M208+O208)</f>
        <v>14</v>
      </c>
      <c r="O208" s="3">
        <f>L208/C208*100</f>
        <v>23.8</v>
      </c>
      <c r="P208" s="2" t="s">
        <v>0</v>
      </c>
      <c r="Q208" s="1">
        <v>409031.91011400003</v>
      </c>
      <c r="R208" s="1">
        <v>3659307.1523350002</v>
      </c>
      <c r="T208" s="4">
        <v>2006111</v>
      </c>
      <c r="U208" s="4" t="s">
        <v>121</v>
      </c>
      <c r="V208" s="4">
        <v>5.3929999999999999E-2</v>
      </c>
      <c r="W208" s="4">
        <v>0.37786999999999998</v>
      </c>
      <c r="X208" s="4">
        <v>3.1350000000000003E-2</v>
      </c>
      <c r="Y208" s="4">
        <v>1.40581</v>
      </c>
      <c r="Z208" s="4">
        <v>33.601260000000003</v>
      </c>
      <c r="AA208" s="4">
        <v>14.04407</v>
      </c>
      <c r="AB208" s="4">
        <v>-1.2601599999999999</v>
      </c>
    </row>
    <row r="209" spans="1:28" x14ac:dyDescent="0.25">
      <c r="A209" s="6">
        <v>22</v>
      </c>
      <c r="B209" s="4">
        <v>90</v>
      </c>
      <c r="C209" s="5">
        <v>50</v>
      </c>
      <c r="D209" s="4">
        <v>20</v>
      </c>
      <c r="E209" s="3">
        <v>22.2</v>
      </c>
      <c r="F209" s="3">
        <f>1.8*E209+32</f>
        <v>71.960000000000008</v>
      </c>
      <c r="G209" s="3">
        <v>25</v>
      </c>
      <c r="H209" s="3">
        <f>IF(F209&gt;68,G209+(F209-68)*0.2,G10-(68-F209)*0.2)</f>
        <v>25.792000000000002</v>
      </c>
      <c r="I209" s="3">
        <v>22.5</v>
      </c>
      <c r="J209" s="3">
        <f>1.8*I209+32</f>
        <v>72.5</v>
      </c>
      <c r="K209" s="3">
        <v>15.5</v>
      </c>
      <c r="L209" s="3">
        <f>IF(J209&gt;68,K209+(J209-68)*0.2,K209-(68-J209)*0.2)</f>
        <v>16.399999999999999</v>
      </c>
      <c r="M209" s="3">
        <f>(C209-H209)/C209*100</f>
        <v>48.415999999999997</v>
      </c>
      <c r="N209" s="3">
        <f>100-(M209+O209)</f>
        <v>18.784000000000006</v>
      </c>
      <c r="O209" s="3">
        <f>L209/C209*100</f>
        <v>32.799999999999997</v>
      </c>
      <c r="P209" s="2" t="s">
        <v>0</v>
      </c>
      <c r="Q209" s="1">
        <v>409031.91011400003</v>
      </c>
      <c r="R209" s="1">
        <v>3659307.1523350002</v>
      </c>
      <c r="T209" s="4">
        <v>2006111</v>
      </c>
      <c r="U209" s="4" t="s">
        <v>341</v>
      </c>
      <c r="V209" s="4">
        <v>5.722E-2</v>
      </c>
      <c r="W209" s="4">
        <v>0.37586000000000003</v>
      </c>
      <c r="X209" s="4">
        <v>2.981E-2</v>
      </c>
      <c r="Y209" s="4">
        <v>1.3876999999999999</v>
      </c>
      <c r="Z209" s="4">
        <v>27.589639999999999</v>
      </c>
      <c r="AA209" s="4">
        <v>12.18098</v>
      </c>
      <c r="AB209" s="4">
        <v>-1.31626</v>
      </c>
    </row>
    <row r="210" spans="1:28" x14ac:dyDescent="0.25">
      <c r="A210" s="6">
        <v>22</v>
      </c>
      <c r="B210" s="4">
        <v>120</v>
      </c>
      <c r="C210" s="5">
        <v>50.01</v>
      </c>
      <c r="D210" s="4">
        <v>20</v>
      </c>
      <c r="E210" s="3">
        <v>25</v>
      </c>
      <c r="F210" s="3">
        <f>1.8*E210+32</f>
        <v>77</v>
      </c>
      <c r="G210" s="3">
        <v>27</v>
      </c>
      <c r="H210" s="3">
        <f>IF(F210&gt;68,G210+(F210-68)*0.2,#REF!-(68-F210)*0.2)</f>
        <v>28.8</v>
      </c>
      <c r="I210" s="3">
        <v>22.5</v>
      </c>
      <c r="J210" s="3">
        <f>1.8*I210+32</f>
        <v>72.5</v>
      </c>
      <c r="K210" s="3">
        <v>16.5</v>
      </c>
      <c r="L210" s="3">
        <f>IF(J210&gt;68,K210+(J210-68)*0.2,K210-(68-J210)*0.2)</f>
        <v>17.399999999999999</v>
      </c>
      <c r="M210" s="3">
        <f>(C210-H210)/C210*100</f>
        <v>42.411517696460706</v>
      </c>
      <c r="N210" s="3">
        <f>100-(M210+O210)</f>
        <v>22.79544091181765</v>
      </c>
      <c r="O210" s="3">
        <f>L210/C210*100</f>
        <v>34.793041391721651</v>
      </c>
      <c r="P210" s="2" t="s">
        <v>0</v>
      </c>
      <c r="Q210" s="1">
        <v>409031.91011400003</v>
      </c>
      <c r="R210" s="1">
        <v>3659307.1523350002</v>
      </c>
      <c r="T210" s="4">
        <v>2006111</v>
      </c>
      <c r="U210" s="4" t="s">
        <v>340</v>
      </c>
      <c r="V210" s="4">
        <v>5.9049999999999998E-2</v>
      </c>
      <c r="W210" s="4">
        <v>0.38663999999999998</v>
      </c>
      <c r="X210" s="4">
        <v>2.6290000000000001E-2</v>
      </c>
      <c r="Y210" s="4">
        <v>1.35555</v>
      </c>
      <c r="Z210" s="4">
        <v>19.225560000000002</v>
      </c>
      <c r="AA210" s="4">
        <v>10.18158</v>
      </c>
      <c r="AB210" s="4">
        <v>-1.30579</v>
      </c>
    </row>
    <row r="211" spans="1:28" x14ac:dyDescent="0.25">
      <c r="A211" s="6">
        <v>22</v>
      </c>
      <c r="B211" s="4">
        <v>150</v>
      </c>
      <c r="C211" s="5">
        <v>50</v>
      </c>
      <c r="D211" s="4">
        <v>20</v>
      </c>
      <c r="E211" s="3">
        <v>25</v>
      </c>
      <c r="F211" s="3">
        <f>1.8*E211+32</f>
        <v>77</v>
      </c>
      <c r="G211" s="3">
        <v>23.5</v>
      </c>
      <c r="H211" s="3">
        <f>IF(F211&gt;68,G211+(F211-68)*0.2,G12-(68-F211)*0.2)</f>
        <v>25.3</v>
      </c>
      <c r="I211" s="3">
        <v>22.8</v>
      </c>
      <c r="J211" s="3">
        <f>1.8*I211+32</f>
        <v>73.039999999999992</v>
      </c>
      <c r="K211" s="3">
        <v>14</v>
      </c>
      <c r="L211" s="3">
        <f>IF(J211&gt;68,K211+(J211-68)*0.2,K211-(68-J211)*0.2)</f>
        <v>15.007999999999999</v>
      </c>
      <c r="M211" s="3">
        <f>(C211-H211)/C211*100</f>
        <v>49.4</v>
      </c>
      <c r="N211" s="3">
        <f>100-(M211+O211)</f>
        <v>20.584000000000003</v>
      </c>
      <c r="O211" s="3">
        <f>L211/C211*100</f>
        <v>30.015999999999998</v>
      </c>
      <c r="P211" s="2" t="s">
        <v>0</v>
      </c>
      <c r="Q211" s="1">
        <v>409031.91011400003</v>
      </c>
      <c r="R211" s="1">
        <v>3659307.1523350002</v>
      </c>
      <c r="T211" s="4">
        <v>2006111</v>
      </c>
      <c r="U211" s="4" t="s">
        <v>339</v>
      </c>
      <c r="V211" s="4">
        <v>5.398E-2</v>
      </c>
      <c r="W211" s="4">
        <v>0.38457000000000002</v>
      </c>
      <c r="X211" s="4">
        <v>2.8230000000000002E-2</v>
      </c>
      <c r="Y211" s="4">
        <v>1.3701700000000001</v>
      </c>
      <c r="Z211" s="4">
        <v>25.254650000000002</v>
      </c>
      <c r="AA211" s="4">
        <v>12.123430000000001</v>
      </c>
      <c r="AB211" s="4">
        <v>-1.26264</v>
      </c>
    </row>
    <row r="212" spans="1:28" x14ac:dyDescent="0.25">
      <c r="A212" s="6">
        <v>22</v>
      </c>
      <c r="B212" s="4">
        <v>180</v>
      </c>
      <c r="C212" s="5">
        <v>50</v>
      </c>
      <c r="D212" s="4">
        <v>20</v>
      </c>
      <c r="E212" s="3">
        <v>25</v>
      </c>
      <c r="F212" s="3">
        <f>1.8*E212+32</f>
        <v>77</v>
      </c>
      <c r="G212" s="3">
        <v>21.5</v>
      </c>
      <c r="H212" s="3">
        <f>IF(F212&gt;68,G212+(F212-68)*0.2,G13-(68-F212)*0.2)</f>
        <v>23.3</v>
      </c>
      <c r="I212" s="3">
        <v>22.8</v>
      </c>
      <c r="J212" s="3">
        <f>1.8*I212+32</f>
        <v>73.039999999999992</v>
      </c>
      <c r="K212" s="3">
        <v>13.5</v>
      </c>
      <c r="L212" s="3">
        <f>IF(J212&gt;68,K212+(J212-68)*0.2,K212-(68-J212)*0.2)</f>
        <v>14.507999999999999</v>
      </c>
      <c r="M212" s="3">
        <f>(C212-H212)/C212*100</f>
        <v>53.400000000000006</v>
      </c>
      <c r="N212" s="3">
        <f>100-(M212+O212)</f>
        <v>17.584000000000003</v>
      </c>
      <c r="O212" s="3">
        <f>L212/C212*100</f>
        <v>29.015999999999998</v>
      </c>
      <c r="P212" s="2" t="s">
        <v>0</v>
      </c>
      <c r="Q212" s="1">
        <v>409031.91011400003</v>
      </c>
      <c r="R212" s="1">
        <v>3659307.1523350002</v>
      </c>
      <c r="T212" s="4">
        <v>2006111</v>
      </c>
      <c r="U212" s="4" t="s">
        <v>338</v>
      </c>
      <c r="V212" s="4">
        <v>5.7709999999999997E-2</v>
      </c>
      <c r="W212" s="4">
        <v>0.38857999999999998</v>
      </c>
      <c r="X212" s="4">
        <v>2.4559999999999998E-2</v>
      </c>
      <c r="Y212" s="4">
        <v>1.3691500000000001</v>
      </c>
      <c r="Z212" s="4">
        <v>19.398209999999999</v>
      </c>
      <c r="AA212" s="4">
        <v>9.7408599999999996</v>
      </c>
      <c r="AB212" s="4">
        <v>-1.1843600000000001</v>
      </c>
    </row>
    <row r="213" spans="1:28" x14ac:dyDescent="0.25">
      <c r="A213" s="6">
        <v>22</v>
      </c>
      <c r="B213" s="4">
        <v>210</v>
      </c>
      <c r="C213" s="5">
        <v>50.01</v>
      </c>
      <c r="D213" s="4">
        <v>20</v>
      </c>
      <c r="E213" s="3">
        <v>25</v>
      </c>
      <c r="F213" s="3">
        <f>1.8*E213+32</f>
        <v>77</v>
      </c>
      <c r="G213" s="3">
        <v>13.5</v>
      </c>
      <c r="H213" s="3">
        <f>IF(F213&gt;68,G213+(F213-68)*0.2,G14-(68-F213)*0.2)</f>
        <v>15.3</v>
      </c>
      <c r="I213" s="3">
        <v>23</v>
      </c>
      <c r="J213" s="3">
        <f>1.8*I213+32</f>
        <v>73.400000000000006</v>
      </c>
      <c r="K213" s="3">
        <v>9</v>
      </c>
      <c r="L213" s="3">
        <f>IF(J213&gt;68,K213+(J213-68)*0.2,K213-(68-J213)*0.2)</f>
        <v>10.080000000000002</v>
      </c>
      <c r="M213" s="3">
        <f>(C213-H213)/C213*100</f>
        <v>69.406118776244739</v>
      </c>
      <c r="N213" s="3">
        <f>100-(M213+O213)</f>
        <v>10.437912417516515</v>
      </c>
      <c r="O213" s="3">
        <f>L213/C213*100</f>
        <v>20.155968806238754</v>
      </c>
      <c r="P213" s="2" t="s">
        <v>0</v>
      </c>
      <c r="Q213" s="1">
        <v>409031.91011400003</v>
      </c>
      <c r="R213" s="1">
        <v>3659307.1523350002</v>
      </c>
      <c r="T213" s="4">
        <v>2006111</v>
      </c>
      <c r="U213" s="4" t="s">
        <v>120</v>
      </c>
      <c r="V213" s="4">
        <v>6.2810000000000005E-2</v>
      </c>
      <c r="W213" s="4">
        <v>0.38540999999999997</v>
      </c>
      <c r="X213" s="4">
        <v>2.6870000000000002E-2</v>
      </c>
      <c r="Y213" s="4">
        <v>1.3339099999999999</v>
      </c>
      <c r="Z213" s="4">
        <v>16.42643</v>
      </c>
      <c r="AA213" s="4">
        <v>9.5923800000000004</v>
      </c>
      <c r="AB213" s="4">
        <v>-1.4570700000000001</v>
      </c>
    </row>
    <row r="214" spans="1:28" x14ac:dyDescent="0.25">
      <c r="A214" s="6">
        <v>22</v>
      </c>
      <c r="B214" s="4">
        <v>240</v>
      </c>
      <c r="C214" s="5">
        <v>50.01</v>
      </c>
      <c r="D214" s="4">
        <v>20</v>
      </c>
      <c r="E214" s="3">
        <v>25</v>
      </c>
      <c r="F214" s="3">
        <f>1.8*E214+32</f>
        <v>77</v>
      </c>
      <c r="G214" s="3">
        <v>10</v>
      </c>
      <c r="H214" s="3">
        <f>IF(F214&gt;68,G214+(F214-68)*0.2,G15-(68-F214)*0.2)</f>
        <v>11.8</v>
      </c>
      <c r="I214" s="3">
        <v>23</v>
      </c>
      <c r="J214" s="3">
        <f>1.8*I214+32</f>
        <v>73.400000000000006</v>
      </c>
      <c r="K214" s="3">
        <v>7</v>
      </c>
      <c r="L214" s="3">
        <f>IF(J214&gt;68,K214+(J214-68)*0.2,K214-(68-J214)*0.2)</f>
        <v>8.0800000000000018</v>
      </c>
      <c r="M214" s="3">
        <f>(C214-H214)/C214*100</f>
        <v>76.404719056188753</v>
      </c>
      <c r="N214" s="3">
        <f>100-(M214+O214)</f>
        <v>7.4385122975404983</v>
      </c>
      <c r="O214" s="3">
        <f>L214/C214*100</f>
        <v>16.156768646270748</v>
      </c>
      <c r="P214" s="2" t="s">
        <v>20</v>
      </c>
      <c r="Q214" s="1">
        <v>409031.91011400003</v>
      </c>
      <c r="R214" s="1">
        <v>3659307.1523350002</v>
      </c>
      <c r="T214" s="4">
        <v>2006111</v>
      </c>
      <c r="U214" s="4" t="s">
        <v>119</v>
      </c>
      <c r="V214" s="4">
        <v>6.2700000000000006E-2</v>
      </c>
      <c r="W214" s="4">
        <v>0.38418999999999998</v>
      </c>
      <c r="X214" s="4">
        <v>2.7310000000000001E-2</v>
      </c>
      <c r="Y214" s="4">
        <v>1.3316399999999999</v>
      </c>
      <c r="Z214" s="4">
        <v>16.713010000000001</v>
      </c>
      <c r="AA214" s="4">
        <v>9.7267399999999995</v>
      </c>
      <c r="AB214" s="4">
        <v>-1.48427</v>
      </c>
    </row>
    <row r="215" spans="1:28" x14ac:dyDescent="0.25">
      <c r="A215" s="6">
        <v>22</v>
      </c>
      <c r="B215" s="4">
        <v>270</v>
      </c>
      <c r="C215" s="5">
        <v>50.01</v>
      </c>
      <c r="D215" s="4">
        <v>20</v>
      </c>
      <c r="E215" s="3">
        <v>25.2</v>
      </c>
      <c r="F215" s="3">
        <f>1.8*E215+32</f>
        <v>77.36</v>
      </c>
      <c r="G215" s="3">
        <v>11.5</v>
      </c>
      <c r="H215" s="3">
        <f>IF(F215&gt;68,G215+(F215-68)*0.2,G16-(68-F215)*0.2)</f>
        <v>13.372</v>
      </c>
      <c r="I215" s="3">
        <v>22.8</v>
      </c>
      <c r="J215" s="3">
        <f>1.8*I215+32</f>
        <v>73.039999999999992</v>
      </c>
      <c r="K215" s="3">
        <v>7.5</v>
      </c>
      <c r="L215" s="3">
        <f>IF(J215&gt;68,K215+(J215-68)*0.2,K215-(68-J215)*0.2)</f>
        <v>8.5079999999999991</v>
      </c>
      <c r="M215" s="3">
        <f>(C215-H215)/C215*100</f>
        <v>73.261347730453906</v>
      </c>
      <c r="N215" s="3">
        <f>100-(M215+O215)</f>
        <v>9.7260547890421947</v>
      </c>
      <c r="O215" s="3">
        <f>L215/C215*100</f>
        <v>17.012597480503899</v>
      </c>
      <c r="P215" s="2" t="s">
        <v>20</v>
      </c>
      <c r="Q215" s="1">
        <v>409031.91011400003</v>
      </c>
      <c r="R215" s="1">
        <v>3659307.1523350002</v>
      </c>
      <c r="T215" s="4">
        <v>2006111</v>
      </c>
      <c r="U215" s="4" t="s">
        <v>118</v>
      </c>
      <c r="V215" s="4">
        <v>6.5210000000000004E-2</v>
      </c>
      <c r="W215" s="4">
        <v>0.38190000000000002</v>
      </c>
      <c r="X215" s="4">
        <v>2.7529999999999999E-2</v>
      </c>
      <c r="Y215" s="4">
        <v>1.31328</v>
      </c>
      <c r="Z215" s="4">
        <v>14.99775</v>
      </c>
      <c r="AA215" s="4">
        <v>9.1570400000000003</v>
      </c>
      <c r="AB215" s="4">
        <v>-1.62232</v>
      </c>
    </row>
    <row r="216" spans="1:28" x14ac:dyDescent="0.25">
      <c r="A216" s="6">
        <v>22</v>
      </c>
      <c r="B216" s="4">
        <v>300</v>
      </c>
      <c r="C216" s="5">
        <v>50.01</v>
      </c>
      <c r="D216" s="4">
        <v>20</v>
      </c>
      <c r="E216" s="3">
        <v>25.2</v>
      </c>
      <c r="F216" s="3">
        <f>1.8*E216+32</f>
        <v>77.36</v>
      </c>
      <c r="G216" s="3">
        <v>14</v>
      </c>
      <c r="H216" s="3">
        <f>IF(F216&gt;68,G216+(F216-68)*0.2,G17-(68-F216)*0.2)</f>
        <v>15.872</v>
      </c>
      <c r="I216" s="3">
        <v>22.8</v>
      </c>
      <c r="J216" s="3">
        <f>1.8*I216+32</f>
        <v>73.039999999999992</v>
      </c>
      <c r="K216" s="3">
        <v>9</v>
      </c>
      <c r="L216" s="3">
        <f>IF(J216&gt;68,K216+(J216-68)*0.2,K216-(68-J216)*0.2)</f>
        <v>10.007999999999999</v>
      </c>
      <c r="M216" s="3">
        <f>(C216-H216)/C216*100</f>
        <v>68.262347530493912</v>
      </c>
      <c r="N216" s="3">
        <f>100-(M216+O216)</f>
        <v>11.725654869026187</v>
      </c>
      <c r="O216" s="3">
        <f>L216/C216*100</f>
        <v>20.011997600479901</v>
      </c>
      <c r="P216" s="2" t="s">
        <v>0</v>
      </c>
      <c r="Q216" s="1">
        <v>409031.91011400003</v>
      </c>
      <c r="R216" s="1">
        <v>3659307.1523350002</v>
      </c>
      <c r="T216" s="4">
        <v>2006111</v>
      </c>
      <c r="U216" s="4" t="s">
        <v>117</v>
      </c>
      <c r="V216" s="4">
        <v>8.047E-2</v>
      </c>
      <c r="W216" s="4">
        <v>0.41243999999999997</v>
      </c>
      <c r="X216" s="4">
        <v>2.4039999999999999E-2</v>
      </c>
      <c r="Y216" s="4">
        <v>1.27349</v>
      </c>
      <c r="Z216" s="4">
        <v>7.8595699999999997</v>
      </c>
      <c r="AA216" s="4">
        <v>6.5131399999999999</v>
      </c>
      <c r="AB216" s="4">
        <v>-1.8313200000000001</v>
      </c>
    </row>
    <row r="217" spans="1:28" x14ac:dyDescent="0.25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T217" s="4">
        <v>2006111</v>
      </c>
      <c r="U217" s="4" t="s">
        <v>116</v>
      </c>
      <c r="V217" s="4">
        <v>7.1749999999999994E-2</v>
      </c>
      <c r="W217" s="4">
        <v>0.40316999999999997</v>
      </c>
      <c r="X217" s="4">
        <v>2.0559999999999998E-2</v>
      </c>
      <c r="Y217" s="4">
        <v>1.3469599999999999</v>
      </c>
      <c r="Z217" s="4">
        <v>8.8140599999999996</v>
      </c>
      <c r="AA217" s="4">
        <v>6.4225599999999998</v>
      </c>
      <c r="AB217" s="4">
        <v>-1.2106699999999999</v>
      </c>
    </row>
    <row r="218" spans="1:28" ht="51.75" x14ac:dyDescent="0.25">
      <c r="A218" s="15" t="s">
        <v>19</v>
      </c>
      <c r="B218" s="10" t="s">
        <v>18</v>
      </c>
      <c r="C218" s="14" t="s">
        <v>17</v>
      </c>
      <c r="D218" s="13" t="s">
        <v>16</v>
      </c>
      <c r="E218" s="12" t="s">
        <v>15</v>
      </c>
      <c r="F218" s="12" t="s">
        <v>14</v>
      </c>
      <c r="G218" s="12" t="s">
        <v>13</v>
      </c>
      <c r="H218" s="12" t="s">
        <v>12</v>
      </c>
      <c r="I218" s="12" t="s">
        <v>11</v>
      </c>
      <c r="J218" s="12" t="s">
        <v>10</v>
      </c>
      <c r="K218" s="12" t="s">
        <v>9</v>
      </c>
      <c r="L218" s="12" t="s">
        <v>8</v>
      </c>
      <c r="M218" s="11" t="s">
        <v>7</v>
      </c>
      <c r="N218" s="11" t="s">
        <v>6</v>
      </c>
      <c r="O218" s="11" t="s">
        <v>5</v>
      </c>
      <c r="P218" s="10" t="s">
        <v>4</v>
      </c>
      <c r="Q218" s="9" t="s">
        <v>3</v>
      </c>
      <c r="R218" s="8"/>
      <c r="T218" s="4">
        <v>2006111</v>
      </c>
      <c r="U218" s="4" t="s">
        <v>115</v>
      </c>
      <c r="V218" s="4">
        <v>7.0459999999999995E-2</v>
      </c>
      <c r="W218" s="4">
        <v>0.38902999999999999</v>
      </c>
      <c r="X218" s="4">
        <v>2.6339999999999999E-2</v>
      </c>
      <c r="Y218" s="4">
        <v>1.2937399999999999</v>
      </c>
      <c r="Z218" s="4">
        <v>11.65119</v>
      </c>
      <c r="AA218" s="4">
        <v>8.0204699999999995</v>
      </c>
      <c r="AB218" s="4">
        <v>-1.7376199999999999</v>
      </c>
    </row>
    <row r="219" spans="1:28" x14ac:dyDescent="0.25">
      <c r="A219" s="15"/>
      <c r="B219" s="10"/>
      <c r="C219" s="14"/>
      <c r="D219" s="13"/>
      <c r="E219" s="12"/>
      <c r="F219" s="12"/>
      <c r="G219" s="12"/>
      <c r="H219" s="12"/>
      <c r="I219" s="12"/>
      <c r="J219" s="12"/>
      <c r="K219" s="12"/>
      <c r="L219" s="12"/>
      <c r="M219" s="11"/>
      <c r="N219" s="11"/>
      <c r="O219" s="11"/>
      <c r="P219" s="10"/>
      <c r="Q219" s="7" t="s">
        <v>2</v>
      </c>
      <c r="R219" s="7" t="s">
        <v>1</v>
      </c>
      <c r="T219" s="4">
        <v>2006111</v>
      </c>
      <c r="U219" s="4" t="s">
        <v>337</v>
      </c>
      <c r="V219" s="4">
        <v>5.9909999999999998E-2</v>
      </c>
      <c r="W219" s="4">
        <v>0.3705</v>
      </c>
      <c r="X219" s="4">
        <v>2.716E-2</v>
      </c>
      <c r="Y219" s="4">
        <v>1.4513799999999999</v>
      </c>
      <c r="Z219" s="4">
        <v>31.543990000000001</v>
      </c>
      <c r="AA219" s="4">
        <v>10.78313</v>
      </c>
      <c r="AB219" s="4">
        <v>-1.16221</v>
      </c>
    </row>
    <row r="220" spans="1:28" x14ac:dyDescent="0.25">
      <c r="A220" s="6">
        <v>23</v>
      </c>
      <c r="B220" s="4">
        <v>30</v>
      </c>
      <c r="C220" s="5">
        <v>50.01</v>
      </c>
      <c r="D220" s="4">
        <v>20</v>
      </c>
      <c r="E220" s="3">
        <v>25</v>
      </c>
      <c r="F220" s="3">
        <f>1.8*E220+32</f>
        <v>77</v>
      </c>
      <c r="G220" s="3">
        <v>15.5</v>
      </c>
      <c r="H220" s="3">
        <f>IF(F220&gt;68,G220+(F220-68)*0.2,#REF!-(68-F220)*0.2)</f>
        <v>17.3</v>
      </c>
      <c r="I220" s="3">
        <v>23</v>
      </c>
      <c r="J220" s="3">
        <f>1.8*I220+32</f>
        <v>73.400000000000006</v>
      </c>
      <c r="K220" s="3">
        <v>9.5</v>
      </c>
      <c r="L220" s="3">
        <f>IF(J220&gt;68,K220+(J220-68)*0.2,K220-(68-J220)*0.2)</f>
        <v>10.580000000000002</v>
      </c>
      <c r="M220" s="3">
        <f>(C220-H220)/C220*100</f>
        <v>65.406918616276727</v>
      </c>
      <c r="N220" s="3">
        <f>100-(M220+O220)</f>
        <v>13.437312537492517</v>
      </c>
      <c r="O220" s="3">
        <f>L220/C220*100</f>
        <v>21.155768846230757</v>
      </c>
      <c r="P220" s="2" t="s">
        <v>0</v>
      </c>
      <c r="Q220" s="1">
        <v>409044.12186499999</v>
      </c>
      <c r="R220" s="1">
        <v>3659306.9440850001</v>
      </c>
      <c r="T220" s="4">
        <v>2006111</v>
      </c>
      <c r="U220" s="4" t="s">
        <v>336</v>
      </c>
      <c r="V220" s="4">
        <v>5.8259999999999999E-2</v>
      </c>
      <c r="W220" s="4">
        <v>0.37181999999999998</v>
      </c>
      <c r="X220" s="4">
        <v>2.8230000000000002E-2</v>
      </c>
      <c r="Y220" s="4">
        <v>1.46455</v>
      </c>
      <c r="Z220" s="4">
        <v>35.532020000000003</v>
      </c>
      <c r="AA220" s="4">
        <v>11.83886</v>
      </c>
      <c r="AB220" s="4">
        <v>-1.1447000000000001</v>
      </c>
    </row>
    <row r="221" spans="1:28" x14ac:dyDescent="0.25">
      <c r="A221" s="6">
        <v>23</v>
      </c>
      <c r="B221" s="4">
        <v>60</v>
      </c>
      <c r="C221" s="5">
        <v>50.01</v>
      </c>
      <c r="D221" s="4">
        <v>20</v>
      </c>
      <c r="E221" s="3">
        <v>25</v>
      </c>
      <c r="F221" s="3">
        <f>1.8*E221+32</f>
        <v>77</v>
      </c>
      <c r="G221" s="3">
        <v>14</v>
      </c>
      <c r="H221" s="3">
        <f>IF(F221&gt;68,G221+(F221-68)*0.2,#REF!-(68-F221)*0.2)</f>
        <v>15.8</v>
      </c>
      <c r="I221" s="3">
        <v>23</v>
      </c>
      <c r="J221" s="3">
        <f>1.8*I221+32</f>
        <v>73.400000000000006</v>
      </c>
      <c r="K221" s="3">
        <v>8.5</v>
      </c>
      <c r="L221" s="3">
        <f>IF(J221&gt;68,K221+(J221-68)*0.2,K221-(68-J221)*0.2)</f>
        <v>9.5800000000000018</v>
      </c>
      <c r="M221" s="3">
        <f>(C221-H221)/C221*100</f>
        <v>68.406318736252729</v>
      </c>
      <c r="N221" s="3">
        <f>100-(M221+O221)</f>
        <v>12.437512497500506</v>
      </c>
      <c r="O221" s="3">
        <f>L221/C221*100</f>
        <v>19.156168766246758</v>
      </c>
      <c r="P221" s="2" t="s">
        <v>20</v>
      </c>
      <c r="Q221" s="1">
        <v>409044.12186499999</v>
      </c>
      <c r="R221" s="1">
        <v>3659306.9440850001</v>
      </c>
      <c r="T221" s="4">
        <v>2006111</v>
      </c>
      <c r="U221" s="4" t="s">
        <v>335</v>
      </c>
      <c r="V221" s="4">
        <v>5.7950000000000002E-2</v>
      </c>
      <c r="W221" s="4">
        <v>0.37595000000000001</v>
      </c>
      <c r="X221" s="4">
        <v>2.955E-2</v>
      </c>
      <c r="Y221" s="4">
        <v>1.37721</v>
      </c>
      <c r="Z221" s="4">
        <v>25.645669999999999</v>
      </c>
      <c r="AA221" s="4">
        <v>11.776120000000001</v>
      </c>
      <c r="AB221" s="4">
        <v>-1.3487100000000001</v>
      </c>
    </row>
    <row r="222" spans="1:28" x14ac:dyDescent="0.25">
      <c r="A222" s="6">
        <v>23</v>
      </c>
      <c r="B222" s="4">
        <v>90</v>
      </c>
      <c r="C222" s="5">
        <v>50</v>
      </c>
      <c r="D222" s="4">
        <v>20</v>
      </c>
      <c r="E222" s="3">
        <v>25</v>
      </c>
      <c r="F222" s="3">
        <f>1.8*E222+32</f>
        <v>77</v>
      </c>
      <c r="G222" s="3">
        <v>11.5</v>
      </c>
      <c r="H222" s="3">
        <f>IF(F222&gt;68,G222+(F222-68)*0.2,G439-(68-F222)*0.2)</f>
        <v>13.3</v>
      </c>
      <c r="I222" s="3">
        <v>23</v>
      </c>
      <c r="J222" s="3">
        <f>1.8*I222+32</f>
        <v>73.400000000000006</v>
      </c>
      <c r="K222" s="3">
        <v>6</v>
      </c>
      <c r="L222" s="3">
        <f>IF(J222&gt;68,K222+(J222-68)*0.2,K222-(68-J222)*0.2)</f>
        <v>7.080000000000001</v>
      </c>
      <c r="M222" s="3">
        <f>(C222-H222)/C222*100</f>
        <v>73.400000000000006</v>
      </c>
      <c r="N222" s="3">
        <f>100-(M222+O222)</f>
        <v>12.439999999999998</v>
      </c>
      <c r="O222" s="3">
        <f>L222/C222*100</f>
        <v>14.160000000000004</v>
      </c>
      <c r="P222" s="2" t="s">
        <v>20</v>
      </c>
      <c r="Q222" s="1">
        <v>409044.12186499999</v>
      </c>
      <c r="R222" s="1">
        <v>3659306.9440850001</v>
      </c>
      <c r="T222" s="4">
        <v>2006111</v>
      </c>
      <c r="U222" s="4" t="s">
        <v>334</v>
      </c>
      <c r="V222" s="4">
        <v>5.6770000000000001E-2</v>
      </c>
      <c r="W222" s="4">
        <v>0.37591999999999998</v>
      </c>
      <c r="X222" s="4">
        <v>0.03</v>
      </c>
      <c r="Y222" s="4">
        <v>1.3932599999999999</v>
      </c>
      <c r="Z222" s="4">
        <v>28.74813</v>
      </c>
      <c r="AA222" s="4">
        <v>12.44167</v>
      </c>
      <c r="AB222" s="4">
        <v>-1.30006</v>
      </c>
    </row>
    <row r="223" spans="1:28" x14ac:dyDescent="0.25">
      <c r="A223" s="6">
        <v>23</v>
      </c>
      <c r="B223" s="4">
        <v>120</v>
      </c>
      <c r="C223" s="5">
        <v>50</v>
      </c>
      <c r="D223" s="4">
        <v>20</v>
      </c>
      <c r="E223" s="3">
        <v>25.2</v>
      </c>
      <c r="F223" s="3">
        <f>1.8*E223+32</f>
        <v>77.36</v>
      </c>
      <c r="G223" s="3">
        <v>10</v>
      </c>
      <c r="H223" s="3">
        <f>IF(F223&gt;68,G223+(F223-68)*0.2,#REF!-(68-F223)*0.2)</f>
        <v>11.872</v>
      </c>
      <c r="I223" s="3">
        <v>23</v>
      </c>
      <c r="J223" s="3">
        <f>1.8*I223+32</f>
        <v>73.400000000000006</v>
      </c>
      <c r="K223" s="3">
        <v>6</v>
      </c>
      <c r="L223" s="3">
        <f>IF(J223&gt;68,K223+(J223-68)*0.2,K223-(68-J223)*0.2)</f>
        <v>7.080000000000001</v>
      </c>
      <c r="M223" s="3">
        <f>(C223-H223)/C223*100</f>
        <v>76.256</v>
      </c>
      <c r="N223" s="3">
        <f>100-(M223+O223)</f>
        <v>9.5840000000000032</v>
      </c>
      <c r="O223" s="3">
        <f>L223/C223*100</f>
        <v>14.160000000000004</v>
      </c>
      <c r="P223" s="2" t="s">
        <v>20</v>
      </c>
      <c r="Q223" s="1">
        <v>409044.12186499999</v>
      </c>
      <c r="R223" s="1">
        <v>3659306.9440850001</v>
      </c>
      <c r="T223" s="4">
        <v>2006111</v>
      </c>
      <c r="U223" s="4" t="s">
        <v>114</v>
      </c>
      <c r="V223" s="4">
        <v>6.1719999999999997E-2</v>
      </c>
      <c r="W223" s="4">
        <v>0.38222</v>
      </c>
      <c r="X223" s="4">
        <v>2.7980000000000001E-2</v>
      </c>
      <c r="Y223" s="4">
        <v>1.3338399999999999</v>
      </c>
      <c r="Z223" s="4">
        <v>17.9237</v>
      </c>
      <c r="AA223" s="4">
        <v>10.12541</v>
      </c>
      <c r="AB223" s="4">
        <v>-1.49085</v>
      </c>
    </row>
    <row r="224" spans="1:28" x14ac:dyDescent="0.25">
      <c r="A224" s="6">
        <v>23</v>
      </c>
      <c r="B224" s="4">
        <v>150</v>
      </c>
      <c r="C224" s="5">
        <v>50</v>
      </c>
      <c r="D224" s="4">
        <v>20</v>
      </c>
      <c r="E224" s="3">
        <v>25</v>
      </c>
      <c r="F224" s="3">
        <f>1.8*E224+32</f>
        <v>77</v>
      </c>
      <c r="G224" s="3">
        <v>11</v>
      </c>
      <c r="H224" s="3">
        <f>IF(F224&gt;68,G224+(F224-68)*0.2,G441-(68-F224)*0.2)</f>
        <v>12.8</v>
      </c>
      <c r="I224" s="3">
        <v>23</v>
      </c>
      <c r="J224" s="3">
        <f>1.8*I224+32</f>
        <v>73.400000000000006</v>
      </c>
      <c r="K224" s="3">
        <v>6</v>
      </c>
      <c r="L224" s="3">
        <f>IF(J224&gt;68,K224+(J224-68)*0.2,K224-(68-J224)*0.2)</f>
        <v>7.080000000000001</v>
      </c>
      <c r="M224" s="3">
        <f>(C224-H224)/C224*100</f>
        <v>74.400000000000006</v>
      </c>
      <c r="N224" s="3">
        <f>100-(M224+O224)</f>
        <v>11.439999999999998</v>
      </c>
      <c r="O224" s="3">
        <f>L224/C224*100</f>
        <v>14.160000000000004</v>
      </c>
      <c r="P224" s="2" t="s">
        <v>20</v>
      </c>
      <c r="Q224" s="1">
        <v>409044.12186499999</v>
      </c>
      <c r="R224" s="1">
        <v>3659306.9440850001</v>
      </c>
      <c r="T224" s="4">
        <v>2006111</v>
      </c>
      <c r="U224" s="4" t="s">
        <v>113</v>
      </c>
      <c r="V224" s="4">
        <v>7.2700000000000001E-2</v>
      </c>
      <c r="W224" s="4">
        <v>0.39528000000000002</v>
      </c>
      <c r="X224" s="4">
        <v>2.5069999999999999E-2</v>
      </c>
      <c r="Y224" s="4">
        <v>1.2968599999999999</v>
      </c>
      <c r="Z224" s="4">
        <v>9.9924099999999996</v>
      </c>
      <c r="AA224" s="4">
        <v>7.4975899999999998</v>
      </c>
      <c r="AB224" s="4">
        <v>-1.6710700000000001</v>
      </c>
    </row>
    <row r="225" spans="1:28" x14ac:dyDescent="0.25">
      <c r="A225" s="6">
        <v>23</v>
      </c>
      <c r="B225" s="4">
        <v>180</v>
      </c>
      <c r="C225" s="5">
        <v>50</v>
      </c>
      <c r="D225" s="4">
        <v>20</v>
      </c>
      <c r="E225" s="3">
        <v>24.2</v>
      </c>
      <c r="F225" s="3">
        <f>1.8*E225+32</f>
        <v>75.56</v>
      </c>
      <c r="G225" s="3">
        <v>12.5</v>
      </c>
      <c r="H225" s="3">
        <f>IF(F225&gt;68,G225+(F225-68)*0.2,G442-(68-F225)*0.2)</f>
        <v>14.012</v>
      </c>
      <c r="I225" s="3">
        <v>23</v>
      </c>
      <c r="J225" s="3">
        <f>1.8*I225+32</f>
        <v>73.400000000000006</v>
      </c>
      <c r="K225" s="3">
        <v>11</v>
      </c>
      <c r="L225" s="3">
        <f>IF(J225&gt;68,K225+(J225-68)*0.2,K225-(68-J225)*0.2)</f>
        <v>12.080000000000002</v>
      </c>
      <c r="M225" s="3">
        <f>(C225-H225)/C225*100</f>
        <v>71.975999999999999</v>
      </c>
      <c r="N225" s="3">
        <f>100-(M225+O225)</f>
        <v>3.8640000000000043</v>
      </c>
      <c r="O225" s="3">
        <f>L225/C225*100</f>
        <v>24.160000000000004</v>
      </c>
      <c r="P225" s="2" t="s">
        <v>0</v>
      </c>
      <c r="Q225" s="1">
        <v>409044.12186499999</v>
      </c>
      <c r="R225" s="1">
        <v>3659306.9440850001</v>
      </c>
      <c r="T225" s="4">
        <v>2006111</v>
      </c>
      <c r="U225" s="4" t="s">
        <v>112</v>
      </c>
      <c r="V225" s="4">
        <v>8.2350000000000007E-2</v>
      </c>
      <c r="W225" s="4">
        <v>0.41944999999999999</v>
      </c>
      <c r="X225" s="4">
        <v>2.2919999999999999E-2</v>
      </c>
      <c r="Y225" s="4">
        <v>1.2763500000000001</v>
      </c>
      <c r="Z225" s="4">
        <v>6.9775999999999998</v>
      </c>
      <c r="AA225" s="4">
        <v>6.1289199999999999</v>
      </c>
      <c r="AB225" s="4">
        <v>-1.75512</v>
      </c>
    </row>
    <row r="226" spans="1:28" x14ac:dyDescent="0.25">
      <c r="A226" s="6">
        <v>23</v>
      </c>
      <c r="B226" s="4">
        <v>210</v>
      </c>
      <c r="C226" s="5">
        <v>50</v>
      </c>
      <c r="D226" s="4">
        <v>20</v>
      </c>
      <c r="E226" s="3">
        <v>24</v>
      </c>
      <c r="F226" s="3">
        <f>1.8*E226+32</f>
        <v>75.2</v>
      </c>
      <c r="G226" s="3">
        <v>10</v>
      </c>
      <c r="H226" s="3">
        <f>IF(F226&gt;68,G226+(F226-68)*0.2,G443-(68-F226)*0.2)</f>
        <v>11.440000000000001</v>
      </c>
      <c r="I226" s="3">
        <v>23</v>
      </c>
      <c r="J226" s="3">
        <f>1.8*I226+32</f>
        <v>73.400000000000006</v>
      </c>
      <c r="K226" s="3">
        <v>6.5</v>
      </c>
      <c r="L226" s="3">
        <f>IF(J226&gt;68,K226+(J226-68)*0.2,K226-(68-J226)*0.2)</f>
        <v>7.580000000000001</v>
      </c>
      <c r="M226" s="3">
        <f>(C226-H226)/C226*100</f>
        <v>77.12</v>
      </c>
      <c r="N226" s="3">
        <f>100-(M226+O226)</f>
        <v>7.7199999999999989</v>
      </c>
      <c r="O226" s="3">
        <f>L226/C226*100</f>
        <v>15.160000000000002</v>
      </c>
      <c r="P226" s="2" t="s">
        <v>20</v>
      </c>
      <c r="Q226" s="1">
        <v>409044.12186499999</v>
      </c>
      <c r="R226" s="1">
        <v>3659306.9440850001</v>
      </c>
      <c r="T226" s="4">
        <v>2006111</v>
      </c>
      <c r="U226" s="4" t="s">
        <v>111</v>
      </c>
      <c r="V226" s="4">
        <v>8.0509999999999998E-2</v>
      </c>
      <c r="W226" s="4">
        <v>0.41765999999999998</v>
      </c>
      <c r="X226" s="4">
        <v>2.1090000000000001E-2</v>
      </c>
      <c r="Y226" s="4">
        <v>1.3028299999999999</v>
      </c>
      <c r="Z226" s="4">
        <v>6.06128</v>
      </c>
      <c r="AA226" s="4">
        <v>5.8071900000000003</v>
      </c>
      <c r="AB226" s="4">
        <v>-1.4764999999999999</v>
      </c>
    </row>
    <row r="227" spans="1:28" x14ac:dyDescent="0.25">
      <c r="A227" s="6">
        <v>23</v>
      </c>
      <c r="B227" s="4">
        <v>240</v>
      </c>
      <c r="C227" s="5">
        <v>50.01</v>
      </c>
      <c r="D227" s="4">
        <v>20</v>
      </c>
      <c r="E227" s="3">
        <v>26.2</v>
      </c>
      <c r="F227" s="3">
        <f>1.8*E227+32</f>
        <v>79.16</v>
      </c>
      <c r="G227" s="3">
        <v>7</v>
      </c>
      <c r="H227" s="3">
        <f>IF(F227&gt;68,G227+(F227-68)*0.2,G444-(68-F227)*0.2)</f>
        <v>9.2319999999999993</v>
      </c>
      <c r="I227" s="3">
        <v>23</v>
      </c>
      <c r="J227" s="3">
        <f>1.8*I227+32</f>
        <v>73.400000000000006</v>
      </c>
      <c r="K227" s="3">
        <v>5.5</v>
      </c>
      <c r="L227" s="3">
        <f>IF(J227&gt;68,K227+(J227-68)*0.2,K227-(68-J227)*0.2)</f>
        <v>6.580000000000001</v>
      </c>
      <c r="M227" s="3">
        <f>(C227-H227)/C227*100</f>
        <v>81.539692061587687</v>
      </c>
      <c r="N227" s="3">
        <f>100-(M227+O227)</f>
        <v>5.302939412117567</v>
      </c>
      <c r="O227" s="3">
        <f>L227/C227*100</f>
        <v>13.157368526294743</v>
      </c>
      <c r="P227" s="2" t="s">
        <v>20</v>
      </c>
      <c r="Q227" s="1">
        <v>409044.12186499999</v>
      </c>
      <c r="R227" s="1">
        <v>3659306.9440850001</v>
      </c>
      <c r="T227" s="4">
        <v>2006111</v>
      </c>
      <c r="U227" s="4" t="s">
        <v>110</v>
      </c>
      <c r="V227" s="4">
        <v>7.1459999999999996E-2</v>
      </c>
      <c r="W227" s="4">
        <v>0.39108999999999999</v>
      </c>
      <c r="X227" s="4">
        <v>2.6030000000000001E-2</v>
      </c>
      <c r="Y227" s="4">
        <v>1.2921199999999999</v>
      </c>
      <c r="Z227" s="4">
        <v>11.07086</v>
      </c>
      <c r="AA227" s="4">
        <v>7.8285600000000004</v>
      </c>
      <c r="AB227" s="4">
        <v>-1.7412399999999999</v>
      </c>
    </row>
    <row r="228" spans="1:28" x14ac:dyDescent="0.25">
      <c r="A228" s="6">
        <v>23</v>
      </c>
      <c r="B228" s="4">
        <v>270</v>
      </c>
      <c r="C228" s="5">
        <v>50</v>
      </c>
      <c r="D228" s="4">
        <v>20</v>
      </c>
      <c r="E228" s="3">
        <v>26.5</v>
      </c>
      <c r="F228" s="3">
        <f>1.8*E228+32</f>
        <v>79.7</v>
      </c>
      <c r="G228" s="3">
        <v>6.5</v>
      </c>
      <c r="H228" s="3">
        <f>IF(F228&gt;68,G228+(F228-68)*0.2,G445-(68-F228)*0.2)</f>
        <v>8.84</v>
      </c>
      <c r="I228" s="3">
        <v>23</v>
      </c>
      <c r="J228" s="3">
        <f>1.8*I228+32</f>
        <v>73.400000000000006</v>
      </c>
      <c r="K228" s="3">
        <v>5</v>
      </c>
      <c r="L228" s="3">
        <f>IF(J228&gt;68,K228+(J228-68)*0.2,K228-(68-J228)*0.2)</f>
        <v>6.080000000000001</v>
      </c>
      <c r="M228" s="3">
        <f>(C228-H228)/C228*100</f>
        <v>82.32</v>
      </c>
      <c r="N228" s="3">
        <f>100-(M228+O228)</f>
        <v>5.5200000000000102</v>
      </c>
      <c r="O228" s="3">
        <f>L228/C228*100</f>
        <v>12.160000000000002</v>
      </c>
      <c r="P228" s="2" t="s">
        <v>20</v>
      </c>
      <c r="Q228" s="1">
        <v>409044.12186499999</v>
      </c>
      <c r="R228" s="1">
        <v>3659306.9440850001</v>
      </c>
      <c r="T228" s="4">
        <v>2006111</v>
      </c>
      <c r="U228" s="4" t="s">
        <v>109</v>
      </c>
      <c r="V228" s="4">
        <v>6.046E-2</v>
      </c>
      <c r="W228" s="4">
        <v>0.37465999999999999</v>
      </c>
      <c r="X228" s="4">
        <v>2.8459999999999999E-2</v>
      </c>
      <c r="Y228" s="4">
        <v>1.35992</v>
      </c>
      <c r="Z228" s="4">
        <v>21.638020000000001</v>
      </c>
      <c r="AA228" s="4">
        <v>10.548170000000001</v>
      </c>
      <c r="AB228" s="4">
        <v>-1.41008</v>
      </c>
    </row>
    <row r="229" spans="1:28" x14ac:dyDescent="0.25">
      <c r="A229" s="6">
        <v>23</v>
      </c>
      <c r="B229" s="4">
        <v>300</v>
      </c>
      <c r="C229" s="5">
        <v>50.01</v>
      </c>
      <c r="D229" s="4">
        <v>20</v>
      </c>
      <c r="E229" s="3">
        <v>26.5</v>
      </c>
      <c r="F229" s="3">
        <f>1.8*E229+32</f>
        <v>79.7</v>
      </c>
      <c r="G229" s="3">
        <v>10</v>
      </c>
      <c r="H229" s="3">
        <f>IF(F229&gt;68,G229+(F229-68)*0.2,G446-(68-F229)*0.2)</f>
        <v>12.34</v>
      </c>
      <c r="I229" s="3">
        <v>23</v>
      </c>
      <c r="J229" s="3">
        <f>1.8*I229+32</f>
        <v>73.400000000000006</v>
      </c>
      <c r="K229" s="3">
        <v>6.5</v>
      </c>
      <c r="L229" s="3">
        <f>IF(J229&gt;68,K229+(J229-68)*0.2,K229-(68-J229)*0.2)</f>
        <v>7.580000000000001</v>
      </c>
      <c r="M229" s="3">
        <f>(C229-H229)/C229*100</f>
        <v>75.3249350129974</v>
      </c>
      <c r="N229" s="3">
        <f>100-(M229+O229)</f>
        <v>9.518096380723847</v>
      </c>
      <c r="O229" s="3">
        <f>L229/C229*100</f>
        <v>15.156968606278747</v>
      </c>
      <c r="P229" s="2" t="s">
        <v>20</v>
      </c>
      <c r="Q229" s="1">
        <v>409044.12186499999</v>
      </c>
      <c r="R229" s="1">
        <v>3659306.9440850001</v>
      </c>
      <c r="T229" s="4">
        <v>2006111</v>
      </c>
      <c r="U229" s="4" t="s">
        <v>333</v>
      </c>
      <c r="V229" s="4">
        <v>6.3719999999999999E-2</v>
      </c>
      <c r="W229" s="4">
        <v>0.37168000000000001</v>
      </c>
      <c r="X229" s="4">
        <v>2.6599999999999999E-2</v>
      </c>
      <c r="Y229" s="4">
        <v>1.3462000000000001</v>
      </c>
      <c r="Z229" s="4">
        <v>18.425460000000001</v>
      </c>
      <c r="AA229" s="4">
        <v>8.9842899999999997</v>
      </c>
      <c r="AB229" s="4">
        <v>-1.4544999999999999</v>
      </c>
    </row>
    <row r="230" spans="1:28" x14ac:dyDescent="0.25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T230" s="4">
        <v>2006111</v>
      </c>
      <c r="U230" s="4" t="s">
        <v>332</v>
      </c>
      <c r="V230" s="4">
        <v>5.9270000000000003E-2</v>
      </c>
      <c r="W230" s="4">
        <v>0.37240000000000001</v>
      </c>
      <c r="X230" s="4">
        <v>2.8170000000000001E-2</v>
      </c>
      <c r="Y230" s="4">
        <v>1.4097999999999999</v>
      </c>
      <c r="Z230" s="4">
        <v>27.605899999999998</v>
      </c>
      <c r="AA230" s="4">
        <v>11.07925</v>
      </c>
      <c r="AB230" s="4">
        <v>-1.2537700000000001</v>
      </c>
    </row>
    <row r="231" spans="1:28" ht="51.75" x14ac:dyDescent="0.25">
      <c r="A231" s="15" t="s">
        <v>19</v>
      </c>
      <c r="B231" s="10" t="s">
        <v>18</v>
      </c>
      <c r="C231" s="14" t="s">
        <v>17</v>
      </c>
      <c r="D231" s="13" t="s">
        <v>16</v>
      </c>
      <c r="E231" s="12" t="s">
        <v>15</v>
      </c>
      <c r="F231" s="12" t="s">
        <v>14</v>
      </c>
      <c r="G231" s="12" t="s">
        <v>13</v>
      </c>
      <c r="H231" s="12" t="s">
        <v>12</v>
      </c>
      <c r="I231" s="12" t="s">
        <v>11</v>
      </c>
      <c r="J231" s="12" t="s">
        <v>10</v>
      </c>
      <c r="K231" s="12" t="s">
        <v>9</v>
      </c>
      <c r="L231" s="12" t="s">
        <v>8</v>
      </c>
      <c r="M231" s="11" t="s">
        <v>7</v>
      </c>
      <c r="N231" s="11" t="s">
        <v>6</v>
      </c>
      <c r="O231" s="11" t="s">
        <v>5</v>
      </c>
      <c r="P231" s="10" t="s">
        <v>4</v>
      </c>
      <c r="Q231" s="17" t="s">
        <v>3</v>
      </c>
      <c r="R231" s="17"/>
      <c r="T231" s="4">
        <v>2006111</v>
      </c>
      <c r="U231" s="4" t="s">
        <v>331</v>
      </c>
      <c r="V231" s="4">
        <v>5.9619999999999999E-2</v>
      </c>
      <c r="W231" s="4">
        <v>0.37841000000000002</v>
      </c>
      <c r="X231" s="4">
        <v>2.9059999999999999E-2</v>
      </c>
      <c r="Y231" s="4">
        <v>1.3484799999999999</v>
      </c>
      <c r="Z231" s="4">
        <v>21.207529999999998</v>
      </c>
      <c r="AA231" s="4">
        <v>10.983689999999999</v>
      </c>
      <c r="AB231" s="4">
        <v>-1.4483600000000001</v>
      </c>
    </row>
    <row r="232" spans="1:28" x14ac:dyDescent="0.25">
      <c r="A232" s="15"/>
      <c r="B232" s="10"/>
      <c r="C232" s="14"/>
      <c r="D232" s="13"/>
      <c r="E232" s="12"/>
      <c r="F232" s="12"/>
      <c r="G232" s="12"/>
      <c r="H232" s="12"/>
      <c r="I232" s="12"/>
      <c r="J232" s="12"/>
      <c r="K232" s="12"/>
      <c r="L232" s="12"/>
      <c r="M232" s="11"/>
      <c r="N232" s="11"/>
      <c r="O232" s="11"/>
      <c r="P232" s="10"/>
      <c r="Q232" s="7" t="s">
        <v>2</v>
      </c>
      <c r="R232" s="7" t="s">
        <v>1</v>
      </c>
      <c r="T232" s="4">
        <v>2006111</v>
      </c>
      <c r="U232" s="4" t="s">
        <v>330</v>
      </c>
      <c r="V232" s="4">
        <v>6.0650000000000003E-2</v>
      </c>
      <c r="W232" s="4">
        <v>0.39307999999999998</v>
      </c>
      <c r="X232" s="4">
        <v>2.1229999999999999E-2</v>
      </c>
      <c r="Y232" s="4">
        <v>1.38019</v>
      </c>
      <c r="Z232" s="4">
        <v>15.57333</v>
      </c>
      <c r="AA232" s="4">
        <v>7.92943</v>
      </c>
      <c r="AB232" s="4">
        <v>-1.0529599999999999</v>
      </c>
    </row>
    <row r="233" spans="1:28" x14ac:dyDescent="0.25">
      <c r="A233" s="6">
        <v>24</v>
      </c>
      <c r="B233" s="4">
        <v>30</v>
      </c>
      <c r="C233" s="5">
        <v>50</v>
      </c>
      <c r="D233" s="4">
        <v>20</v>
      </c>
      <c r="E233" s="3">
        <v>24</v>
      </c>
      <c r="F233" s="3">
        <f>1.8*E233+32</f>
        <v>75.2</v>
      </c>
      <c r="G233" s="3">
        <v>17</v>
      </c>
      <c r="H233" s="3">
        <f>IF(F233&gt;68,G233+(F233-68)*0.2,G49-(68-F233)*0.2)</f>
        <v>18.440000000000001</v>
      </c>
      <c r="I233" s="3">
        <v>23</v>
      </c>
      <c r="J233" s="3">
        <f>1.8*I233+32</f>
        <v>73.400000000000006</v>
      </c>
      <c r="K233" s="3">
        <v>10</v>
      </c>
      <c r="L233" s="3">
        <f>IF(J233&gt;68,K233+(J233-68)*0.2,K233-(68-J233)*0.2)</f>
        <v>11.080000000000002</v>
      </c>
      <c r="M233" s="3">
        <f>(C233-H233)/C233*100</f>
        <v>63.12</v>
      </c>
      <c r="N233" s="3">
        <f>100-(M233+O233)</f>
        <v>14.719999999999999</v>
      </c>
      <c r="O233" s="3">
        <f>L233/C233*100</f>
        <v>22.160000000000004</v>
      </c>
      <c r="P233" s="2" t="s">
        <v>0</v>
      </c>
      <c r="Q233" s="1">
        <v>409056.28366299998</v>
      </c>
      <c r="R233" s="1">
        <v>3659306.7366869999</v>
      </c>
      <c r="T233" s="4">
        <v>2006111</v>
      </c>
      <c r="U233" s="4" t="s">
        <v>108</v>
      </c>
      <c r="V233" s="4">
        <v>5.6349999999999997E-2</v>
      </c>
      <c r="W233" s="4">
        <v>0.37980000000000003</v>
      </c>
      <c r="X233" s="4">
        <v>3.0009999999999998E-2</v>
      </c>
      <c r="Y233" s="4">
        <v>1.3659600000000001</v>
      </c>
      <c r="Z233" s="4">
        <v>25.559080000000002</v>
      </c>
      <c r="AA233" s="4">
        <v>12.33737</v>
      </c>
      <c r="AB233" s="4">
        <v>-1.3665499999999999</v>
      </c>
    </row>
    <row r="234" spans="1:28" x14ac:dyDescent="0.25">
      <c r="A234" s="6">
        <v>24</v>
      </c>
      <c r="B234" s="4">
        <v>60</v>
      </c>
      <c r="C234" s="5">
        <v>50.01</v>
      </c>
      <c r="D234" s="4">
        <v>20</v>
      </c>
      <c r="E234" s="3">
        <v>24</v>
      </c>
      <c r="F234" s="3">
        <f>1.8*E234+32</f>
        <v>75.2</v>
      </c>
      <c r="G234" s="3">
        <v>18</v>
      </c>
      <c r="H234" s="3">
        <f>IF(F234&gt;68,G234+(F234-68)*0.2,G48-(68-F234)*0.2)</f>
        <v>19.440000000000001</v>
      </c>
      <c r="I234" s="3">
        <v>23</v>
      </c>
      <c r="J234" s="3">
        <f>1.8*I234+32</f>
        <v>73.400000000000006</v>
      </c>
      <c r="K234" s="3">
        <v>11</v>
      </c>
      <c r="L234" s="3">
        <f>IF(J234&gt;68,K234+(J234-68)*0.2,K234-(68-J234)*0.2)</f>
        <v>12.080000000000002</v>
      </c>
      <c r="M234" s="3">
        <f>(C234-H234)/C234*100</f>
        <v>61.127774445110973</v>
      </c>
      <c r="N234" s="3">
        <f>100-(M234+O234)</f>
        <v>14.717056588682269</v>
      </c>
      <c r="O234" s="3">
        <f>L234/C234*100</f>
        <v>24.155168966206762</v>
      </c>
      <c r="P234" s="2" t="s">
        <v>0</v>
      </c>
      <c r="Q234" s="1">
        <v>409056.28366299998</v>
      </c>
      <c r="R234" s="1">
        <v>3659306.7366869999</v>
      </c>
      <c r="T234" s="4">
        <v>2006111</v>
      </c>
      <c r="U234" s="4" t="s">
        <v>107</v>
      </c>
      <c r="V234" s="4">
        <v>5.0770000000000003E-2</v>
      </c>
      <c r="W234" s="4">
        <v>0.38269999999999998</v>
      </c>
      <c r="X234" s="4">
        <v>3.0939999999999999E-2</v>
      </c>
      <c r="Y234" s="4">
        <v>1.38561</v>
      </c>
      <c r="Z234" s="4">
        <v>31.771719999999998</v>
      </c>
      <c r="AA234" s="4">
        <v>14.427619999999999</v>
      </c>
      <c r="AB234" s="4">
        <v>-1.25407</v>
      </c>
    </row>
    <row r="235" spans="1:28" x14ac:dyDescent="0.25">
      <c r="A235" s="6">
        <v>24</v>
      </c>
      <c r="B235" s="4">
        <v>90</v>
      </c>
      <c r="C235" s="5">
        <v>50</v>
      </c>
      <c r="D235" s="4">
        <v>20</v>
      </c>
      <c r="E235" s="3">
        <v>24</v>
      </c>
      <c r="F235" s="3">
        <f>1.8*E235+32</f>
        <v>75.2</v>
      </c>
      <c r="G235" s="3">
        <v>26.5</v>
      </c>
      <c r="H235" s="3">
        <f>IF(F235&gt;68,G235+(F235-68)*0.2,G51-(68-F235)*0.2)</f>
        <v>27.94</v>
      </c>
      <c r="I235" s="3">
        <v>23</v>
      </c>
      <c r="J235" s="3">
        <f>1.8*I235+32</f>
        <v>73.400000000000006</v>
      </c>
      <c r="K235" s="3">
        <v>16.5</v>
      </c>
      <c r="L235" s="3">
        <f>IF(J235&gt;68,K235+(J235-68)*0.2,K235-(68-J235)*0.2)</f>
        <v>17.580000000000002</v>
      </c>
      <c r="M235" s="3">
        <f>(C235-H235)/C235*100</f>
        <v>44.12</v>
      </c>
      <c r="N235" s="3">
        <f>100-(M235+O235)</f>
        <v>20.72</v>
      </c>
      <c r="O235" s="3">
        <f>L235/C235*100</f>
        <v>35.160000000000004</v>
      </c>
      <c r="P235" s="2" t="s">
        <v>23</v>
      </c>
      <c r="Q235" s="1">
        <v>409056.28366299998</v>
      </c>
      <c r="R235" s="1">
        <v>3659306.7366869999</v>
      </c>
      <c r="T235" s="4">
        <v>2006111</v>
      </c>
      <c r="U235" s="4" t="s">
        <v>106</v>
      </c>
      <c r="V235" s="4">
        <v>5.774E-2</v>
      </c>
      <c r="W235" s="4">
        <v>0.38875999999999999</v>
      </c>
      <c r="X235" s="4">
        <v>2.4389999999999998E-2</v>
      </c>
      <c r="Y235" s="4">
        <v>1.3699300000000001</v>
      </c>
      <c r="Z235" s="4">
        <v>19.284669999999998</v>
      </c>
      <c r="AA235" s="4">
        <v>9.6650299999999998</v>
      </c>
      <c r="AB235" s="4">
        <v>-1.1761699999999999</v>
      </c>
    </row>
    <row r="236" spans="1:28" x14ac:dyDescent="0.25">
      <c r="A236" s="6">
        <v>24</v>
      </c>
      <c r="B236" s="4">
        <v>120</v>
      </c>
      <c r="C236" s="5">
        <v>50</v>
      </c>
      <c r="D236" s="4">
        <v>20</v>
      </c>
      <c r="E236" s="3">
        <v>25</v>
      </c>
      <c r="F236" s="3">
        <f>1.8*E236+32</f>
        <v>77</v>
      </c>
      <c r="G236" s="3">
        <v>30</v>
      </c>
      <c r="H236" s="3">
        <f>IF(F236&gt;68,G236+(F236-68)*0.2,G52-(68-F236)*0.2)</f>
        <v>31.8</v>
      </c>
      <c r="I236" s="3">
        <v>23</v>
      </c>
      <c r="J236" s="3">
        <f>1.8*I236+32</f>
        <v>73.400000000000006</v>
      </c>
      <c r="K236" s="3">
        <v>19</v>
      </c>
      <c r="L236" s="3">
        <f>IF(J236&gt;68,K236+(J236-68)*0.2,K236-(68-J236)*0.2)</f>
        <v>20.080000000000002</v>
      </c>
      <c r="M236" s="3">
        <f>(C236-H236)/C236*100</f>
        <v>36.4</v>
      </c>
      <c r="N236" s="3">
        <f>100-(M236+O236)</f>
        <v>23.439999999999998</v>
      </c>
      <c r="O236" s="3">
        <f>L236/C236*100</f>
        <v>40.160000000000004</v>
      </c>
      <c r="P236" s="2" t="s">
        <v>274</v>
      </c>
      <c r="Q236" s="1">
        <v>409056.28366299998</v>
      </c>
      <c r="R236" s="1">
        <v>3659306.7366869999</v>
      </c>
      <c r="T236" s="4">
        <v>2006111</v>
      </c>
      <c r="U236" s="4" t="s">
        <v>105</v>
      </c>
      <c r="V236" s="4">
        <v>6.3659999999999994E-2</v>
      </c>
      <c r="W236" s="4">
        <v>0.39777000000000001</v>
      </c>
      <c r="X236" s="4">
        <v>1.8700000000000001E-2</v>
      </c>
      <c r="Y236" s="4">
        <v>1.3915500000000001</v>
      </c>
      <c r="Z236" s="4">
        <v>12.58474</v>
      </c>
      <c r="AA236" s="4">
        <v>6.5759299999999996</v>
      </c>
      <c r="AB236" s="4">
        <v>-0.93916999999999995</v>
      </c>
    </row>
    <row r="237" spans="1:28" x14ac:dyDescent="0.25">
      <c r="A237" s="6">
        <v>24</v>
      </c>
      <c r="B237" s="4">
        <v>150</v>
      </c>
      <c r="C237" s="5">
        <v>50.01</v>
      </c>
      <c r="D237" s="4">
        <v>20</v>
      </c>
      <c r="E237" s="3">
        <v>25</v>
      </c>
      <c r="F237" s="3">
        <f>1.8*E237+32</f>
        <v>77</v>
      </c>
      <c r="G237" s="3">
        <v>22</v>
      </c>
      <c r="H237" s="3">
        <f>IF(F237&gt;68,G237+(F237-68)*0.2,G53-(68-F237)*0.2)</f>
        <v>23.8</v>
      </c>
      <c r="I237" s="3">
        <v>23.2</v>
      </c>
      <c r="J237" s="3">
        <f>1.8*I237+32</f>
        <v>73.759999999999991</v>
      </c>
      <c r="K237" s="3">
        <v>13</v>
      </c>
      <c r="L237" s="3">
        <f>IF(J237&gt;68,K237+(J237-68)*0.2,K237-(68-J237)*0.2)</f>
        <v>14.151999999999997</v>
      </c>
      <c r="M237" s="3">
        <f>(C237-H237)/C237*100</f>
        <v>52.409518096380722</v>
      </c>
      <c r="N237" s="3">
        <f>100-(M237+O237)</f>
        <v>19.292141571685676</v>
      </c>
      <c r="O237" s="3">
        <f>L237/C237*100</f>
        <v>28.298340331933609</v>
      </c>
      <c r="P237" s="2" t="s">
        <v>0</v>
      </c>
      <c r="Q237" s="1">
        <v>409056.28366299998</v>
      </c>
      <c r="R237" s="1">
        <v>3659306.7366869999</v>
      </c>
      <c r="T237" s="4">
        <v>2006111</v>
      </c>
      <c r="U237" s="4" t="s">
        <v>104</v>
      </c>
      <c r="V237" s="4">
        <v>6.3369999999999996E-2</v>
      </c>
      <c r="W237" s="4">
        <v>0.39734000000000003</v>
      </c>
      <c r="X237" s="4">
        <v>1.8870000000000001E-2</v>
      </c>
      <c r="Y237" s="4">
        <v>1.3908499999999999</v>
      </c>
      <c r="Z237" s="4">
        <v>12.830500000000001</v>
      </c>
      <c r="AA237" s="4">
        <v>6.6737200000000003</v>
      </c>
      <c r="AB237" s="4">
        <v>-0.94657999999999998</v>
      </c>
    </row>
    <row r="238" spans="1:28" x14ac:dyDescent="0.25">
      <c r="A238" s="6">
        <v>24</v>
      </c>
      <c r="B238" s="4">
        <v>180</v>
      </c>
      <c r="C238" s="5">
        <v>50</v>
      </c>
      <c r="D238" s="4">
        <v>20</v>
      </c>
      <c r="E238" s="3">
        <v>25</v>
      </c>
      <c r="F238" s="3">
        <f>1.8*E238+32</f>
        <v>77</v>
      </c>
      <c r="G238" s="3">
        <v>24</v>
      </c>
      <c r="H238" s="3">
        <f>IF(F238&gt;68,G238+(F238-68)*0.2,G54-(68-F238)*0.2)</f>
        <v>25.8</v>
      </c>
      <c r="I238" s="3">
        <v>23.5</v>
      </c>
      <c r="J238" s="3">
        <f>1.8*I238+32</f>
        <v>74.300000000000011</v>
      </c>
      <c r="K238" s="3">
        <v>12</v>
      </c>
      <c r="L238" s="3">
        <f>IF(J238&gt;68,K238+(J238-68)*0.2,K238-(68-J238)*0.2)</f>
        <v>13.260000000000002</v>
      </c>
      <c r="M238" s="3">
        <f>(C238-H238)/C238*100</f>
        <v>48.4</v>
      </c>
      <c r="N238" s="3">
        <f>100-(M238+O238)</f>
        <v>25.08</v>
      </c>
      <c r="O238" s="3">
        <f>L238/C238*100</f>
        <v>26.520000000000003</v>
      </c>
      <c r="P238" s="2" t="s">
        <v>0</v>
      </c>
      <c r="Q238" s="1">
        <v>409056.28366299998</v>
      </c>
      <c r="R238" s="1">
        <v>3659306.7366869999</v>
      </c>
      <c r="T238" s="4">
        <v>2006111</v>
      </c>
      <c r="U238" s="4" t="s">
        <v>103</v>
      </c>
      <c r="V238" s="4">
        <v>5.5449999999999999E-2</v>
      </c>
      <c r="W238" s="4">
        <v>0.38149</v>
      </c>
      <c r="X238" s="4">
        <v>2.981E-2</v>
      </c>
      <c r="Y238" s="4">
        <v>1.36602</v>
      </c>
      <c r="Z238" s="4">
        <v>25.738479999999999</v>
      </c>
      <c r="AA238" s="4">
        <v>12.484310000000001</v>
      </c>
      <c r="AB238" s="4">
        <v>-1.34514</v>
      </c>
    </row>
    <row r="239" spans="1:28" x14ac:dyDescent="0.25">
      <c r="A239" s="6">
        <v>24</v>
      </c>
      <c r="B239" s="4">
        <v>210</v>
      </c>
      <c r="C239" s="5">
        <v>50</v>
      </c>
      <c r="D239" s="4">
        <v>20</v>
      </c>
      <c r="E239" s="3">
        <v>25</v>
      </c>
      <c r="F239" s="3">
        <f>1.8*E239+32</f>
        <v>77</v>
      </c>
      <c r="G239" s="3">
        <v>9.5</v>
      </c>
      <c r="H239" s="3">
        <f>IF(F239&gt;68,G239+(F239-68)*0.2,G55-(68-F239)*0.2)</f>
        <v>11.3</v>
      </c>
      <c r="I239" s="3">
        <v>23.5</v>
      </c>
      <c r="J239" s="3">
        <f>1.8*I239+32</f>
        <v>74.300000000000011</v>
      </c>
      <c r="K239" s="3">
        <v>5</v>
      </c>
      <c r="L239" s="3">
        <f>IF(J239&gt;68,K239+(J239-68)*0.2,K239-(68-J239)*0.2)</f>
        <v>6.2600000000000025</v>
      </c>
      <c r="M239" s="3">
        <f>(C239-H239)/C239*100</f>
        <v>77.400000000000006</v>
      </c>
      <c r="N239" s="3">
        <f>100-(M239+O239)</f>
        <v>10.079999999999984</v>
      </c>
      <c r="O239" s="3">
        <f>L239/C239*100</f>
        <v>12.520000000000007</v>
      </c>
      <c r="P239" s="2" t="s">
        <v>20</v>
      </c>
      <c r="Q239" s="1">
        <v>409056.28366299998</v>
      </c>
      <c r="R239" s="1">
        <v>3659306.7366869999</v>
      </c>
      <c r="T239" s="4">
        <v>2006111</v>
      </c>
      <c r="U239" s="4" t="s">
        <v>329</v>
      </c>
      <c r="V239" s="4">
        <v>5.5640000000000002E-2</v>
      </c>
      <c r="W239" s="4">
        <v>0.37269000000000002</v>
      </c>
      <c r="X239" s="4">
        <v>2.947E-2</v>
      </c>
      <c r="Y239" s="4">
        <v>1.7188600000000001</v>
      </c>
      <c r="Z239" s="4">
        <v>85.796189999999996</v>
      </c>
      <c r="AA239" s="4">
        <v>15.51164</v>
      </c>
      <c r="AB239" s="4">
        <v>-0.93237000000000003</v>
      </c>
    </row>
    <row r="240" spans="1:28" x14ac:dyDescent="0.25">
      <c r="A240" s="6">
        <v>24</v>
      </c>
      <c r="B240" s="4">
        <v>240</v>
      </c>
      <c r="C240" s="5">
        <v>50.02</v>
      </c>
      <c r="D240" s="4">
        <v>20</v>
      </c>
      <c r="E240" s="3">
        <v>25</v>
      </c>
      <c r="F240" s="3">
        <f>1.8*E240+32</f>
        <v>77</v>
      </c>
      <c r="G240" s="3">
        <v>9</v>
      </c>
      <c r="H240" s="3">
        <f>IF(F240&gt;68,G240+(F240-68)*0.2,G56-(68-F240)*0.2)</f>
        <v>10.8</v>
      </c>
      <c r="I240" s="3">
        <v>23</v>
      </c>
      <c r="J240" s="3">
        <f>1.8*I240+32</f>
        <v>73.400000000000006</v>
      </c>
      <c r="K240" s="3">
        <v>4</v>
      </c>
      <c r="L240" s="3">
        <f>IF(J240&gt;68,K240+(J240-68)*0.2,K240-(68-J240)*0.2)</f>
        <v>5.080000000000001</v>
      </c>
      <c r="M240" s="3">
        <f>(C240-H240)/C240*100</f>
        <v>78.408636545381839</v>
      </c>
      <c r="N240" s="3">
        <f>100-(M240+O240)</f>
        <v>11.435425829668134</v>
      </c>
      <c r="O240" s="3">
        <f>L240/C240*100</f>
        <v>10.155937624950022</v>
      </c>
      <c r="P240" s="2" t="s">
        <v>20</v>
      </c>
      <c r="Q240" s="1">
        <v>409056.28366299998</v>
      </c>
      <c r="R240" s="1">
        <v>3659306.7366869999</v>
      </c>
      <c r="T240" s="4">
        <v>2006111</v>
      </c>
      <c r="U240" s="4" t="s">
        <v>328</v>
      </c>
      <c r="V240" s="4">
        <v>5.0209999999999998E-2</v>
      </c>
      <c r="W240" s="4">
        <v>0.37846000000000002</v>
      </c>
      <c r="X240" s="4">
        <v>3.3419999999999998E-2</v>
      </c>
      <c r="Y240" s="4">
        <v>1.4810300000000001</v>
      </c>
      <c r="Z240" s="4">
        <v>50.290199999999999</v>
      </c>
      <c r="AA240" s="4">
        <v>17.510300000000001</v>
      </c>
      <c r="AB240" s="4">
        <v>-1.11399</v>
      </c>
    </row>
    <row r="241" spans="1:28" x14ac:dyDescent="0.25">
      <c r="A241" s="6">
        <v>24</v>
      </c>
      <c r="B241" s="4">
        <v>270</v>
      </c>
      <c r="C241" s="5">
        <v>50.01</v>
      </c>
      <c r="D241" s="4">
        <v>20</v>
      </c>
      <c r="E241" s="3">
        <v>26.2</v>
      </c>
      <c r="F241" s="3">
        <f>1.8*E241+32</f>
        <v>79.16</v>
      </c>
      <c r="G241" s="3">
        <v>9</v>
      </c>
      <c r="H241" s="3">
        <f>IF(F241&gt;68,G241+(F241-68)*0.2,G57-(68-F241)*0.2)</f>
        <v>11.231999999999999</v>
      </c>
      <c r="I241" s="3">
        <v>23.5</v>
      </c>
      <c r="J241" s="3">
        <f>1.8*I241+32</f>
        <v>74.300000000000011</v>
      </c>
      <c r="K241" s="3">
        <v>5</v>
      </c>
      <c r="L241" s="3">
        <f>IF(J241&gt;68,K241+(J241-68)*0.2,K241-(68-J241)*0.2)</f>
        <v>6.2600000000000025</v>
      </c>
      <c r="M241" s="3">
        <f>(C241-H241)/C241*100</f>
        <v>77.540491901619674</v>
      </c>
      <c r="N241" s="3">
        <f>100-(M241+O241)</f>
        <v>9.9420115976804624</v>
      </c>
      <c r="O241" s="3">
        <f>L241/C241*100</f>
        <v>12.517496500699865</v>
      </c>
      <c r="P241" s="2" t="s">
        <v>20</v>
      </c>
      <c r="Q241" s="1">
        <v>409056.28366299998</v>
      </c>
      <c r="R241" s="1">
        <v>3659306.7366869999</v>
      </c>
      <c r="T241" s="4">
        <v>2006111</v>
      </c>
      <c r="U241" s="4" t="s">
        <v>327</v>
      </c>
      <c r="V241" s="4">
        <v>4.9090000000000002E-2</v>
      </c>
      <c r="W241" s="4">
        <v>0.37891000000000002</v>
      </c>
      <c r="X241" s="4">
        <v>3.415E-2</v>
      </c>
      <c r="Y241" s="4">
        <v>1.5116700000000001</v>
      </c>
      <c r="Z241" s="4">
        <v>57.153840000000002</v>
      </c>
      <c r="AA241" s="4">
        <v>18.91985</v>
      </c>
      <c r="AB241" s="4">
        <v>-1.0718300000000001</v>
      </c>
    </row>
    <row r="242" spans="1:28" x14ac:dyDescent="0.25">
      <c r="A242" s="6">
        <v>24</v>
      </c>
      <c r="B242" s="4">
        <v>300</v>
      </c>
      <c r="C242" s="5">
        <v>50</v>
      </c>
      <c r="D242" s="4">
        <v>20</v>
      </c>
      <c r="E242" s="3">
        <v>26.2</v>
      </c>
      <c r="F242" s="3">
        <f>1.8*E242+32</f>
        <v>79.16</v>
      </c>
      <c r="G242" s="3">
        <v>8</v>
      </c>
      <c r="H242" s="3">
        <f>IF(F242&gt;68,G242+(F242-68)*0.2,G58-(68-F242)*0.2)</f>
        <v>10.231999999999999</v>
      </c>
      <c r="I242" s="3">
        <v>23.5</v>
      </c>
      <c r="J242" s="3">
        <f>1.8*I242+32</f>
        <v>74.300000000000011</v>
      </c>
      <c r="K242" s="3">
        <v>6</v>
      </c>
      <c r="L242" s="3">
        <f>IF(J242&gt;68,K242+(J242-68)*0.2,K242-(68-J242)*0.2)</f>
        <v>7.2600000000000025</v>
      </c>
      <c r="M242" s="3">
        <f>(C242-H242)/C242*100</f>
        <v>79.536000000000001</v>
      </c>
      <c r="N242" s="3">
        <f>100-(M242+O242)</f>
        <v>5.9439999999999884</v>
      </c>
      <c r="O242" s="3">
        <f>L242/C242*100</f>
        <v>14.520000000000005</v>
      </c>
      <c r="P242" s="2" t="s">
        <v>20</v>
      </c>
      <c r="Q242" s="1">
        <v>409056.28366299998</v>
      </c>
      <c r="R242" s="1">
        <v>3659306.7366869999</v>
      </c>
      <c r="T242" s="4">
        <v>2006111</v>
      </c>
      <c r="U242" s="4" t="s">
        <v>326</v>
      </c>
      <c r="V242" s="4">
        <v>7.2650000000000006E-2</v>
      </c>
      <c r="W242" s="4">
        <v>0.42775999999999997</v>
      </c>
      <c r="X242" s="4">
        <v>7.2899999999999996E-3</v>
      </c>
      <c r="Y242" s="4">
        <v>1.5379100000000001</v>
      </c>
      <c r="Z242" s="4">
        <v>13.357290000000001</v>
      </c>
      <c r="AA242" s="4">
        <v>2.0791599999999999</v>
      </c>
      <c r="AB242" s="4">
        <v>-4.0919999999999998E-2</v>
      </c>
    </row>
    <row r="243" spans="1:28" x14ac:dyDescent="0.25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T243" s="4">
        <v>2006111</v>
      </c>
      <c r="U243" s="4" t="s">
        <v>102</v>
      </c>
      <c r="V243" s="4">
        <v>5.8860000000000003E-2</v>
      </c>
      <c r="W243" s="4">
        <v>0.38102000000000003</v>
      </c>
      <c r="X243" s="4">
        <v>2.8910000000000002E-2</v>
      </c>
      <c r="Y243" s="4">
        <v>1.3487499999999999</v>
      </c>
      <c r="Z243" s="4">
        <v>21.378509999999999</v>
      </c>
      <c r="AA243" s="4">
        <v>11.162039999999999</v>
      </c>
      <c r="AB243" s="4">
        <v>-1.42564</v>
      </c>
    </row>
    <row r="244" spans="1:28" ht="51.75" x14ac:dyDescent="0.25">
      <c r="A244" s="15" t="s">
        <v>19</v>
      </c>
      <c r="B244" s="10" t="s">
        <v>18</v>
      </c>
      <c r="C244" s="14" t="s">
        <v>17</v>
      </c>
      <c r="D244" s="13" t="s">
        <v>16</v>
      </c>
      <c r="E244" s="12" t="s">
        <v>15</v>
      </c>
      <c r="F244" s="12" t="s">
        <v>14</v>
      </c>
      <c r="G244" s="12" t="s">
        <v>13</v>
      </c>
      <c r="H244" s="12" t="s">
        <v>12</v>
      </c>
      <c r="I244" s="12" t="s">
        <v>11</v>
      </c>
      <c r="J244" s="12" t="s">
        <v>10</v>
      </c>
      <c r="K244" s="12" t="s">
        <v>9</v>
      </c>
      <c r="L244" s="12" t="s">
        <v>8</v>
      </c>
      <c r="M244" s="11" t="s">
        <v>7</v>
      </c>
      <c r="N244" s="11" t="s">
        <v>6</v>
      </c>
      <c r="O244" s="11" t="s">
        <v>5</v>
      </c>
      <c r="P244" s="10" t="s">
        <v>4</v>
      </c>
      <c r="Q244" s="9" t="s">
        <v>3</v>
      </c>
      <c r="R244" s="8"/>
      <c r="T244" s="4">
        <v>2006111</v>
      </c>
      <c r="U244" s="4" t="s">
        <v>101</v>
      </c>
      <c r="V244" s="4">
        <v>5.4309999999999997E-2</v>
      </c>
      <c r="W244" s="4">
        <v>0.38097999999999999</v>
      </c>
      <c r="X244" s="4">
        <v>3.0450000000000001E-2</v>
      </c>
      <c r="Y244" s="4">
        <v>1.37399</v>
      </c>
      <c r="Z244" s="4">
        <v>27.966909999999999</v>
      </c>
      <c r="AA244" s="4">
        <v>13.13903</v>
      </c>
      <c r="AB244" s="4">
        <v>-1.3236000000000001</v>
      </c>
    </row>
    <row r="245" spans="1:28" x14ac:dyDescent="0.25">
      <c r="A245" s="15"/>
      <c r="B245" s="10"/>
      <c r="C245" s="14"/>
      <c r="D245" s="13"/>
      <c r="E245" s="12"/>
      <c r="F245" s="12"/>
      <c r="G245" s="12"/>
      <c r="H245" s="12"/>
      <c r="I245" s="12"/>
      <c r="J245" s="12"/>
      <c r="K245" s="12"/>
      <c r="L245" s="12"/>
      <c r="M245" s="11"/>
      <c r="N245" s="11"/>
      <c r="O245" s="11"/>
      <c r="P245" s="10"/>
      <c r="Q245" s="7" t="s">
        <v>2</v>
      </c>
      <c r="R245" s="7" t="s">
        <v>1</v>
      </c>
      <c r="T245" s="4">
        <v>2006111</v>
      </c>
      <c r="U245" s="4" t="s">
        <v>100</v>
      </c>
      <c r="V245" s="4">
        <v>5.2810000000000003E-2</v>
      </c>
      <c r="W245" s="4">
        <v>0.38085000000000002</v>
      </c>
      <c r="X245" s="4">
        <v>3.116E-2</v>
      </c>
      <c r="Y245" s="4">
        <v>1.38443</v>
      </c>
      <c r="Z245" s="4">
        <v>30.871420000000001</v>
      </c>
      <c r="AA245" s="4">
        <v>14.002280000000001</v>
      </c>
      <c r="AB245" s="4">
        <v>-1.29186</v>
      </c>
    </row>
    <row r="246" spans="1:28" x14ac:dyDescent="0.25">
      <c r="A246" s="6">
        <v>25</v>
      </c>
      <c r="B246" s="4">
        <v>30</v>
      </c>
      <c r="C246" s="5">
        <v>50</v>
      </c>
      <c r="D246" s="4">
        <v>20</v>
      </c>
      <c r="E246" s="3">
        <v>23.8</v>
      </c>
      <c r="F246" s="3">
        <f>1.8*E246+32</f>
        <v>74.84</v>
      </c>
      <c r="G246" s="3">
        <v>17</v>
      </c>
      <c r="H246" s="3">
        <f>IF(F246&gt;68,G246+(F246-68)*0.2,#REF!-(68-F246)*0.2)</f>
        <v>18.368000000000002</v>
      </c>
      <c r="I246" s="3">
        <v>23</v>
      </c>
      <c r="J246" s="3">
        <f>1.8*I246+32</f>
        <v>73.400000000000006</v>
      </c>
      <c r="K246" s="3">
        <v>9</v>
      </c>
      <c r="L246" s="3">
        <f>IF(J246&gt;68,K246+(J246-68)*0.2,K246-(68-J246)*0.2)</f>
        <v>10.080000000000002</v>
      </c>
      <c r="M246" s="3">
        <f>(C246-H246)/C246*100</f>
        <v>63.263999999999996</v>
      </c>
      <c r="N246" s="3">
        <f>100-(M246+O246)</f>
        <v>16.575999999999993</v>
      </c>
      <c r="O246" s="3">
        <f>L246/C246*100</f>
        <v>20.160000000000004</v>
      </c>
      <c r="P246" s="2" t="s">
        <v>0</v>
      </c>
      <c r="Q246" s="21">
        <v>409068.49112600001</v>
      </c>
      <c r="R246" s="31">
        <v>3659306.5285100001</v>
      </c>
      <c r="T246" s="4">
        <v>2006111</v>
      </c>
      <c r="U246" s="4" t="s">
        <v>99</v>
      </c>
      <c r="V246" s="4">
        <v>6.3280000000000003E-2</v>
      </c>
      <c r="W246" s="4">
        <v>0.38513999999999998</v>
      </c>
      <c r="X246" s="4">
        <v>2.6950000000000002E-2</v>
      </c>
      <c r="Y246" s="4">
        <v>1.3306899999999999</v>
      </c>
      <c r="Z246" s="4">
        <v>16.088609999999999</v>
      </c>
      <c r="AA246" s="4">
        <v>9.5117399999999996</v>
      </c>
      <c r="AB246" s="4">
        <v>-1.4805200000000001</v>
      </c>
    </row>
    <row r="247" spans="1:28" x14ac:dyDescent="0.25">
      <c r="A247" s="6">
        <v>25</v>
      </c>
      <c r="B247" s="4">
        <v>60</v>
      </c>
      <c r="C247" s="5">
        <v>50</v>
      </c>
      <c r="D247" s="4">
        <v>20</v>
      </c>
      <c r="E247" s="3">
        <v>23.5</v>
      </c>
      <c r="F247" s="3">
        <f>1.8*E247+32</f>
        <v>74.300000000000011</v>
      </c>
      <c r="G247" s="3">
        <v>15</v>
      </c>
      <c r="H247" s="3">
        <f>IF(F247&gt;68,G247+(F247-68)*0.2,#REF!-(68-F247)*0.2)</f>
        <v>16.260000000000002</v>
      </c>
      <c r="I247" s="3">
        <v>23</v>
      </c>
      <c r="J247" s="3">
        <f>1.8*I247+32</f>
        <v>73.400000000000006</v>
      </c>
      <c r="K247" s="3">
        <v>8.5</v>
      </c>
      <c r="L247" s="3">
        <f>IF(J247&gt;68,K247+(J247-68)*0.2,K247-(68-J247)*0.2)</f>
        <v>9.5800000000000018</v>
      </c>
      <c r="M247" s="3">
        <f>(C247-H247)/C247*100</f>
        <v>67.47999999999999</v>
      </c>
      <c r="N247" s="3">
        <f>100-(M247+O247)</f>
        <v>13.360000000000014</v>
      </c>
      <c r="O247" s="3">
        <f>L247/C247*100</f>
        <v>19.160000000000004</v>
      </c>
      <c r="P247" s="2" t="s">
        <v>20</v>
      </c>
      <c r="Q247" s="21">
        <v>409068.49112600001</v>
      </c>
      <c r="R247" s="31">
        <v>3659306.5285100001</v>
      </c>
      <c r="T247" s="4">
        <v>2006111</v>
      </c>
      <c r="U247" s="4" t="s">
        <v>98</v>
      </c>
      <c r="V247" s="4">
        <v>6.1719999999999997E-2</v>
      </c>
      <c r="W247" s="4">
        <v>0.38230999999999998</v>
      </c>
      <c r="X247" s="4">
        <v>2.7959999999999999E-2</v>
      </c>
      <c r="Y247" s="4">
        <v>1.33395</v>
      </c>
      <c r="Z247" s="4">
        <v>17.913450000000001</v>
      </c>
      <c r="AA247" s="4">
        <v>10.12181</v>
      </c>
      <c r="AB247" s="4">
        <v>-1.48936</v>
      </c>
    </row>
    <row r="248" spans="1:28" x14ac:dyDescent="0.25">
      <c r="A248" s="6">
        <v>25</v>
      </c>
      <c r="B248" s="4">
        <v>90</v>
      </c>
      <c r="C248" s="5">
        <v>50</v>
      </c>
      <c r="D248" s="4">
        <v>20</v>
      </c>
      <c r="E248" s="3">
        <v>23.5</v>
      </c>
      <c r="F248" s="3">
        <f>1.8*E248+32</f>
        <v>74.300000000000011</v>
      </c>
      <c r="G248" s="3">
        <v>13.5</v>
      </c>
      <c r="H248" s="3">
        <f>IF(F248&gt;68,G248+(F248-68)*0.2,#REF!-(68-F248)*0.2)</f>
        <v>14.760000000000002</v>
      </c>
      <c r="I248" s="3">
        <v>23</v>
      </c>
      <c r="J248" s="3">
        <f>1.8*I248+32</f>
        <v>73.400000000000006</v>
      </c>
      <c r="K248" s="3">
        <v>8</v>
      </c>
      <c r="L248" s="3">
        <f>IF(J248&gt;68,K248+(J248-68)*0.2,K248-(68-J248)*0.2)</f>
        <v>9.0800000000000018</v>
      </c>
      <c r="M248" s="3">
        <f>(C248-H248)/C248*100</f>
        <v>70.47999999999999</v>
      </c>
      <c r="N248" s="3">
        <f>100-(M248+O248)</f>
        <v>11.360000000000014</v>
      </c>
      <c r="O248" s="3">
        <f>L248/C248*100</f>
        <v>18.160000000000004</v>
      </c>
      <c r="P248" s="2" t="s">
        <v>20</v>
      </c>
      <c r="Q248" s="21">
        <v>409068.49112600001</v>
      </c>
      <c r="R248" s="31">
        <v>3659306.5285100001</v>
      </c>
      <c r="T248" s="4">
        <v>2006111</v>
      </c>
      <c r="U248" s="4" t="s">
        <v>97</v>
      </c>
      <c r="V248" s="4">
        <v>6.4659999999999995E-2</v>
      </c>
      <c r="W248" s="4">
        <v>0.38562000000000002</v>
      </c>
      <c r="X248" s="4">
        <v>2.6759999999999999E-2</v>
      </c>
      <c r="Y248" s="4">
        <v>1.3240400000000001</v>
      </c>
      <c r="Z248" s="4">
        <v>14.9557</v>
      </c>
      <c r="AA248" s="4">
        <v>9.1722900000000003</v>
      </c>
      <c r="AB248" s="4">
        <v>-1.52023</v>
      </c>
    </row>
    <row r="249" spans="1:28" x14ac:dyDescent="0.25">
      <c r="A249" s="6">
        <v>25</v>
      </c>
      <c r="B249" s="4">
        <v>120</v>
      </c>
      <c r="C249" s="5">
        <v>50</v>
      </c>
      <c r="D249" s="4">
        <v>20</v>
      </c>
      <c r="E249" s="3">
        <v>23.5</v>
      </c>
      <c r="F249" s="3">
        <f>1.8*E249+32</f>
        <v>74.300000000000011</v>
      </c>
      <c r="G249" s="3">
        <v>15</v>
      </c>
      <c r="H249" s="3">
        <f>IF(F249&gt;68,G249+(F249-68)*0.2,G638-(68-F249)*0.2)</f>
        <v>16.260000000000002</v>
      </c>
      <c r="I249" s="3">
        <v>23</v>
      </c>
      <c r="J249" s="3">
        <f>1.8*I249+32</f>
        <v>73.400000000000006</v>
      </c>
      <c r="K249" s="3">
        <v>9</v>
      </c>
      <c r="L249" s="3">
        <f>IF(J249&gt;68,K249+(J249-68)*0.2,K249-(68-J249)*0.2)</f>
        <v>10.080000000000002</v>
      </c>
      <c r="M249" s="3">
        <f>(C249-H249)/C249*100</f>
        <v>67.47999999999999</v>
      </c>
      <c r="N249" s="3">
        <f>100-(M249+O249)</f>
        <v>12.360000000000014</v>
      </c>
      <c r="O249" s="3">
        <f>L249/C249*100</f>
        <v>20.160000000000004</v>
      </c>
      <c r="P249" s="2" t="s">
        <v>0</v>
      </c>
      <c r="Q249" s="21">
        <v>409068.49112600001</v>
      </c>
      <c r="R249" s="31">
        <v>3659306.5285100001</v>
      </c>
      <c r="T249" s="4">
        <v>2006111</v>
      </c>
      <c r="U249" s="4" t="s">
        <v>325</v>
      </c>
      <c r="V249" s="4">
        <v>6.4030000000000004E-2</v>
      </c>
      <c r="W249" s="4">
        <v>0.39085999999999999</v>
      </c>
      <c r="X249" s="4">
        <v>2.4279999999999999E-2</v>
      </c>
      <c r="Y249" s="4">
        <v>1.3464799999999999</v>
      </c>
      <c r="Z249" s="4">
        <v>14.44665</v>
      </c>
      <c r="AA249" s="4">
        <v>8.5824400000000001</v>
      </c>
      <c r="AB249" s="4">
        <v>-1.31369</v>
      </c>
    </row>
    <row r="250" spans="1:28" x14ac:dyDescent="0.25">
      <c r="A250" s="6">
        <v>25</v>
      </c>
      <c r="B250" s="4">
        <v>150</v>
      </c>
      <c r="C250" s="5">
        <v>50</v>
      </c>
      <c r="D250" s="4">
        <v>20</v>
      </c>
      <c r="E250" s="3">
        <v>24.8</v>
      </c>
      <c r="F250" s="3">
        <f>1.8*E250+32</f>
        <v>76.64</v>
      </c>
      <c r="G250" s="3">
        <v>14</v>
      </c>
      <c r="H250" s="3">
        <f>IF(F250&gt;68,G250+(F250-68)*0.2,G639-(68-F250)*0.2)</f>
        <v>15.728</v>
      </c>
      <c r="I250" s="3">
        <v>23</v>
      </c>
      <c r="J250" s="3">
        <f>1.8*I250+32</f>
        <v>73.400000000000006</v>
      </c>
      <c r="K250" s="3">
        <v>8</v>
      </c>
      <c r="L250" s="3">
        <f>IF(J250&gt;68,K250+(J250-68)*0.2,K250-(68-J250)*0.2)</f>
        <v>9.0800000000000018</v>
      </c>
      <c r="M250" s="3">
        <f>(C250-H250)/C250*100</f>
        <v>68.543999999999997</v>
      </c>
      <c r="N250" s="3">
        <f>100-(M250+O250)</f>
        <v>13.295999999999992</v>
      </c>
      <c r="O250" s="3">
        <f>L250/C250*100</f>
        <v>18.160000000000004</v>
      </c>
      <c r="P250" s="2" t="s">
        <v>20</v>
      </c>
      <c r="Q250" s="21">
        <v>409068.49112600001</v>
      </c>
      <c r="R250" s="31">
        <v>3659306.5285100001</v>
      </c>
      <c r="T250" s="4">
        <v>2006111</v>
      </c>
      <c r="U250" s="4" t="s">
        <v>324</v>
      </c>
      <c r="V250" s="4">
        <v>5.8819999999999997E-2</v>
      </c>
      <c r="W250" s="4">
        <v>0.38341999999999998</v>
      </c>
      <c r="X250" s="4">
        <v>2.81E-2</v>
      </c>
      <c r="Y250" s="4">
        <v>1.34951</v>
      </c>
      <c r="Z250" s="4">
        <v>20.614470000000001</v>
      </c>
      <c r="AA250" s="4">
        <v>10.893330000000001</v>
      </c>
      <c r="AB250" s="4">
        <v>-1.391</v>
      </c>
    </row>
    <row r="251" spans="1:28" x14ac:dyDescent="0.25">
      <c r="A251" s="6">
        <v>25</v>
      </c>
      <c r="B251" s="4">
        <v>180</v>
      </c>
      <c r="C251" s="5">
        <v>50.01</v>
      </c>
      <c r="D251" s="4">
        <v>20</v>
      </c>
      <c r="E251" s="3">
        <v>25</v>
      </c>
      <c r="F251" s="3">
        <f>1.8*E251+32</f>
        <v>77</v>
      </c>
      <c r="G251" s="3">
        <v>13</v>
      </c>
      <c r="H251" s="3">
        <f>IF(F251&gt;68,G251+(F251-68)*0.2,G640-(68-F251)*0.2)</f>
        <v>14.8</v>
      </c>
      <c r="I251" s="3">
        <v>23</v>
      </c>
      <c r="J251" s="3">
        <f>1.8*I251+32</f>
        <v>73.400000000000006</v>
      </c>
      <c r="K251" s="3">
        <v>7</v>
      </c>
      <c r="L251" s="3">
        <f>IF(J251&gt;68,K251+(J251-68)*0.2,K251-(68-J251)*0.2)</f>
        <v>8.0800000000000018</v>
      </c>
      <c r="M251" s="3">
        <f>(C251-H251)/C251*100</f>
        <v>70.405918816236749</v>
      </c>
      <c r="N251" s="3">
        <f>100-(M251+O251)</f>
        <v>13.437312537492502</v>
      </c>
      <c r="O251" s="3">
        <f>L251/C251*100</f>
        <v>16.156768646270748</v>
      </c>
      <c r="P251" s="2" t="s">
        <v>20</v>
      </c>
      <c r="Q251" s="21">
        <v>409068.49112600001</v>
      </c>
      <c r="R251" s="31">
        <v>3659306.5285100001</v>
      </c>
      <c r="T251" s="4">
        <v>2006111</v>
      </c>
      <c r="U251" s="4" t="s">
        <v>323</v>
      </c>
      <c r="V251" s="4">
        <v>5.321E-2</v>
      </c>
      <c r="W251" s="4">
        <v>0.37958999999999998</v>
      </c>
      <c r="X251" s="4">
        <v>3.143E-2</v>
      </c>
      <c r="Y251" s="4">
        <v>1.39194</v>
      </c>
      <c r="Z251" s="4">
        <v>32.049169999999997</v>
      </c>
      <c r="AA251" s="4">
        <v>14.11966</v>
      </c>
      <c r="AB251" s="4">
        <v>-1.28491</v>
      </c>
    </row>
    <row r="252" spans="1:28" x14ac:dyDescent="0.25">
      <c r="A252" s="6">
        <v>25</v>
      </c>
      <c r="B252" s="4">
        <v>210</v>
      </c>
      <c r="C252" s="5">
        <v>50.01</v>
      </c>
      <c r="D252" s="4">
        <v>20</v>
      </c>
      <c r="E252" s="3">
        <v>25</v>
      </c>
      <c r="F252" s="3">
        <f>1.8*E252+32</f>
        <v>77</v>
      </c>
      <c r="G252" s="3">
        <v>11</v>
      </c>
      <c r="H252" s="3">
        <f>IF(F252&gt;68,G252+(F252-68)*0.2,G641-(68-F252)*0.2)</f>
        <v>12.8</v>
      </c>
      <c r="I252" s="3">
        <v>23</v>
      </c>
      <c r="J252" s="3">
        <f>1.8*I252+32</f>
        <v>73.400000000000006</v>
      </c>
      <c r="K252" s="3">
        <v>8.5</v>
      </c>
      <c r="L252" s="3">
        <f>IF(J252&gt;68,K252+(J252-68)*0.2,K252-(68-J252)*0.2)</f>
        <v>9.5800000000000018</v>
      </c>
      <c r="M252" s="3">
        <f>(C252-H252)/C252*100</f>
        <v>74.405118976204747</v>
      </c>
      <c r="N252" s="3">
        <f>100-(M252+O252)</f>
        <v>6.4387122575485023</v>
      </c>
      <c r="O252" s="3">
        <f>L252/C252*100</f>
        <v>19.156168766246758</v>
      </c>
      <c r="P252" s="2" t="s">
        <v>20</v>
      </c>
      <c r="Q252" s="21">
        <v>409068.49112600001</v>
      </c>
      <c r="R252" s="31">
        <v>3659306.5285100001</v>
      </c>
      <c r="T252" s="4">
        <v>2006111</v>
      </c>
      <c r="U252" s="4" t="s">
        <v>322</v>
      </c>
      <c r="V252" s="4">
        <v>5.6840000000000002E-2</v>
      </c>
      <c r="W252" s="4">
        <v>0.37686999999999998</v>
      </c>
      <c r="X252" s="4">
        <v>3.006E-2</v>
      </c>
      <c r="Y252" s="4">
        <v>1.38117</v>
      </c>
      <c r="Z252" s="4">
        <v>27.244689999999999</v>
      </c>
      <c r="AA252" s="4">
        <v>12.342919999999999</v>
      </c>
      <c r="AB252" s="4">
        <v>-1.3338099999999999</v>
      </c>
    </row>
    <row r="253" spans="1:28" x14ac:dyDescent="0.25">
      <c r="A253" s="6">
        <v>25</v>
      </c>
      <c r="B253" s="4">
        <v>240</v>
      </c>
      <c r="C253" s="5">
        <v>50</v>
      </c>
      <c r="D253" s="4">
        <v>20</v>
      </c>
      <c r="E253" s="3">
        <v>25</v>
      </c>
      <c r="F253" s="3">
        <f>1.8*E253+32</f>
        <v>77</v>
      </c>
      <c r="G253" s="3">
        <v>10</v>
      </c>
      <c r="H253" s="3">
        <f>IF(F253&gt;68,G253+(F253-68)*0.2,G642-(68-F253)*0.2)</f>
        <v>11.8</v>
      </c>
      <c r="I253" s="3">
        <v>23</v>
      </c>
      <c r="J253" s="3">
        <f>1.8*I253+32</f>
        <v>73.400000000000006</v>
      </c>
      <c r="K253" s="3">
        <v>7.5</v>
      </c>
      <c r="L253" s="3">
        <f>IF(J253&gt;68,K253+(J253-68)*0.2,K253-(68-J253)*0.2)</f>
        <v>8.5800000000000018</v>
      </c>
      <c r="M253" s="3">
        <f>(C253-H253)/C253*100</f>
        <v>76.400000000000006</v>
      </c>
      <c r="N253" s="3">
        <f>100-(M253+O253)</f>
        <v>6.4399999999999977</v>
      </c>
      <c r="O253" s="3">
        <f>L253/C253*100</f>
        <v>17.160000000000004</v>
      </c>
      <c r="P253" s="2" t="s">
        <v>20</v>
      </c>
      <c r="Q253" s="21">
        <v>409068.49112600001</v>
      </c>
      <c r="R253" s="31">
        <v>3659306.5285100001</v>
      </c>
      <c r="T253" s="4">
        <v>2006111</v>
      </c>
      <c r="U253" s="4" t="s">
        <v>96</v>
      </c>
      <c r="V253" s="4">
        <v>5.8500000000000003E-2</v>
      </c>
      <c r="W253" s="4">
        <v>0.38357000000000002</v>
      </c>
      <c r="X253" s="4">
        <v>2.809E-2</v>
      </c>
      <c r="Y253" s="4">
        <v>1.3511500000000001</v>
      </c>
      <c r="Z253" s="4">
        <v>20.896450000000002</v>
      </c>
      <c r="AA253" s="4">
        <v>10.96739</v>
      </c>
      <c r="AB253" s="4">
        <v>-1.38008</v>
      </c>
    </row>
    <row r="254" spans="1:28" x14ac:dyDescent="0.25">
      <c r="A254" s="6">
        <v>25</v>
      </c>
      <c r="B254" s="4">
        <v>270</v>
      </c>
      <c r="C254" s="5">
        <v>50</v>
      </c>
      <c r="D254" s="4">
        <v>20</v>
      </c>
      <c r="E254" s="3">
        <v>25</v>
      </c>
      <c r="F254" s="3">
        <f>1.8*E254+32</f>
        <v>77</v>
      </c>
      <c r="G254" s="3">
        <v>8.5</v>
      </c>
      <c r="H254" s="3">
        <f>IF(F254&gt;68,G254+(F254-68)*0.2,G643-(68-F254)*0.2)</f>
        <v>10.3</v>
      </c>
      <c r="I254" s="3">
        <v>23</v>
      </c>
      <c r="J254" s="3">
        <f>1.8*I254+32</f>
        <v>73.400000000000006</v>
      </c>
      <c r="K254" s="3">
        <v>7</v>
      </c>
      <c r="L254" s="3">
        <f>IF(J254&gt;68,K254+(J254-68)*0.2,K254-(68-J254)*0.2)</f>
        <v>8.0800000000000018</v>
      </c>
      <c r="M254" s="3">
        <f>(C254-H254)/C254*100</f>
        <v>79.400000000000006</v>
      </c>
      <c r="N254" s="3">
        <f>100-(M254+O254)</f>
        <v>4.4399999999999977</v>
      </c>
      <c r="O254" s="3">
        <f>L254/C254*100</f>
        <v>16.160000000000004</v>
      </c>
      <c r="P254" s="2" t="s">
        <v>20</v>
      </c>
      <c r="Q254" s="21">
        <v>409068.49112600001</v>
      </c>
      <c r="R254" s="31">
        <v>3659306.5285100001</v>
      </c>
      <c r="T254" s="4">
        <v>2006111</v>
      </c>
      <c r="U254" s="4" t="s">
        <v>95</v>
      </c>
      <c r="V254" s="4">
        <v>6.6430000000000003E-2</v>
      </c>
      <c r="W254" s="4">
        <v>0.38957000000000003</v>
      </c>
      <c r="X254" s="4">
        <v>2.5409999999999999E-2</v>
      </c>
      <c r="Y254" s="4">
        <v>1.3258000000000001</v>
      </c>
      <c r="Z254" s="4">
        <v>13.235469999999999</v>
      </c>
      <c r="AA254" s="4">
        <v>8.5193100000000008</v>
      </c>
      <c r="AB254" s="4">
        <v>-1.47193</v>
      </c>
    </row>
    <row r="255" spans="1:28" x14ac:dyDescent="0.25">
      <c r="A255" s="6">
        <v>25</v>
      </c>
      <c r="B255" s="4">
        <v>300</v>
      </c>
      <c r="C255" s="5">
        <v>50.01</v>
      </c>
      <c r="D255" s="4">
        <v>20</v>
      </c>
      <c r="E255" s="3">
        <v>25</v>
      </c>
      <c r="F255" s="3">
        <f>1.8*E255+32</f>
        <v>77</v>
      </c>
      <c r="G255" s="3">
        <v>9</v>
      </c>
      <c r="H255" s="3">
        <f>IF(F255&gt;68,G255+(F255-68)*0.2,G644-(68-F255)*0.2)</f>
        <v>10.8</v>
      </c>
      <c r="I255" s="3">
        <v>23</v>
      </c>
      <c r="J255" s="3">
        <f>1.8*I255+32</f>
        <v>73.400000000000006</v>
      </c>
      <c r="K255" s="3">
        <v>7.5</v>
      </c>
      <c r="L255" s="3">
        <f>IF(J255&gt;68,K255+(J255-68)*0.2,K255-(68-J255)*0.2)</f>
        <v>8.5800000000000018</v>
      </c>
      <c r="M255" s="3">
        <f>(C255-H255)/C255*100</f>
        <v>78.404319136172745</v>
      </c>
      <c r="N255" s="3">
        <f>100-(M255+O255)</f>
        <v>4.4391121775645104</v>
      </c>
      <c r="O255" s="3">
        <f>L255/C255*100</f>
        <v>17.156568686262752</v>
      </c>
      <c r="P255" s="2" t="s">
        <v>20</v>
      </c>
      <c r="Q255" s="21">
        <v>409068.49112600001</v>
      </c>
      <c r="R255" s="31">
        <v>3659306.5285100001</v>
      </c>
      <c r="T255" s="4">
        <v>2006111</v>
      </c>
      <c r="U255" s="4" t="s">
        <v>93</v>
      </c>
      <c r="V255" s="4">
        <v>7.2040000000000007E-2</v>
      </c>
      <c r="W255" s="4">
        <v>0.39576</v>
      </c>
      <c r="X255" s="4">
        <v>2.4549999999999999E-2</v>
      </c>
      <c r="Y255" s="4">
        <v>1.3056099999999999</v>
      </c>
      <c r="Z255" s="4">
        <v>9.9514899999999997</v>
      </c>
      <c r="AA255" s="4">
        <v>7.4760900000000001</v>
      </c>
      <c r="AB255" s="4">
        <v>-1.58785</v>
      </c>
    </row>
    <row r="256" spans="1:28" x14ac:dyDescent="0.25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T256" s="4">
        <v>2006111</v>
      </c>
      <c r="U256" s="4" t="s">
        <v>92</v>
      </c>
      <c r="V256" s="4">
        <v>7.6700000000000004E-2</v>
      </c>
      <c r="W256" s="4">
        <v>0.40268999999999999</v>
      </c>
      <c r="X256" s="4">
        <v>2.4639999999999999E-2</v>
      </c>
      <c r="Y256" s="4">
        <v>1.2831900000000001</v>
      </c>
      <c r="Z256" s="4">
        <v>8.7245000000000008</v>
      </c>
      <c r="AA256" s="4">
        <v>6.9643499999999996</v>
      </c>
      <c r="AB256" s="4">
        <v>-1.76966</v>
      </c>
    </row>
    <row r="257" spans="1:28" ht="51.75" x14ac:dyDescent="0.25">
      <c r="A257" s="15" t="s">
        <v>19</v>
      </c>
      <c r="B257" s="10" t="s">
        <v>18</v>
      </c>
      <c r="C257" s="14" t="s">
        <v>17</v>
      </c>
      <c r="D257" s="13" t="s">
        <v>16</v>
      </c>
      <c r="E257" s="12" t="s">
        <v>15</v>
      </c>
      <c r="F257" s="12" t="s">
        <v>14</v>
      </c>
      <c r="G257" s="12" t="s">
        <v>13</v>
      </c>
      <c r="H257" s="12" t="s">
        <v>12</v>
      </c>
      <c r="I257" s="12" t="s">
        <v>11</v>
      </c>
      <c r="J257" s="12" t="s">
        <v>10</v>
      </c>
      <c r="K257" s="12" t="s">
        <v>9</v>
      </c>
      <c r="L257" s="12" t="s">
        <v>8</v>
      </c>
      <c r="M257" s="11" t="s">
        <v>7</v>
      </c>
      <c r="N257" s="11" t="s">
        <v>6</v>
      </c>
      <c r="O257" s="11" t="s">
        <v>5</v>
      </c>
      <c r="P257" s="10" t="s">
        <v>4</v>
      </c>
      <c r="Q257" s="9" t="s">
        <v>3</v>
      </c>
      <c r="R257" s="8"/>
      <c r="T257" s="4">
        <v>2006111</v>
      </c>
      <c r="U257" s="4" t="s">
        <v>91</v>
      </c>
      <c r="V257" s="4">
        <v>7.4579999999999994E-2</v>
      </c>
      <c r="W257" s="4">
        <v>0.39389999999999997</v>
      </c>
      <c r="X257" s="4">
        <v>2.6450000000000001E-2</v>
      </c>
      <c r="Y257" s="4">
        <v>1.2716099999999999</v>
      </c>
      <c r="Z257" s="4">
        <v>10.906140000000001</v>
      </c>
      <c r="AA257" s="4">
        <v>7.4699499999999999</v>
      </c>
      <c r="AB257" s="4">
        <v>-1.9479500000000001</v>
      </c>
    </row>
    <row r="258" spans="1:28" x14ac:dyDescent="0.25">
      <c r="A258" s="15"/>
      <c r="B258" s="10"/>
      <c r="C258" s="14"/>
      <c r="D258" s="13"/>
      <c r="E258" s="12"/>
      <c r="F258" s="12"/>
      <c r="G258" s="12"/>
      <c r="H258" s="12"/>
      <c r="I258" s="12"/>
      <c r="J258" s="12"/>
      <c r="K258" s="12"/>
      <c r="L258" s="12"/>
      <c r="M258" s="11"/>
      <c r="N258" s="11"/>
      <c r="O258" s="11"/>
      <c r="P258" s="10"/>
      <c r="Q258" s="7" t="s">
        <v>2</v>
      </c>
      <c r="R258" s="7" t="s">
        <v>1</v>
      </c>
      <c r="T258" s="4">
        <v>2006111</v>
      </c>
      <c r="U258" s="4" t="s">
        <v>90</v>
      </c>
      <c r="V258" s="4">
        <v>7.2120000000000004E-2</v>
      </c>
      <c r="W258" s="4">
        <v>0.38866000000000001</v>
      </c>
      <c r="X258" s="4">
        <v>2.6780000000000002E-2</v>
      </c>
      <c r="Y258" s="4">
        <v>1.2782899999999999</v>
      </c>
      <c r="Z258" s="4">
        <v>11.77237</v>
      </c>
      <c r="AA258" s="4">
        <v>7.7936500000000004</v>
      </c>
      <c r="AB258" s="4">
        <v>-1.8936200000000001</v>
      </c>
    </row>
    <row r="259" spans="1:28" x14ac:dyDescent="0.25">
      <c r="A259" s="6">
        <v>26</v>
      </c>
      <c r="B259" s="4">
        <v>30</v>
      </c>
      <c r="C259" s="5">
        <v>50.01</v>
      </c>
      <c r="D259" s="4">
        <v>20</v>
      </c>
      <c r="E259" s="3">
        <v>23</v>
      </c>
      <c r="F259" s="3">
        <f>1.8*E259+32</f>
        <v>73.400000000000006</v>
      </c>
      <c r="G259" s="3">
        <v>15.5</v>
      </c>
      <c r="H259" s="3">
        <f>IF(F259&gt;68,G259+(F259-68)*0.2,#REF!-(68-F259)*0.2)</f>
        <v>16.580000000000002</v>
      </c>
      <c r="I259" s="3">
        <v>22</v>
      </c>
      <c r="J259" s="3">
        <f>1.8*I259+32</f>
        <v>71.599999999999994</v>
      </c>
      <c r="K259" s="3">
        <v>6.5</v>
      </c>
      <c r="L259" s="3">
        <f>IF(J259&gt;68,K259+(J259-68)*0.2,K259-(68-J259)*0.2)</f>
        <v>7.2199999999999989</v>
      </c>
      <c r="M259" s="3">
        <f>(C259-H259)/C259*100</f>
        <v>66.846630673865221</v>
      </c>
      <c r="N259" s="3">
        <f>100-(M259+O259)</f>
        <v>18.716256748650281</v>
      </c>
      <c r="O259" s="3">
        <f>L259/C259*100</f>
        <v>14.437112577484502</v>
      </c>
      <c r="P259" s="2" t="s">
        <v>20</v>
      </c>
      <c r="Q259" s="16">
        <v>409080.70377000002</v>
      </c>
      <c r="R259" s="1">
        <v>3659306.3202439998</v>
      </c>
      <c r="T259" s="4">
        <v>2006111</v>
      </c>
      <c r="U259" s="4" t="s">
        <v>321</v>
      </c>
      <c r="V259" s="4">
        <v>6.3039999999999999E-2</v>
      </c>
      <c r="W259" s="4">
        <v>0.37396000000000001</v>
      </c>
      <c r="X259" s="4">
        <v>2.751E-2</v>
      </c>
      <c r="Y259" s="4">
        <v>1.3380399999999999</v>
      </c>
      <c r="Z259" s="4">
        <v>18.215250000000001</v>
      </c>
      <c r="AA259" s="4">
        <v>9.4547699999999999</v>
      </c>
      <c r="AB259" s="4">
        <v>-1.50108</v>
      </c>
    </row>
    <row r="260" spans="1:28" x14ac:dyDescent="0.25">
      <c r="A260" s="6">
        <v>26</v>
      </c>
      <c r="B260" s="4">
        <v>60</v>
      </c>
      <c r="C260" s="5">
        <v>50.01</v>
      </c>
      <c r="D260" s="4">
        <v>20</v>
      </c>
      <c r="E260" s="3">
        <v>23</v>
      </c>
      <c r="F260" s="3">
        <f>1.8*E260+32</f>
        <v>73.400000000000006</v>
      </c>
      <c r="G260" s="3">
        <v>13</v>
      </c>
      <c r="H260" s="3">
        <f>IF(F260&gt;68,G260+(F260-68)*0.2,#REF!-(68-F260)*0.2)</f>
        <v>14.080000000000002</v>
      </c>
      <c r="I260" s="3">
        <v>22</v>
      </c>
      <c r="J260" s="3">
        <f>1.8*I260+32</f>
        <v>71.599999999999994</v>
      </c>
      <c r="K260" s="3">
        <v>6</v>
      </c>
      <c r="L260" s="3">
        <f>IF(J260&gt;68,K260+(J260-68)*0.2,K260-(68-J260)*0.2)</f>
        <v>6.7199999999999989</v>
      </c>
      <c r="M260" s="3">
        <f>(C260-H260)/C260*100</f>
        <v>71.845630873825229</v>
      </c>
      <c r="N260" s="3">
        <f>100-(M260+O260)</f>
        <v>14.717056588682269</v>
      </c>
      <c r="O260" s="3">
        <f>L260/C260*100</f>
        <v>13.437312537492499</v>
      </c>
      <c r="P260" s="2" t="s">
        <v>20</v>
      </c>
      <c r="Q260" s="16">
        <v>409080.70377000002</v>
      </c>
      <c r="R260" s="1">
        <v>3659306.3202439998</v>
      </c>
      <c r="T260" s="4">
        <v>2006111</v>
      </c>
      <c r="U260" s="4" t="s">
        <v>320</v>
      </c>
      <c r="V260" s="4">
        <v>6.0159999999999998E-2</v>
      </c>
      <c r="W260" s="4">
        <v>0.37092999999999998</v>
      </c>
      <c r="X260" s="4">
        <v>2.7289999999999998E-2</v>
      </c>
      <c r="Y260" s="4">
        <v>1.42536</v>
      </c>
      <c r="Z260" s="4">
        <v>28.268370000000001</v>
      </c>
      <c r="AA260" s="4">
        <v>10.58737</v>
      </c>
      <c r="AB260" s="4">
        <v>-1.2133499999999999</v>
      </c>
    </row>
    <row r="261" spans="1:28" x14ac:dyDescent="0.25">
      <c r="A261" s="6">
        <v>26</v>
      </c>
      <c r="B261" s="4">
        <v>90</v>
      </c>
      <c r="C261" s="5">
        <v>50</v>
      </c>
      <c r="D261" s="4">
        <v>20</v>
      </c>
      <c r="E261" s="3">
        <v>23</v>
      </c>
      <c r="F261" s="3">
        <f>1.8*E261+32</f>
        <v>73.400000000000006</v>
      </c>
      <c r="G261" s="3">
        <v>17</v>
      </c>
      <c r="H261" s="3">
        <f>IF(F261&gt;68,G261+(F261-68)*0.2,#REF!-(68-F261)*0.2)</f>
        <v>18.080000000000002</v>
      </c>
      <c r="I261" s="3">
        <v>22</v>
      </c>
      <c r="J261" s="3">
        <f>1.8*I261+32</f>
        <v>71.599999999999994</v>
      </c>
      <c r="K261" s="3">
        <v>8</v>
      </c>
      <c r="L261" s="3">
        <f>IF(J261&gt;68,K261+(J261-68)*0.2,K261-(68-J261)*0.2)</f>
        <v>8.7199999999999989</v>
      </c>
      <c r="M261" s="3">
        <f>(C261-H261)/C261*100</f>
        <v>63.839999999999996</v>
      </c>
      <c r="N261" s="3">
        <f>100-(M261+O261)</f>
        <v>18.72</v>
      </c>
      <c r="O261" s="3">
        <f>L261/C261*100</f>
        <v>17.439999999999998</v>
      </c>
      <c r="P261" s="2" t="s">
        <v>20</v>
      </c>
      <c r="Q261" s="16">
        <v>409080.70377000002</v>
      </c>
      <c r="R261" s="1">
        <v>3659306.3202439998</v>
      </c>
      <c r="T261" s="4">
        <v>2006111</v>
      </c>
      <c r="U261" s="4" t="s">
        <v>319</v>
      </c>
      <c r="V261" s="4">
        <v>5.6820000000000002E-2</v>
      </c>
      <c r="W261" s="4">
        <v>0.37263000000000002</v>
      </c>
      <c r="X261" s="4">
        <v>2.9020000000000001E-2</v>
      </c>
      <c r="Y261" s="4">
        <v>1.4984900000000001</v>
      </c>
      <c r="Z261" s="4">
        <v>42.716230000000003</v>
      </c>
      <c r="AA261" s="4">
        <v>12.97035</v>
      </c>
      <c r="AB261" s="4">
        <v>-1.09775</v>
      </c>
    </row>
    <row r="262" spans="1:28" x14ac:dyDescent="0.25">
      <c r="A262" s="6">
        <v>26</v>
      </c>
      <c r="B262" s="4">
        <v>120</v>
      </c>
      <c r="C262" s="5">
        <v>50</v>
      </c>
      <c r="D262" s="4">
        <v>20</v>
      </c>
      <c r="E262" s="3">
        <v>25.5</v>
      </c>
      <c r="F262" s="3">
        <f>1.8*E262+32</f>
        <v>77.900000000000006</v>
      </c>
      <c r="G262" s="3">
        <v>18</v>
      </c>
      <c r="H262" s="3">
        <f>IF(F262&gt;68,G262+(F262-68)*0.2,#REF!-(68-F262)*0.2)</f>
        <v>19.98</v>
      </c>
      <c r="I262" s="3">
        <v>22</v>
      </c>
      <c r="J262" s="3">
        <f>1.8*I262+32</f>
        <v>71.599999999999994</v>
      </c>
      <c r="K262" s="3">
        <v>9</v>
      </c>
      <c r="L262" s="3">
        <f>IF(J262&gt;68,K262+(J262-68)*0.2,K262-(68-J262)*0.2)</f>
        <v>9.7199999999999989</v>
      </c>
      <c r="M262" s="3">
        <f>(C262-H262)/C262*100</f>
        <v>60.040000000000006</v>
      </c>
      <c r="N262" s="3">
        <f>100-(M262+O262)</f>
        <v>20.519999999999996</v>
      </c>
      <c r="O262" s="3">
        <f>L262/C262*100</f>
        <v>19.439999999999998</v>
      </c>
      <c r="P262" s="2" t="s">
        <v>20</v>
      </c>
      <c r="Q262" s="16">
        <v>409080.70377000002</v>
      </c>
      <c r="R262" s="1">
        <v>3659306.3202439998</v>
      </c>
      <c r="T262" s="4">
        <v>2006111</v>
      </c>
      <c r="U262" s="4" t="s">
        <v>318</v>
      </c>
      <c r="V262" s="4">
        <v>5.8970000000000002E-2</v>
      </c>
      <c r="W262" s="4">
        <v>0.37296000000000001</v>
      </c>
      <c r="X262" s="4">
        <v>2.8459999999999999E-2</v>
      </c>
      <c r="Y262" s="4">
        <v>1.4045399999999999</v>
      </c>
      <c r="Z262" s="4">
        <v>27.394480000000001</v>
      </c>
      <c r="AA262" s="4">
        <v>11.247730000000001</v>
      </c>
      <c r="AB262" s="4">
        <v>-1.2682800000000001</v>
      </c>
    </row>
    <row r="263" spans="1:28" x14ac:dyDescent="0.25">
      <c r="A263" s="6">
        <v>26</v>
      </c>
      <c r="B263" s="4">
        <v>150</v>
      </c>
      <c r="C263" s="5">
        <v>50.01</v>
      </c>
      <c r="D263" s="4">
        <v>20</v>
      </c>
      <c r="E263" s="3">
        <v>25.8</v>
      </c>
      <c r="F263" s="3">
        <f>1.8*E263+32</f>
        <v>78.44</v>
      </c>
      <c r="G263" s="3">
        <v>18</v>
      </c>
      <c r="H263" s="3">
        <f>IF(F263&gt;68,G263+(F263-68)*0.2,#REF!-(68-F263)*0.2)</f>
        <v>20.088000000000001</v>
      </c>
      <c r="I263" s="3">
        <v>22</v>
      </c>
      <c r="J263" s="3">
        <f>1.8*I263+32</f>
        <v>71.599999999999994</v>
      </c>
      <c r="K263" s="3">
        <v>7.5</v>
      </c>
      <c r="L263" s="3">
        <f>IF(J263&gt;68,K263+(J263-68)*0.2,K263-(68-J263)*0.2)</f>
        <v>8.2199999999999989</v>
      </c>
      <c r="M263" s="3">
        <f>(C263-H263)/C263*100</f>
        <v>59.832033593281345</v>
      </c>
      <c r="N263" s="3">
        <f>100-(M263+O263)</f>
        <v>23.731253749250158</v>
      </c>
      <c r="O263" s="3">
        <f>L263/C263*100</f>
        <v>16.436712657468505</v>
      </c>
      <c r="P263" s="2" t="s">
        <v>20</v>
      </c>
      <c r="Q263" s="16">
        <v>409080.70377000002</v>
      </c>
      <c r="R263" s="1">
        <v>3659306.3202439998</v>
      </c>
      <c r="T263" s="4">
        <v>2006111</v>
      </c>
      <c r="U263" s="4" t="s">
        <v>89</v>
      </c>
      <c r="V263" s="4">
        <v>5.9380000000000002E-2</v>
      </c>
      <c r="W263" s="4">
        <v>0.38119999999999998</v>
      </c>
      <c r="X263" s="4">
        <v>2.8729999999999999E-2</v>
      </c>
      <c r="Y263" s="4">
        <v>1.34588</v>
      </c>
      <c r="Z263" s="4">
        <v>20.68873</v>
      </c>
      <c r="AA263" s="4">
        <v>10.95786</v>
      </c>
      <c r="AB263" s="4">
        <v>-1.43746</v>
      </c>
    </row>
    <row r="264" spans="1:28" x14ac:dyDescent="0.25">
      <c r="A264" s="6">
        <v>26</v>
      </c>
      <c r="B264" s="4">
        <v>180</v>
      </c>
      <c r="C264" s="5">
        <v>50</v>
      </c>
      <c r="D264" s="4">
        <v>20</v>
      </c>
      <c r="E264" s="3">
        <v>25.8</v>
      </c>
      <c r="F264" s="3">
        <f>1.8*E264+32</f>
        <v>78.44</v>
      </c>
      <c r="G264" s="3">
        <v>20</v>
      </c>
      <c r="H264" s="3">
        <f>IF(F264&gt;68,G264+(F264-68)*0.2,#REF!-(68-F264)*0.2)</f>
        <v>22.088000000000001</v>
      </c>
      <c r="I264" s="3">
        <v>22</v>
      </c>
      <c r="J264" s="3">
        <f>1.8*I264+32</f>
        <v>71.599999999999994</v>
      </c>
      <c r="K264" s="3">
        <v>8.5</v>
      </c>
      <c r="L264" s="3">
        <f>IF(J264&gt;68,K264+(J264-68)*0.2,K264-(68-J264)*0.2)</f>
        <v>9.2199999999999989</v>
      </c>
      <c r="M264" s="3">
        <f>(C264-H264)/C264*100</f>
        <v>55.823999999999998</v>
      </c>
      <c r="N264" s="3">
        <f>100-(M264+O264)</f>
        <v>25.736000000000004</v>
      </c>
      <c r="O264" s="3">
        <f>L264/C264*100</f>
        <v>18.439999999999998</v>
      </c>
      <c r="P264" s="2" t="s">
        <v>20</v>
      </c>
      <c r="Q264" s="16">
        <v>409080.70377000002</v>
      </c>
      <c r="R264" s="1">
        <v>3659306.3202439998</v>
      </c>
      <c r="T264" s="4">
        <v>2006111</v>
      </c>
      <c r="U264" s="4" t="s">
        <v>88</v>
      </c>
      <c r="V264" s="4">
        <v>5.457E-2</v>
      </c>
      <c r="W264" s="4">
        <v>0.37744</v>
      </c>
      <c r="X264" s="4">
        <v>3.1060000000000001E-2</v>
      </c>
      <c r="Y264" s="4">
        <v>1.4032800000000001</v>
      </c>
      <c r="Z264" s="4">
        <v>32.544710000000002</v>
      </c>
      <c r="AA264" s="4">
        <v>13.678789999999999</v>
      </c>
      <c r="AB264" s="4">
        <v>-1.2685900000000001</v>
      </c>
    </row>
    <row r="265" spans="1:28" x14ac:dyDescent="0.25">
      <c r="A265" s="6">
        <v>26</v>
      </c>
      <c r="B265" s="4">
        <v>210</v>
      </c>
      <c r="C265" s="5">
        <v>50</v>
      </c>
      <c r="D265" s="4">
        <v>20</v>
      </c>
      <c r="E265" s="3">
        <v>25.5</v>
      </c>
      <c r="F265" s="3">
        <f>1.8*E265+32</f>
        <v>77.900000000000006</v>
      </c>
      <c r="G265" s="3">
        <v>10</v>
      </c>
      <c r="H265" s="3">
        <f>IF(F265&gt;68,G265+(F265-68)*0.2,#REF!-(68-F265)*0.2)</f>
        <v>11.98</v>
      </c>
      <c r="I265" s="3">
        <v>22</v>
      </c>
      <c r="J265" s="3">
        <f>1.8*I265+32</f>
        <v>71.599999999999994</v>
      </c>
      <c r="K265" s="3">
        <v>7</v>
      </c>
      <c r="L265" s="3">
        <f>IF(J265&gt;68,K265+(J265-68)*0.2,K265-(68-J265)*0.2)</f>
        <v>7.7199999999999989</v>
      </c>
      <c r="M265" s="3">
        <f>(C265-H265)/C265*100</f>
        <v>76.039999999999992</v>
      </c>
      <c r="N265" s="3">
        <f>100-(M265+O265)</f>
        <v>8.5200000000000102</v>
      </c>
      <c r="O265" s="3">
        <f>L265/C265*100</f>
        <v>15.439999999999998</v>
      </c>
      <c r="P265" s="2" t="s">
        <v>0</v>
      </c>
      <c r="Q265" s="16">
        <v>409080.70377000002</v>
      </c>
      <c r="R265" s="1">
        <v>3659306.3202439998</v>
      </c>
      <c r="T265" s="4">
        <v>2006111</v>
      </c>
      <c r="U265" s="4" t="s">
        <v>87</v>
      </c>
      <c r="V265" s="4">
        <v>5.5759999999999997E-2</v>
      </c>
      <c r="W265" s="4">
        <v>0.37759999999999999</v>
      </c>
      <c r="X265" s="4">
        <v>3.0519999999999999E-2</v>
      </c>
      <c r="Y265" s="4">
        <v>1.38592</v>
      </c>
      <c r="Z265" s="4">
        <v>28.926480000000002</v>
      </c>
      <c r="AA265" s="4">
        <v>12.898059999999999</v>
      </c>
      <c r="AB265" s="4">
        <v>-1.3162499999999999</v>
      </c>
    </row>
    <row r="266" spans="1:28" x14ac:dyDescent="0.25">
      <c r="A266" s="6">
        <v>26</v>
      </c>
      <c r="B266" s="4">
        <v>240</v>
      </c>
      <c r="C266" s="5">
        <v>50</v>
      </c>
      <c r="D266" s="4">
        <v>20</v>
      </c>
      <c r="E266" s="3">
        <v>25.5</v>
      </c>
      <c r="F266" s="3">
        <f>1.8*E266+32</f>
        <v>77.900000000000006</v>
      </c>
      <c r="G266" s="3">
        <v>10.5</v>
      </c>
      <c r="H266" s="3">
        <f>IF(F266&gt;68,G266+(F266-68)*0.2,#REF!-(68-F266)*0.2)</f>
        <v>12.48</v>
      </c>
      <c r="I266" s="3">
        <v>22</v>
      </c>
      <c r="J266" s="3">
        <f>1.8*I266+32</f>
        <v>71.599999999999994</v>
      </c>
      <c r="K266" s="3">
        <v>7</v>
      </c>
      <c r="L266" s="3">
        <f>IF(J266&gt;68,K266+(J266-68)*0.2,K266-(68-J266)*0.2)</f>
        <v>7.7199999999999989</v>
      </c>
      <c r="M266" s="3">
        <f>(C266-H266)/C266*100</f>
        <v>75.039999999999992</v>
      </c>
      <c r="N266" s="3">
        <f>100-(M266+O266)</f>
        <v>9.5200000000000102</v>
      </c>
      <c r="O266" s="3">
        <f>L266/C266*100</f>
        <v>15.439999999999998</v>
      </c>
      <c r="P266" s="2" t="s">
        <v>20</v>
      </c>
      <c r="Q266" s="16">
        <v>409080.70377000002</v>
      </c>
      <c r="R266" s="1">
        <v>3659306.3202439998</v>
      </c>
      <c r="T266" s="4">
        <v>2006111</v>
      </c>
      <c r="U266" s="4" t="s">
        <v>86</v>
      </c>
      <c r="V266" s="4">
        <v>5.4530000000000002E-2</v>
      </c>
      <c r="W266" s="4">
        <v>0.37751000000000001</v>
      </c>
      <c r="X266" s="4">
        <v>3.107E-2</v>
      </c>
      <c r="Y266" s="4">
        <v>1.40263</v>
      </c>
      <c r="Z266" s="4">
        <v>32.489170000000001</v>
      </c>
      <c r="AA266" s="4">
        <v>13.68872</v>
      </c>
      <c r="AB266" s="4">
        <v>-1.26996</v>
      </c>
    </row>
    <row r="267" spans="1:28" x14ac:dyDescent="0.25">
      <c r="A267" s="6">
        <v>26</v>
      </c>
      <c r="B267" s="4">
        <v>270</v>
      </c>
      <c r="C267" s="5">
        <v>50.01</v>
      </c>
      <c r="D267" s="4">
        <v>20</v>
      </c>
      <c r="E267" s="3">
        <v>25</v>
      </c>
      <c r="F267" s="3">
        <f>1.8*E267+32</f>
        <v>77</v>
      </c>
      <c r="G267" s="3">
        <v>8.5</v>
      </c>
      <c r="H267" s="3">
        <f>IF(F267&gt;68,G267+(F267-68)*0.2,#REF!-(68-F267)*0.2)</f>
        <v>10.3</v>
      </c>
      <c r="I267" s="3">
        <v>22</v>
      </c>
      <c r="J267" s="3">
        <f>1.8*I267+32</f>
        <v>71.599999999999994</v>
      </c>
      <c r="K267" s="3">
        <v>5</v>
      </c>
      <c r="L267" s="3">
        <f>IF(J267&gt;68,K267+(J267-68)*0.2,K267-(68-J267)*0.2)</f>
        <v>5.7199999999999989</v>
      </c>
      <c r="M267" s="3">
        <f>(C267-H267)/C267*100</f>
        <v>79.404119176164755</v>
      </c>
      <c r="N267" s="3">
        <f>100-(M267+O267)</f>
        <v>9.1581683663267484</v>
      </c>
      <c r="O267" s="3">
        <f>L267/C267*100</f>
        <v>11.437712457508496</v>
      </c>
      <c r="P267" s="2" t="s">
        <v>20</v>
      </c>
      <c r="Q267" s="16">
        <v>409080.70377000002</v>
      </c>
      <c r="R267" s="1">
        <v>3659306.3202439998</v>
      </c>
      <c r="T267" s="4">
        <v>2006111</v>
      </c>
      <c r="U267" s="4" t="s">
        <v>85</v>
      </c>
      <c r="V267" s="4">
        <v>5.9369999999999999E-2</v>
      </c>
      <c r="W267" s="4">
        <v>0.38129000000000002</v>
      </c>
      <c r="X267" s="4">
        <v>2.8709999999999999E-2</v>
      </c>
      <c r="Y267" s="4">
        <v>1.3458699999999999</v>
      </c>
      <c r="Z267" s="4">
        <v>20.667480000000001</v>
      </c>
      <c r="AA267" s="4">
        <v>10.95224</v>
      </c>
      <c r="AB267" s="4">
        <v>-1.4365699999999999</v>
      </c>
    </row>
    <row r="268" spans="1:28" x14ac:dyDescent="0.25">
      <c r="A268" s="6">
        <v>26</v>
      </c>
      <c r="B268" s="4">
        <v>300</v>
      </c>
      <c r="C268" s="5">
        <v>50</v>
      </c>
      <c r="D268" s="4">
        <v>20</v>
      </c>
      <c r="E268" s="3">
        <v>26</v>
      </c>
      <c r="F268" s="3">
        <f>1.8*E268+32</f>
        <v>78.800000000000011</v>
      </c>
      <c r="G268" s="3">
        <v>16.5</v>
      </c>
      <c r="H268" s="3">
        <f>IF(F268&gt;68,G268+(F268-68)*0.2,#REF!-(68-F268)*0.2)</f>
        <v>18.660000000000004</v>
      </c>
      <c r="I268" s="3">
        <v>22</v>
      </c>
      <c r="J268" s="3">
        <f>1.8*I268+32</f>
        <v>71.599999999999994</v>
      </c>
      <c r="K268" s="3">
        <v>5</v>
      </c>
      <c r="L268" s="3">
        <f>IF(J268&gt;68,K268+(J268-68)*0.2,K268-(68-J268)*0.2)</f>
        <v>5.7199999999999989</v>
      </c>
      <c r="M268" s="3">
        <f>(C268-H268)/C268*100</f>
        <v>62.679999999999993</v>
      </c>
      <c r="N268" s="3">
        <f>100-(M268+O268)</f>
        <v>25.88000000000001</v>
      </c>
      <c r="O268" s="3">
        <f>L268/C268*100</f>
        <v>11.439999999999998</v>
      </c>
      <c r="P268" s="2" t="s">
        <v>20</v>
      </c>
      <c r="Q268" s="16">
        <v>409080.70377000002</v>
      </c>
      <c r="R268" s="1">
        <v>3659306.3202439998</v>
      </c>
      <c r="T268" s="4">
        <v>2006111</v>
      </c>
      <c r="U268" s="4" t="s">
        <v>84</v>
      </c>
      <c r="V268" s="4">
        <v>5.8029999999999998E-2</v>
      </c>
      <c r="W268" s="4">
        <v>0.37980000000000003</v>
      </c>
      <c r="X268" s="4">
        <v>2.9430000000000001E-2</v>
      </c>
      <c r="Y268" s="4">
        <v>1.3553299999999999</v>
      </c>
      <c r="Z268" s="4">
        <v>22.963419999999999</v>
      </c>
      <c r="AA268" s="4">
        <v>11.587160000000001</v>
      </c>
      <c r="AB268" s="4">
        <v>-1.40873</v>
      </c>
    </row>
    <row r="269" spans="1:28" x14ac:dyDescent="0.25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T269" s="4">
        <v>2006111</v>
      </c>
      <c r="U269" s="4" t="s">
        <v>317</v>
      </c>
      <c r="V269" s="4">
        <v>6.2260000000000003E-2</v>
      </c>
      <c r="W269" s="4">
        <v>0.37913999999999998</v>
      </c>
      <c r="X269" s="4">
        <v>2.8289999999999999E-2</v>
      </c>
      <c r="Y269" s="4">
        <v>1.33013</v>
      </c>
      <c r="Z269" s="4">
        <v>17.838529999999999</v>
      </c>
      <c r="AA269" s="4">
        <v>10.01122</v>
      </c>
      <c r="AB269" s="4">
        <v>-1.5345599999999999</v>
      </c>
    </row>
    <row r="270" spans="1:28" ht="51.75" x14ac:dyDescent="0.25">
      <c r="A270" s="15" t="s">
        <v>19</v>
      </c>
      <c r="B270" s="10" t="s">
        <v>18</v>
      </c>
      <c r="C270" s="14" t="s">
        <v>17</v>
      </c>
      <c r="D270" s="13" t="s">
        <v>16</v>
      </c>
      <c r="E270" s="12" t="s">
        <v>15</v>
      </c>
      <c r="F270" s="12" t="s">
        <v>14</v>
      </c>
      <c r="G270" s="12" t="s">
        <v>13</v>
      </c>
      <c r="H270" s="12" t="s">
        <v>12</v>
      </c>
      <c r="I270" s="12" t="s">
        <v>11</v>
      </c>
      <c r="J270" s="12" t="s">
        <v>10</v>
      </c>
      <c r="K270" s="12" t="s">
        <v>9</v>
      </c>
      <c r="L270" s="12" t="s">
        <v>8</v>
      </c>
      <c r="M270" s="11" t="s">
        <v>7</v>
      </c>
      <c r="N270" s="11" t="s">
        <v>6</v>
      </c>
      <c r="O270" s="11" t="s">
        <v>5</v>
      </c>
      <c r="P270" s="10" t="s">
        <v>4</v>
      </c>
      <c r="Q270" s="9" t="s">
        <v>3</v>
      </c>
      <c r="R270" s="8"/>
      <c r="T270" s="4">
        <v>2006111</v>
      </c>
      <c r="U270" s="4" t="s">
        <v>316</v>
      </c>
      <c r="V270" s="4">
        <v>6.216E-2</v>
      </c>
      <c r="W270" s="4">
        <v>0.373</v>
      </c>
      <c r="X270" s="4">
        <v>2.75E-2</v>
      </c>
      <c r="Y270" s="4">
        <v>1.3537699999999999</v>
      </c>
      <c r="Z270" s="4">
        <v>19.876830000000002</v>
      </c>
      <c r="AA270" s="4">
        <v>9.7176399999999994</v>
      </c>
      <c r="AB270" s="4">
        <v>-1.43011</v>
      </c>
    </row>
    <row r="271" spans="1:28" x14ac:dyDescent="0.25">
      <c r="A271" s="15"/>
      <c r="B271" s="10"/>
      <c r="C271" s="14"/>
      <c r="D271" s="13"/>
      <c r="E271" s="12"/>
      <c r="F271" s="12"/>
      <c r="G271" s="12"/>
      <c r="H271" s="12"/>
      <c r="I271" s="12"/>
      <c r="J271" s="12"/>
      <c r="K271" s="12"/>
      <c r="L271" s="12"/>
      <c r="M271" s="11"/>
      <c r="N271" s="11"/>
      <c r="O271" s="11"/>
      <c r="P271" s="10"/>
      <c r="Q271" s="7" t="s">
        <v>2</v>
      </c>
      <c r="R271" s="7" t="s">
        <v>1</v>
      </c>
      <c r="T271" s="4">
        <v>2006111</v>
      </c>
      <c r="U271" s="4" t="s">
        <v>315</v>
      </c>
      <c r="V271" s="4">
        <v>5.8189999999999999E-2</v>
      </c>
      <c r="W271" s="4">
        <v>0.37274000000000002</v>
      </c>
      <c r="X271" s="4">
        <v>2.8629999999999999E-2</v>
      </c>
      <c r="Y271" s="4">
        <v>1.4305399999999999</v>
      </c>
      <c r="Z271" s="4">
        <v>31.344650000000001</v>
      </c>
      <c r="AA271" s="4">
        <v>11.756130000000001</v>
      </c>
      <c r="AB271" s="4">
        <v>-1.20835</v>
      </c>
    </row>
    <row r="272" spans="1:28" x14ac:dyDescent="0.25">
      <c r="A272" s="6">
        <v>27</v>
      </c>
      <c r="B272" s="4">
        <v>30</v>
      </c>
      <c r="C272" s="5">
        <v>50</v>
      </c>
      <c r="D272" s="4">
        <v>20</v>
      </c>
      <c r="E272" s="3">
        <v>25.2</v>
      </c>
      <c r="F272" s="3">
        <f>1.8*E272+32</f>
        <v>77.36</v>
      </c>
      <c r="G272" s="3">
        <v>16</v>
      </c>
      <c r="H272" s="3">
        <f>IF(F272&gt;68,G272+(F272-68)*0.2,G113-(68-F272)*0.2)</f>
        <v>17.872</v>
      </c>
      <c r="I272" s="3">
        <v>23</v>
      </c>
      <c r="J272" s="3">
        <f>1.8*I272+32</f>
        <v>73.400000000000006</v>
      </c>
      <c r="K272" s="3">
        <v>10</v>
      </c>
      <c r="L272" s="3">
        <f>IF(J272&gt;68,K272+(J272-68)*0.2,K272-(68-J272)*0.2)</f>
        <v>11.080000000000002</v>
      </c>
      <c r="M272" s="3">
        <f>(C272-H272)/C272*100</f>
        <v>64.256</v>
      </c>
      <c r="N272" s="3">
        <f>100-(M272+O272)</f>
        <v>13.584000000000003</v>
      </c>
      <c r="O272" s="3">
        <f>L272/C272*100</f>
        <v>22.160000000000004</v>
      </c>
      <c r="P272" s="2" t="s">
        <v>0</v>
      </c>
      <c r="Q272" s="1">
        <v>409092.86480600003</v>
      </c>
      <c r="R272" s="1">
        <v>3659306.112859</v>
      </c>
      <c r="T272" s="4">
        <v>2006111</v>
      </c>
      <c r="U272" s="4" t="s">
        <v>314</v>
      </c>
      <c r="V272" s="4">
        <v>5.7970000000000001E-2</v>
      </c>
      <c r="W272" s="4">
        <v>0.37504999999999999</v>
      </c>
      <c r="X272" s="4">
        <v>2.9389999999999999E-2</v>
      </c>
      <c r="Y272" s="4">
        <v>1.38747</v>
      </c>
      <c r="Z272" s="4">
        <v>26.722639999999998</v>
      </c>
      <c r="AA272" s="4">
        <v>11.78472</v>
      </c>
      <c r="AB272" s="4">
        <v>-1.3176000000000001</v>
      </c>
    </row>
    <row r="273" spans="1:28" x14ac:dyDescent="0.25">
      <c r="A273" s="6">
        <v>27</v>
      </c>
      <c r="B273" s="4">
        <v>60</v>
      </c>
      <c r="C273" s="5">
        <v>50.01</v>
      </c>
      <c r="D273" s="4">
        <v>20</v>
      </c>
      <c r="E273" s="3">
        <v>25</v>
      </c>
      <c r="F273" s="3">
        <f>1.8*E273+32</f>
        <v>77</v>
      </c>
      <c r="G273" s="3">
        <v>20</v>
      </c>
      <c r="H273" s="3">
        <f>IF(F273&gt;68,G273+(F273-68)*0.2,#REF!-(68-F273)*0.2)</f>
        <v>21.8</v>
      </c>
      <c r="I273" s="3">
        <v>23</v>
      </c>
      <c r="J273" s="3">
        <f>1.8*I273+32</f>
        <v>73.400000000000006</v>
      </c>
      <c r="K273" s="3">
        <v>12.5</v>
      </c>
      <c r="L273" s="3">
        <f>IF(J273&gt;68,K273+(J273-68)*0.2,K273-(68-J273)*0.2)</f>
        <v>13.580000000000002</v>
      </c>
      <c r="M273" s="3">
        <f>(C273-H273)/C273*100</f>
        <v>56.40871825634872</v>
      </c>
      <c r="N273" s="3">
        <f>100-(M273+O273)</f>
        <v>16.436712657468519</v>
      </c>
      <c r="O273" s="3">
        <f>L273/C273*100</f>
        <v>27.154569086182768</v>
      </c>
      <c r="P273" s="2" t="s">
        <v>0</v>
      </c>
      <c r="Q273" s="1">
        <v>409092.86480600003</v>
      </c>
      <c r="R273" s="1">
        <v>3659306.112859</v>
      </c>
      <c r="T273" s="4">
        <v>2006111</v>
      </c>
      <c r="U273" s="4" t="s">
        <v>83</v>
      </c>
      <c r="V273" s="4">
        <v>6.3780000000000003E-2</v>
      </c>
      <c r="W273" s="4">
        <v>0.38522000000000001</v>
      </c>
      <c r="X273" s="4">
        <v>2.691E-2</v>
      </c>
      <c r="Y273" s="4">
        <v>1.3281099999999999</v>
      </c>
      <c r="Z273" s="4">
        <v>15.67914</v>
      </c>
      <c r="AA273" s="4">
        <v>9.3928600000000007</v>
      </c>
      <c r="AB273" s="4">
        <v>-1.4965999999999999</v>
      </c>
    </row>
    <row r="274" spans="1:28" x14ac:dyDescent="0.25">
      <c r="A274" s="6">
        <v>27</v>
      </c>
      <c r="B274" s="4">
        <v>90</v>
      </c>
      <c r="C274" s="5">
        <v>50</v>
      </c>
      <c r="D274" s="4">
        <v>20</v>
      </c>
      <c r="E274" s="3">
        <v>25.2</v>
      </c>
      <c r="F274" s="3">
        <f>1.8*E274+32</f>
        <v>77.36</v>
      </c>
      <c r="G274" s="3">
        <v>26</v>
      </c>
      <c r="H274" s="3">
        <f>IF(F274&gt;68,G274+(F274-68)*0.2,G452-(68-F274)*0.2)</f>
        <v>27.872</v>
      </c>
      <c r="I274" s="3">
        <v>23</v>
      </c>
      <c r="J274" s="3">
        <f>1.8*I274+32</f>
        <v>73.400000000000006</v>
      </c>
      <c r="K274" s="3">
        <v>16.5</v>
      </c>
      <c r="L274" s="3">
        <f>IF(J274&gt;68,K274+(J274-68)*0.2,K274-(68-J274)*0.2)</f>
        <v>17.580000000000002</v>
      </c>
      <c r="M274" s="3">
        <f>(C274-H274)/C274*100</f>
        <v>44.256</v>
      </c>
      <c r="N274" s="3">
        <f>100-(M274+O274)</f>
        <v>20.584000000000003</v>
      </c>
      <c r="O274" s="3">
        <f>L274/C274*100</f>
        <v>35.160000000000004</v>
      </c>
      <c r="P274" s="2" t="s">
        <v>0</v>
      </c>
      <c r="Q274" s="1">
        <v>409092.86480600003</v>
      </c>
      <c r="R274" s="1">
        <v>3659306.112859</v>
      </c>
      <c r="T274" s="4">
        <v>2006111</v>
      </c>
      <c r="U274" s="4" t="s">
        <v>82</v>
      </c>
      <c r="V274" s="4">
        <v>7.1040000000000006E-2</v>
      </c>
      <c r="W274" s="4">
        <v>0.39483000000000001</v>
      </c>
      <c r="X274" s="4">
        <v>2.4500000000000001E-2</v>
      </c>
      <c r="Y274" s="4">
        <v>1.3110999999999999</v>
      </c>
      <c r="Z274" s="4">
        <v>10.35361</v>
      </c>
      <c r="AA274" s="4">
        <v>7.5958600000000001</v>
      </c>
      <c r="AB274" s="4">
        <v>-1.54664</v>
      </c>
    </row>
    <row r="275" spans="1:28" x14ac:dyDescent="0.25">
      <c r="A275" s="6">
        <v>27</v>
      </c>
      <c r="B275" s="4">
        <v>120</v>
      </c>
      <c r="C275" s="5">
        <v>50</v>
      </c>
      <c r="D275" s="4">
        <v>20</v>
      </c>
      <c r="E275" s="3">
        <v>26</v>
      </c>
      <c r="F275" s="3">
        <f>1.8*E275+32</f>
        <v>78.800000000000011</v>
      </c>
      <c r="G275" s="3">
        <v>31.5</v>
      </c>
      <c r="H275" s="3">
        <f>IF(F275&gt;68,G275+(F275-68)*0.2,#REF!-(68-F275)*0.2)</f>
        <v>33.660000000000004</v>
      </c>
      <c r="I275" s="3">
        <v>23.2</v>
      </c>
      <c r="J275" s="3">
        <f>1.8*I275+32</f>
        <v>73.759999999999991</v>
      </c>
      <c r="K275" s="3">
        <v>19</v>
      </c>
      <c r="L275" s="3">
        <f>IF(J275&gt;68,K275+(J275-68)*0.2,K275-(68-J275)*0.2)</f>
        <v>20.151999999999997</v>
      </c>
      <c r="M275" s="3">
        <f>(C275-H275)/C275*100</f>
        <v>32.679999999999993</v>
      </c>
      <c r="N275" s="3">
        <f>100-(M275+O275)</f>
        <v>27.01600000000002</v>
      </c>
      <c r="O275" s="3">
        <f>L275/C275*100</f>
        <v>40.303999999999995</v>
      </c>
      <c r="P275" s="2" t="s">
        <v>274</v>
      </c>
      <c r="Q275" s="1">
        <v>409092.86480600003</v>
      </c>
      <c r="R275" s="1">
        <v>3659306.112859</v>
      </c>
      <c r="T275" s="4">
        <v>2006111</v>
      </c>
      <c r="U275" s="4" t="s">
        <v>81</v>
      </c>
      <c r="V275" s="4">
        <v>8.473E-2</v>
      </c>
      <c r="W275" s="4">
        <v>0.42725000000000002</v>
      </c>
      <c r="X275" s="4">
        <v>2.2579999999999999E-2</v>
      </c>
      <c r="Y275" s="4">
        <v>1.26908</v>
      </c>
      <c r="Z275" s="4">
        <v>6.9336900000000004</v>
      </c>
      <c r="AA275" s="4">
        <v>5.8973399999999998</v>
      </c>
      <c r="AB275" s="4">
        <v>-1.80216</v>
      </c>
    </row>
    <row r="276" spans="1:28" x14ac:dyDescent="0.25">
      <c r="A276" s="6">
        <v>27</v>
      </c>
      <c r="B276" s="4">
        <v>150</v>
      </c>
      <c r="C276" s="5">
        <v>50</v>
      </c>
      <c r="D276" s="4">
        <v>20</v>
      </c>
      <c r="E276" s="3">
        <v>26</v>
      </c>
      <c r="F276" s="3">
        <f>1.8*E276+32</f>
        <v>78.800000000000011</v>
      </c>
      <c r="G276" s="3">
        <v>22.5</v>
      </c>
      <c r="H276" s="3">
        <f>IF(F276&gt;68,G276+(F276-68)*0.2,G454-(68-F276)*0.2)</f>
        <v>24.660000000000004</v>
      </c>
      <c r="I276" s="3">
        <v>23.2</v>
      </c>
      <c r="J276" s="3">
        <f>1.8*I276+32</f>
        <v>73.759999999999991</v>
      </c>
      <c r="K276" s="3">
        <v>18</v>
      </c>
      <c r="L276" s="3">
        <f>IF(J276&gt;68,K276+(J276-68)*0.2,K276-(68-J276)*0.2)</f>
        <v>19.151999999999997</v>
      </c>
      <c r="M276" s="3">
        <f>(C276-H276)/C276*100</f>
        <v>50.679999999999993</v>
      </c>
      <c r="N276" s="3">
        <f>100-(M276+O276)</f>
        <v>11.01600000000002</v>
      </c>
      <c r="O276" s="3">
        <f>L276/C276*100</f>
        <v>38.303999999999995</v>
      </c>
      <c r="P276" s="2" t="s">
        <v>0</v>
      </c>
      <c r="Q276" s="1">
        <v>409092.86480600003</v>
      </c>
      <c r="R276" s="1">
        <v>3659306.112859</v>
      </c>
      <c r="T276" s="4">
        <v>2006111</v>
      </c>
      <c r="U276" s="4" t="s">
        <v>80</v>
      </c>
      <c r="V276" s="4">
        <v>8.4640000000000007E-2</v>
      </c>
      <c r="W276" s="4">
        <v>0.42663000000000001</v>
      </c>
      <c r="X276" s="4">
        <v>2.2780000000000002E-2</v>
      </c>
      <c r="Y276" s="4">
        <v>1.2676400000000001</v>
      </c>
      <c r="Z276" s="4">
        <v>7.0786899999999999</v>
      </c>
      <c r="AA276" s="4">
        <v>5.9495899999999997</v>
      </c>
      <c r="AB276" s="4">
        <v>-1.8254699999999999</v>
      </c>
    </row>
    <row r="277" spans="1:28" x14ac:dyDescent="0.25">
      <c r="A277" s="6">
        <v>27</v>
      </c>
      <c r="B277" s="4">
        <v>180</v>
      </c>
      <c r="C277" s="5">
        <v>50.01</v>
      </c>
      <c r="D277" s="4">
        <v>20</v>
      </c>
      <c r="E277" s="3">
        <v>26</v>
      </c>
      <c r="F277" s="3">
        <f>1.8*E277+32</f>
        <v>78.800000000000011</v>
      </c>
      <c r="G277" s="3">
        <v>12</v>
      </c>
      <c r="H277" s="3">
        <f>IF(F277&gt;68,G277+(F277-68)*0.2,G455-(68-F277)*0.2)</f>
        <v>14.160000000000002</v>
      </c>
      <c r="I277" s="3">
        <v>23.2</v>
      </c>
      <c r="J277" s="3">
        <f>1.8*I277+32</f>
        <v>73.759999999999991</v>
      </c>
      <c r="K277" s="3">
        <v>9</v>
      </c>
      <c r="L277" s="3">
        <f>IF(J277&gt;68,K277+(J277-68)*0.2,K277-(68-J277)*0.2)</f>
        <v>10.151999999999997</v>
      </c>
      <c r="M277" s="3">
        <f>(C277-H277)/C277*100</f>
        <v>71.685662867426501</v>
      </c>
      <c r="N277" s="3">
        <f>100-(M277+O277)</f>
        <v>8.014397120575893</v>
      </c>
      <c r="O277" s="3">
        <f>L277/C277*100</f>
        <v>20.299940011997599</v>
      </c>
      <c r="P277" s="2" t="s">
        <v>0</v>
      </c>
      <c r="Q277" s="1">
        <v>409092.86480600003</v>
      </c>
      <c r="R277" s="1">
        <v>3659306.112859</v>
      </c>
      <c r="T277" s="4">
        <v>2006111</v>
      </c>
      <c r="U277" s="4" t="s">
        <v>79</v>
      </c>
      <c r="V277" s="4">
        <v>6.2469999999999998E-2</v>
      </c>
      <c r="W277" s="4">
        <v>0.38329999999999997</v>
      </c>
      <c r="X277" s="4">
        <v>2.759E-2</v>
      </c>
      <c r="Y277" s="4">
        <v>1.33128</v>
      </c>
      <c r="Z277" s="4">
        <v>17.057020000000001</v>
      </c>
      <c r="AA277" s="4">
        <v>9.8510299999999997</v>
      </c>
      <c r="AB277" s="4">
        <v>-1.49539</v>
      </c>
    </row>
    <row r="278" spans="1:28" x14ac:dyDescent="0.25">
      <c r="A278" s="6">
        <v>27</v>
      </c>
      <c r="B278" s="4">
        <v>210</v>
      </c>
      <c r="C278" s="5">
        <v>50</v>
      </c>
      <c r="D278" s="4">
        <v>20</v>
      </c>
      <c r="E278" s="3">
        <v>26</v>
      </c>
      <c r="F278" s="3">
        <f>1.8*E278+32</f>
        <v>78.800000000000011</v>
      </c>
      <c r="G278" s="3">
        <v>9.5</v>
      </c>
      <c r="H278" s="3">
        <f>IF(F278&gt;68,G278+(F278-68)*0.2,G456-(68-F278)*0.2)</f>
        <v>11.660000000000002</v>
      </c>
      <c r="I278" s="3">
        <v>23.2</v>
      </c>
      <c r="J278" s="3">
        <f>1.8*I278+32</f>
        <v>73.759999999999991</v>
      </c>
      <c r="K278" s="3">
        <v>7</v>
      </c>
      <c r="L278" s="3">
        <f>IF(J278&gt;68,K278+(J278-68)*0.2,K278-(68-J278)*0.2)</f>
        <v>8.1519999999999975</v>
      </c>
      <c r="M278" s="3">
        <f>(C278-H278)/C278*100</f>
        <v>76.679999999999993</v>
      </c>
      <c r="N278" s="3">
        <f>100-(M278+O278)</f>
        <v>7.0160000000000196</v>
      </c>
      <c r="O278" s="3">
        <f>L278/C278*100</f>
        <v>16.303999999999995</v>
      </c>
      <c r="P278" s="2" t="s">
        <v>20</v>
      </c>
      <c r="Q278" s="1">
        <v>409092.86480600003</v>
      </c>
      <c r="R278" s="1">
        <v>3659306.112859</v>
      </c>
      <c r="T278" s="4">
        <v>2006111</v>
      </c>
      <c r="U278" s="4" t="s">
        <v>78</v>
      </c>
      <c r="V278" s="4">
        <v>6.8839999999999998E-2</v>
      </c>
      <c r="W278" s="4">
        <v>0.38546999999999998</v>
      </c>
      <c r="X278" s="4">
        <v>2.6880000000000001E-2</v>
      </c>
      <c r="Y278" s="4">
        <v>1.296</v>
      </c>
      <c r="Z278" s="4">
        <v>12.71794</v>
      </c>
      <c r="AA278" s="4">
        <v>8.3402100000000008</v>
      </c>
      <c r="AB278" s="4">
        <v>-1.73672</v>
      </c>
    </row>
    <row r="279" spans="1:28" x14ac:dyDescent="0.25">
      <c r="A279" s="6">
        <v>27</v>
      </c>
      <c r="B279" s="4">
        <v>240</v>
      </c>
      <c r="C279" s="5">
        <v>50</v>
      </c>
      <c r="D279" s="4">
        <v>20</v>
      </c>
      <c r="E279" s="3">
        <v>26</v>
      </c>
      <c r="F279" s="3">
        <f>1.8*E279+32</f>
        <v>78.800000000000011</v>
      </c>
      <c r="G279" s="3">
        <v>12.5</v>
      </c>
      <c r="H279" s="3">
        <f>IF(F279&gt;68,G279+(F279-68)*0.2,G457-(68-F279)*0.2)</f>
        <v>14.660000000000002</v>
      </c>
      <c r="I279" s="3">
        <v>23.2</v>
      </c>
      <c r="J279" s="3">
        <f>1.8*I279+32</f>
        <v>73.759999999999991</v>
      </c>
      <c r="K279" s="3">
        <v>9.5</v>
      </c>
      <c r="L279" s="3">
        <f>IF(J279&gt;68,K279+(J279-68)*0.2,K279-(68-J279)*0.2)</f>
        <v>10.651999999999997</v>
      </c>
      <c r="M279" s="3">
        <f>(C279-H279)/C279*100</f>
        <v>70.679999999999993</v>
      </c>
      <c r="N279" s="3">
        <f>100-(M279+O279)</f>
        <v>8.0160000000000196</v>
      </c>
      <c r="O279" s="3">
        <f>L279/C279*100</f>
        <v>21.303999999999995</v>
      </c>
      <c r="P279" s="2" t="s">
        <v>0</v>
      </c>
      <c r="Q279" s="1">
        <v>409092.86480600003</v>
      </c>
      <c r="R279" s="1">
        <v>3659306.112859</v>
      </c>
      <c r="T279" s="4">
        <v>2006111</v>
      </c>
      <c r="U279" s="4" t="s">
        <v>313</v>
      </c>
      <c r="V279" s="4">
        <v>5.8169999999999999E-2</v>
      </c>
      <c r="W279" s="4">
        <v>0.37497000000000003</v>
      </c>
      <c r="X279" s="4">
        <v>2.93E-2</v>
      </c>
      <c r="Y279" s="4">
        <v>1.38554</v>
      </c>
      <c r="Z279" s="4">
        <v>26.293099999999999</v>
      </c>
      <c r="AA279" s="4">
        <v>11.67496</v>
      </c>
      <c r="AB279" s="4">
        <v>-1.32338</v>
      </c>
    </row>
    <row r="280" spans="1:28" x14ac:dyDescent="0.25">
      <c r="A280" s="6">
        <v>27</v>
      </c>
      <c r="B280" s="4">
        <v>270</v>
      </c>
      <c r="C280" s="5">
        <v>50</v>
      </c>
      <c r="D280" s="4">
        <v>20</v>
      </c>
      <c r="E280" s="3">
        <v>26.5</v>
      </c>
      <c r="F280" s="3">
        <f>1.8*E280+32</f>
        <v>79.7</v>
      </c>
      <c r="G280" s="3">
        <v>20.5</v>
      </c>
      <c r="H280" s="3">
        <f>IF(F280&gt;68,G280+(F280-68)*0.2,G458-(68-F280)*0.2)</f>
        <v>22.84</v>
      </c>
      <c r="I280" s="3">
        <v>23.2</v>
      </c>
      <c r="J280" s="3">
        <f>1.8*I280+32</f>
        <v>73.759999999999991</v>
      </c>
      <c r="K280" s="3">
        <v>12.5</v>
      </c>
      <c r="L280" s="3">
        <f>IF(J280&gt;68,K280+(J280-68)*0.2,K280-(68-J280)*0.2)</f>
        <v>13.651999999999997</v>
      </c>
      <c r="M280" s="3">
        <f>(C280-H280)/C280*100</f>
        <v>54.32</v>
      </c>
      <c r="N280" s="3">
        <f>100-(M280+O280)</f>
        <v>18.376000000000005</v>
      </c>
      <c r="O280" s="3">
        <f>L280/C280*100</f>
        <v>27.303999999999995</v>
      </c>
      <c r="P280" s="2" t="s">
        <v>0</v>
      </c>
      <c r="Q280" s="1">
        <v>409092.86480600003</v>
      </c>
      <c r="R280" s="1">
        <v>3659306.112859</v>
      </c>
      <c r="T280" s="4">
        <v>2006111</v>
      </c>
      <c r="U280" s="4" t="s">
        <v>312</v>
      </c>
      <c r="V280" s="4">
        <v>5.799E-2</v>
      </c>
      <c r="W280" s="4">
        <v>0.37325999999999998</v>
      </c>
      <c r="X280" s="4">
        <v>2.8889999999999999E-2</v>
      </c>
      <c r="Y280" s="4">
        <v>1.42099</v>
      </c>
      <c r="Z280" s="4">
        <v>30.46489</v>
      </c>
      <c r="AA280" s="4">
        <v>11.843209999999999</v>
      </c>
      <c r="AB280" s="4">
        <v>-1.2298199999999999</v>
      </c>
    </row>
    <row r="281" spans="1:28" x14ac:dyDescent="0.25">
      <c r="A281" s="6">
        <v>27</v>
      </c>
      <c r="B281" s="4">
        <v>300</v>
      </c>
      <c r="C281" s="5">
        <v>50</v>
      </c>
      <c r="D281" s="4">
        <v>20</v>
      </c>
      <c r="E281" s="3">
        <v>27</v>
      </c>
      <c r="F281" s="3">
        <f>1.8*E281+32</f>
        <v>80.599999999999994</v>
      </c>
      <c r="G281" s="3">
        <v>18.5</v>
      </c>
      <c r="H281" s="3">
        <f>IF(F281&gt;68,G281+(F281-68)*0.2,G459-(68-F281)*0.2)</f>
        <v>21.02</v>
      </c>
      <c r="I281" s="3">
        <v>23.2</v>
      </c>
      <c r="J281" s="3">
        <f>1.8*I281+32</f>
        <v>73.759999999999991</v>
      </c>
      <c r="K281" s="3">
        <v>13</v>
      </c>
      <c r="L281" s="3">
        <f>IF(J281&gt;68,K281+(J281-68)*0.2,K281-(68-J281)*0.2)</f>
        <v>14.151999999999997</v>
      </c>
      <c r="M281" s="3">
        <f>(C281-H281)/C281*100</f>
        <v>57.96</v>
      </c>
      <c r="N281" s="3">
        <f>100-(M281+O281)</f>
        <v>13.736000000000004</v>
      </c>
      <c r="O281" s="3">
        <f>L281/C281*100</f>
        <v>28.303999999999995</v>
      </c>
      <c r="P281" s="2" t="s">
        <v>0</v>
      </c>
      <c r="Q281" s="1">
        <v>409092.86480600003</v>
      </c>
      <c r="R281" s="1">
        <v>3659306.112859</v>
      </c>
      <c r="T281" s="4">
        <v>2006111</v>
      </c>
      <c r="U281" s="4" t="s">
        <v>311</v>
      </c>
      <c r="V281" s="4">
        <v>6.88E-2</v>
      </c>
      <c r="W281" s="4">
        <v>0.38505</v>
      </c>
      <c r="X281" s="4">
        <v>2.6950000000000002E-2</v>
      </c>
      <c r="Y281" s="4">
        <v>1.2952699999999999</v>
      </c>
      <c r="Z281" s="4">
        <v>12.80306</v>
      </c>
      <c r="AA281" s="4">
        <v>8.34741</v>
      </c>
      <c r="AB281" s="4">
        <v>-1.74509</v>
      </c>
    </row>
    <row r="282" spans="1:28" x14ac:dyDescent="0.25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T282" s="4">
        <v>2006111</v>
      </c>
      <c r="U282" s="4" t="s">
        <v>310</v>
      </c>
      <c r="V282" s="4">
        <v>6.3759999999999997E-2</v>
      </c>
      <c r="W282" s="4">
        <v>0.3821</v>
      </c>
      <c r="X282" s="4">
        <v>2.7689999999999999E-2</v>
      </c>
      <c r="Y282" s="4">
        <v>1.3222700000000001</v>
      </c>
      <c r="Z282" s="4">
        <v>16.07583</v>
      </c>
      <c r="AA282" s="4">
        <v>9.5444499999999994</v>
      </c>
      <c r="AB282" s="4">
        <v>-1.5615300000000001</v>
      </c>
    </row>
    <row r="283" spans="1:28" ht="51.75" x14ac:dyDescent="0.25">
      <c r="A283" s="15" t="s">
        <v>19</v>
      </c>
      <c r="B283" s="10" t="s">
        <v>18</v>
      </c>
      <c r="C283" s="14" t="s">
        <v>17</v>
      </c>
      <c r="D283" s="13" t="s">
        <v>16</v>
      </c>
      <c r="E283" s="12" t="s">
        <v>15</v>
      </c>
      <c r="F283" s="12" t="s">
        <v>14</v>
      </c>
      <c r="G283" s="12" t="s">
        <v>13</v>
      </c>
      <c r="H283" s="12" t="s">
        <v>12</v>
      </c>
      <c r="I283" s="12" t="s">
        <v>11</v>
      </c>
      <c r="J283" s="12" t="s">
        <v>10</v>
      </c>
      <c r="K283" s="12" t="s">
        <v>9</v>
      </c>
      <c r="L283" s="12" t="s">
        <v>8</v>
      </c>
      <c r="M283" s="11" t="s">
        <v>7</v>
      </c>
      <c r="N283" s="11" t="s">
        <v>6</v>
      </c>
      <c r="O283" s="11" t="s">
        <v>5</v>
      </c>
      <c r="P283" s="10" t="s">
        <v>4</v>
      </c>
      <c r="Q283" s="9" t="s">
        <v>3</v>
      </c>
      <c r="R283" s="8"/>
      <c r="T283" s="4">
        <v>2006111</v>
      </c>
      <c r="U283" s="4" t="s">
        <v>77</v>
      </c>
      <c r="V283" s="4">
        <v>6.2210000000000001E-2</v>
      </c>
      <c r="W283" s="4">
        <v>0.38085000000000002</v>
      </c>
      <c r="X283" s="4">
        <v>2.8150000000000001E-2</v>
      </c>
      <c r="Y283" s="4">
        <v>1.33019</v>
      </c>
      <c r="Z283" s="4">
        <v>17.64301</v>
      </c>
      <c r="AA283" s="4">
        <v>10.024150000000001</v>
      </c>
      <c r="AB283" s="4">
        <v>-1.52328</v>
      </c>
    </row>
    <row r="284" spans="1:28" x14ac:dyDescent="0.25">
      <c r="A284" s="15"/>
      <c r="B284" s="10"/>
      <c r="C284" s="14"/>
      <c r="D284" s="13"/>
      <c r="E284" s="12"/>
      <c r="F284" s="12"/>
      <c r="G284" s="12"/>
      <c r="H284" s="12"/>
      <c r="I284" s="12"/>
      <c r="J284" s="12"/>
      <c r="K284" s="12"/>
      <c r="L284" s="12"/>
      <c r="M284" s="11"/>
      <c r="N284" s="11"/>
      <c r="O284" s="11"/>
      <c r="P284" s="10"/>
      <c r="Q284" s="7" t="s">
        <v>2</v>
      </c>
      <c r="R284" s="7" t="s">
        <v>1</v>
      </c>
      <c r="T284" s="4">
        <v>2006111</v>
      </c>
      <c r="U284" s="4" t="s">
        <v>76</v>
      </c>
      <c r="V284" s="4">
        <v>7.2789999999999994E-2</v>
      </c>
      <c r="W284" s="4">
        <v>0.39369999999999999</v>
      </c>
      <c r="X284" s="4">
        <v>2.5690000000000001E-2</v>
      </c>
      <c r="Y284" s="4">
        <v>1.28945</v>
      </c>
      <c r="Z284" s="4">
        <v>10.412459999999999</v>
      </c>
      <c r="AA284" s="4">
        <v>7.5956599999999996</v>
      </c>
      <c r="AB284" s="4">
        <v>-1.75288</v>
      </c>
    </row>
    <row r="285" spans="1:28" x14ac:dyDescent="0.25">
      <c r="A285" s="6">
        <v>28</v>
      </c>
      <c r="B285" s="4">
        <v>30</v>
      </c>
      <c r="C285" s="5">
        <v>50</v>
      </c>
      <c r="D285" s="4">
        <v>20</v>
      </c>
      <c r="E285" s="3">
        <v>23</v>
      </c>
      <c r="F285" s="3">
        <f>1.8*E285+32</f>
        <v>73.400000000000006</v>
      </c>
      <c r="G285" s="3">
        <v>19</v>
      </c>
      <c r="H285" s="3">
        <f>IF(F285&gt;68,G285+(F285-68)*0.2,G733-(68-F285)*0.2)</f>
        <v>20.080000000000002</v>
      </c>
      <c r="I285" s="3">
        <v>22.8</v>
      </c>
      <c r="J285" s="3">
        <f>1.8*I285+32</f>
        <v>73.039999999999992</v>
      </c>
      <c r="K285" s="3">
        <v>9</v>
      </c>
      <c r="L285" s="3">
        <f>IF(J285&gt;68,K285+(J285-68)*0.2,K285-(68-J285)*0.2)</f>
        <v>10.007999999999999</v>
      </c>
      <c r="M285" s="3">
        <f>(C285-H285)/C285*100</f>
        <v>59.839999999999996</v>
      </c>
      <c r="N285" s="3">
        <f>100-(M285+O285)</f>
        <v>20.144000000000005</v>
      </c>
      <c r="O285" s="3">
        <f>L285/C285*100</f>
        <v>20.015999999999998</v>
      </c>
      <c r="P285" s="2" t="s">
        <v>0</v>
      </c>
      <c r="Q285" s="1">
        <v>409105.06146300002</v>
      </c>
      <c r="R285" s="1">
        <v>3659305.9048660002</v>
      </c>
      <c r="T285" s="4">
        <v>2006111</v>
      </c>
      <c r="U285" s="4" t="s">
        <v>75</v>
      </c>
      <c r="V285" s="4">
        <v>7.954E-2</v>
      </c>
      <c r="W285" s="4">
        <v>0.40325</v>
      </c>
      <c r="X285" s="4">
        <v>2.708E-2</v>
      </c>
      <c r="Y285" s="4">
        <v>1.2454499999999999</v>
      </c>
      <c r="Z285" s="4">
        <v>11.7369</v>
      </c>
      <c r="AA285" s="4">
        <v>7.0750700000000002</v>
      </c>
      <c r="AB285" s="4">
        <v>-2.28308</v>
      </c>
    </row>
    <row r="286" spans="1:28" x14ac:dyDescent="0.25">
      <c r="A286" s="6">
        <v>28</v>
      </c>
      <c r="B286" s="4">
        <v>60</v>
      </c>
      <c r="C286" s="5">
        <v>50</v>
      </c>
      <c r="D286" s="4">
        <v>20</v>
      </c>
      <c r="E286" s="3">
        <v>23</v>
      </c>
      <c r="F286" s="3">
        <f>1.8*E286+32</f>
        <v>73.400000000000006</v>
      </c>
      <c r="G286" s="3">
        <v>21.5</v>
      </c>
      <c r="H286" s="3">
        <f>IF(F286&gt;68,G286+(F286-68)*0.2,G734-(68-F286)*0.2)</f>
        <v>22.580000000000002</v>
      </c>
      <c r="I286" s="3">
        <v>22.8</v>
      </c>
      <c r="J286" s="3">
        <f>1.8*I286+32</f>
        <v>73.039999999999992</v>
      </c>
      <c r="K286" s="3">
        <v>11</v>
      </c>
      <c r="L286" s="3">
        <f>IF(J286&gt;68,K286+(J286-68)*0.2,K286-(68-J286)*0.2)</f>
        <v>12.007999999999999</v>
      </c>
      <c r="M286" s="3">
        <f>(C286-H286)/C286*100</f>
        <v>54.84</v>
      </c>
      <c r="N286" s="3">
        <f>100-(M286+O286)</f>
        <v>21.144000000000005</v>
      </c>
      <c r="O286" s="3">
        <f>L286/C286*100</f>
        <v>24.015999999999998</v>
      </c>
      <c r="P286" s="2" t="s">
        <v>0</v>
      </c>
      <c r="Q286" s="1">
        <v>409105.06146300002</v>
      </c>
      <c r="R286" s="1">
        <v>3659305.9048660002</v>
      </c>
      <c r="T286" s="4">
        <v>2006111</v>
      </c>
      <c r="U286" s="4" t="s">
        <v>74</v>
      </c>
      <c r="V286" s="4">
        <v>7.1629999999999999E-2</v>
      </c>
      <c r="W286" s="4">
        <v>0.38241999999999998</v>
      </c>
      <c r="X286" s="4">
        <v>2.708E-2</v>
      </c>
      <c r="Y286" s="4">
        <v>1.26871</v>
      </c>
      <c r="Z286" s="4">
        <v>13.19834</v>
      </c>
      <c r="AA286" s="4">
        <v>7.6531399999999996</v>
      </c>
      <c r="AB286" s="4">
        <v>-2.0112100000000002</v>
      </c>
    </row>
    <row r="287" spans="1:28" x14ac:dyDescent="0.25">
      <c r="A287" s="6">
        <v>28</v>
      </c>
      <c r="B287" s="4">
        <v>90</v>
      </c>
      <c r="C287" s="5">
        <v>50.01</v>
      </c>
      <c r="D287" s="4">
        <v>20</v>
      </c>
      <c r="E287" s="3">
        <v>23</v>
      </c>
      <c r="F287" s="3">
        <f>1.8*E287+32</f>
        <v>73.400000000000006</v>
      </c>
      <c r="G287" s="3">
        <v>25</v>
      </c>
      <c r="H287" s="3">
        <f>IF(F287&gt;68,G287+(F287-68)*0.2,G735-(68-F287)*0.2)</f>
        <v>26.080000000000002</v>
      </c>
      <c r="I287" s="3">
        <v>22.5</v>
      </c>
      <c r="J287" s="3">
        <f>1.8*I287+32</f>
        <v>72.5</v>
      </c>
      <c r="K287" s="3">
        <v>11</v>
      </c>
      <c r="L287" s="3">
        <f>IF(J287&gt;68,K287+(J287-68)*0.2,K287-(68-J287)*0.2)</f>
        <v>11.9</v>
      </c>
      <c r="M287" s="3">
        <f>(C287-H287)/C287*100</f>
        <v>47.850429914017191</v>
      </c>
      <c r="N287" s="3">
        <f>100-(M287+O287)</f>
        <v>28.35432913417317</v>
      </c>
      <c r="O287" s="3">
        <f>L287/C287*100</f>
        <v>23.795240951809639</v>
      </c>
      <c r="P287" s="2" t="s">
        <v>0</v>
      </c>
      <c r="Q287" s="1">
        <v>409105.06146300002</v>
      </c>
      <c r="R287" s="1">
        <v>3659305.9048660002</v>
      </c>
      <c r="T287" s="4">
        <v>2006111</v>
      </c>
      <c r="U287" s="4" t="s">
        <v>73</v>
      </c>
      <c r="V287" s="4">
        <v>6.2880000000000005E-2</v>
      </c>
      <c r="W287" s="4">
        <v>0.37207000000000001</v>
      </c>
      <c r="X287" s="4">
        <v>2.6980000000000001E-2</v>
      </c>
      <c r="Y287" s="4">
        <v>1.35314</v>
      </c>
      <c r="Z287" s="4">
        <v>19.375299999999999</v>
      </c>
      <c r="AA287" s="4">
        <v>9.3462200000000006</v>
      </c>
      <c r="AB287" s="4">
        <v>-1.4284300000000001</v>
      </c>
    </row>
    <row r="288" spans="1:28" x14ac:dyDescent="0.25">
      <c r="A288" s="6">
        <v>28</v>
      </c>
      <c r="B288" s="4">
        <v>120</v>
      </c>
      <c r="C288" s="5">
        <v>50</v>
      </c>
      <c r="D288" s="4">
        <v>20</v>
      </c>
      <c r="E288" s="3">
        <v>24.5</v>
      </c>
      <c r="F288" s="3">
        <f>1.8*E288+32</f>
        <v>76.099999999999994</v>
      </c>
      <c r="G288" s="3">
        <v>22</v>
      </c>
      <c r="H288" s="3">
        <f>IF(F288&gt;68,G288+(F288-68)*0.2,G736-(68-F288)*0.2)</f>
        <v>23.619999999999997</v>
      </c>
      <c r="I288" s="3">
        <v>22.5</v>
      </c>
      <c r="J288" s="3">
        <f>1.8*I288+32</f>
        <v>72.5</v>
      </c>
      <c r="K288" s="3">
        <v>10</v>
      </c>
      <c r="L288" s="3">
        <f>IF(J288&gt;68,K288+(J288-68)*0.2,K288-(68-J288)*0.2)</f>
        <v>10.9</v>
      </c>
      <c r="M288" s="3">
        <f>(C288-H288)/C288*100</f>
        <v>52.760000000000005</v>
      </c>
      <c r="N288" s="3">
        <f>100-(M288+O288)</f>
        <v>25.439999999999998</v>
      </c>
      <c r="O288" s="3">
        <f>L288/C288*100</f>
        <v>21.8</v>
      </c>
      <c r="P288" s="2" t="s">
        <v>0</v>
      </c>
      <c r="Q288" s="1">
        <v>409105.06146300002</v>
      </c>
      <c r="R288" s="1">
        <v>3659305.9048660002</v>
      </c>
      <c r="T288" s="4">
        <v>2006111</v>
      </c>
      <c r="U288" s="4" t="s">
        <v>72</v>
      </c>
      <c r="V288" s="4">
        <v>6.8790000000000004E-2</v>
      </c>
      <c r="W288" s="4">
        <v>0.37924999999999998</v>
      </c>
      <c r="X288" s="4">
        <v>2.7089999999999999E-2</v>
      </c>
      <c r="Y288" s="4">
        <v>1.2866</v>
      </c>
      <c r="Z288" s="4">
        <v>13.742760000000001</v>
      </c>
      <c r="AA288" s="4">
        <v>8.1132299999999997</v>
      </c>
      <c r="AB288" s="4">
        <v>-1.8359099999999999</v>
      </c>
    </row>
    <row r="289" spans="1:28" x14ac:dyDescent="0.25">
      <c r="A289" s="6">
        <v>28</v>
      </c>
      <c r="B289" s="4">
        <v>150</v>
      </c>
      <c r="C289" s="5">
        <v>50.01</v>
      </c>
      <c r="D289" s="4">
        <v>20</v>
      </c>
      <c r="E289" s="3">
        <v>25</v>
      </c>
      <c r="F289" s="3">
        <f>1.8*E289+32</f>
        <v>77</v>
      </c>
      <c r="G289" s="3">
        <v>26.5</v>
      </c>
      <c r="H289" s="3">
        <f>IF(F289&gt;68,G289+(F289-68)*0.2,G737-(68-F289)*0.2)</f>
        <v>28.3</v>
      </c>
      <c r="I289" s="3">
        <v>22.5</v>
      </c>
      <c r="J289" s="3">
        <f>1.8*I289+32</f>
        <v>72.5</v>
      </c>
      <c r="K289" s="3">
        <v>11</v>
      </c>
      <c r="L289" s="3">
        <f>IF(J289&gt;68,K289+(J289-68)*0.2,K289-(68-J289)*0.2)</f>
        <v>11.9</v>
      </c>
      <c r="M289" s="3">
        <f>(C289-H289)/C289*100</f>
        <v>43.411317736452702</v>
      </c>
      <c r="N289" s="3">
        <f>100-(M289+O289)</f>
        <v>32.793441311737666</v>
      </c>
      <c r="O289" s="3">
        <f>L289/C289*100</f>
        <v>23.795240951809639</v>
      </c>
      <c r="P289" s="2" t="s">
        <v>0</v>
      </c>
      <c r="Q289" s="1">
        <v>409105.06146300002</v>
      </c>
      <c r="R289" s="1">
        <v>3659305.9048660002</v>
      </c>
      <c r="T289" s="4">
        <v>2006111</v>
      </c>
      <c r="U289" s="4" t="s">
        <v>309</v>
      </c>
      <c r="V289" s="4">
        <v>6.1400000000000003E-2</v>
      </c>
      <c r="W289" s="4">
        <v>0.36947000000000002</v>
      </c>
      <c r="X289" s="4">
        <v>2.6270000000000002E-2</v>
      </c>
      <c r="Y289" s="4">
        <v>1.43259</v>
      </c>
      <c r="Z289" s="4">
        <v>27.678560000000001</v>
      </c>
      <c r="AA289" s="4">
        <v>9.8895700000000009</v>
      </c>
      <c r="AB289" s="4">
        <v>-1.1916</v>
      </c>
    </row>
    <row r="290" spans="1:28" x14ac:dyDescent="0.25">
      <c r="A290" s="6">
        <v>28</v>
      </c>
      <c r="B290" s="4">
        <v>180</v>
      </c>
      <c r="C290" s="5">
        <v>50</v>
      </c>
      <c r="D290" s="4">
        <v>20</v>
      </c>
      <c r="E290" s="3">
        <v>25</v>
      </c>
      <c r="F290" s="3">
        <f>1.8*E290+32</f>
        <v>77</v>
      </c>
      <c r="G290" s="3">
        <v>12</v>
      </c>
      <c r="H290" s="3">
        <f>IF(F290&gt;68,G290+(F290-68)*0.2,G738-(68-F290)*0.2)</f>
        <v>13.8</v>
      </c>
      <c r="I290" s="3">
        <v>22.5</v>
      </c>
      <c r="J290" s="3">
        <f>1.8*I290+32</f>
        <v>72.5</v>
      </c>
      <c r="K290" s="3">
        <v>7</v>
      </c>
      <c r="L290" s="3">
        <f>IF(J290&gt;68,K290+(J290-68)*0.2,K290-(68-J290)*0.2)</f>
        <v>7.9</v>
      </c>
      <c r="M290" s="3">
        <f>(C290-H290)/C290*100</f>
        <v>72.400000000000006</v>
      </c>
      <c r="N290" s="3">
        <f>100-(M290+O290)</f>
        <v>11.799999999999997</v>
      </c>
      <c r="O290" s="3">
        <f>L290/C290*100</f>
        <v>15.8</v>
      </c>
      <c r="P290" s="2" t="s">
        <v>20</v>
      </c>
      <c r="Q290" s="1">
        <v>409105.06146300002</v>
      </c>
      <c r="R290" s="1">
        <v>3659305.9048660002</v>
      </c>
      <c r="T290" s="4">
        <v>2006111</v>
      </c>
      <c r="U290" s="4" t="s">
        <v>308</v>
      </c>
      <c r="V290" s="4">
        <v>7.0099999999999996E-2</v>
      </c>
      <c r="W290" s="4">
        <v>0.38490999999999997</v>
      </c>
      <c r="X290" s="4">
        <v>2.7029999999999998E-2</v>
      </c>
      <c r="Y290" s="4">
        <v>1.2851999999999999</v>
      </c>
      <c r="Z290" s="4">
        <v>12.599320000000001</v>
      </c>
      <c r="AA290" s="4">
        <v>8.0925600000000006</v>
      </c>
      <c r="AB290" s="4">
        <v>-1.83769</v>
      </c>
    </row>
    <row r="291" spans="1:28" x14ac:dyDescent="0.25">
      <c r="A291" s="6">
        <v>28</v>
      </c>
      <c r="B291" s="4">
        <v>210</v>
      </c>
      <c r="C291" s="5">
        <v>50</v>
      </c>
      <c r="D291" s="4">
        <v>20</v>
      </c>
      <c r="E291" s="3">
        <v>25</v>
      </c>
      <c r="F291" s="3">
        <f>1.8*E291+32</f>
        <v>77</v>
      </c>
      <c r="G291" s="3">
        <v>12</v>
      </c>
      <c r="H291" s="3">
        <f>IF(F291&gt;68,G291+(F291-68)*0.2,G739-(68-F291)*0.2)</f>
        <v>13.8</v>
      </c>
      <c r="I291" s="3">
        <v>22.5</v>
      </c>
      <c r="J291" s="3">
        <f>1.8*I291+32</f>
        <v>72.5</v>
      </c>
      <c r="K291" s="3">
        <v>8</v>
      </c>
      <c r="L291" s="3">
        <f>IF(J291&gt;68,K291+(J291-68)*0.2,K291-(68-J291)*0.2)</f>
        <v>8.9</v>
      </c>
      <c r="M291" s="3">
        <f>(C291-H291)/C291*100</f>
        <v>72.400000000000006</v>
      </c>
      <c r="N291" s="3">
        <f>100-(M291+O291)</f>
        <v>9.7999999999999972</v>
      </c>
      <c r="O291" s="3">
        <f>L291/C291*100</f>
        <v>17.8</v>
      </c>
      <c r="P291" s="2" t="s">
        <v>20</v>
      </c>
      <c r="Q291" s="1">
        <v>409105.06146300002</v>
      </c>
      <c r="R291" s="1">
        <v>3659305.9048660002</v>
      </c>
      <c r="T291" s="4">
        <v>2006111</v>
      </c>
      <c r="U291" s="4" t="s">
        <v>307</v>
      </c>
      <c r="V291" s="4">
        <v>7.2389999999999996E-2</v>
      </c>
      <c r="W291" s="4">
        <v>0.38801000000000002</v>
      </c>
      <c r="X291" s="4">
        <v>2.6939999999999999E-2</v>
      </c>
      <c r="Y291" s="4">
        <v>1.27406</v>
      </c>
      <c r="Z291" s="4">
        <v>12.01708</v>
      </c>
      <c r="AA291" s="4">
        <v>7.7471800000000002</v>
      </c>
      <c r="AB291" s="4">
        <v>-1.94228</v>
      </c>
    </row>
    <row r="292" spans="1:28" x14ac:dyDescent="0.25">
      <c r="A292" s="6">
        <v>28</v>
      </c>
      <c r="B292" s="4">
        <v>240</v>
      </c>
      <c r="C292" s="5">
        <v>50</v>
      </c>
      <c r="D292" s="4">
        <v>20</v>
      </c>
      <c r="E292" s="3">
        <v>25</v>
      </c>
      <c r="F292" s="3">
        <f>1.8*E292+32</f>
        <v>77</v>
      </c>
      <c r="G292" s="3">
        <v>18</v>
      </c>
      <c r="H292" s="3">
        <f>IF(F292&gt;68,G292+(F292-68)*0.2,G740-(68-F292)*0.2)</f>
        <v>19.8</v>
      </c>
      <c r="I292" s="3">
        <v>22.5</v>
      </c>
      <c r="J292" s="3">
        <f>1.8*I292+32</f>
        <v>72.5</v>
      </c>
      <c r="K292" s="3">
        <v>9</v>
      </c>
      <c r="L292" s="3">
        <f>IF(J292&gt;68,K292+(J292-68)*0.2,K292-(68-J292)*0.2)</f>
        <v>9.9</v>
      </c>
      <c r="M292" s="3">
        <f>(C292-H292)/C292*100</f>
        <v>60.4</v>
      </c>
      <c r="N292" s="3">
        <f>100-(M292+O292)</f>
        <v>19.799999999999997</v>
      </c>
      <c r="O292" s="3">
        <f>L292/C292*100</f>
        <v>19.8</v>
      </c>
      <c r="P292" s="2" t="s">
        <v>0</v>
      </c>
      <c r="Q292" s="1">
        <v>409105.06146300002</v>
      </c>
      <c r="R292" s="1">
        <v>3659305.9048660002</v>
      </c>
      <c r="T292" s="4">
        <v>2006111</v>
      </c>
      <c r="U292" s="4" t="s">
        <v>306</v>
      </c>
      <c r="V292" s="4">
        <v>6.651E-2</v>
      </c>
      <c r="W292" s="4">
        <v>0.38124000000000002</v>
      </c>
      <c r="X292" s="4">
        <v>2.743E-2</v>
      </c>
      <c r="Y292" s="4">
        <v>1.3041100000000001</v>
      </c>
      <c r="Z292" s="4">
        <v>14.29571</v>
      </c>
      <c r="AA292" s="4">
        <v>8.8083100000000005</v>
      </c>
      <c r="AB292" s="4">
        <v>-1.6914</v>
      </c>
    </row>
    <row r="293" spans="1:28" x14ac:dyDescent="0.25">
      <c r="A293" s="6">
        <v>28</v>
      </c>
      <c r="B293" s="4">
        <v>270</v>
      </c>
      <c r="C293" s="5">
        <v>50.01</v>
      </c>
      <c r="D293" s="4">
        <v>20</v>
      </c>
      <c r="E293" s="3">
        <v>25</v>
      </c>
      <c r="F293" s="3">
        <f>1.8*E293+32</f>
        <v>77</v>
      </c>
      <c r="G293" s="3">
        <v>16.5</v>
      </c>
      <c r="H293" s="3">
        <f>IF(F293&gt;68,G293+(F293-68)*0.2,G741-(68-F293)*0.2)</f>
        <v>18.3</v>
      </c>
      <c r="I293" s="3">
        <v>22.5</v>
      </c>
      <c r="J293" s="3">
        <f>1.8*I293+32</f>
        <v>72.5</v>
      </c>
      <c r="K293" s="3">
        <v>7.5</v>
      </c>
      <c r="L293" s="3">
        <f>IF(J293&gt;68,K293+(J293-68)*0.2,K293-(68-J293)*0.2)</f>
        <v>8.4</v>
      </c>
      <c r="M293" s="3">
        <f>(C293-H293)/C293*100</f>
        <v>63.407318536292735</v>
      </c>
      <c r="N293" s="3">
        <f>100-(M293+O293)</f>
        <v>19.796040791841634</v>
      </c>
      <c r="O293" s="3">
        <f>L293/C293*100</f>
        <v>16.796640671865628</v>
      </c>
      <c r="P293" s="2" t="s">
        <v>20</v>
      </c>
      <c r="Q293" s="1">
        <v>409105.06146300002</v>
      </c>
      <c r="R293" s="1">
        <v>3659305.9048660002</v>
      </c>
      <c r="T293" s="4">
        <v>2006111</v>
      </c>
      <c r="U293" s="4" t="s">
        <v>71</v>
      </c>
      <c r="V293" s="4">
        <v>6.5680000000000002E-2</v>
      </c>
      <c r="W293" s="4">
        <v>0.38225999999999999</v>
      </c>
      <c r="X293" s="4">
        <v>2.743E-2</v>
      </c>
      <c r="Y293" s="4">
        <v>1.31084</v>
      </c>
      <c r="Z293" s="4">
        <v>14.647360000000001</v>
      </c>
      <c r="AA293" s="4">
        <v>9.0375599999999991</v>
      </c>
      <c r="AB293" s="4">
        <v>-1.63731</v>
      </c>
    </row>
    <row r="294" spans="1:28" x14ac:dyDescent="0.25">
      <c r="A294" s="6">
        <v>28</v>
      </c>
      <c r="B294" s="4">
        <v>300</v>
      </c>
      <c r="C294" s="5">
        <v>50</v>
      </c>
      <c r="D294" s="4">
        <v>20</v>
      </c>
      <c r="E294" s="3">
        <v>25</v>
      </c>
      <c r="F294" s="3">
        <f>1.8*E294+32</f>
        <v>77</v>
      </c>
      <c r="G294" s="3">
        <v>19</v>
      </c>
      <c r="H294" s="3">
        <f>IF(F294&gt;68,G294+(F294-68)*0.2,G742-(68-F294)*0.2)</f>
        <v>20.8</v>
      </c>
      <c r="I294" s="3">
        <v>22.5</v>
      </c>
      <c r="J294" s="3">
        <f>1.8*I294+32</f>
        <v>72.5</v>
      </c>
      <c r="K294" s="3">
        <v>8.5</v>
      </c>
      <c r="L294" s="3">
        <f>IF(J294&gt;68,K294+(J294-68)*0.2,K294-(68-J294)*0.2)</f>
        <v>9.4</v>
      </c>
      <c r="M294" s="3">
        <f>(C294-H294)/C294*100</f>
        <v>58.4</v>
      </c>
      <c r="N294" s="3">
        <f>100-(M294+O294)</f>
        <v>22.799999999999997</v>
      </c>
      <c r="O294" s="3">
        <f>L294/C294*100</f>
        <v>18.8</v>
      </c>
      <c r="P294" s="2" t="s">
        <v>20</v>
      </c>
      <c r="Q294" s="1">
        <v>409105.06146300002</v>
      </c>
      <c r="R294" s="1">
        <v>3659305.9048660002</v>
      </c>
      <c r="T294" s="4">
        <v>2006111</v>
      </c>
      <c r="U294" s="4" t="s">
        <v>70</v>
      </c>
      <c r="V294" s="4">
        <v>7.1730000000000002E-2</v>
      </c>
      <c r="W294" s="4">
        <v>0.39515</v>
      </c>
      <c r="X294" s="4">
        <v>2.4670000000000001E-2</v>
      </c>
      <c r="Y294" s="4">
        <v>1.30592</v>
      </c>
      <c r="Z294" s="4">
        <v>10.13049</v>
      </c>
      <c r="AA294" s="4">
        <v>7.5417500000000004</v>
      </c>
      <c r="AB294" s="4">
        <v>-1.58911</v>
      </c>
    </row>
    <row r="295" spans="1:28" x14ac:dyDescent="0.2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T295" s="4">
        <v>2006111</v>
      </c>
      <c r="U295" s="4" t="s">
        <v>69</v>
      </c>
      <c r="V295" s="4">
        <v>8.7120000000000003E-2</v>
      </c>
      <c r="W295" s="4">
        <v>0.43915999999999999</v>
      </c>
      <c r="X295" s="4">
        <v>2.0209999999999999E-2</v>
      </c>
      <c r="Y295" s="4">
        <v>1.2801</v>
      </c>
      <c r="Z295" s="4">
        <v>6.4330999999999996</v>
      </c>
      <c r="AA295" s="4">
        <v>5.18588</v>
      </c>
      <c r="AB295" s="4">
        <v>-1.58528</v>
      </c>
    </row>
    <row r="296" spans="1:28" ht="51.75" x14ac:dyDescent="0.25">
      <c r="A296" s="15" t="s">
        <v>19</v>
      </c>
      <c r="B296" s="10" t="s">
        <v>18</v>
      </c>
      <c r="C296" s="14" t="s">
        <v>17</v>
      </c>
      <c r="D296" s="13" t="s">
        <v>16</v>
      </c>
      <c r="E296" s="12" t="s">
        <v>15</v>
      </c>
      <c r="F296" s="12" t="s">
        <v>14</v>
      </c>
      <c r="G296" s="12" t="s">
        <v>13</v>
      </c>
      <c r="H296" s="12" t="s">
        <v>12</v>
      </c>
      <c r="I296" s="12" t="s">
        <v>11</v>
      </c>
      <c r="J296" s="12" t="s">
        <v>10</v>
      </c>
      <c r="K296" s="12" t="s">
        <v>9</v>
      </c>
      <c r="L296" s="12" t="s">
        <v>8</v>
      </c>
      <c r="M296" s="11" t="s">
        <v>7</v>
      </c>
      <c r="N296" s="11" t="s">
        <v>6</v>
      </c>
      <c r="O296" s="11" t="s">
        <v>5</v>
      </c>
      <c r="P296" s="10" t="s">
        <v>4</v>
      </c>
      <c r="Q296" s="9" t="s">
        <v>3</v>
      </c>
      <c r="R296" s="8"/>
      <c r="T296" s="4">
        <v>2006111</v>
      </c>
      <c r="U296" s="4" t="s">
        <v>68</v>
      </c>
      <c r="V296" s="4">
        <v>0.08</v>
      </c>
      <c r="W296" s="4">
        <v>0.41447000000000001</v>
      </c>
      <c r="X296" s="4">
        <v>2.223E-2</v>
      </c>
      <c r="Y296" s="4">
        <v>1.2934600000000001</v>
      </c>
      <c r="Z296" s="4">
        <v>6.6587300000000003</v>
      </c>
      <c r="AA296" s="4">
        <v>6.13314</v>
      </c>
      <c r="AB296" s="4">
        <v>-1.59006</v>
      </c>
    </row>
    <row r="297" spans="1:28" x14ac:dyDescent="0.25">
      <c r="A297" s="15"/>
      <c r="B297" s="10"/>
      <c r="C297" s="14"/>
      <c r="D297" s="13"/>
      <c r="E297" s="12"/>
      <c r="F297" s="12"/>
      <c r="G297" s="12"/>
      <c r="H297" s="12"/>
      <c r="I297" s="12"/>
      <c r="J297" s="12"/>
      <c r="K297" s="12"/>
      <c r="L297" s="12"/>
      <c r="M297" s="11"/>
      <c r="N297" s="11"/>
      <c r="O297" s="11"/>
      <c r="P297" s="10"/>
      <c r="Q297" s="7" t="s">
        <v>2</v>
      </c>
      <c r="R297" s="7" t="s">
        <v>1</v>
      </c>
      <c r="T297" s="4">
        <v>2006111</v>
      </c>
      <c r="U297" s="4" t="s">
        <v>67</v>
      </c>
      <c r="V297" s="4">
        <v>6.2289999999999998E-2</v>
      </c>
      <c r="W297" s="4">
        <v>0.38379000000000002</v>
      </c>
      <c r="X297" s="4">
        <v>2.7470000000000001E-2</v>
      </c>
      <c r="Y297" s="4">
        <v>1.3330500000000001</v>
      </c>
      <c r="Z297" s="4">
        <v>17.135570000000001</v>
      </c>
      <c r="AA297" s="4">
        <v>9.86252</v>
      </c>
      <c r="AB297" s="4">
        <v>-1.47973</v>
      </c>
    </row>
    <row r="298" spans="1:28" x14ac:dyDescent="0.25">
      <c r="A298" s="6">
        <v>31</v>
      </c>
      <c r="B298" s="4">
        <v>30</v>
      </c>
      <c r="C298" s="5">
        <v>50.01</v>
      </c>
      <c r="D298" s="4">
        <v>20</v>
      </c>
      <c r="E298" s="3">
        <v>22.8</v>
      </c>
      <c r="F298" s="3">
        <f>1.8*E298+32</f>
        <v>73.039999999999992</v>
      </c>
      <c r="G298" s="3">
        <v>18.5</v>
      </c>
      <c r="H298" s="3">
        <f>IF(F298&gt;68,G298+(F298-68)*0.2,#REF!-(68-F298)*0.2)</f>
        <v>19.507999999999999</v>
      </c>
      <c r="I298" s="3">
        <v>22</v>
      </c>
      <c r="J298" s="3">
        <f>1.8*I298+32</f>
        <v>71.599999999999994</v>
      </c>
      <c r="K298" s="3">
        <v>10.5</v>
      </c>
      <c r="L298" s="3">
        <f>IF(J298&gt;68,K298+(J298-68)*0.2,K298-(68-J298)*0.2)</f>
        <v>11.219999999999999</v>
      </c>
      <c r="M298" s="3">
        <f>(C298-H298)/C298*100</f>
        <v>60.991801639672062</v>
      </c>
      <c r="N298" s="3">
        <f>100-(M298+O298)</f>
        <v>16.57268546290743</v>
      </c>
      <c r="O298" s="3">
        <f>L298/C298*100</f>
        <v>22.435512897420516</v>
      </c>
      <c r="P298" s="2" t="s">
        <v>0</v>
      </c>
      <c r="Q298" s="1">
        <v>409019.37833199999</v>
      </c>
      <c r="R298" s="16">
        <v>3659280.3694799999</v>
      </c>
      <c r="T298" s="4">
        <v>2006111</v>
      </c>
      <c r="U298" s="4" t="s">
        <v>66</v>
      </c>
      <c r="V298" s="4">
        <v>5.9369999999999999E-2</v>
      </c>
      <c r="W298" s="4">
        <v>0.38129000000000002</v>
      </c>
      <c r="X298" s="4">
        <v>2.8709999999999999E-2</v>
      </c>
      <c r="Y298" s="4">
        <v>1.3458699999999999</v>
      </c>
      <c r="Z298" s="4">
        <v>20.667480000000001</v>
      </c>
      <c r="AA298" s="4">
        <v>10.95224</v>
      </c>
      <c r="AB298" s="4">
        <v>-1.4365699999999999</v>
      </c>
    </row>
    <row r="299" spans="1:28" x14ac:dyDescent="0.25">
      <c r="A299" s="6">
        <v>31</v>
      </c>
      <c r="B299" s="4">
        <v>60</v>
      </c>
      <c r="C299" s="5">
        <v>50.01</v>
      </c>
      <c r="D299" s="4">
        <v>20</v>
      </c>
      <c r="E299" s="3">
        <v>22.8</v>
      </c>
      <c r="F299" s="3">
        <f>1.8*E299+32</f>
        <v>73.039999999999992</v>
      </c>
      <c r="G299" s="3">
        <v>18</v>
      </c>
      <c r="H299" s="3">
        <f>IF(F299&gt;68,G299+(F299-68)*0.2,#REF!-(68-F299)*0.2)</f>
        <v>19.007999999999999</v>
      </c>
      <c r="I299" s="3">
        <v>22</v>
      </c>
      <c r="J299" s="3">
        <f>1.8*I299+32</f>
        <v>71.599999999999994</v>
      </c>
      <c r="K299" s="3">
        <v>10.5</v>
      </c>
      <c r="L299" s="3">
        <f>IF(J299&gt;68,K299+(J299-68)*0.2,K299-(68-J299)*0.2)</f>
        <v>11.219999999999999</v>
      </c>
      <c r="M299" s="3">
        <f>(C299-H299)/C299*100</f>
        <v>61.991601679664065</v>
      </c>
      <c r="N299" s="3">
        <f>100-(M299+O299)</f>
        <v>15.572885422915419</v>
      </c>
      <c r="O299" s="3">
        <f>L299/C299*100</f>
        <v>22.435512897420516</v>
      </c>
      <c r="P299" s="2" t="s">
        <v>0</v>
      </c>
      <c r="Q299" s="1">
        <v>409019.37833199999</v>
      </c>
      <c r="R299" s="16">
        <v>3659280.3694799999</v>
      </c>
      <c r="T299" s="4">
        <v>2006111</v>
      </c>
      <c r="U299" s="4" t="s">
        <v>305</v>
      </c>
      <c r="V299" s="4">
        <v>6.1330000000000003E-2</v>
      </c>
      <c r="W299" s="4">
        <v>0.37611</v>
      </c>
      <c r="X299" s="4">
        <v>2.843E-2</v>
      </c>
      <c r="Y299" s="4">
        <v>1.34328</v>
      </c>
      <c r="Z299" s="4">
        <v>19.60182</v>
      </c>
      <c r="AA299" s="4">
        <v>10.25446</v>
      </c>
      <c r="AB299" s="4">
        <v>-1.4791099999999999</v>
      </c>
    </row>
    <row r="300" spans="1:28" x14ac:dyDescent="0.25">
      <c r="A300" s="6">
        <v>31</v>
      </c>
      <c r="B300" s="4">
        <v>90</v>
      </c>
      <c r="C300" s="5">
        <v>50.01</v>
      </c>
      <c r="D300" s="4">
        <v>20</v>
      </c>
      <c r="E300" s="3">
        <v>22.5</v>
      </c>
      <c r="F300" s="3">
        <f>1.8*E300+32</f>
        <v>72.5</v>
      </c>
      <c r="G300" s="3">
        <v>17.5</v>
      </c>
      <c r="H300" s="3">
        <f>IF(F300&gt;68,G300+(F300-68)*0.2,#REF!-(68-F300)*0.2)</f>
        <v>18.399999999999999</v>
      </c>
      <c r="I300" s="3">
        <v>22</v>
      </c>
      <c r="J300" s="3">
        <f>1.8*I300+32</f>
        <v>71.599999999999994</v>
      </c>
      <c r="K300" s="3">
        <v>11.5</v>
      </c>
      <c r="L300" s="3">
        <f>IF(J300&gt;68,K300+(J300-68)*0.2,K300-(68-J300)*0.2)</f>
        <v>12.219999999999999</v>
      </c>
      <c r="M300" s="3">
        <f>(C300-H300)/C300*100</f>
        <v>63.207358528294343</v>
      </c>
      <c r="N300" s="3">
        <f>100-(M300+O300)</f>
        <v>12.357528494301135</v>
      </c>
      <c r="O300" s="3">
        <f>L300/C300*100</f>
        <v>24.435112977404518</v>
      </c>
      <c r="P300" s="2" t="s">
        <v>0</v>
      </c>
      <c r="Q300" s="1">
        <v>409019.37833199999</v>
      </c>
      <c r="R300" s="16">
        <v>3659280.3694799999</v>
      </c>
      <c r="T300" s="4">
        <v>2006111</v>
      </c>
      <c r="U300" s="4" t="s">
        <v>304</v>
      </c>
      <c r="V300" s="4">
        <v>6.1019999999999998E-2</v>
      </c>
      <c r="W300" s="4">
        <v>0.36881000000000003</v>
      </c>
      <c r="X300" s="4">
        <v>2.6030000000000001E-2</v>
      </c>
      <c r="Y300" s="4">
        <v>1.4863500000000001</v>
      </c>
      <c r="Z300" s="4">
        <v>34.351979999999998</v>
      </c>
      <c r="AA300" s="4">
        <v>10.228429999999999</v>
      </c>
      <c r="AB300" s="4">
        <v>-1.1026100000000001</v>
      </c>
    </row>
    <row r="301" spans="1:28" x14ac:dyDescent="0.25">
      <c r="A301" s="6">
        <v>31</v>
      </c>
      <c r="B301" s="4">
        <v>120</v>
      </c>
      <c r="C301" s="5">
        <v>50</v>
      </c>
      <c r="D301" s="4">
        <v>20</v>
      </c>
      <c r="E301" s="3">
        <v>23</v>
      </c>
      <c r="F301" s="3">
        <f>1.8*E301+32</f>
        <v>73.400000000000006</v>
      </c>
      <c r="G301" s="3">
        <v>26</v>
      </c>
      <c r="H301" s="3">
        <f>IF(F301&gt;68,G301+(F301-68)*0.2,#REF!-(68-F301)*0.2)</f>
        <v>27.080000000000002</v>
      </c>
      <c r="I301" s="3">
        <v>22</v>
      </c>
      <c r="J301" s="3">
        <f>1.8*I301+32</f>
        <v>71.599999999999994</v>
      </c>
      <c r="K301" s="3">
        <v>17.5</v>
      </c>
      <c r="L301" s="3">
        <f>IF(J301&gt;68,K301+(J301-68)*0.2,K301-(68-J301)*0.2)</f>
        <v>18.22</v>
      </c>
      <c r="M301" s="3">
        <f>(C301-H301)/C301*100</f>
        <v>45.839999999999996</v>
      </c>
      <c r="N301" s="3">
        <f>100-(M301+O301)</f>
        <v>17.72</v>
      </c>
      <c r="O301" s="3">
        <f>L301/C301*100</f>
        <v>36.44</v>
      </c>
      <c r="P301" s="2" t="s">
        <v>23</v>
      </c>
      <c r="Q301" s="1">
        <v>409019.37833199999</v>
      </c>
      <c r="R301" s="16">
        <v>3659280.3694799999</v>
      </c>
      <c r="T301" s="4">
        <v>2006111</v>
      </c>
      <c r="U301" s="4" t="s">
        <v>303</v>
      </c>
      <c r="V301" s="4">
        <v>5.994E-2</v>
      </c>
      <c r="W301" s="4">
        <v>0.37020999999999998</v>
      </c>
      <c r="X301" s="4">
        <v>2.7E-2</v>
      </c>
      <c r="Y301" s="4">
        <v>1.46454</v>
      </c>
      <c r="Z301" s="4">
        <v>33.1038</v>
      </c>
      <c r="AA301" s="4">
        <v>10.804550000000001</v>
      </c>
      <c r="AB301" s="4">
        <v>-1.1395999999999999</v>
      </c>
    </row>
    <row r="302" spans="1:28" x14ac:dyDescent="0.25">
      <c r="A302" s="6">
        <v>31</v>
      </c>
      <c r="B302" s="4">
        <v>150</v>
      </c>
      <c r="C302" s="5">
        <v>50</v>
      </c>
      <c r="D302" s="4">
        <v>20</v>
      </c>
      <c r="E302" s="3">
        <v>23.2</v>
      </c>
      <c r="F302" s="3">
        <f>1.8*E302+32</f>
        <v>73.759999999999991</v>
      </c>
      <c r="G302" s="3">
        <v>24.5</v>
      </c>
      <c r="H302" s="3">
        <f>IF(F302&gt;68,G302+(F302-68)*0.2,#REF!-(68-F302)*0.2)</f>
        <v>25.651999999999997</v>
      </c>
      <c r="I302" s="3">
        <v>22</v>
      </c>
      <c r="J302" s="3">
        <f>1.8*I302+32</f>
        <v>71.599999999999994</v>
      </c>
      <c r="K302" s="3">
        <v>13</v>
      </c>
      <c r="L302" s="3">
        <f>IF(J302&gt;68,K302+(J302-68)*0.2,K302-(68-J302)*0.2)</f>
        <v>13.719999999999999</v>
      </c>
      <c r="M302" s="3">
        <f>(C302-H302)/C302*100</f>
        <v>48.696000000000005</v>
      </c>
      <c r="N302" s="3">
        <f>100-(M302+O302)</f>
        <v>23.864000000000004</v>
      </c>
      <c r="O302" s="3">
        <f>L302/C302*100</f>
        <v>27.439999999999998</v>
      </c>
      <c r="P302" s="2" t="s">
        <v>0</v>
      </c>
      <c r="Q302" s="1">
        <v>409019.37833199999</v>
      </c>
      <c r="R302" s="16">
        <v>3659280.3694799999</v>
      </c>
      <c r="T302" s="4">
        <v>2006111</v>
      </c>
      <c r="U302" s="4" t="s">
        <v>65</v>
      </c>
      <c r="V302" s="4">
        <v>6.2230000000000001E-2</v>
      </c>
      <c r="W302" s="4">
        <v>0.37963999999999998</v>
      </c>
      <c r="X302" s="4">
        <v>2.827E-2</v>
      </c>
      <c r="Y302" s="4">
        <v>1.3300700000000001</v>
      </c>
      <c r="Z302" s="4">
        <v>17.796040000000001</v>
      </c>
      <c r="AA302" s="4">
        <v>10.026020000000001</v>
      </c>
      <c r="AB302" s="4">
        <v>-1.5321499999999999</v>
      </c>
    </row>
    <row r="303" spans="1:28" x14ac:dyDescent="0.25">
      <c r="A303" s="6">
        <v>31</v>
      </c>
      <c r="B303" s="4">
        <v>180</v>
      </c>
      <c r="C303" s="5">
        <v>50.01</v>
      </c>
      <c r="D303" s="4">
        <v>20</v>
      </c>
      <c r="E303" s="3">
        <v>23.2</v>
      </c>
      <c r="F303" s="3">
        <f>1.8*E303+32</f>
        <v>73.759999999999991</v>
      </c>
      <c r="G303" s="3">
        <v>20</v>
      </c>
      <c r="H303" s="3">
        <f>IF(F303&gt;68,G303+(F303-68)*0.2,#REF!-(68-F303)*0.2)</f>
        <v>21.151999999999997</v>
      </c>
      <c r="I303" s="3">
        <v>22</v>
      </c>
      <c r="J303" s="3">
        <f>1.8*I303+32</f>
        <v>71.599999999999994</v>
      </c>
      <c r="K303" s="3">
        <v>13.5</v>
      </c>
      <c r="L303" s="3">
        <f>IF(J303&gt;68,K303+(J303-68)*0.2,K303-(68-J303)*0.2)</f>
        <v>14.219999999999999</v>
      </c>
      <c r="M303" s="3">
        <f>(C303-H303)/C303*100</f>
        <v>57.704459108178362</v>
      </c>
      <c r="N303" s="3">
        <f>100-(M303+O303)</f>
        <v>13.861227754449118</v>
      </c>
      <c r="O303" s="3">
        <f>L303/C303*100</f>
        <v>28.434313137372524</v>
      </c>
      <c r="P303" s="2" t="s">
        <v>0</v>
      </c>
      <c r="Q303" s="1">
        <v>409019.37833199999</v>
      </c>
      <c r="R303" s="16">
        <v>3659280.3694799999</v>
      </c>
      <c r="T303" s="4">
        <v>2006111</v>
      </c>
      <c r="U303" s="4" t="s">
        <v>64</v>
      </c>
      <c r="V303" s="4">
        <v>6.7250000000000004E-2</v>
      </c>
      <c r="W303" s="4">
        <v>0.37905</v>
      </c>
      <c r="X303" s="4">
        <v>2.7310000000000001E-2</v>
      </c>
      <c r="Y303" s="4">
        <v>1.2973600000000001</v>
      </c>
      <c r="Z303" s="4">
        <v>14.23925</v>
      </c>
      <c r="AA303" s="4">
        <v>8.5078099999999992</v>
      </c>
      <c r="AB303" s="4">
        <v>-1.74821</v>
      </c>
    </row>
    <row r="304" spans="1:28" x14ac:dyDescent="0.25">
      <c r="A304" s="6">
        <v>31</v>
      </c>
      <c r="B304" s="4">
        <v>210</v>
      </c>
      <c r="C304" s="5">
        <v>50.01</v>
      </c>
      <c r="D304" s="4">
        <v>20</v>
      </c>
      <c r="E304" s="3">
        <v>23.2</v>
      </c>
      <c r="F304" s="3">
        <f>1.8*E304+32</f>
        <v>73.759999999999991</v>
      </c>
      <c r="G304" s="3">
        <v>10</v>
      </c>
      <c r="H304" s="3">
        <f>IF(F304&gt;68,G304+(F304-68)*0.2,#REF!-(68-F304)*0.2)</f>
        <v>11.151999999999997</v>
      </c>
      <c r="I304" s="3">
        <v>22</v>
      </c>
      <c r="J304" s="3">
        <f>1.8*I304+32</f>
        <v>71.599999999999994</v>
      </c>
      <c r="K304" s="3">
        <v>8</v>
      </c>
      <c r="L304" s="3">
        <f>IF(J304&gt;68,K304+(J304-68)*0.2,K304-(68-J304)*0.2)</f>
        <v>8.7199999999999989</v>
      </c>
      <c r="M304" s="3">
        <f>(C304-H304)/C304*100</f>
        <v>77.700459908018402</v>
      </c>
      <c r="N304" s="3">
        <f>100-(M304+O304)</f>
        <v>4.8630273945210831</v>
      </c>
      <c r="O304" s="3">
        <f>L304/C304*100</f>
        <v>17.436512697460508</v>
      </c>
      <c r="P304" s="2" t="s">
        <v>0</v>
      </c>
      <c r="Q304" s="1">
        <v>409019.37833199999</v>
      </c>
      <c r="R304" s="16">
        <v>3659280.3694799999</v>
      </c>
      <c r="T304" s="4">
        <v>2006111</v>
      </c>
      <c r="U304" s="4" t="s">
        <v>63</v>
      </c>
      <c r="V304" s="4">
        <v>6.3920000000000005E-2</v>
      </c>
      <c r="W304" s="4">
        <v>0.38667000000000001</v>
      </c>
      <c r="X304" s="4">
        <v>2.6380000000000001E-2</v>
      </c>
      <c r="Y304" s="4">
        <v>1.3312900000000001</v>
      </c>
      <c r="Z304" s="4">
        <v>15.34904</v>
      </c>
      <c r="AA304" s="4">
        <v>9.2302099999999996</v>
      </c>
      <c r="AB304" s="4">
        <v>-1.4610700000000001</v>
      </c>
    </row>
    <row r="305" spans="1:28" x14ac:dyDescent="0.25">
      <c r="A305" s="6">
        <v>31</v>
      </c>
      <c r="B305" s="4">
        <v>240</v>
      </c>
      <c r="C305" s="5">
        <v>50</v>
      </c>
      <c r="D305" s="4">
        <v>20</v>
      </c>
      <c r="E305" s="3">
        <v>23.2</v>
      </c>
      <c r="F305" s="3">
        <f>1.8*E305+32</f>
        <v>73.759999999999991</v>
      </c>
      <c r="G305" s="3">
        <v>10</v>
      </c>
      <c r="H305" s="3">
        <f>IF(F305&gt;68,G305+(F305-68)*0.2,#REF!-(68-F305)*0.2)</f>
        <v>11.151999999999997</v>
      </c>
      <c r="I305" s="3">
        <v>22</v>
      </c>
      <c r="J305" s="3">
        <f>1.8*I305+32</f>
        <v>71.599999999999994</v>
      </c>
      <c r="K305" s="3">
        <v>7.5</v>
      </c>
      <c r="L305" s="3">
        <f>IF(J305&gt;68,K305+(J305-68)*0.2,K305-(68-J305)*0.2)</f>
        <v>8.2199999999999989</v>
      </c>
      <c r="M305" s="3">
        <f>(C305-H305)/C305*100</f>
        <v>77.695999999999998</v>
      </c>
      <c r="N305" s="3">
        <f>100-(M305+O305)</f>
        <v>5.8640000000000043</v>
      </c>
      <c r="O305" s="3">
        <f>L305/C305*100</f>
        <v>16.439999999999998</v>
      </c>
      <c r="P305" s="2" t="s">
        <v>20</v>
      </c>
      <c r="Q305" s="1">
        <v>409019.37833199999</v>
      </c>
      <c r="R305" s="16">
        <v>3659280.3694799999</v>
      </c>
      <c r="T305" s="4">
        <v>2006111</v>
      </c>
      <c r="U305" s="4" t="s">
        <v>62</v>
      </c>
      <c r="V305" s="4">
        <v>6.5180000000000002E-2</v>
      </c>
      <c r="W305" s="4">
        <v>0.38608999999999999</v>
      </c>
      <c r="X305" s="4">
        <v>2.6610000000000002E-2</v>
      </c>
      <c r="Y305" s="4">
        <v>1.3222499999999999</v>
      </c>
      <c r="Z305" s="4">
        <v>14.528119999999999</v>
      </c>
      <c r="AA305" s="4">
        <v>9.0344800000000003</v>
      </c>
      <c r="AB305" s="4">
        <v>-1.5283899999999999</v>
      </c>
    </row>
    <row r="306" spans="1:28" x14ac:dyDescent="0.25">
      <c r="A306" s="6">
        <v>31</v>
      </c>
      <c r="B306" s="4">
        <v>270</v>
      </c>
      <c r="C306" s="5">
        <v>50</v>
      </c>
      <c r="D306" s="4">
        <v>20</v>
      </c>
      <c r="E306" s="3">
        <v>23.2</v>
      </c>
      <c r="F306" s="3">
        <f>1.8*E306+32</f>
        <v>73.759999999999991</v>
      </c>
      <c r="G306" s="3">
        <v>13</v>
      </c>
      <c r="H306" s="3">
        <f>IF(F306&gt;68,G306+(F306-68)*0.2,#REF!-(68-F306)*0.2)</f>
        <v>14.151999999999997</v>
      </c>
      <c r="I306" s="3">
        <v>22</v>
      </c>
      <c r="J306" s="3">
        <f>1.8*I306+32</f>
        <v>71.599999999999994</v>
      </c>
      <c r="K306" s="3">
        <v>8.5</v>
      </c>
      <c r="L306" s="3">
        <f>IF(J306&gt;68,K306+(J306-68)*0.2,K306-(68-J306)*0.2)</f>
        <v>9.2199999999999989</v>
      </c>
      <c r="M306" s="3">
        <f>(C306-H306)/C306*100</f>
        <v>71.695999999999998</v>
      </c>
      <c r="N306" s="3">
        <f>100-(M306+O306)</f>
        <v>9.8640000000000043</v>
      </c>
      <c r="O306" s="3">
        <f>L306/C306*100</f>
        <v>18.439999999999998</v>
      </c>
      <c r="P306" s="2" t="s">
        <v>20</v>
      </c>
      <c r="Q306" s="1">
        <v>409019.37833199999</v>
      </c>
      <c r="R306" s="16">
        <v>3659280.3694799999</v>
      </c>
      <c r="T306" s="4">
        <v>2006111</v>
      </c>
      <c r="U306" s="4" t="s">
        <v>61</v>
      </c>
      <c r="V306" s="4">
        <v>8.0490000000000006E-2</v>
      </c>
      <c r="W306" s="4">
        <v>0.41366999999999998</v>
      </c>
      <c r="X306" s="4">
        <v>2.3390000000000001E-2</v>
      </c>
      <c r="Y306" s="4">
        <v>1.27979</v>
      </c>
      <c r="Z306" s="4">
        <v>7.3378300000000003</v>
      </c>
      <c r="AA306" s="4">
        <v>6.3680399999999997</v>
      </c>
      <c r="AB306" s="4">
        <v>-1.7470399999999999</v>
      </c>
    </row>
    <row r="307" spans="1:28" x14ac:dyDescent="0.25">
      <c r="A307" s="6">
        <v>31</v>
      </c>
      <c r="B307" s="4">
        <v>300</v>
      </c>
      <c r="C307" s="5">
        <v>50</v>
      </c>
      <c r="D307" s="4">
        <v>20</v>
      </c>
      <c r="E307" s="3">
        <v>23.2</v>
      </c>
      <c r="F307" s="3">
        <f>1.8*E307+32</f>
        <v>73.759999999999991</v>
      </c>
      <c r="G307" s="3">
        <v>12.5</v>
      </c>
      <c r="H307" s="3">
        <f>IF(F307&gt;68,G307+(F307-68)*0.2,#REF!-(68-F307)*0.2)</f>
        <v>13.651999999999997</v>
      </c>
      <c r="I307" s="3">
        <v>22</v>
      </c>
      <c r="J307" s="3">
        <f>1.8*I307+32</f>
        <v>71.599999999999994</v>
      </c>
      <c r="K307" s="3">
        <v>8</v>
      </c>
      <c r="L307" s="3">
        <f>IF(J307&gt;68,K307+(J307-68)*0.2,K307-(68-J307)*0.2)</f>
        <v>8.7199999999999989</v>
      </c>
      <c r="M307" s="3">
        <f>(C307-H307)/C307*100</f>
        <v>72.695999999999998</v>
      </c>
      <c r="N307" s="3">
        <f>100-(M307+O307)</f>
        <v>9.8640000000000043</v>
      </c>
      <c r="O307" s="3">
        <f>L307/C307*100</f>
        <v>17.439999999999998</v>
      </c>
      <c r="P307" s="2" t="s">
        <v>20</v>
      </c>
      <c r="Q307" s="1">
        <v>409019.37833199999</v>
      </c>
      <c r="R307" s="16">
        <v>3659280.3694799999</v>
      </c>
      <c r="T307" s="4">
        <v>2006111</v>
      </c>
      <c r="U307" s="4" t="s">
        <v>60</v>
      </c>
      <c r="V307" s="4">
        <v>7.0040000000000005E-2</v>
      </c>
      <c r="W307" s="4">
        <v>0.38406000000000001</v>
      </c>
      <c r="X307" s="4">
        <v>2.7099999999999999E-2</v>
      </c>
      <c r="Y307" s="4">
        <v>1.2838400000000001</v>
      </c>
      <c r="Z307" s="4">
        <v>12.779680000000001</v>
      </c>
      <c r="AA307" s="4">
        <v>8.0815599999999996</v>
      </c>
      <c r="AB307" s="4">
        <v>-1.8535900000000001</v>
      </c>
    </row>
    <row r="308" spans="1:28" x14ac:dyDescent="0.25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T308" s="4">
        <v>2006111</v>
      </c>
      <c r="U308" s="4" t="s">
        <v>302</v>
      </c>
      <c r="V308" s="4">
        <v>6.1629999999999997E-2</v>
      </c>
      <c r="W308" s="4">
        <v>0.37248999999999999</v>
      </c>
      <c r="X308" s="4">
        <v>2.7490000000000001E-2</v>
      </c>
      <c r="Y308" s="4">
        <v>1.3655200000000001</v>
      </c>
      <c r="Z308" s="4">
        <v>21.1738</v>
      </c>
      <c r="AA308" s="4">
        <v>9.9006900000000009</v>
      </c>
      <c r="AB308" s="4">
        <v>-1.38402</v>
      </c>
    </row>
    <row r="309" spans="1:28" ht="51.75" x14ac:dyDescent="0.25">
      <c r="A309" s="15" t="s">
        <v>19</v>
      </c>
      <c r="B309" s="10" t="s">
        <v>18</v>
      </c>
      <c r="C309" s="14" t="s">
        <v>17</v>
      </c>
      <c r="D309" s="13" t="s">
        <v>16</v>
      </c>
      <c r="E309" s="12" t="s">
        <v>15</v>
      </c>
      <c r="F309" s="12" t="s">
        <v>14</v>
      </c>
      <c r="G309" s="12" t="s">
        <v>13</v>
      </c>
      <c r="H309" s="12" t="s">
        <v>12</v>
      </c>
      <c r="I309" s="12" t="s">
        <v>11</v>
      </c>
      <c r="J309" s="12" t="s">
        <v>10</v>
      </c>
      <c r="K309" s="12" t="s">
        <v>9</v>
      </c>
      <c r="L309" s="12" t="s">
        <v>8</v>
      </c>
      <c r="M309" s="11" t="s">
        <v>7</v>
      </c>
      <c r="N309" s="11" t="s">
        <v>6</v>
      </c>
      <c r="O309" s="11" t="s">
        <v>5</v>
      </c>
      <c r="P309" s="10" t="s">
        <v>4</v>
      </c>
      <c r="Q309" s="44" t="s">
        <v>3</v>
      </c>
      <c r="R309" s="44"/>
      <c r="T309" s="4">
        <v>2006111</v>
      </c>
      <c r="U309" s="4" t="s">
        <v>301</v>
      </c>
      <c r="V309" s="4">
        <v>6.4930000000000002E-2</v>
      </c>
      <c r="W309" s="4">
        <v>0.37469999999999998</v>
      </c>
      <c r="X309" s="4">
        <v>2.717E-2</v>
      </c>
      <c r="Y309" s="4">
        <v>1.3186599999999999</v>
      </c>
      <c r="Z309" s="4">
        <v>16.185500000000001</v>
      </c>
      <c r="AA309" s="4">
        <v>8.8593200000000003</v>
      </c>
      <c r="AB309" s="4">
        <v>-1.6035200000000001</v>
      </c>
    </row>
    <row r="310" spans="1:28" x14ac:dyDescent="0.25">
      <c r="A310" s="15"/>
      <c r="B310" s="10"/>
      <c r="C310" s="14"/>
      <c r="D310" s="13"/>
      <c r="E310" s="12"/>
      <c r="F310" s="12"/>
      <c r="G310" s="12"/>
      <c r="H310" s="12"/>
      <c r="I310" s="12"/>
      <c r="J310" s="12"/>
      <c r="K310" s="12"/>
      <c r="L310" s="12"/>
      <c r="M310" s="11"/>
      <c r="N310" s="11"/>
      <c r="O310" s="11"/>
      <c r="P310" s="10"/>
      <c r="Q310" s="7" t="s">
        <v>2</v>
      </c>
      <c r="R310" s="7" t="s">
        <v>1</v>
      </c>
      <c r="T310" s="4">
        <v>2006111</v>
      </c>
      <c r="U310" s="4" t="s">
        <v>300</v>
      </c>
      <c r="V310" s="4">
        <v>5.876E-2</v>
      </c>
      <c r="W310" s="4">
        <v>0.37515999999999999</v>
      </c>
      <c r="X310" s="4">
        <v>2.913E-2</v>
      </c>
      <c r="Y310" s="4">
        <v>1.3753200000000001</v>
      </c>
      <c r="Z310" s="4">
        <v>24.620529999999999</v>
      </c>
      <c r="AA310" s="4">
        <v>11.36318</v>
      </c>
      <c r="AB310" s="4">
        <v>-1.35562</v>
      </c>
    </row>
    <row r="311" spans="1:28" x14ac:dyDescent="0.25">
      <c r="A311" s="6">
        <v>32</v>
      </c>
      <c r="B311" s="4">
        <v>30</v>
      </c>
      <c r="C311" s="5">
        <v>50</v>
      </c>
      <c r="D311" s="4">
        <v>20</v>
      </c>
      <c r="E311" s="3">
        <v>23</v>
      </c>
      <c r="F311" s="3">
        <f>1.8*E311+32</f>
        <v>73.400000000000006</v>
      </c>
      <c r="G311" s="3">
        <v>17</v>
      </c>
      <c r="H311" s="3">
        <f>IF(F311&gt;68,G311+(F311-68)*0.2,#REF!-(68-F311)*0.2)</f>
        <v>18.080000000000002</v>
      </c>
      <c r="I311" s="3">
        <v>22.5</v>
      </c>
      <c r="J311" s="3">
        <f>1.8*I311+32</f>
        <v>72.5</v>
      </c>
      <c r="K311" s="3">
        <v>10</v>
      </c>
      <c r="L311" s="3">
        <f>IF(J311&gt;68,K311+(J311-68)*0.2,K311-(68-J311)*0.2)</f>
        <v>10.9</v>
      </c>
      <c r="M311" s="3">
        <f>(C311-H311)/C311*100</f>
        <v>63.839999999999996</v>
      </c>
      <c r="N311" s="3">
        <f>100-(M311+O311)</f>
        <v>14.36</v>
      </c>
      <c r="O311" s="3">
        <f>L311/C311*100</f>
        <v>21.8</v>
      </c>
      <c r="P311" s="2" t="s">
        <v>0</v>
      </c>
      <c r="Q311" s="1">
        <v>409031.58399700001</v>
      </c>
      <c r="R311" s="1">
        <v>3659280.1613329998</v>
      </c>
      <c r="T311" s="4">
        <v>2006111</v>
      </c>
      <c r="U311" s="4" t="s">
        <v>299</v>
      </c>
      <c r="V311" s="4">
        <v>6.8739999999999996E-2</v>
      </c>
      <c r="W311" s="4">
        <v>0.38858999999999999</v>
      </c>
      <c r="X311" s="4">
        <v>2.614E-2</v>
      </c>
      <c r="Y311" s="4">
        <v>1.3059099999999999</v>
      </c>
      <c r="Z311" s="4">
        <v>12.2051</v>
      </c>
      <c r="AA311" s="4">
        <v>8.2785299999999999</v>
      </c>
      <c r="AB311" s="4">
        <v>-1.63361</v>
      </c>
    </row>
    <row r="312" spans="1:28" x14ac:dyDescent="0.25">
      <c r="A312" s="6">
        <v>32</v>
      </c>
      <c r="B312" s="4">
        <v>60</v>
      </c>
      <c r="C312" s="5">
        <v>50.01</v>
      </c>
      <c r="D312" s="4">
        <v>20</v>
      </c>
      <c r="E312" s="3">
        <v>23</v>
      </c>
      <c r="F312" s="3">
        <f>1.8*E312+32</f>
        <v>73.400000000000006</v>
      </c>
      <c r="G312" s="3">
        <v>22</v>
      </c>
      <c r="H312" s="3">
        <f>IF(F312&gt;68,G312+(F312-68)*0.2,#REF!-(68-F312)*0.2)</f>
        <v>23.080000000000002</v>
      </c>
      <c r="I312" s="3">
        <v>22.5</v>
      </c>
      <c r="J312" s="3">
        <f>1.8*I312+32</f>
        <v>72.5</v>
      </c>
      <c r="K312" s="3">
        <v>14</v>
      </c>
      <c r="L312" s="3">
        <f>IF(J312&gt;68,K312+(J312-68)*0.2,K312-(68-J312)*0.2)</f>
        <v>14.9</v>
      </c>
      <c r="M312" s="3">
        <f>(C312-H312)/C312*100</f>
        <v>53.849230153969195</v>
      </c>
      <c r="N312" s="3">
        <f>100-(M312+O312)</f>
        <v>16.356728654269148</v>
      </c>
      <c r="O312" s="3">
        <f>L312/C312*100</f>
        <v>29.79404119176165</v>
      </c>
      <c r="P312" s="2" t="s">
        <v>0</v>
      </c>
      <c r="Q312" s="1">
        <v>409031.58399700001</v>
      </c>
      <c r="R312" s="1">
        <v>3659280.1613329998</v>
      </c>
      <c r="T312" s="4">
        <v>2006111</v>
      </c>
      <c r="U312" s="4" t="s">
        <v>59</v>
      </c>
      <c r="V312" s="4">
        <v>5.9360000000000003E-2</v>
      </c>
      <c r="W312" s="4">
        <v>0.38158999999999998</v>
      </c>
      <c r="X312" s="4">
        <v>2.8629999999999999E-2</v>
      </c>
      <c r="Y312" s="4">
        <v>1.34588</v>
      </c>
      <c r="Z312" s="4">
        <v>20.59056</v>
      </c>
      <c r="AA312" s="4">
        <v>10.930350000000001</v>
      </c>
      <c r="AB312" s="4">
        <v>-1.43323</v>
      </c>
    </row>
    <row r="313" spans="1:28" x14ac:dyDescent="0.25">
      <c r="A313" s="6">
        <v>32</v>
      </c>
      <c r="B313" s="4">
        <v>90</v>
      </c>
      <c r="C313" s="5">
        <v>50</v>
      </c>
      <c r="D313" s="4">
        <v>20</v>
      </c>
      <c r="E313" s="3">
        <v>24.5</v>
      </c>
      <c r="F313" s="3">
        <f>1.8*E313+32</f>
        <v>76.099999999999994</v>
      </c>
      <c r="G313" s="3">
        <v>27</v>
      </c>
      <c r="H313" s="3">
        <f>IF(F313&gt;68,G313+(F313-68)*0.2,#REF!-(68-F313)*0.2)</f>
        <v>28.619999999999997</v>
      </c>
      <c r="I313" s="3">
        <v>22.5</v>
      </c>
      <c r="J313" s="3">
        <f>1.8*I313+32</f>
        <v>72.5</v>
      </c>
      <c r="K313" s="3">
        <v>18</v>
      </c>
      <c r="L313" s="3">
        <f>IF(J313&gt;68,K313+(J313-68)*0.2,K313-(68-J313)*0.2)</f>
        <v>18.899999999999999</v>
      </c>
      <c r="M313" s="3">
        <f>(C313-H313)/C313*100</f>
        <v>42.760000000000005</v>
      </c>
      <c r="N313" s="3">
        <f>100-(M313+O313)</f>
        <v>19.439999999999998</v>
      </c>
      <c r="O313" s="3">
        <f>L313/C313*100</f>
        <v>37.799999999999997</v>
      </c>
      <c r="P313" s="2" t="s">
        <v>0</v>
      </c>
      <c r="Q313" s="1">
        <v>409031.58399700001</v>
      </c>
      <c r="R313" s="1">
        <v>3659280.1613329998</v>
      </c>
      <c r="T313" s="4">
        <v>2006111</v>
      </c>
      <c r="U313" s="4" t="s">
        <v>58</v>
      </c>
      <c r="V313" s="4">
        <v>5.9360000000000003E-2</v>
      </c>
      <c r="W313" s="4">
        <v>0.38158999999999998</v>
      </c>
      <c r="X313" s="4">
        <v>2.8629999999999999E-2</v>
      </c>
      <c r="Y313" s="4">
        <v>1.34588</v>
      </c>
      <c r="Z313" s="4">
        <v>20.59056</v>
      </c>
      <c r="AA313" s="4">
        <v>10.930350000000001</v>
      </c>
      <c r="AB313" s="4">
        <v>-1.43323</v>
      </c>
    </row>
    <row r="314" spans="1:28" x14ac:dyDescent="0.25">
      <c r="A314" s="6">
        <v>32</v>
      </c>
      <c r="B314" s="4">
        <v>120</v>
      </c>
      <c r="C314" s="5">
        <v>50.01</v>
      </c>
      <c r="D314" s="4">
        <v>20</v>
      </c>
      <c r="E314" s="3">
        <v>24.5</v>
      </c>
      <c r="F314" s="3">
        <f>1.8*E314+32</f>
        <v>76.099999999999994</v>
      </c>
      <c r="G314" s="3">
        <v>27</v>
      </c>
      <c r="H314" s="3">
        <f>IF(F314&gt;68,G314+(F314-68)*0.2,#REF!-(68-F314)*0.2)</f>
        <v>28.619999999999997</v>
      </c>
      <c r="I314" s="3">
        <v>23</v>
      </c>
      <c r="J314" s="3">
        <f>1.8*I314+32</f>
        <v>73.400000000000006</v>
      </c>
      <c r="K314" s="3">
        <v>16.5</v>
      </c>
      <c r="L314" s="3">
        <f>IF(J314&gt;68,K314+(J314-68)*0.2,K314-(68-J314)*0.2)</f>
        <v>17.580000000000002</v>
      </c>
      <c r="M314" s="3">
        <f>(C314-H314)/C314*100</f>
        <v>42.771445710857833</v>
      </c>
      <c r="N314" s="3">
        <f>100-(M314+O314)</f>
        <v>22.075584883023382</v>
      </c>
      <c r="O314" s="3">
        <f>L314/C314*100</f>
        <v>35.152969406118785</v>
      </c>
      <c r="P314" s="2" t="s">
        <v>0</v>
      </c>
      <c r="Q314" s="1">
        <v>409031.58399700001</v>
      </c>
      <c r="R314" s="1">
        <v>3659280.1613329998</v>
      </c>
      <c r="T314" s="4">
        <v>2006111</v>
      </c>
      <c r="U314" s="4" t="s">
        <v>57</v>
      </c>
      <c r="V314" s="4">
        <v>6.6549999999999998E-2</v>
      </c>
      <c r="W314" s="4">
        <v>0.38723999999999997</v>
      </c>
      <c r="X314" s="4">
        <v>2.63E-2</v>
      </c>
      <c r="Y314" s="4">
        <v>1.3169599999999999</v>
      </c>
      <c r="Z314" s="4">
        <v>13.49038</v>
      </c>
      <c r="AA314" s="4">
        <v>8.7017799999999994</v>
      </c>
      <c r="AB314" s="4">
        <v>-1.5568900000000001</v>
      </c>
    </row>
    <row r="315" spans="1:28" x14ac:dyDescent="0.25">
      <c r="A315" s="6">
        <v>32</v>
      </c>
      <c r="B315" s="4">
        <v>150</v>
      </c>
      <c r="C315" s="5">
        <v>50</v>
      </c>
      <c r="D315" s="4">
        <v>20</v>
      </c>
      <c r="E315" s="3">
        <v>25</v>
      </c>
      <c r="F315" s="3">
        <f>1.8*E315+32</f>
        <v>77</v>
      </c>
      <c r="G315" s="3">
        <v>20</v>
      </c>
      <c r="H315" s="3">
        <f>IF(F315&gt;68,G315+(F315-68)*0.2,#REF!-(68-F315)*0.2)</f>
        <v>21.8</v>
      </c>
      <c r="I315" s="3">
        <v>23</v>
      </c>
      <c r="J315" s="3">
        <f>1.8*I315+32</f>
        <v>73.400000000000006</v>
      </c>
      <c r="K315" s="3">
        <v>13.5</v>
      </c>
      <c r="L315" s="3">
        <f>IF(J315&gt;68,K315+(J315-68)*0.2,K315-(68-J315)*0.2)</f>
        <v>14.580000000000002</v>
      </c>
      <c r="M315" s="3">
        <f>(C315-H315)/C315*100</f>
        <v>56.399999999999991</v>
      </c>
      <c r="N315" s="3">
        <f>100-(M315+O315)</f>
        <v>14.439999999999998</v>
      </c>
      <c r="O315" s="3">
        <f>L315/C315*100</f>
        <v>29.160000000000004</v>
      </c>
      <c r="P315" s="2" t="s">
        <v>0</v>
      </c>
      <c r="Q315" s="1">
        <v>409031.58399700001</v>
      </c>
      <c r="R315" s="1">
        <v>3659280.1613329998</v>
      </c>
      <c r="T315" s="4">
        <v>2006111</v>
      </c>
      <c r="U315" s="4" t="s">
        <v>56</v>
      </c>
      <c r="V315" s="4">
        <v>7.3969999999999994E-2</v>
      </c>
      <c r="W315" s="4">
        <v>0.41186</v>
      </c>
      <c r="X315" s="4">
        <v>1.72E-2</v>
      </c>
      <c r="Y315" s="4">
        <v>1.3736200000000001</v>
      </c>
      <c r="Z315" s="4">
        <v>6.9455999999999998</v>
      </c>
      <c r="AA315" s="4">
        <v>5.15855</v>
      </c>
      <c r="AB315" s="4">
        <v>-0.97179000000000004</v>
      </c>
    </row>
    <row r="316" spans="1:28" x14ac:dyDescent="0.25">
      <c r="A316" s="6">
        <v>32</v>
      </c>
      <c r="B316" s="4">
        <v>180</v>
      </c>
      <c r="C316" s="5">
        <v>50.01</v>
      </c>
      <c r="D316" s="4">
        <v>20</v>
      </c>
      <c r="E316" s="3">
        <v>25</v>
      </c>
      <c r="F316" s="3">
        <f>1.8*E316+32</f>
        <v>77</v>
      </c>
      <c r="G316" s="3">
        <v>12.5</v>
      </c>
      <c r="H316" s="3">
        <f>IF(F316&gt;68,G316+(F316-68)*0.2,#REF!-(68-F316)*0.2)</f>
        <v>14.3</v>
      </c>
      <c r="I316" s="3">
        <v>23</v>
      </c>
      <c r="J316" s="3">
        <f>1.8*I316+32</f>
        <v>73.400000000000006</v>
      </c>
      <c r="K316" s="3">
        <v>9</v>
      </c>
      <c r="L316" s="3">
        <f>IF(J316&gt;68,K316+(J316-68)*0.2,K316-(68-J316)*0.2)</f>
        <v>10.080000000000002</v>
      </c>
      <c r="M316" s="3">
        <f>(C316-H316)/C316*100</f>
        <v>71.405718856228745</v>
      </c>
      <c r="N316" s="3">
        <f>100-(M316+O316)</f>
        <v>8.4383123375324942</v>
      </c>
      <c r="O316" s="3">
        <f>L316/C316*100</f>
        <v>20.155968806238754</v>
      </c>
      <c r="P316" s="2" t="s">
        <v>0</v>
      </c>
      <c r="Q316" s="1">
        <v>409031.58399700001</v>
      </c>
      <c r="R316" s="1">
        <v>3659280.1613329998</v>
      </c>
      <c r="T316" s="4">
        <v>2006111</v>
      </c>
      <c r="U316" s="4" t="s">
        <v>55</v>
      </c>
      <c r="V316" s="4">
        <v>6.2390000000000001E-2</v>
      </c>
      <c r="W316" s="4">
        <v>0.38508999999999999</v>
      </c>
      <c r="X316" s="4">
        <v>2.7019999999999999E-2</v>
      </c>
      <c r="Y316" s="4">
        <v>1.33531</v>
      </c>
      <c r="Z316" s="4">
        <v>16.833780000000001</v>
      </c>
      <c r="AA316" s="4">
        <v>9.7226400000000002</v>
      </c>
      <c r="AB316" s="4">
        <v>-1.4518</v>
      </c>
    </row>
    <row r="317" spans="1:28" x14ac:dyDescent="0.25">
      <c r="A317" s="6">
        <v>32</v>
      </c>
      <c r="B317" s="4">
        <v>210</v>
      </c>
      <c r="C317" s="5">
        <v>50.01</v>
      </c>
      <c r="D317" s="4">
        <v>20</v>
      </c>
      <c r="E317" s="3">
        <v>25</v>
      </c>
      <c r="F317" s="3">
        <f>1.8*E317+32</f>
        <v>77</v>
      </c>
      <c r="G317" s="3">
        <v>12</v>
      </c>
      <c r="H317" s="3">
        <f>IF(F317&gt;68,G317+(F317-68)*0.2,#REF!-(68-F317)*0.2)</f>
        <v>13.8</v>
      </c>
      <c r="I317" s="3">
        <v>23</v>
      </c>
      <c r="J317" s="3">
        <f>1.8*I317+32</f>
        <v>73.400000000000006</v>
      </c>
      <c r="K317" s="3">
        <v>10</v>
      </c>
      <c r="L317" s="3">
        <f>IF(J317&gt;68,K317+(J317-68)*0.2,K317-(68-J317)*0.2)</f>
        <v>11.080000000000002</v>
      </c>
      <c r="M317" s="3">
        <f>(C317-H317)/C317*100</f>
        <v>72.405518896220741</v>
      </c>
      <c r="N317" s="3">
        <f>100-(M317+O317)</f>
        <v>5.4389122175564921</v>
      </c>
      <c r="O317" s="3">
        <f>L317/C317*100</f>
        <v>22.15556888622276</v>
      </c>
      <c r="P317" s="2" t="s">
        <v>0</v>
      </c>
      <c r="Q317" s="1">
        <v>409031.58399700001</v>
      </c>
      <c r="R317" s="1">
        <v>3659280.1613329998</v>
      </c>
      <c r="T317" s="4">
        <v>2006111</v>
      </c>
      <c r="U317" s="4" t="s">
        <v>54</v>
      </c>
      <c r="V317" s="4">
        <v>6.5250000000000002E-2</v>
      </c>
      <c r="W317" s="4">
        <v>0.39500999999999997</v>
      </c>
      <c r="X317" s="4">
        <v>2.197E-2</v>
      </c>
      <c r="Y317" s="4">
        <v>1.3595999999999999</v>
      </c>
      <c r="Z317" s="4">
        <v>12.806380000000001</v>
      </c>
      <c r="AA317" s="4">
        <v>7.6225399999999999</v>
      </c>
      <c r="AB317" s="4">
        <v>-1.18326</v>
      </c>
    </row>
    <row r="318" spans="1:28" x14ac:dyDescent="0.25">
      <c r="A318" s="6">
        <v>32</v>
      </c>
      <c r="B318" s="4">
        <v>240</v>
      </c>
      <c r="C318" s="5">
        <v>50.01</v>
      </c>
      <c r="D318" s="4">
        <v>20</v>
      </c>
      <c r="E318" s="3">
        <v>25.2</v>
      </c>
      <c r="F318" s="3">
        <f>1.8*E318+32</f>
        <v>77.36</v>
      </c>
      <c r="G318" s="3">
        <v>10.5</v>
      </c>
      <c r="H318" s="3">
        <f>IF(F318&gt;68,G318+(F318-68)*0.2,#REF!-(68-F318)*0.2)</f>
        <v>12.372</v>
      </c>
      <c r="I318" s="3">
        <v>23</v>
      </c>
      <c r="J318" s="3">
        <f>1.8*I318+32</f>
        <v>73.400000000000006</v>
      </c>
      <c r="K318" s="3">
        <v>8</v>
      </c>
      <c r="L318" s="3">
        <f>IF(J318&gt;68,K318+(J318-68)*0.2,K318-(68-J318)*0.2)</f>
        <v>9.0800000000000018</v>
      </c>
      <c r="M318" s="3">
        <f>(C318-H318)/C318*100</f>
        <v>75.260947810437912</v>
      </c>
      <c r="N318" s="3">
        <f>100-(M318+O318)</f>
        <v>6.5826834633073332</v>
      </c>
      <c r="O318" s="3">
        <f>L318/C318*100</f>
        <v>18.156368726254755</v>
      </c>
      <c r="P318" s="2" t="s">
        <v>20</v>
      </c>
      <c r="Q318" s="1">
        <v>409031.58399700001</v>
      </c>
      <c r="R318" s="1">
        <v>3659280.1613329998</v>
      </c>
      <c r="T318" s="4">
        <v>2006111</v>
      </c>
      <c r="U318" s="4" t="s">
        <v>298</v>
      </c>
      <c r="V318" s="4">
        <v>6.0879999999999997E-2</v>
      </c>
      <c r="W318" s="4">
        <v>0.39417000000000002</v>
      </c>
      <c r="X318" s="4">
        <v>2.0250000000000001E-2</v>
      </c>
      <c r="Y318" s="4">
        <v>1.38662</v>
      </c>
      <c r="Z318" s="4">
        <v>14.99043</v>
      </c>
      <c r="AA318" s="4">
        <v>7.4989699999999999</v>
      </c>
      <c r="AB318" s="4">
        <v>-0.99738000000000004</v>
      </c>
    </row>
    <row r="319" spans="1:28" x14ac:dyDescent="0.25">
      <c r="A319" s="6">
        <v>32</v>
      </c>
      <c r="B319" s="4">
        <v>270</v>
      </c>
      <c r="C319" s="5">
        <v>50</v>
      </c>
      <c r="D319" s="4">
        <v>20</v>
      </c>
      <c r="E319" s="3">
        <v>25.5</v>
      </c>
      <c r="F319" s="3">
        <f>1.8*E319+32</f>
        <v>77.900000000000006</v>
      </c>
      <c r="G319" s="3">
        <v>14</v>
      </c>
      <c r="H319" s="3">
        <f>IF(F319&gt;68,G319+(F319-68)*0.2,#REF!-(68-F319)*0.2)</f>
        <v>15.98</v>
      </c>
      <c r="I319" s="3">
        <v>23</v>
      </c>
      <c r="J319" s="3">
        <f>1.8*I319+32</f>
        <v>73.400000000000006</v>
      </c>
      <c r="K319" s="3">
        <v>9</v>
      </c>
      <c r="L319" s="3">
        <f>IF(J319&gt;68,K319+(J319-68)*0.2,K319-(68-J319)*0.2)</f>
        <v>10.080000000000002</v>
      </c>
      <c r="M319" s="3">
        <f>(C319-H319)/C319*100</f>
        <v>68.039999999999992</v>
      </c>
      <c r="N319" s="3">
        <f>100-(M319+O319)</f>
        <v>11.800000000000011</v>
      </c>
      <c r="O319" s="3">
        <f>L319/C319*100</f>
        <v>20.160000000000004</v>
      </c>
      <c r="P319" s="2" t="s">
        <v>20</v>
      </c>
      <c r="Q319" s="1">
        <v>409031.58399700001</v>
      </c>
      <c r="R319" s="1">
        <v>3659280.1613329998</v>
      </c>
      <c r="T319" s="4">
        <v>2006111</v>
      </c>
      <c r="U319" s="4" t="s">
        <v>297</v>
      </c>
      <c r="V319" s="4">
        <v>5.3109999999999997E-2</v>
      </c>
      <c r="W319" s="4">
        <v>0.3821</v>
      </c>
      <c r="X319" s="4">
        <v>3.0370000000000001E-2</v>
      </c>
      <c r="Y319" s="4">
        <v>1.3763099999999999</v>
      </c>
      <c r="Z319" s="4">
        <v>28.748439999999999</v>
      </c>
      <c r="AA319" s="4">
        <v>13.43111</v>
      </c>
      <c r="AB319" s="4">
        <v>-1.29688</v>
      </c>
    </row>
    <row r="320" spans="1:28" x14ac:dyDescent="0.25">
      <c r="A320" s="6">
        <v>32</v>
      </c>
      <c r="B320" s="4">
        <v>300</v>
      </c>
      <c r="C320" s="5">
        <v>50.01</v>
      </c>
      <c r="D320" s="4">
        <v>20</v>
      </c>
      <c r="E320" s="3">
        <v>25.5</v>
      </c>
      <c r="F320" s="3">
        <f>1.8*E320+32</f>
        <v>77.900000000000006</v>
      </c>
      <c r="G320" s="3">
        <v>21</v>
      </c>
      <c r="H320" s="3">
        <f>IF(F320&gt;68,G320+(F320-68)*0.2,#REF!-(68-F320)*0.2)</f>
        <v>22.98</v>
      </c>
      <c r="I320" s="3">
        <v>23</v>
      </c>
      <c r="J320" s="3">
        <f>1.8*I320+32</f>
        <v>73.400000000000006</v>
      </c>
      <c r="K320" s="3">
        <v>9</v>
      </c>
      <c r="L320" s="3">
        <f>IF(J320&gt;68,K320+(J320-68)*0.2,K320-(68-J320)*0.2)</f>
        <v>10.080000000000002</v>
      </c>
      <c r="M320" s="3">
        <f>(C320-H320)/C320*100</f>
        <v>54.049190161967609</v>
      </c>
      <c r="N320" s="3">
        <f>100-(M320+O320)</f>
        <v>25.794841031793638</v>
      </c>
      <c r="O320" s="3">
        <f>L320/C320*100</f>
        <v>20.155968806238754</v>
      </c>
      <c r="P320" s="2" t="s">
        <v>20</v>
      </c>
      <c r="Q320" s="20">
        <v>409031.58399700001</v>
      </c>
      <c r="R320" s="20">
        <v>3659280.1613329998</v>
      </c>
      <c r="T320" s="4">
        <v>2006111</v>
      </c>
      <c r="U320" s="4" t="s">
        <v>296</v>
      </c>
      <c r="V320" s="4">
        <v>5.3379999999999997E-2</v>
      </c>
      <c r="W320" s="4">
        <v>0.38079000000000002</v>
      </c>
      <c r="X320" s="4">
        <v>3.0929999999999999E-2</v>
      </c>
      <c r="Y320" s="4">
        <v>1.3809499999999999</v>
      </c>
      <c r="Z320" s="4">
        <v>29.868839999999999</v>
      </c>
      <c r="AA320" s="4">
        <v>13.69398</v>
      </c>
      <c r="AB320" s="4">
        <v>-1.3034399999999999</v>
      </c>
    </row>
    <row r="321" spans="1:28" x14ac:dyDescent="0.25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52"/>
      <c r="R321" s="52"/>
      <c r="T321" s="4">
        <v>2006111</v>
      </c>
      <c r="U321" s="4" t="s">
        <v>295</v>
      </c>
      <c r="V321" s="4">
        <v>7.2510000000000005E-2</v>
      </c>
      <c r="W321" s="4">
        <v>0.41835</v>
      </c>
      <c r="X321" s="4">
        <v>1.2070000000000001E-2</v>
      </c>
      <c r="Y321" s="4">
        <v>1.4407300000000001</v>
      </c>
      <c r="Z321" s="4">
        <v>6.7979799999999999</v>
      </c>
      <c r="AA321" s="4">
        <v>3.5426299999999999</v>
      </c>
      <c r="AB321" s="4">
        <v>-0.52198999999999995</v>
      </c>
    </row>
    <row r="322" spans="1:28" ht="51.75" x14ac:dyDescent="0.25">
      <c r="A322" s="15" t="s">
        <v>19</v>
      </c>
      <c r="B322" s="10" t="s">
        <v>18</v>
      </c>
      <c r="C322" s="14" t="s">
        <v>17</v>
      </c>
      <c r="D322" s="13" t="s">
        <v>16</v>
      </c>
      <c r="E322" s="12" t="s">
        <v>15</v>
      </c>
      <c r="F322" s="12" t="s">
        <v>14</v>
      </c>
      <c r="G322" s="12" t="s">
        <v>13</v>
      </c>
      <c r="H322" s="12" t="s">
        <v>12</v>
      </c>
      <c r="I322" s="12" t="s">
        <v>11</v>
      </c>
      <c r="J322" s="12" t="s">
        <v>10</v>
      </c>
      <c r="K322" s="12" t="s">
        <v>9</v>
      </c>
      <c r="L322" s="12" t="s">
        <v>8</v>
      </c>
      <c r="M322" s="11" t="s">
        <v>7</v>
      </c>
      <c r="N322" s="11" t="s">
        <v>6</v>
      </c>
      <c r="O322" s="11" t="s">
        <v>5</v>
      </c>
      <c r="P322" s="10" t="s">
        <v>4</v>
      </c>
      <c r="Q322" s="9" t="s">
        <v>3</v>
      </c>
      <c r="R322" s="8"/>
      <c r="T322" s="4">
        <v>2006111</v>
      </c>
      <c r="U322" s="4" t="s">
        <v>53</v>
      </c>
      <c r="V322" s="4">
        <v>6.1719999999999997E-2</v>
      </c>
      <c r="W322" s="4">
        <v>0.38061</v>
      </c>
      <c r="X322" s="4">
        <v>2.8289999999999999E-2</v>
      </c>
      <c r="Y322" s="4">
        <v>1.3329599999999999</v>
      </c>
      <c r="Z322" s="4">
        <v>18.17681</v>
      </c>
      <c r="AA322" s="4">
        <v>10.18543</v>
      </c>
      <c r="AB322" s="4">
        <v>-1.5096700000000001</v>
      </c>
    </row>
    <row r="323" spans="1:28" x14ac:dyDescent="0.25">
      <c r="A323" s="15"/>
      <c r="B323" s="10"/>
      <c r="C323" s="14"/>
      <c r="D323" s="13"/>
      <c r="E323" s="12"/>
      <c r="F323" s="12"/>
      <c r="G323" s="12"/>
      <c r="H323" s="12"/>
      <c r="I323" s="12"/>
      <c r="J323" s="12"/>
      <c r="K323" s="12"/>
      <c r="L323" s="12"/>
      <c r="M323" s="11"/>
      <c r="N323" s="11"/>
      <c r="O323" s="11"/>
      <c r="P323" s="10"/>
      <c r="Q323" s="7" t="s">
        <v>2</v>
      </c>
      <c r="R323" s="7" t="s">
        <v>1</v>
      </c>
      <c r="T323" s="4">
        <v>2006111</v>
      </c>
      <c r="U323" s="4" t="s">
        <v>52</v>
      </c>
      <c r="V323" s="4">
        <v>6.8229999999999999E-2</v>
      </c>
      <c r="W323" s="4">
        <v>0.39187</v>
      </c>
      <c r="X323" s="4">
        <v>2.4819999999999998E-2</v>
      </c>
      <c r="Y323" s="4">
        <v>1.3220099999999999</v>
      </c>
      <c r="Z323" s="4">
        <v>11.922779999999999</v>
      </c>
      <c r="AA323" s="4">
        <v>8.0770099999999996</v>
      </c>
      <c r="AB323" s="4">
        <v>-1.48105</v>
      </c>
    </row>
    <row r="324" spans="1:28" x14ac:dyDescent="0.25">
      <c r="A324" s="6">
        <v>33</v>
      </c>
      <c r="B324" s="4">
        <v>30</v>
      </c>
      <c r="C324" s="5">
        <v>50.01</v>
      </c>
      <c r="D324" s="4">
        <v>20</v>
      </c>
      <c r="E324" s="3">
        <v>22.5</v>
      </c>
      <c r="F324" s="3">
        <f>1.8*E324+32</f>
        <v>72.5</v>
      </c>
      <c r="G324" s="3">
        <v>15</v>
      </c>
      <c r="H324" s="3">
        <f>IF(F324&gt;68,G324+(F324-68)*0.2,G705-(68-F324)*0.2)</f>
        <v>15.9</v>
      </c>
      <c r="I324" s="3">
        <v>22.8</v>
      </c>
      <c r="J324" s="3">
        <f>1.8*I324+32</f>
        <v>73.039999999999992</v>
      </c>
      <c r="K324" s="3">
        <v>8</v>
      </c>
      <c r="L324" s="3">
        <f>IF(J324&gt;68,K324+(J324-68)*0.2,K324-(68-J324)*0.2)</f>
        <v>9.0079999999999991</v>
      </c>
      <c r="M324" s="3">
        <f>(C324-H324)/C324*100</f>
        <v>68.206358728254344</v>
      </c>
      <c r="N324" s="3">
        <f>100-(M324+O324)</f>
        <v>13.781243751249761</v>
      </c>
      <c r="O324" s="3">
        <f>L324/C324*100</f>
        <v>18.012397520495899</v>
      </c>
      <c r="P324" s="2" t="s">
        <v>20</v>
      </c>
      <c r="Q324" s="1">
        <v>409043.765288</v>
      </c>
      <c r="R324" s="1">
        <v>3659279.9536029999</v>
      </c>
      <c r="T324" s="4">
        <v>2006111</v>
      </c>
      <c r="U324" s="4" t="s">
        <v>51</v>
      </c>
      <c r="V324" s="4">
        <v>7.9430000000000001E-2</v>
      </c>
      <c r="W324" s="4">
        <v>0.41156999999999999</v>
      </c>
      <c r="X324" s="4">
        <v>2.3109999999999999E-2</v>
      </c>
      <c r="Y324" s="4">
        <v>1.2870900000000001</v>
      </c>
      <c r="Z324" s="4">
        <v>7.2366099999999998</v>
      </c>
      <c r="AA324" s="4">
        <v>6.3879299999999999</v>
      </c>
      <c r="AB324" s="4">
        <v>-1.6756899999999999</v>
      </c>
    </row>
    <row r="325" spans="1:28" x14ac:dyDescent="0.25">
      <c r="A325" s="6">
        <v>33</v>
      </c>
      <c r="B325" s="4">
        <v>60</v>
      </c>
      <c r="C325" s="5">
        <v>50</v>
      </c>
      <c r="D325" s="4">
        <v>20</v>
      </c>
      <c r="E325" s="3">
        <v>22.5</v>
      </c>
      <c r="F325" s="3">
        <f>1.8*E325+32</f>
        <v>72.5</v>
      </c>
      <c r="G325" s="3">
        <v>15.5</v>
      </c>
      <c r="H325" s="3">
        <f>IF(F325&gt;68,G325+(F325-68)*0.2,G706-(68-F325)*0.2)</f>
        <v>16.399999999999999</v>
      </c>
      <c r="I325" s="3">
        <v>22.5</v>
      </c>
      <c r="J325" s="3">
        <f>1.8*I325+32</f>
        <v>72.5</v>
      </c>
      <c r="K325" s="3">
        <v>6.5</v>
      </c>
      <c r="L325" s="3">
        <f>IF(J325&gt;68,K325+(J325-68)*0.2,K325-(68-J325)*0.2)</f>
        <v>7.4</v>
      </c>
      <c r="M325" s="3">
        <f>(C325-H325)/C325*100</f>
        <v>67.2</v>
      </c>
      <c r="N325" s="3">
        <f>100-(M325+O325)</f>
        <v>18</v>
      </c>
      <c r="O325" s="3">
        <f>L325/C325*100</f>
        <v>14.800000000000002</v>
      </c>
      <c r="P325" s="2" t="s">
        <v>20</v>
      </c>
      <c r="Q325" s="1">
        <v>409043.765288</v>
      </c>
      <c r="R325" s="1">
        <v>3659279.9536029999</v>
      </c>
      <c r="T325" s="4">
        <v>2006111</v>
      </c>
      <c r="U325" s="4" t="s">
        <v>50</v>
      </c>
      <c r="V325" s="4">
        <v>7.6969999999999997E-2</v>
      </c>
      <c r="W325" s="4">
        <v>0.40497</v>
      </c>
      <c r="X325" s="4">
        <v>2.3800000000000002E-2</v>
      </c>
      <c r="Y325" s="4">
        <v>1.2907900000000001</v>
      </c>
      <c r="Z325" s="4">
        <v>8.0730199999999996</v>
      </c>
      <c r="AA325" s="4">
        <v>6.7607299999999997</v>
      </c>
      <c r="AB325" s="4">
        <v>-1.67439</v>
      </c>
    </row>
    <row r="326" spans="1:28" x14ac:dyDescent="0.25">
      <c r="A326" s="6">
        <v>33</v>
      </c>
      <c r="B326" s="4">
        <v>90</v>
      </c>
      <c r="C326" s="5">
        <v>50</v>
      </c>
      <c r="D326" s="4">
        <v>20</v>
      </c>
      <c r="E326" s="3">
        <v>22.5</v>
      </c>
      <c r="F326" s="3">
        <f>1.8*E326+32</f>
        <v>72.5</v>
      </c>
      <c r="G326" s="3">
        <v>20</v>
      </c>
      <c r="H326" s="3">
        <f>IF(F326&gt;68,G326+(F326-68)*0.2,G707-(68-F326)*0.2)</f>
        <v>20.9</v>
      </c>
      <c r="I326" s="3">
        <v>22.5</v>
      </c>
      <c r="J326" s="3">
        <f>1.8*I326+32</f>
        <v>72.5</v>
      </c>
      <c r="K326" s="3">
        <v>8.5</v>
      </c>
      <c r="L326" s="3">
        <f>IF(J326&gt;68,K326+(J326-68)*0.2,K326-(68-J326)*0.2)</f>
        <v>9.4</v>
      </c>
      <c r="M326" s="3">
        <f>(C326-H326)/C326*100</f>
        <v>58.20000000000001</v>
      </c>
      <c r="N326" s="3">
        <f>100-(M326+O326)</f>
        <v>22.999999999999986</v>
      </c>
      <c r="O326" s="3">
        <f>L326/C326*100</f>
        <v>18.8</v>
      </c>
      <c r="P326" s="2" t="s">
        <v>20</v>
      </c>
      <c r="Q326" s="1">
        <v>409043.765288</v>
      </c>
      <c r="R326" s="1">
        <v>3659279.9536029999</v>
      </c>
      <c r="T326" s="4">
        <v>2006111</v>
      </c>
      <c r="U326" s="4" t="s">
        <v>49</v>
      </c>
      <c r="V326" s="4">
        <v>6.5040000000000001E-2</v>
      </c>
      <c r="W326" s="4">
        <v>0.38475999999999999</v>
      </c>
      <c r="X326" s="4">
        <v>2.7E-2</v>
      </c>
      <c r="Y326" s="4">
        <v>1.3196000000000001</v>
      </c>
      <c r="Z326" s="4">
        <v>14.785159999999999</v>
      </c>
      <c r="AA326" s="4">
        <v>9.1384699999999999</v>
      </c>
      <c r="AB326" s="4">
        <v>-1.55816</v>
      </c>
    </row>
    <row r="327" spans="1:28" x14ac:dyDescent="0.25">
      <c r="A327" s="6">
        <v>33</v>
      </c>
      <c r="B327" s="4">
        <v>120</v>
      </c>
      <c r="C327" s="5">
        <v>50</v>
      </c>
      <c r="D327" s="4">
        <v>20</v>
      </c>
      <c r="E327" s="3">
        <v>25</v>
      </c>
      <c r="F327" s="3">
        <f>1.8*E327+32</f>
        <v>77</v>
      </c>
      <c r="G327" s="3">
        <v>23</v>
      </c>
      <c r="H327" s="3">
        <f>IF(F327&gt;68,G327+(F327-68)*0.2,G708-(68-F327)*0.2)</f>
        <v>24.8</v>
      </c>
      <c r="I327" s="3">
        <v>22.2</v>
      </c>
      <c r="J327" s="3">
        <f>1.8*I327+32</f>
        <v>71.960000000000008</v>
      </c>
      <c r="K327" s="3">
        <v>10</v>
      </c>
      <c r="L327" s="3">
        <f>IF(J327&gt;68,K327+(J327-68)*0.2,K327-(68-J327)*0.2)</f>
        <v>10.792000000000002</v>
      </c>
      <c r="M327" s="3">
        <f>(C327-H327)/C327*100</f>
        <v>50.4</v>
      </c>
      <c r="N327" s="3">
        <f>100-(M327+O327)</f>
        <v>28.015999999999991</v>
      </c>
      <c r="O327" s="3">
        <f>L327/C327*100</f>
        <v>21.584000000000003</v>
      </c>
      <c r="P327" s="2" t="s">
        <v>0</v>
      </c>
      <c r="Q327" s="1">
        <v>409043.765288</v>
      </c>
      <c r="R327" s="1">
        <v>3659279.9536029999</v>
      </c>
      <c r="T327" s="4">
        <v>2006111</v>
      </c>
      <c r="U327" s="4" t="s">
        <v>48</v>
      </c>
      <c r="V327" s="4">
        <v>5.799E-2</v>
      </c>
      <c r="W327" s="4">
        <v>0.38007999999999997</v>
      </c>
      <c r="X327" s="4">
        <v>2.938E-2</v>
      </c>
      <c r="Y327" s="4">
        <v>1.3548899999999999</v>
      </c>
      <c r="Z327" s="4">
        <v>22.883410000000001</v>
      </c>
      <c r="AA327" s="4">
        <v>11.579029999999999</v>
      </c>
      <c r="AB327" s="4">
        <v>-1.4078900000000001</v>
      </c>
    </row>
    <row r="328" spans="1:28" x14ac:dyDescent="0.25">
      <c r="A328" s="6">
        <v>33</v>
      </c>
      <c r="B328" s="4">
        <v>150</v>
      </c>
      <c r="C328" s="5">
        <v>50.01</v>
      </c>
      <c r="D328" s="4">
        <v>20</v>
      </c>
      <c r="E328" s="3">
        <v>26</v>
      </c>
      <c r="F328" s="3">
        <f>1.8*E328+32</f>
        <v>78.800000000000011</v>
      </c>
      <c r="G328" s="3">
        <v>22.5</v>
      </c>
      <c r="H328" s="3">
        <f>IF(F328&gt;68,G328+(F328-68)*0.2,G709-(68-F328)*0.2)</f>
        <v>24.660000000000004</v>
      </c>
      <c r="I328" s="3">
        <v>22</v>
      </c>
      <c r="J328" s="3">
        <f>1.8*I328+32</f>
        <v>71.599999999999994</v>
      </c>
      <c r="K328" s="3">
        <v>10</v>
      </c>
      <c r="L328" s="3">
        <f>IF(J328&gt;68,K328+(J328-68)*0.2,K328-(68-J328)*0.2)</f>
        <v>10.719999999999999</v>
      </c>
      <c r="M328" s="3">
        <f>(C328-H328)/C328*100</f>
        <v>50.689862027594465</v>
      </c>
      <c r="N328" s="3">
        <f>100-(M328+O328)</f>
        <v>27.874425114977015</v>
      </c>
      <c r="O328" s="3">
        <f>L328/C328*100</f>
        <v>21.435712857428513</v>
      </c>
      <c r="P328" s="2" t="s">
        <v>0</v>
      </c>
      <c r="Q328" s="1">
        <v>409043.765288</v>
      </c>
      <c r="R328" s="1">
        <v>3659279.9536029999</v>
      </c>
      <c r="T328" s="4">
        <v>2006111</v>
      </c>
      <c r="U328" s="4" t="s">
        <v>294</v>
      </c>
      <c r="V328" s="4">
        <v>7.0470000000000005E-2</v>
      </c>
      <c r="W328" s="4">
        <v>0.39762999999999998</v>
      </c>
      <c r="X328" s="4">
        <v>2.2890000000000001E-2</v>
      </c>
      <c r="Y328" s="4">
        <v>1.3297000000000001</v>
      </c>
      <c r="Z328" s="4">
        <v>10.09198</v>
      </c>
      <c r="AA328" s="4">
        <v>7.25589</v>
      </c>
      <c r="AB328" s="4">
        <v>-1.37774</v>
      </c>
    </row>
    <row r="329" spans="1:28" x14ac:dyDescent="0.25">
      <c r="A329" s="6">
        <v>33</v>
      </c>
      <c r="B329" s="4">
        <v>180</v>
      </c>
      <c r="C329" s="5">
        <v>50.01</v>
      </c>
      <c r="D329" s="4">
        <v>20</v>
      </c>
      <c r="E329" s="3">
        <v>26</v>
      </c>
      <c r="F329" s="3">
        <f>1.8*E329+32</f>
        <v>78.800000000000011</v>
      </c>
      <c r="G329" s="3">
        <v>14.5</v>
      </c>
      <c r="H329" s="3">
        <f>IF(F329&gt;68,G329+(F329-68)*0.2,G710-(68-F329)*0.2)</f>
        <v>16.660000000000004</v>
      </c>
      <c r="I329" s="3">
        <v>22.2</v>
      </c>
      <c r="J329" s="3">
        <f>1.8*I329+32</f>
        <v>71.960000000000008</v>
      </c>
      <c r="K329" s="3">
        <v>8</v>
      </c>
      <c r="L329" s="3">
        <f>IF(J329&gt;68,K329+(J329-68)*0.2,K329-(68-J329)*0.2)</f>
        <v>8.7920000000000016</v>
      </c>
      <c r="M329" s="3">
        <f>(C329-H329)/C329*100</f>
        <v>66.686662667466507</v>
      </c>
      <c r="N329" s="3">
        <f>100-(M329+O329)</f>
        <v>15.732853429314133</v>
      </c>
      <c r="O329" s="3">
        <f>L329/C329*100</f>
        <v>17.58048390321936</v>
      </c>
      <c r="P329" s="2" t="s">
        <v>20</v>
      </c>
      <c r="Q329" s="1">
        <v>409043.765288</v>
      </c>
      <c r="R329" s="1">
        <v>3659279.9536029999</v>
      </c>
      <c r="T329" s="4">
        <v>2006111</v>
      </c>
      <c r="U329" s="4" t="s">
        <v>293</v>
      </c>
      <c r="V329" s="4">
        <v>6.268E-2</v>
      </c>
      <c r="W329" s="4">
        <v>0.38773000000000002</v>
      </c>
      <c r="X329" s="4">
        <v>2.5829999999999999E-2</v>
      </c>
      <c r="Y329" s="4">
        <v>1.34161</v>
      </c>
      <c r="Z329" s="4">
        <v>16.062339999999999</v>
      </c>
      <c r="AA329" s="4">
        <v>9.31236</v>
      </c>
      <c r="AB329" s="4">
        <v>-1.3809199999999999</v>
      </c>
    </row>
    <row r="330" spans="1:28" x14ac:dyDescent="0.25">
      <c r="A330" s="6">
        <v>33</v>
      </c>
      <c r="B330" s="4">
        <v>210</v>
      </c>
      <c r="C330" s="5">
        <v>50</v>
      </c>
      <c r="D330" s="4">
        <v>20</v>
      </c>
      <c r="E330" s="3">
        <v>26.5</v>
      </c>
      <c r="F330" s="3">
        <f>1.8*E330+32</f>
        <v>79.7</v>
      </c>
      <c r="G330" s="3">
        <v>6</v>
      </c>
      <c r="H330" s="3">
        <f>IF(F330&gt;68,G330+(F330-68)*0.2,G711-(68-F330)*0.2)</f>
        <v>8.34</v>
      </c>
      <c r="I330" s="3">
        <v>22.2</v>
      </c>
      <c r="J330" s="3">
        <f>1.8*I330+32</f>
        <v>71.960000000000008</v>
      </c>
      <c r="K330" s="3">
        <v>5</v>
      </c>
      <c r="L330" s="3">
        <f>IF(J330&gt;68,K330+(J330-68)*0.2,K330-(68-J330)*0.2)</f>
        <v>5.7920000000000016</v>
      </c>
      <c r="M330" s="3">
        <f>(C330-H330)/C330*100</f>
        <v>83.32</v>
      </c>
      <c r="N330" s="3">
        <f>100-(M330+O330)</f>
        <v>5.0960000000000036</v>
      </c>
      <c r="O330" s="3">
        <f>L330/C330*100</f>
        <v>11.584000000000003</v>
      </c>
      <c r="P330" s="2" t="s">
        <v>20</v>
      </c>
      <c r="Q330" s="1">
        <v>409043.765288</v>
      </c>
      <c r="R330" s="1">
        <v>3659279.9536029999</v>
      </c>
      <c r="T330" s="4">
        <v>2006111</v>
      </c>
      <c r="U330" s="4" t="s">
        <v>292</v>
      </c>
      <c r="V330" s="4">
        <v>5.9360000000000003E-2</v>
      </c>
      <c r="W330" s="4">
        <v>0.38157999999999997</v>
      </c>
      <c r="X330" s="4">
        <v>2.8639999999999999E-2</v>
      </c>
      <c r="Y330" s="4">
        <v>1.3459099999999999</v>
      </c>
      <c r="Z330" s="4">
        <v>20.598870000000002</v>
      </c>
      <c r="AA330" s="4">
        <v>10.932840000000001</v>
      </c>
      <c r="AB330" s="4">
        <v>-1.4331400000000001</v>
      </c>
    </row>
    <row r="331" spans="1:28" x14ac:dyDescent="0.25">
      <c r="A331" s="6">
        <v>33</v>
      </c>
      <c r="B331" s="4">
        <v>240</v>
      </c>
      <c r="C331" s="5">
        <v>50</v>
      </c>
      <c r="D331" s="4">
        <v>20</v>
      </c>
      <c r="E331" s="3">
        <v>27</v>
      </c>
      <c r="F331" s="3">
        <f>1.8*E331+32</f>
        <v>80.599999999999994</v>
      </c>
      <c r="G331" s="3">
        <v>9.5</v>
      </c>
      <c r="H331" s="3">
        <f>IF(F331&gt;68,G331+(F331-68)*0.2,G712-(68-F331)*0.2)</f>
        <v>12.02</v>
      </c>
      <c r="I331" s="3">
        <v>22.2</v>
      </c>
      <c r="J331" s="3">
        <f>1.8*I331+32</f>
        <v>71.960000000000008</v>
      </c>
      <c r="K331" s="3">
        <v>5.5</v>
      </c>
      <c r="L331" s="3">
        <f>IF(J331&gt;68,K331+(J331-68)*0.2,K331-(68-J331)*0.2)</f>
        <v>6.2920000000000016</v>
      </c>
      <c r="M331" s="3">
        <f>(C331-H331)/C331*100</f>
        <v>75.960000000000008</v>
      </c>
      <c r="N331" s="3">
        <f>100-(M331+O331)</f>
        <v>11.455999999999989</v>
      </c>
      <c r="O331" s="3">
        <f>L331/C331*100</f>
        <v>12.584000000000003</v>
      </c>
      <c r="P331" s="2" t="s">
        <v>20</v>
      </c>
      <c r="Q331" s="1">
        <v>409043.765288</v>
      </c>
      <c r="R331" s="1">
        <v>3659279.9536029999</v>
      </c>
      <c r="T331" s="4">
        <v>2006111</v>
      </c>
      <c r="U331" s="4" t="s">
        <v>291</v>
      </c>
      <c r="V331" s="4">
        <v>5.9360000000000003E-2</v>
      </c>
      <c r="W331" s="4">
        <v>0.38266</v>
      </c>
      <c r="X331" s="4">
        <v>2.8299999999999999E-2</v>
      </c>
      <c r="Y331" s="4">
        <v>1.3463000000000001</v>
      </c>
      <c r="Z331" s="4">
        <v>20.28415</v>
      </c>
      <c r="AA331" s="4">
        <v>10.824579999999999</v>
      </c>
      <c r="AB331" s="4">
        <v>-1.41814</v>
      </c>
    </row>
    <row r="332" spans="1:28" x14ac:dyDescent="0.25">
      <c r="A332" s="6">
        <v>33</v>
      </c>
      <c r="B332" s="4">
        <v>270</v>
      </c>
      <c r="C332" s="5">
        <v>50.01</v>
      </c>
      <c r="D332" s="4">
        <v>20</v>
      </c>
      <c r="E332" s="3">
        <v>27</v>
      </c>
      <c r="F332" s="3">
        <f>1.8*E332+32</f>
        <v>80.599999999999994</v>
      </c>
      <c r="G332" s="3">
        <v>9</v>
      </c>
      <c r="H332" s="3">
        <f>IF(F332&gt;68,G332+(F332-68)*0.2,G713-(68-F332)*0.2)</f>
        <v>11.52</v>
      </c>
      <c r="I332" s="3">
        <v>22.2</v>
      </c>
      <c r="J332" s="3">
        <f>1.8*I332+32</f>
        <v>71.960000000000008</v>
      </c>
      <c r="K332" s="3">
        <v>5</v>
      </c>
      <c r="L332" s="3">
        <f>IF(J332&gt;68,K332+(J332-68)*0.2,K332-(68-J332)*0.2)</f>
        <v>5.7920000000000016</v>
      </c>
      <c r="M332" s="3">
        <f>(C332-H332)/C332*100</f>
        <v>76.96460707858428</v>
      </c>
      <c r="N332" s="3">
        <f>100-(M332+O332)</f>
        <v>11.453709258148365</v>
      </c>
      <c r="O332" s="3">
        <f>L332/C332*100</f>
        <v>11.58168366326735</v>
      </c>
      <c r="P332" s="2" t="s">
        <v>20</v>
      </c>
      <c r="Q332" s="1">
        <v>409043.765288</v>
      </c>
      <c r="R332" s="1">
        <v>3659279.9536029999</v>
      </c>
      <c r="T332" s="4">
        <v>2006111</v>
      </c>
      <c r="U332" s="4" t="s">
        <v>47</v>
      </c>
      <c r="V332" s="4">
        <v>5.6759999999999998E-2</v>
      </c>
      <c r="W332" s="4">
        <v>0.38179000000000002</v>
      </c>
      <c r="X332" s="4">
        <v>2.9270000000000001E-2</v>
      </c>
      <c r="Y332" s="4">
        <v>1.35893</v>
      </c>
      <c r="Z332" s="4">
        <v>23.737359999999999</v>
      </c>
      <c r="AA332" s="4">
        <v>11.877840000000001</v>
      </c>
      <c r="AB332" s="4">
        <v>-1.37001</v>
      </c>
    </row>
    <row r="333" spans="1:28" x14ac:dyDescent="0.25">
      <c r="A333" s="6">
        <v>33</v>
      </c>
      <c r="B333" s="4">
        <v>300</v>
      </c>
      <c r="C333" s="5">
        <v>50.01</v>
      </c>
      <c r="D333" s="4">
        <v>20</v>
      </c>
      <c r="E333" s="3">
        <v>27</v>
      </c>
      <c r="F333" s="3">
        <f>1.8*E333+32</f>
        <v>80.599999999999994</v>
      </c>
      <c r="G333" s="3">
        <v>33</v>
      </c>
      <c r="H333" s="3">
        <f>IF(F333&gt;68,G333+(F333-68)*0.2,G714-(68-F333)*0.2)</f>
        <v>35.519999999999996</v>
      </c>
      <c r="I333" s="3">
        <v>22.2</v>
      </c>
      <c r="J333" s="3">
        <f>1.8*I333+32</f>
        <v>71.960000000000008</v>
      </c>
      <c r="K333" s="3">
        <v>11.5</v>
      </c>
      <c r="L333" s="3">
        <f>IF(J333&gt;68,K333+(J333-68)*0.2,K333-(68-J333)*0.2)</f>
        <v>12.292000000000002</v>
      </c>
      <c r="M333" s="3">
        <f>(C333-H333)/C333*100</f>
        <v>28.974205158968214</v>
      </c>
      <c r="N333" s="3">
        <f>100-(M333+O333)</f>
        <v>46.446710657868415</v>
      </c>
      <c r="O333" s="3">
        <f>L333/C333*100</f>
        <v>24.579084183163371</v>
      </c>
      <c r="P333" s="2" t="s">
        <v>0</v>
      </c>
      <c r="Q333" s="1">
        <v>409043.765288</v>
      </c>
      <c r="R333" s="1">
        <v>3659279.9536029999</v>
      </c>
      <c r="T333" s="4">
        <v>2006111</v>
      </c>
      <c r="U333" s="4" t="s">
        <v>46</v>
      </c>
      <c r="V333" s="4">
        <v>6.1249999999999999E-2</v>
      </c>
      <c r="W333" s="4">
        <v>0.38353999999999999</v>
      </c>
      <c r="X333" s="4">
        <v>2.768E-2</v>
      </c>
      <c r="Y333" s="4">
        <v>1.3379799999999999</v>
      </c>
      <c r="Z333" s="4">
        <v>18.141390000000001</v>
      </c>
      <c r="AA333" s="4">
        <v>10.16493</v>
      </c>
      <c r="AB333" s="4">
        <v>-1.45322</v>
      </c>
    </row>
    <row r="334" spans="1:28" x14ac:dyDescent="0.25">
      <c r="A334" s="51"/>
      <c r="B334" s="46"/>
      <c r="C334" s="50"/>
      <c r="D334" s="49"/>
      <c r="E334" s="48"/>
      <c r="F334" s="48"/>
      <c r="G334" s="48"/>
      <c r="H334" s="48"/>
      <c r="I334" s="48"/>
      <c r="J334" s="48"/>
      <c r="K334" s="48"/>
      <c r="L334" s="48"/>
      <c r="M334" s="47"/>
      <c r="N334" s="47"/>
      <c r="O334" s="47"/>
      <c r="P334" s="46"/>
      <c r="T334" s="4">
        <v>2006111</v>
      </c>
      <c r="U334" s="4" t="s">
        <v>45</v>
      </c>
      <c r="V334" s="4">
        <v>7.6079999999999995E-2</v>
      </c>
      <c r="W334" s="4">
        <v>0.40226000000000001</v>
      </c>
      <c r="X334" s="4">
        <v>2.4299999999999999E-2</v>
      </c>
      <c r="Y334" s="4">
        <v>1.28949</v>
      </c>
      <c r="Z334" s="4">
        <v>8.5865100000000005</v>
      </c>
      <c r="AA334" s="4">
        <v>6.95634</v>
      </c>
      <c r="AB334" s="4">
        <v>-1.7037500000000001</v>
      </c>
    </row>
    <row r="335" spans="1:28" ht="51.75" x14ac:dyDescent="0.25">
      <c r="A335" s="15" t="s">
        <v>19</v>
      </c>
      <c r="B335" s="10" t="s">
        <v>18</v>
      </c>
      <c r="C335" s="14" t="s">
        <v>17</v>
      </c>
      <c r="D335" s="13" t="s">
        <v>16</v>
      </c>
      <c r="E335" s="12" t="s">
        <v>15</v>
      </c>
      <c r="F335" s="12" t="s">
        <v>14</v>
      </c>
      <c r="G335" s="12" t="s">
        <v>13</v>
      </c>
      <c r="H335" s="12" t="s">
        <v>12</v>
      </c>
      <c r="I335" s="12" t="s">
        <v>11</v>
      </c>
      <c r="J335" s="12" t="s">
        <v>10</v>
      </c>
      <c r="K335" s="12" t="s">
        <v>9</v>
      </c>
      <c r="L335" s="12" t="s">
        <v>8</v>
      </c>
      <c r="M335" s="11" t="s">
        <v>7</v>
      </c>
      <c r="N335" s="11" t="s">
        <v>6</v>
      </c>
      <c r="O335" s="11" t="s">
        <v>5</v>
      </c>
      <c r="P335" s="10" t="s">
        <v>4</v>
      </c>
      <c r="Q335" s="44" t="s">
        <v>3</v>
      </c>
      <c r="R335" s="44"/>
      <c r="T335" s="4">
        <v>2006111</v>
      </c>
      <c r="U335" s="4" t="s">
        <v>44</v>
      </c>
      <c r="V335" s="4">
        <v>7.0779999999999996E-2</v>
      </c>
      <c r="W335" s="4">
        <v>0.39135999999999999</v>
      </c>
      <c r="X335" s="4">
        <v>2.5739999999999999E-2</v>
      </c>
      <c r="Y335" s="4">
        <v>1.2991600000000001</v>
      </c>
      <c r="Z335" s="4">
        <v>11.08747</v>
      </c>
      <c r="AA335" s="4">
        <v>7.8834900000000001</v>
      </c>
      <c r="AB335" s="4">
        <v>-1.6739999999999999</v>
      </c>
    </row>
    <row r="336" spans="1:28" x14ac:dyDescent="0.25">
      <c r="A336" s="15"/>
      <c r="B336" s="10"/>
      <c r="C336" s="14"/>
      <c r="D336" s="13"/>
      <c r="E336" s="12"/>
      <c r="F336" s="12"/>
      <c r="G336" s="12"/>
      <c r="H336" s="12"/>
      <c r="I336" s="12"/>
      <c r="J336" s="12"/>
      <c r="K336" s="12"/>
      <c r="L336" s="12"/>
      <c r="M336" s="11"/>
      <c r="N336" s="11"/>
      <c r="O336" s="11"/>
      <c r="P336" s="10"/>
      <c r="Q336" s="7" t="s">
        <v>2</v>
      </c>
      <c r="R336" s="7" t="s">
        <v>1</v>
      </c>
      <c r="T336" s="4">
        <v>2006111</v>
      </c>
      <c r="U336" s="4" t="s">
        <v>43</v>
      </c>
      <c r="V336" s="4">
        <v>6.973E-2</v>
      </c>
      <c r="W336" s="4">
        <v>0.39132</v>
      </c>
      <c r="X336" s="4">
        <v>2.545E-2</v>
      </c>
      <c r="Y336" s="4">
        <v>1.30796</v>
      </c>
      <c r="Z336" s="4">
        <v>11.376580000000001</v>
      </c>
      <c r="AA336" s="4">
        <v>7.9893999999999998</v>
      </c>
      <c r="AB336" s="4">
        <v>-1.59761</v>
      </c>
    </row>
    <row r="337" spans="1:28" x14ac:dyDescent="0.25">
      <c r="A337" s="6">
        <v>34</v>
      </c>
      <c r="B337" s="4">
        <v>30</v>
      </c>
      <c r="C337" s="5">
        <v>50</v>
      </c>
      <c r="D337" s="4">
        <v>20</v>
      </c>
      <c r="E337" s="3">
        <v>23</v>
      </c>
      <c r="F337" s="3">
        <f>1.8*E337+32</f>
        <v>73.400000000000006</v>
      </c>
      <c r="G337" s="3">
        <v>16</v>
      </c>
      <c r="H337" s="3">
        <f>IF(F337&gt;68,G337+(F337-68)*0.2,#REF!-(68-F337)*0.2)</f>
        <v>17.080000000000002</v>
      </c>
      <c r="I337" s="3">
        <v>22.5</v>
      </c>
      <c r="J337" s="3">
        <f>1.8*I337+32</f>
        <v>72.5</v>
      </c>
      <c r="K337" s="3">
        <v>9</v>
      </c>
      <c r="L337" s="3">
        <f>IF(J337&gt;68,K337+(J337-68)*0.2,K337-(68-J337)*0.2)</f>
        <v>9.9</v>
      </c>
      <c r="M337" s="3">
        <f>(C337-H337)/C337*100</f>
        <v>65.84</v>
      </c>
      <c r="N337" s="3">
        <f>100-(M337+O337)</f>
        <v>14.36</v>
      </c>
      <c r="O337" s="3">
        <f>L337/C337*100</f>
        <v>19.8</v>
      </c>
      <c r="P337" s="2" t="s">
        <v>0</v>
      </c>
      <c r="Q337" s="1">
        <v>409055.96209300001</v>
      </c>
      <c r="R337" s="1">
        <v>3659279.7456069998</v>
      </c>
      <c r="T337" s="4">
        <v>2006111</v>
      </c>
      <c r="U337" s="4" t="s">
        <v>42</v>
      </c>
      <c r="V337" s="4">
        <v>6.2729999999999994E-2</v>
      </c>
      <c r="W337" s="4">
        <v>0.37783</v>
      </c>
      <c r="X337" s="4">
        <v>2.818E-2</v>
      </c>
      <c r="Y337" s="4">
        <v>1.3283799999999999</v>
      </c>
      <c r="Z337" s="4">
        <v>17.566420000000001</v>
      </c>
      <c r="AA337" s="4">
        <v>9.8153400000000008</v>
      </c>
      <c r="AB337" s="4">
        <v>-1.54939</v>
      </c>
    </row>
    <row r="338" spans="1:28" x14ac:dyDescent="0.25">
      <c r="A338" s="6">
        <v>34</v>
      </c>
      <c r="B338" s="4">
        <v>60</v>
      </c>
      <c r="C338" s="5">
        <v>50</v>
      </c>
      <c r="D338" s="4">
        <v>20</v>
      </c>
      <c r="E338" s="3">
        <v>23</v>
      </c>
      <c r="F338" s="3">
        <f>1.8*E338+32</f>
        <v>73.400000000000006</v>
      </c>
      <c r="G338" s="3">
        <v>15</v>
      </c>
      <c r="H338" s="3">
        <f>IF(F338&gt;68,G338+(F338-68)*0.2,G594-(68-F338)*0.2)</f>
        <v>16.080000000000002</v>
      </c>
      <c r="I338" s="3">
        <v>22.5</v>
      </c>
      <c r="J338" s="3">
        <f>1.8*I338+32</f>
        <v>72.5</v>
      </c>
      <c r="K338" s="3">
        <v>7.5</v>
      </c>
      <c r="L338" s="3">
        <f>IF(J338&gt;68,K338+(J338-68)*0.2,K338-(68-J338)*0.2)</f>
        <v>8.4</v>
      </c>
      <c r="M338" s="3">
        <f>(C338-H338)/C338*100</f>
        <v>67.84</v>
      </c>
      <c r="N338" s="3">
        <f>100-(M338+O338)</f>
        <v>15.36</v>
      </c>
      <c r="O338" s="3">
        <f>L338/C338*100</f>
        <v>16.8</v>
      </c>
      <c r="P338" s="2" t="s">
        <v>20</v>
      </c>
      <c r="Q338" s="1">
        <v>409055.96209300001</v>
      </c>
      <c r="R338" s="1">
        <v>3659279.7456069998</v>
      </c>
      <c r="T338" s="4">
        <v>2006111</v>
      </c>
      <c r="U338" s="4" t="s">
        <v>290</v>
      </c>
      <c r="V338" s="4">
        <v>6.1490000000000003E-2</v>
      </c>
      <c r="W338" s="4">
        <v>0.37730999999999998</v>
      </c>
      <c r="X338" s="4">
        <v>2.8490000000000001E-2</v>
      </c>
      <c r="Y338" s="4">
        <v>1.33813</v>
      </c>
      <c r="Z338" s="4">
        <v>19.05208</v>
      </c>
      <c r="AA338" s="4">
        <v>10.24104</v>
      </c>
      <c r="AB338" s="4">
        <v>-1.5009300000000001</v>
      </c>
    </row>
    <row r="339" spans="1:28" x14ac:dyDescent="0.25">
      <c r="A339" s="6">
        <v>34</v>
      </c>
      <c r="B339" s="4">
        <v>90</v>
      </c>
      <c r="C339" s="5">
        <v>50</v>
      </c>
      <c r="D339" s="4">
        <v>20</v>
      </c>
      <c r="E339" s="3">
        <v>23</v>
      </c>
      <c r="F339" s="3">
        <f>1.8*E339+32</f>
        <v>73.400000000000006</v>
      </c>
      <c r="G339" s="3">
        <v>14.5</v>
      </c>
      <c r="H339" s="3">
        <f>IF(F339&gt;68,G339+(F339-68)*0.2,G179-(68-F339)*0.2)</f>
        <v>15.580000000000002</v>
      </c>
      <c r="I339" s="3">
        <v>22.5</v>
      </c>
      <c r="J339" s="3">
        <f>1.8*I339+32</f>
        <v>72.5</v>
      </c>
      <c r="K339" s="3">
        <v>7</v>
      </c>
      <c r="L339" s="3">
        <f>IF(J339&gt;68,K339+(J339-68)*0.2,K339-(68-J339)*0.2)</f>
        <v>7.9</v>
      </c>
      <c r="M339" s="3">
        <f>(C339-H339)/C339*100</f>
        <v>68.84</v>
      </c>
      <c r="N339" s="3">
        <f>100-(M339+O339)</f>
        <v>15.36</v>
      </c>
      <c r="O339" s="3">
        <f>L339/C339*100</f>
        <v>15.8</v>
      </c>
      <c r="P339" s="2" t="s">
        <v>20</v>
      </c>
      <c r="Q339" s="1">
        <v>409055.96209300001</v>
      </c>
      <c r="R339" s="1">
        <v>3659279.7456069998</v>
      </c>
      <c r="T339" s="4">
        <v>2006111</v>
      </c>
      <c r="U339" s="4" t="s">
        <v>289</v>
      </c>
      <c r="V339" s="4">
        <v>6.4659999999999995E-2</v>
      </c>
      <c r="W339" s="4">
        <v>0.37342999999999998</v>
      </c>
      <c r="X339" s="4">
        <v>2.691E-2</v>
      </c>
      <c r="Y339" s="4">
        <v>1.3255399999999999</v>
      </c>
      <c r="Z339" s="4">
        <v>16.704000000000001</v>
      </c>
      <c r="AA339" s="4">
        <v>8.8253699999999995</v>
      </c>
      <c r="AB339" s="4">
        <v>-1.5610299999999999</v>
      </c>
    </row>
    <row r="340" spans="1:28" x14ac:dyDescent="0.25">
      <c r="A340" s="6">
        <v>34</v>
      </c>
      <c r="B340" s="4">
        <v>120</v>
      </c>
      <c r="C340" s="5">
        <v>50.01</v>
      </c>
      <c r="D340" s="4">
        <v>20</v>
      </c>
      <c r="E340" s="3">
        <v>24</v>
      </c>
      <c r="F340" s="3">
        <f>1.8*E340+32</f>
        <v>75.2</v>
      </c>
      <c r="G340" s="3">
        <v>18</v>
      </c>
      <c r="H340" s="3">
        <f>IF(F340&gt;68,G340+(F340-68)*0.2,G180-(68-F340)*0.2)</f>
        <v>19.440000000000001</v>
      </c>
      <c r="I340" s="3">
        <v>22.5</v>
      </c>
      <c r="J340" s="3">
        <f>1.8*I340+32</f>
        <v>72.5</v>
      </c>
      <c r="K340" s="3">
        <v>10.5</v>
      </c>
      <c r="L340" s="3">
        <f>IF(J340&gt;68,K340+(J340-68)*0.2,K340-(68-J340)*0.2)</f>
        <v>11.4</v>
      </c>
      <c r="M340" s="3">
        <f>(C340-H340)/C340*100</f>
        <v>61.127774445110973</v>
      </c>
      <c r="N340" s="3">
        <f>100-(M340+O340)</f>
        <v>16.076784643071392</v>
      </c>
      <c r="O340" s="3">
        <f>L340/C340*100</f>
        <v>22.795440911817639</v>
      </c>
      <c r="P340" s="2" t="s">
        <v>0</v>
      </c>
      <c r="Q340" s="1">
        <v>409055.96209300001</v>
      </c>
      <c r="R340" s="1">
        <v>3659279.7456069998</v>
      </c>
      <c r="T340" s="4">
        <v>2006111</v>
      </c>
      <c r="U340" s="4" t="s">
        <v>288</v>
      </c>
      <c r="V340" s="4">
        <v>6.2309999999999997E-2</v>
      </c>
      <c r="W340" s="4">
        <v>0.3674</v>
      </c>
      <c r="X340" s="4">
        <v>2.4979999999999999E-2</v>
      </c>
      <c r="Y340" s="4">
        <v>1.4991300000000001</v>
      </c>
      <c r="Z340" s="4">
        <v>34.251170000000002</v>
      </c>
      <c r="AA340" s="4">
        <v>9.5179899999999993</v>
      </c>
      <c r="AB340" s="4">
        <v>-1.07982</v>
      </c>
    </row>
    <row r="341" spans="1:28" x14ac:dyDescent="0.25">
      <c r="A341" s="6">
        <v>34</v>
      </c>
      <c r="B341" s="4">
        <v>150</v>
      </c>
      <c r="C341" s="5">
        <v>50.01</v>
      </c>
      <c r="D341" s="4">
        <v>20</v>
      </c>
      <c r="E341" s="3">
        <v>24.5</v>
      </c>
      <c r="F341" s="3">
        <f>1.8*E341+32</f>
        <v>76.099999999999994</v>
      </c>
      <c r="G341" s="3">
        <v>16.5</v>
      </c>
      <c r="H341" s="3">
        <f>IF(F341&gt;68,G341+(F341-68)*0.2,G181-(68-F341)*0.2)</f>
        <v>18.119999999999997</v>
      </c>
      <c r="I341" s="3">
        <v>22.5</v>
      </c>
      <c r="J341" s="3">
        <f>1.8*I341+32</f>
        <v>72.5</v>
      </c>
      <c r="K341" s="3">
        <v>10</v>
      </c>
      <c r="L341" s="3">
        <f>IF(J341&gt;68,K341+(J341-68)*0.2,K341-(68-J341)*0.2)</f>
        <v>10.9</v>
      </c>
      <c r="M341" s="3">
        <f>(C341-H341)/C341*100</f>
        <v>63.767246550689869</v>
      </c>
      <c r="N341" s="3">
        <f>100-(M341+O341)</f>
        <v>14.437112577484498</v>
      </c>
      <c r="O341" s="3">
        <f>L341/C341*100</f>
        <v>21.795640871825636</v>
      </c>
      <c r="P341" s="2" t="s">
        <v>0</v>
      </c>
      <c r="Q341" s="1">
        <v>409055.96209300001</v>
      </c>
      <c r="R341" s="1">
        <v>3659279.7456069998</v>
      </c>
      <c r="T341" s="4">
        <v>2006111</v>
      </c>
      <c r="U341" s="4" t="s">
        <v>287</v>
      </c>
      <c r="V341" s="4">
        <v>6.0040000000000003E-2</v>
      </c>
      <c r="W341" s="4">
        <v>0.36908000000000002</v>
      </c>
      <c r="X341" s="4">
        <v>2.64E-2</v>
      </c>
      <c r="Y341" s="4">
        <v>1.55918</v>
      </c>
      <c r="Z341" s="4">
        <v>45.987969999999997</v>
      </c>
      <c r="AA341" s="4">
        <v>11.14087</v>
      </c>
      <c r="AB341" s="4">
        <v>-1.0268200000000001</v>
      </c>
    </row>
    <row r="342" spans="1:28" x14ac:dyDescent="0.25">
      <c r="A342" s="6">
        <v>34</v>
      </c>
      <c r="B342" s="4">
        <v>180</v>
      </c>
      <c r="C342" s="5">
        <v>50</v>
      </c>
      <c r="D342" s="4">
        <v>20</v>
      </c>
      <c r="E342" s="3">
        <v>24.8</v>
      </c>
      <c r="F342" s="3">
        <f>1.8*E342+32</f>
        <v>76.64</v>
      </c>
      <c r="G342" s="3">
        <v>18</v>
      </c>
      <c r="H342" s="3">
        <f>IF(F342&gt;68,G342+(F342-68)*0.2,G182-(68-F342)*0.2)</f>
        <v>19.728000000000002</v>
      </c>
      <c r="I342" s="3">
        <v>22.5</v>
      </c>
      <c r="J342" s="3">
        <f>1.8*I342+32</f>
        <v>72.5</v>
      </c>
      <c r="K342" s="3">
        <v>11</v>
      </c>
      <c r="L342" s="3">
        <f>IF(J342&gt;68,K342+(J342-68)*0.2,K342-(68-J342)*0.2)</f>
        <v>11.9</v>
      </c>
      <c r="M342" s="3">
        <f>(C342-H342)/C342*100</f>
        <v>60.543999999999997</v>
      </c>
      <c r="N342" s="3">
        <f>100-(M342+O342)</f>
        <v>15.656000000000006</v>
      </c>
      <c r="O342" s="3">
        <f>L342/C342*100</f>
        <v>23.8</v>
      </c>
      <c r="P342" s="2" t="s">
        <v>0</v>
      </c>
      <c r="Q342" s="1">
        <v>409055.96209300001</v>
      </c>
      <c r="R342" s="1">
        <v>3659279.7456069998</v>
      </c>
      <c r="T342" s="4">
        <v>2006111</v>
      </c>
      <c r="U342" s="4" t="s">
        <v>41</v>
      </c>
      <c r="V342" s="4">
        <v>6.0810000000000003E-2</v>
      </c>
      <c r="W342" s="4">
        <v>0.38136999999999999</v>
      </c>
      <c r="X342" s="4">
        <v>2.835E-2</v>
      </c>
      <c r="Y342" s="4">
        <v>1.3381700000000001</v>
      </c>
      <c r="Z342" s="4">
        <v>19.011990000000001</v>
      </c>
      <c r="AA342" s="4">
        <v>10.45476</v>
      </c>
      <c r="AB342" s="4">
        <v>-1.47506</v>
      </c>
    </row>
    <row r="343" spans="1:28" x14ac:dyDescent="0.25">
      <c r="A343" s="6">
        <v>34</v>
      </c>
      <c r="B343" s="4">
        <v>210</v>
      </c>
      <c r="C343" s="5">
        <v>50.01</v>
      </c>
      <c r="D343" s="4">
        <v>20</v>
      </c>
      <c r="E343" s="3">
        <v>24.8</v>
      </c>
      <c r="F343" s="3">
        <f>1.8*E343+32</f>
        <v>76.64</v>
      </c>
      <c r="G343" s="3">
        <v>20</v>
      </c>
      <c r="H343" s="3">
        <f>IF(F343&gt;68,G343+(F343-68)*0.2,G183-(68-F343)*0.2)</f>
        <v>21.728000000000002</v>
      </c>
      <c r="I343" s="3">
        <v>22.5</v>
      </c>
      <c r="J343" s="3">
        <f>1.8*I343+32</f>
        <v>72.5</v>
      </c>
      <c r="K343" s="3">
        <v>10.5</v>
      </c>
      <c r="L343" s="3">
        <f>IF(J343&gt;68,K343+(J343-68)*0.2,K343-(68-J343)*0.2)</f>
        <v>11.4</v>
      </c>
      <c r="M343" s="3">
        <f>(C343-H343)/C343*100</f>
        <v>56.552689462107573</v>
      </c>
      <c r="N343" s="3">
        <f>100-(M343+O343)</f>
        <v>20.651869626074784</v>
      </c>
      <c r="O343" s="3">
        <f>L343/C343*100</f>
        <v>22.795440911817639</v>
      </c>
      <c r="P343" s="2" t="s">
        <v>0</v>
      </c>
      <c r="Q343" s="1">
        <v>409055.96209300001</v>
      </c>
      <c r="R343" s="1">
        <v>3659279.7456069998</v>
      </c>
      <c r="T343" s="4">
        <v>2006111</v>
      </c>
      <c r="U343" s="4" t="s">
        <v>40</v>
      </c>
      <c r="V343" s="4">
        <v>6.522E-2</v>
      </c>
      <c r="W343" s="4">
        <v>0.38646000000000003</v>
      </c>
      <c r="X343" s="4">
        <v>2.649E-2</v>
      </c>
      <c r="Y343" s="4">
        <v>1.3230599999999999</v>
      </c>
      <c r="Z343" s="4">
        <v>14.450670000000001</v>
      </c>
      <c r="AA343" s="4">
        <v>8.9996700000000001</v>
      </c>
      <c r="AB343" s="4">
        <v>-1.51935</v>
      </c>
    </row>
    <row r="344" spans="1:28" x14ac:dyDescent="0.25">
      <c r="A344" s="6">
        <v>34</v>
      </c>
      <c r="B344" s="4">
        <v>240</v>
      </c>
      <c r="C344" s="5">
        <v>50.01</v>
      </c>
      <c r="D344" s="4">
        <v>20</v>
      </c>
      <c r="E344" s="3">
        <v>24.8</v>
      </c>
      <c r="F344" s="3">
        <f>1.8*E344+32</f>
        <v>76.64</v>
      </c>
      <c r="G344" s="3">
        <v>16.5</v>
      </c>
      <c r="H344" s="3">
        <f>IF(F344&gt;68,G344+(F344-68)*0.2,G184-(68-F344)*0.2)</f>
        <v>18.228000000000002</v>
      </c>
      <c r="I344" s="3">
        <v>22.5</v>
      </c>
      <c r="J344" s="3">
        <f>1.8*I344+32</f>
        <v>72.5</v>
      </c>
      <c r="K344" s="3">
        <v>9</v>
      </c>
      <c r="L344" s="3">
        <f>IF(J344&gt;68,K344+(J344-68)*0.2,K344-(68-J344)*0.2)</f>
        <v>9.9</v>
      </c>
      <c r="M344" s="3">
        <f>(C344-H344)/C344*100</f>
        <v>63.551289742051587</v>
      </c>
      <c r="N344" s="3">
        <f>100-(M344+O344)</f>
        <v>16.652669466106772</v>
      </c>
      <c r="O344" s="3">
        <f>L344/C344*100</f>
        <v>19.796040791841634</v>
      </c>
      <c r="P344" s="2" t="s">
        <v>0</v>
      </c>
      <c r="Q344" s="1">
        <v>409055.96209300001</v>
      </c>
      <c r="R344" s="1">
        <v>3659279.7456069998</v>
      </c>
      <c r="T344" s="4">
        <v>2006111</v>
      </c>
      <c r="U344" s="4" t="s">
        <v>39</v>
      </c>
      <c r="V344" s="4">
        <v>7.5950000000000004E-2</v>
      </c>
      <c r="W344" s="4">
        <v>0.40282000000000001</v>
      </c>
      <c r="X344" s="4">
        <v>2.393E-2</v>
      </c>
      <c r="Y344" s="4">
        <v>1.29389</v>
      </c>
      <c r="Z344" s="4">
        <v>8.3777799999999996</v>
      </c>
      <c r="AA344" s="4">
        <v>6.8893500000000003</v>
      </c>
      <c r="AB344" s="4">
        <v>-1.6551400000000001</v>
      </c>
    </row>
    <row r="345" spans="1:28" x14ac:dyDescent="0.25">
      <c r="A345" s="6">
        <v>34</v>
      </c>
      <c r="B345" s="4">
        <v>270</v>
      </c>
      <c r="C345" s="5">
        <v>50</v>
      </c>
      <c r="D345" s="4">
        <v>20</v>
      </c>
      <c r="E345" s="3">
        <v>25</v>
      </c>
      <c r="F345" s="3">
        <f>1.8*E345+32</f>
        <v>77</v>
      </c>
      <c r="G345" s="3">
        <v>13</v>
      </c>
      <c r="H345" s="3">
        <f>IF(F345&gt;68,G345+(F345-68)*0.2,G185-(68-F345)*0.2)</f>
        <v>14.8</v>
      </c>
      <c r="I345" s="3">
        <v>22.5</v>
      </c>
      <c r="J345" s="3">
        <f>1.8*I345+32</f>
        <v>72.5</v>
      </c>
      <c r="K345" s="3">
        <v>7</v>
      </c>
      <c r="L345" s="3">
        <f>IF(J345&gt;68,K345+(J345-68)*0.2,K345-(68-J345)*0.2)</f>
        <v>7.9</v>
      </c>
      <c r="M345" s="3">
        <f>(C345-H345)/C345*100</f>
        <v>70.400000000000006</v>
      </c>
      <c r="N345" s="3">
        <f>100-(M345+O345)</f>
        <v>13.799999999999997</v>
      </c>
      <c r="O345" s="3">
        <f>L345/C345*100</f>
        <v>15.8</v>
      </c>
      <c r="P345" s="2" t="s">
        <v>20</v>
      </c>
      <c r="Q345" s="1">
        <v>409055.96209300001</v>
      </c>
      <c r="R345" s="1">
        <v>3659279.7456069998</v>
      </c>
      <c r="T345" s="4">
        <v>2006111</v>
      </c>
      <c r="U345" s="4" t="s">
        <v>38</v>
      </c>
      <c r="V345" s="4">
        <v>7.7689999999999995E-2</v>
      </c>
      <c r="W345" s="4">
        <v>0.39966000000000002</v>
      </c>
      <c r="X345" s="4">
        <v>2.6679999999999999E-2</v>
      </c>
      <c r="Y345" s="4">
        <v>1.2565299999999999</v>
      </c>
      <c r="Z345" s="4">
        <v>11.02045</v>
      </c>
      <c r="AA345" s="4">
        <v>7.18431</v>
      </c>
      <c r="AB345" s="4">
        <v>-2.1241099999999999</v>
      </c>
    </row>
    <row r="346" spans="1:28" x14ac:dyDescent="0.25">
      <c r="A346" s="6">
        <v>34</v>
      </c>
      <c r="B346" s="4">
        <v>300</v>
      </c>
      <c r="C346" s="5">
        <v>50</v>
      </c>
      <c r="D346" s="4">
        <v>20</v>
      </c>
      <c r="E346" s="3">
        <v>25</v>
      </c>
      <c r="F346" s="3">
        <f>1.8*E346+32</f>
        <v>77</v>
      </c>
      <c r="G346" s="3">
        <v>12.5</v>
      </c>
      <c r="H346" s="3">
        <f>IF(F346&gt;68,G346+(F346-68)*0.2,G186-(68-F346)*0.2)</f>
        <v>14.3</v>
      </c>
      <c r="I346" s="3">
        <v>22.5</v>
      </c>
      <c r="J346" s="3">
        <f>1.8*I346+32</f>
        <v>72.5</v>
      </c>
      <c r="K346" s="3">
        <v>8</v>
      </c>
      <c r="L346" s="3">
        <f>IF(J346&gt;68,K346+(J346-68)*0.2,K346-(68-J346)*0.2)</f>
        <v>8.9</v>
      </c>
      <c r="M346" s="3">
        <f>(C346-H346)/C346*100</f>
        <v>71.400000000000006</v>
      </c>
      <c r="N346" s="3">
        <f>100-(M346+O346)</f>
        <v>10.799999999999997</v>
      </c>
      <c r="O346" s="3">
        <f>L346/C346*100</f>
        <v>17.8</v>
      </c>
      <c r="P346" s="2" t="s">
        <v>20</v>
      </c>
      <c r="Q346" s="1">
        <v>409055.96209300001</v>
      </c>
      <c r="R346" s="1">
        <v>3659279.7456069998</v>
      </c>
      <c r="T346" s="4">
        <v>2006111</v>
      </c>
      <c r="U346" s="4" t="s">
        <v>37</v>
      </c>
      <c r="V346" s="4">
        <v>7.4319999999999997E-2</v>
      </c>
      <c r="W346" s="4">
        <v>0.39195999999999998</v>
      </c>
      <c r="X346" s="4">
        <v>2.6800000000000001E-2</v>
      </c>
      <c r="Y346" s="4">
        <v>1.2676499999999999</v>
      </c>
      <c r="Z346" s="4">
        <v>11.493510000000001</v>
      </c>
      <c r="AA346" s="4">
        <v>7.51729</v>
      </c>
      <c r="AB346" s="4">
        <v>-2.0037199999999999</v>
      </c>
    </row>
    <row r="347" spans="1:28" x14ac:dyDescent="0.25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T347" s="4">
        <v>2006111</v>
      </c>
      <c r="U347" s="4" t="s">
        <v>36</v>
      </c>
      <c r="V347" s="4">
        <v>6.7330000000000001E-2</v>
      </c>
      <c r="W347" s="4">
        <v>0.38280999999999998</v>
      </c>
      <c r="X347" s="4">
        <v>2.724E-2</v>
      </c>
      <c r="Y347" s="4">
        <v>1.3009500000000001</v>
      </c>
      <c r="Z347" s="4">
        <v>13.69186</v>
      </c>
      <c r="AA347" s="4">
        <v>8.6427200000000006</v>
      </c>
      <c r="AB347" s="4">
        <v>-1.7087699999999999</v>
      </c>
    </row>
    <row r="348" spans="1:28" ht="51.75" x14ac:dyDescent="0.25">
      <c r="A348" s="15" t="s">
        <v>19</v>
      </c>
      <c r="B348" s="10" t="s">
        <v>18</v>
      </c>
      <c r="C348" s="14" t="s">
        <v>17</v>
      </c>
      <c r="D348" s="13" t="s">
        <v>16</v>
      </c>
      <c r="E348" s="12" t="s">
        <v>15</v>
      </c>
      <c r="F348" s="12" t="s">
        <v>14</v>
      </c>
      <c r="G348" s="12" t="s">
        <v>13</v>
      </c>
      <c r="H348" s="12" t="s">
        <v>12</v>
      </c>
      <c r="I348" s="12" t="s">
        <v>11</v>
      </c>
      <c r="J348" s="12" t="s">
        <v>10</v>
      </c>
      <c r="K348" s="12" t="s">
        <v>9</v>
      </c>
      <c r="L348" s="12" t="s">
        <v>8</v>
      </c>
      <c r="M348" s="11" t="s">
        <v>7</v>
      </c>
      <c r="N348" s="11" t="s">
        <v>6</v>
      </c>
      <c r="O348" s="11" t="s">
        <v>5</v>
      </c>
      <c r="P348" s="10" t="s">
        <v>4</v>
      </c>
      <c r="Q348" s="44" t="s">
        <v>3</v>
      </c>
      <c r="R348" s="44"/>
      <c r="T348" s="4">
        <v>2006111</v>
      </c>
      <c r="U348" s="4" t="s">
        <v>286</v>
      </c>
      <c r="V348" s="4">
        <v>6.0949999999999997E-2</v>
      </c>
      <c r="W348" s="4">
        <v>0.37369999999999998</v>
      </c>
      <c r="X348" s="4">
        <v>2.8070000000000001E-2</v>
      </c>
      <c r="Y348" s="4">
        <v>1.36233</v>
      </c>
      <c r="Z348" s="4">
        <v>21.443819999999999</v>
      </c>
      <c r="AA348" s="4">
        <v>10.28112</v>
      </c>
      <c r="AB348" s="4">
        <v>-1.3994800000000001</v>
      </c>
    </row>
    <row r="349" spans="1:28" x14ac:dyDescent="0.25">
      <c r="A349" s="15"/>
      <c r="B349" s="10"/>
      <c r="C349" s="14"/>
      <c r="D349" s="13"/>
      <c r="E349" s="12"/>
      <c r="F349" s="12"/>
      <c r="G349" s="12"/>
      <c r="H349" s="12"/>
      <c r="I349" s="12"/>
      <c r="J349" s="12"/>
      <c r="K349" s="12"/>
      <c r="L349" s="12"/>
      <c r="M349" s="11"/>
      <c r="N349" s="11"/>
      <c r="O349" s="11"/>
      <c r="P349" s="10"/>
      <c r="Q349" s="7" t="s">
        <v>2</v>
      </c>
      <c r="R349" s="7" t="s">
        <v>1</v>
      </c>
      <c r="T349" s="4">
        <v>2006111</v>
      </c>
      <c r="U349" s="4" t="s">
        <v>285</v>
      </c>
      <c r="V349" s="4">
        <v>-9.9</v>
      </c>
      <c r="W349" s="4">
        <v>-9.9</v>
      </c>
      <c r="X349" s="4">
        <v>-9.9</v>
      </c>
      <c r="Y349" s="4">
        <v>-9.9</v>
      </c>
      <c r="Z349" s="4">
        <v>-9.9</v>
      </c>
      <c r="AA349" s="4">
        <v>-9.9</v>
      </c>
      <c r="AB349" s="4">
        <v>-9.9</v>
      </c>
    </row>
    <row r="350" spans="1:28" x14ac:dyDescent="0.25">
      <c r="A350" s="6">
        <v>35</v>
      </c>
      <c r="B350" s="4">
        <v>30</v>
      </c>
      <c r="C350" s="5">
        <v>50</v>
      </c>
      <c r="D350" s="4">
        <v>20</v>
      </c>
      <c r="E350" s="3">
        <v>23.5</v>
      </c>
      <c r="F350" s="3">
        <f>1.8*E350+32</f>
        <v>74.300000000000011</v>
      </c>
      <c r="G350" s="3">
        <v>17</v>
      </c>
      <c r="H350" s="3">
        <f>IF(F350&gt;68,G350+(F350-68)*0.2,#REF!-(68-F350)*0.2)</f>
        <v>18.260000000000002</v>
      </c>
      <c r="I350" s="3">
        <v>22.2</v>
      </c>
      <c r="J350" s="3">
        <f>1.8*I350+32</f>
        <v>71.960000000000008</v>
      </c>
      <c r="K350" s="3">
        <v>9</v>
      </c>
      <c r="L350" s="3">
        <f>IF(J350&gt;68,K350+(J350-68)*0.2,K350-(68-J350)*0.2)</f>
        <v>9.7920000000000016</v>
      </c>
      <c r="M350" s="3">
        <f>(C350-H350)/C350*100</f>
        <v>63.47999999999999</v>
      </c>
      <c r="N350" s="3">
        <f>100-(M350+O350)</f>
        <v>16.936000000000007</v>
      </c>
      <c r="O350" s="3">
        <f>L350/C350*100</f>
        <v>19.584000000000003</v>
      </c>
      <c r="P350" s="2" t="s">
        <v>0</v>
      </c>
      <c r="Q350" s="1">
        <v>409068.14489599998</v>
      </c>
      <c r="R350" s="1">
        <v>3659279.5378510002</v>
      </c>
      <c r="T350" s="4">
        <v>2006111</v>
      </c>
      <c r="U350" s="4" t="s">
        <v>284</v>
      </c>
      <c r="V350" s="4">
        <v>6.1370000000000001E-2</v>
      </c>
      <c r="W350" s="4">
        <v>0.36914000000000002</v>
      </c>
      <c r="X350" s="4">
        <v>2.6120000000000001E-2</v>
      </c>
      <c r="Y350" s="4">
        <v>1.4472700000000001</v>
      </c>
      <c r="Z350" s="4">
        <v>29.30556</v>
      </c>
      <c r="AA350" s="4">
        <v>9.9268599999999996</v>
      </c>
      <c r="AB350" s="4">
        <v>-1.1629799999999999</v>
      </c>
    </row>
    <row r="351" spans="1:28" x14ac:dyDescent="0.25">
      <c r="A351" s="6">
        <v>35</v>
      </c>
      <c r="B351" s="4">
        <v>60</v>
      </c>
      <c r="C351" s="5">
        <v>50</v>
      </c>
      <c r="D351" s="4">
        <v>20</v>
      </c>
      <c r="E351" s="3">
        <v>23.5</v>
      </c>
      <c r="F351" s="3">
        <f>1.8*E351+32</f>
        <v>74.300000000000011</v>
      </c>
      <c r="G351" s="3">
        <v>20</v>
      </c>
      <c r="H351" s="3">
        <f>IF(F351&gt;68,G351+(F351-68)*0.2,#REF!-(68-F351)*0.2)</f>
        <v>21.26</v>
      </c>
      <c r="I351" s="3">
        <v>22.5</v>
      </c>
      <c r="J351" s="3">
        <f>1.8*I351+32</f>
        <v>72.5</v>
      </c>
      <c r="K351" s="3">
        <v>11.5</v>
      </c>
      <c r="L351" s="3">
        <f>IF(J351&gt;68,K351+(J351-68)*0.2,K351-(68-J351)*0.2)</f>
        <v>12.4</v>
      </c>
      <c r="M351" s="3">
        <f>(C351-H351)/C351*100</f>
        <v>57.48</v>
      </c>
      <c r="N351" s="3">
        <f>100-(M351+O351)</f>
        <v>17.72</v>
      </c>
      <c r="O351" s="3">
        <f>L351/C351*100</f>
        <v>24.8</v>
      </c>
      <c r="P351" s="2" t="s">
        <v>0</v>
      </c>
      <c r="Q351" s="1">
        <v>409068.14489599998</v>
      </c>
      <c r="R351" s="1">
        <v>3659279.5378510002</v>
      </c>
      <c r="T351" s="4">
        <v>2006111</v>
      </c>
      <c r="U351" s="4" t="s">
        <v>283</v>
      </c>
      <c r="V351" s="4">
        <v>6.8870000000000001E-2</v>
      </c>
      <c r="W351" s="4">
        <v>0.36920999999999998</v>
      </c>
      <c r="X351" s="4">
        <v>2.4129999999999999E-2</v>
      </c>
      <c r="Y351" s="4">
        <v>1.3073600000000001</v>
      </c>
      <c r="Z351" s="4">
        <v>14.95721</v>
      </c>
      <c r="AA351" s="4">
        <v>6.9874700000000001</v>
      </c>
      <c r="AB351" s="4">
        <v>-1.6244400000000001</v>
      </c>
    </row>
    <row r="352" spans="1:28" x14ac:dyDescent="0.25">
      <c r="A352" s="6">
        <v>35</v>
      </c>
      <c r="B352" s="4">
        <v>90</v>
      </c>
      <c r="C352" s="5">
        <v>50</v>
      </c>
      <c r="D352" s="4">
        <v>20</v>
      </c>
      <c r="E352" s="3">
        <v>23.5</v>
      </c>
      <c r="F352" s="3">
        <f>1.8*E352+32</f>
        <v>74.300000000000011</v>
      </c>
      <c r="G352" s="3">
        <v>22</v>
      </c>
      <c r="H352" s="3">
        <f>IF(F352&gt;68,G352+(F352-68)*0.2,#REF!-(68-F352)*0.2)</f>
        <v>23.26</v>
      </c>
      <c r="I352" s="3">
        <v>22.8</v>
      </c>
      <c r="J352" s="3">
        <f>1.8*I352+32</f>
        <v>73.039999999999992</v>
      </c>
      <c r="K352" s="3">
        <v>13.5</v>
      </c>
      <c r="L352" s="3">
        <f>IF(J352&gt;68,K352+(J352-68)*0.2,K352-(68-J352)*0.2)</f>
        <v>14.507999999999999</v>
      </c>
      <c r="M352" s="3">
        <f>(C352-H352)/C352*100</f>
        <v>53.48</v>
      </c>
      <c r="N352" s="3">
        <f>100-(M352+O352)</f>
        <v>17.504000000000005</v>
      </c>
      <c r="O352" s="3">
        <f>L352/C352*100</f>
        <v>29.015999999999998</v>
      </c>
      <c r="P352" s="2" t="s">
        <v>0</v>
      </c>
      <c r="Q352" s="1">
        <v>409068.14489599998</v>
      </c>
      <c r="R352" s="1">
        <v>3659279.5378510002</v>
      </c>
      <c r="T352" s="4">
        <v>2006111</v>
      </c>
      <c r="U352" s="4" t="s">
        <v>35</v>
      </c>
      <c r="V352" s="4">
        <v>5.629E-2</v>
      </c>
      <c r="W352" s="4">
        <v>0.38227</v>
      </c>
      <c r="X352" s="4">
        <v>2.92E-2</v>
      </c>
      <c r="Y352" s="4">
        <v>1.36073</v>
      </c>
      <c r="Z352" s="4">
        <v>24.070889999999999</v>
      </c>
      <c r="AA352" s="4">
        <v>11.974550000000001</v>
      </c>
      <c r="AB352" s="4">
        <v>-1.3546400000000001</v>
      </c>
    </row>
    <row r="353" spans="1:28" x14ac:dyDescent="0.25">
      <c r="A353" s="6">
        <v>35</v>
      </c>
      <c r="B353" s="4">
        <v>120</v>
      </c>
      <c r="C353" s="5">
        <v>50.01</v>
      </c>
      <c r="D353" s="4">
        <v>20</v>
      </c>
      <c r="E353" s="3">
        <v>24</v>
      </c>
      <c r="F353" s="3">
        <f>1.8*E353+32</f>
        <v>75.2</v>
      </c>
      <c r="G353" s="3">
        <v>23.5</v>
      </c>
      <c r="H353" s="3">
        <f>IF(F353&gt;68,G353+(F353-68)*0.2,#REF!-(68-F353)*0.2)</f>
        <v>24.94</v>
      </c>
      <c r="I353" s="3">
        <v>23</v>
      </c>
      <c r="J353" s="3">
        <f>1.8*I353+32</f>
        <v>73.400000000000006</v>
      </c>
      <c r="K353" s="3">
        <v>15.5</v>
      </c>
      <c r="L353" s="3">
        <f>IF(J353&gt;68,K353+(J353-68)*0.2,K353-(68-J353)*0.2)</f>
        <v>16.580000000000002</v>
      </c>
      <c r="M353" s="3">
        <f>(C353-H353)/C353*100</f>
        <v>50.129974005198953</v>
      </c>
      <c r="N353" s="3">
        <f>100-(M353+O353)</f>
        <v>16.716656668666275</v>
      </c>
      <c r="O353" s="3">
        <f>L353/C353*100</f>
        <v>33.153369326134779</v>
      </c>
      <c r="P353" s="2" t="s">
        <v>0</v>
      </c>
      <c r="Q353" s="1">
        <v>409068.14489599998</v>
      </c>
      <c r="R353" s="1">
        <v>3659279.5378510002</v>
      </c>
      <c r="T353" s="4">
        <v>2006111</v>
      </c>
      <c r="U353" s="4" t="s">
        <v>34</v>
      </c>
      <c r="V353" s="4">
        <v>5.9859999999999997E-2</v>
      </c>
      <c r="W353" s="4">
        <v>0.38857999999999998</v>
      </c>
      <c r="X353" s="4">
        <v>2.4969999999999999E-2</v>
      </c>
      <c r="Y353" s="4">
        <v>1.3591800000000001</v>
      </c>
      <c r="Z353" s="4">
        <v>17.862729999999999</v>
      </c>
      <c r="AA353" s="4">
        <v>9.5273000000000003</v>
      </c>
      <c r="AB353" s="4">
        <v>-1.2534099999999999</v>
      </c>
    </row>
    <row r="354" spans="1:28" x14ac:dyDescent="0.25">
      <c r="A354" s="6">
        <v>35</v>
      </c>
      <c r="B354" s="4">
        <v>150</v>
      </c>
      <c r="C354" s="5">
        <v>50</v>
      </c>
      <c r="D354" s="4">
        <v>20</v>
      </c>
      <c r="E354" s="3">
        <v>24.2</v>
      </c>
      <c r="F354" s="3">
        <f>1.8*E354+32</f>
        <v>75.56</v>
      </c>
      <c r="G354" s="3">
        <v>21</v>
      </c>
      <c r="H354" s="3">
        <f>IF(F354&gt;68,G354+(F354-68)*0.2,#REF!-(68-F354)*0.2)</f>
        <v>22.512</v>
      </c>
      <c r="I354" s="3">
        <v>23</v>
      </c>
      <c r="J354" s="3">
        <f>1.8*I354+32</f>
        <v>73.400000000000006</v>
      </c>
      <c r="K354" s="3">
        <v>15</v>
      </c>
      <c r="L354" s="3">
        <f>IF(J354&gt;68,K354+(J354-68)*0.2,K354-(68-J354)*0.2)</f>
        <v>16.080000000000002</v>
      </c>
      <c r="M354" s="3">
        <f>(C354-H354)/C354*100</f>
        <v>54.975999999999999</v>
      </c>
      <c r="N354" s="3">
        <f>100-(M354+O354)</f>
        <v>12.864000000000004</v>
      </c>
      <c r="O354" s="3">
        <f>L354/C354*100</f>
        <v>32.160000000000004</v>
      </c>
      <c r="P354" s="2" t="s">
        <v>0</v>
      </c>
      <c r="Q354" s="1">
        <v>409068.14489599998</v>
      </c>
      <c r="R354" s="1">
        <v>3659279.5378510002</v>
      </c>
      <c r="T354" s="4">
        <v>2006111</v>
      </c>
      <c r="U354" s="4" t="s">
        <v>33</v>
      </c>
      <c r="V354" s="4">
        <v>7.3469999999999994E-2</v>
      </c>
      <c r="W354" s="4">
        <v>0.40883000000000003</v>
      </c>
      <c r="X354" s="4">
        <v>1.8550000000000001E-2</v>
      </c>
      <c r="Y354" s="4">
        <v>1.36077</v>
      </c>
      <c r="Z354" s="4">
        <v>7.5178000000000003</v>
      </c>
      <c r="AA354" s="4">
        <v>5.6343399999999999</v>
      </c>
      <c r="AB354" s="4">
        <v>-1.0766800000000001</v>
      </c>
    </row>
    <row r="355" spans="1:28" x14ac:dyDescent="0.25">
      <c r="A355" s="6">
        <v>35</v>
      </c>
      <c r="B355" s="4">
        <v>180</v>
      </c>
      <c r="C355" s="5">
        <v>50</v>
      </c>
      <c r="D355" s="4">
        <v>20</v>
      </c>
      <c r="E355" s="3">
        <v>24.2</v>
      </c>
      <c r="F355" s="3">
        <f>1.8*E355+32</f>
        <v>75.56</v>
      </c>
      <c r="G355" s="3">
        <v>19.5</v>
      </c>
      <c r="H355" s="3">
        <f>IF(F355&gt;68,G355+(F355-68)*0.2,#REF!-(68-F355)*0.2)</f>
        <v>21.012</v>
      </c>
      <c r="I355" s="3">
        <v>23</v>
      </c>
      <c r="J355" s="3">
        <f>1.8*I355+32</f>
        <v>73.400000000000006</v>
      </c>
      <c r="K355" s="3">
        <v>14</v>
      </c>
      <c r="L355" s="3">
        <f>IF(J355&gt;68,K355+(J355-68)*0.2,K355-(68-J355)*0.2)</f>
        <v>15.080000000000002</v>
      </c>
      <c r="M355" s="3">
        <f>(C355-H355)/C355*100</f>
        <v>57.975999999999992</v>
      </c>
      <c r="N355" s="3">
        <f>100-(M355+O355)</f>
        <v>11.864000000000004</v>
      </c>
      <c r="O355" s="3">
        <f>L355/C355*100</f>
        <v>30.160000000000004</v>
      </c>
      <c r="P355" s="2" t="s">
        <v>0</v>
      </c>
      <c r="Q355" s="1">
        <v>409068.14489599998</v>
      </c>
      <c r="R355" s="1">
        <v>3659279.5378510002</v>
      </c>
      <c r="T355" s="4">
        <v>2006111</v>
      </c>
      <c r="U355" s="4" t="s">
        <v>32</v>
      </c>
      <c r="V355" s="4">
        <v>6.7089999999999997E-2</v>
      </c>
      <c r="W355" s="4">
        <v>0.39106000000000002</v>
      </c>
      <c r="X355" s="4">
        <v>2.4889999999999999E-2</v>
      </c>
      <c r="Y355" s="4">
        <v>1.3270999999999999</v>
      </c>
      <c r="Z355" s="4">
        <v>12.6363</v>
      </c>
      <c r="AA355" s="4">
        <v>8.2752800000000004</v>
      </c>
      <c r="AB355" s="4">
        <v>-1.4495400000000001</v>
      </c>
    </row>
    <row r="356" spans="1:28" x14ac:dyDescent="0.25">
      <c r="A356" s="6">
        <v>35</v>
      </c>
      <c r="B356" s="4">
        <v>210</v>
      </c>
      <c r="C356" s="5">
        <v>50</v>
      </c>
      <c r="D356" s="4">
        <v>20</v>
      </c>
      <c r="E356" s="3">
        <v>24.8</v>
      </c>
      <c r="F356" s="3">
        <f>1.8*E356+32</f>
        <v>76.64</v>
      </c>
      <c r="G356" s="3">
        <v>13</v>
      </c>
      <c r="H356" s="3">
        <f>IF(F356&gt;68,G356+(F356-68)*0.2,#REF!-(68-F356)*0.2)</f>
        <v>14.728</v>
      </c>
      <c r="I356" s="3">
        <v>23</v>
      </c>
      <c r="J356" s="3">
        <f>1.8*I356+32</f>
        <v>73.400000000000006</v>
      </c>
      <c r="K356" s="3">
        <v>10</v>
      </c>
      <c r="L356" s="3">
        <f>IF(J356&gt;68,K356+(J356-68)*0.2,K356-(68-J356)*0.2)</f>
        <v>11.080000000000002</v>
      </c>
      <c r="M356" s="3">
        <f>(C356-H356)/C356*100</f>
        <v>70.543999999999997</v>
      </c>
      <c r="N356" s="3">
        <f>100-(M356+O356)</f>
        <v>7.2959999999999923</v>
      </c>
      <c r="O356" s="3">
        <f>L356/C356*100</f>
        <v>22.160000000000004</v>
      </c>
      <c r="P356" s="2" t="s">
        <v>0</v>
      </c>
      <c r="Q356" s="1">
        <v>409068.14489599998</v>
      </c>
      <c r="R356" s="1">
        <v>3659279.5378510002</v>
      </c>
      <c r="T356" s="4">
        <v>2006111</v>
      </c>
      <c r="U356" s="4" t="s">
        <v>31</v>
      </c>
      <c r="V356" s="4">
        <v>6.8110000000000004E-2</v>
      </c>
      <c r="W356" s="4">
        <v>0.39699000000000001</v>
      </c>
      <c r="X356" s="4">
        <v>2.206E-2</v>
      </c>
      <c r="Y356" s="4">
        <v>1.34765</v>
      </c>
      <c r="Z356" s="4">
        <v>11.125439999999999</v>
      </c>
      <c r="AA356" s="4">
        <v>7.2966100000000003</v>
      </c>
      <c r="AB356" s="4">
        <v>-1.2512000000000001</v>
      </c>
    </row>
    <row r="357" spans="1:28" x14ac:dyDescent="0.25">
      <c r="A357" s="6">
        <v>35</v>
      </c>
      <c r="B357" s="4">
        <v>240</v>
      </c>
      <c r="C357" s="5">
        <v>50.01</v>
      </c>
      <c r="D357" s="4">
        <v>20</v>
      </c>
      <c r="E357" s="3">
        <v>24.8</v>
      </c>
      <c r="F357" s="3">
        <f>1.8*E357+32</f>
        <v>76.64</v>
      </c>
      <c r="G357" s="3">
        <v>10</v>
      </c>
      <c r="H357" s="3">
        <f>IF(F357&gt;68,G357+(F357-68)*0.2,#REF!-(68-F357)*0.2)</f>
        <v>11.728</v>
      </c>
      <c r="I357" s="3">
        <v>23</v>
      </c>
      <c r="J357" s="3">
        <f>1.8*I357+32</f>
        <v>73.400000000000006</v>
      </c>
      <c r="K357" s="3">
        <v>8</v>
      </c>
      <c r="L357" s="3">
        <f>IF(J357&gt;68,K357+(J357-68)*0.2,K357-(68-J357)*0.2)</f>
        <v>9.0800000000000018</v>
      </c>
      <c r="M357" s="3">
        <f>(C357-H357)/C357*100</f>
        <v>76.548690261947598</v>
      </c>
      <c r="N357" s="3">
        <f>100-(M357+O357)</f>
        <v>5.294941011797647</v>
      </c>
      <c r="O357" s="3">
        <f>L357/C357*100</f>
        <v>18.156368726254755</v>
      </c>
      <c r="P357" s="2" t="s">
        <v>20</v>
      </c>
      <c r="Q357" s="1">
        <v>409068.14489599998</v>
      </c>
      <c r="R357" s="1">
        <v>3659279.5378510002</v>
      </c>
      <c r="T357" s="4">
        <v>2006111</v>
      </c>
      <c r="U357" s="4" t="s">
        <v>30</v>
      </c>
      <c r="V357" s="4">
        <v>6.6339999999999996E-2</v>
      </c>
      <c r="W357" s="4">
        <v>0.39396999999999999</v>
      </c>
      <c r="X357" s="4">
        <v>2.3109999999999999E-2</v>
      </c>
      <c r="Y357" s="4">
        <v>1.34585</v>
      </c>
      <c r="Z357" s="4">
        <v>12.51</v>
      </c>
      <c r="AA357" s="4">
        <v>7.8631500000000001</v>
      </c>
      <c r="AB357" s="4">
        <v>-1.28888</v>
      </c>
    </row>
    <row r="358" spans="1:28" x14ac:dyDescent="0.25">
      <c r="A358" s="6">
        <v>35</v>
      </c>
      <c r="B358" s="4">
        <v>270</v>
      </c>
      <c r="C358" s="5">
        <v>50.01</v>
      </c>
      <c r="D358" s="4">
        <v>20</v>
      </c>
      <c r="E358" s="3">
        <v>24.8</v>
      </c>
      <c r="F358" s="3">
        <f>1.8*E358+32</f>
        <v>76.64</v>
      </c>
      <c r="G358" s="3">
        <v>9</v>
      </c>
      <c r="H358" s="3">
        <f>IF(F358&gt;68,G358+(F358-68)*0.2,#REF!-(68-F358)*0.2)</f>
        <v>10.728</v>
      </c>
      <c r="I358" s="3">
        <v>23</v>
      </c>
      <c r="J358" s="3">
        <f>1.8*I358+32</f>
        <v>73.400000000000006</v>
      </c>
      <c r="K358" s="3">
        <v>6.5</v>
      </c>
      <c r="L358" s="3">
        <f>IF(J358&gt;68,K358+(J358-68)*0.2,K358-(68-J358)*0.2)</f>
        <v>7.580000000000001</v>
      </c>
      <c r="M358" s="3">
        <f>(C358-H358)/C358*100</f>
        <v>78.548290341931619</v>
      </c>
      <c r="N358" s="3">
        <f>100-(M358+O358)</f>
        <v>6.2947410517896287</v>
      </c>
      <c r="O358" s="3">
        <f>L358/C358*100</f>
        <v>15.156968606278747</v>
      </c>
      <c r="P358" s="2" t="s">
        <v>20</v>
      </c>
      <c r="Q358" s="1">
        <v>409068.14489599998</v>
      </c>
      <c r="R358" s="1">
        <v>3659279.5378510002</v>
      </c>
      <c r="T358" s="4">
        <v>2006111</v>
      </c>
      <c r="U358" s="4" t="s">
        <v>282</v>
      </c>
      <c r="V358" s="4">
        <v>5.8400000000000001E-2</v>
      </c>
      <c r="W358" s="4">
        <v>0.37140000000000001</v>
      </c>
      <c r="X358" s="4">
        <v>2.7990000000000001E-2</v>
      </c>
      <c r="Y358" s="4">
        <v>1.48136</v>
      </c>
      <c r="Z358" s="4">
        <v>37.572620000000001</v>
      </c>
      <c r="AA358" s="4">
        <v>11.82771</v>
      </c>
      <c r="AB358" s="4">
        <v>-1.1185400000000001</v>
      </c>
    </row>
    <row r="359" spans="1:28" x14ac:dyDescent="0.25">
      <c r="A359" s="6">
        <v>35</v>
      </c>
      <c r="B359" s="4">
        <v>300</v>
      </c>
      <c r="C359" s="5">
        <v>50.01</v>
      </c>
      <c r="D359" s="4">
        <v>20</v>
      </c>
      <c r="E359" s="3">
        <v>24.5</v>
      </c>
      <c r="F359" s="3">
        <f>1.8*E359+32</f>
        <v>76.099999999999994</v>
      </c>
      <c r="G359" s="3">
        <v>11</v>
      </c>
      <c r="H359" s="3">
        <f>IF(F359&gt;68,G359+(F359-68)*0.2,#REF!-(68-F359)*0.2)</f>
        <v>12.62</v>
      </c>
      <c r="I359" s="3">
        <v>23</v>
      </c>
      <c r="J359" s="3">
        <f>1.8*I359+32</f>
        <v>73.400000000000006</v>
      </c>
      <c r="K359" s="3">
        <v>8</v>
      </c>
      <c r="L359" s="3">
        <f>IF(J359&gt;68,K359+(J359-68)*0.2,K359-(68-J359)*0.2)</f>
        <v>9.0800000000000018</v>
      </c>
      <c r="M359" s="3">
        <f>(C359-H359)/C359*100</f>
        <v>74.765046990601874</v>
      </c>
      <c r="N359" s="3">
        <f>100-(M359+O359)</f>
        <v>7.0785842831433712</v>
      </c>
      <c r="O359" s="3">
        <f>L359/C359*100</f>
        <v>18.156368726254755</v>
      </c>
      <c r="P359" s="2" t="s">
        <v>20</v>
      </c>
      <c r="Q359" s="1">
        <v>409068.14489599998</v>
      </c>
      <c r="R359" s="1">
        <v>3659279.5378510002</v>
      </c>
      <c r="T359" s="4">
        <v>2006111</v>
      </c>
      <c r="U359" s="4" t="s">
        <v>281</v>
      </c>
      <c r="V359" s="4">
        <v>5.6890000000000003E-2</v>
      </c>
      <c r="W359" s="4">
        <v>0.37345</v>
      </c>
      <c r="X359" s="4">
        <v>2.9329999999999998E-2</v>
      </c>
      <c r="Y359" s="4">
        <v>1.4495199999999999</v>
      </c>
      <c r="Z359" s="4">
        <v>35.635730000000002</v>
      </c>
      <c r="AA359" s="4">
        <v>12.634029999999999</v>
      </c>
      <c r="AB359" s="4">
        <v>-1.17302</v>
      </c>
    </row>
    <row r="360" spans="1:28" x14ac:dyDescent="0.25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T360" s="4">
        <v>2006111</v>
      </c>
      <c r="U360" s="4" t="s">
        <v>280</v>
      </c>
      <c r="V360" s="4">
        <v>6.2740000000000004E-2</v>
      </c>
      <c r="W360" s="4">
        <v>0.39622000000000002</v>
      </c>
      <c r="X360" s="4">
        <v>1.949E-2</v>
      </c>
      <c r="Y360" s="4">
        <v>1.3874599999999999</v>
      </c>
      <c r="Z360" s="4">
        <v>13.463240000000001</v>
      </c>
      <c r="AA360" s="4">
        <v>6.9824200000000003</v>
      </c>
      <c r="AB360" s="4">
        <v>-0.97755999999999998</v>
      </c>
    </row>
    <row r="361" spans="1:28" ht="51.75" x14ac:dyDescent="0.25">
      <c r="A361" s="15" t="s">
        <v>19</v>
      </c>
      <c r="B361" s="10" t="s">
        <v>18</v>
      </c>
      <c r="C361" s="14" t="s">
        <v>17</v>
      </c>
      <c r="D361" s="13" t="s">
        <v>16</v>
      </c>
      <c r="E361" s="12" t="s">
        <v>15</v>
      </c>
      <c r="F361" s="12" t="s">
        <v>14</v>
      </c>
      <c r="G361" s="12" t="s">
        <v>13</v>
      </c>
      <c r="H361" s="12" t="s">
        <v>12</v>
      </c>
      <c r="I361" s="12" t="s">
        <v>11</v>
      </c>
      <c r="J361" s="12" t="s">
        <v>10</v>
      </c>
      <c r="K361" s="12" t="s">
        <v>9</v>
      </c>
      <c r="L361" s="12" t="s">
        <v>8</v>
      </c>
      <c r="M361" s="11" t="s">
        <v>7</v>
      </c>
      <c r="N361" s="11" t="s">
        <v>6</v>
      </c>
      <c r="O361" s="11" t="s">
        <v>5</v>
      </c>
      <c r="P361" s="10" t="s">
        <v>4</v>
      </c>
      <c r="Q361" s="9" t="s">
        <v>3</v>
      </c>
      <c r="R361" s="8"/>
      <c r="T361" s="4">
        <v>2006111</v>
      </c>
      <c r="U361" s="4" t="s">
        <v>279</v>
      </c>
      <c r="V361" s="4">
        <v>5.8029999999999998E-2</v>
      </c>
      <c r="W361" s="4">
        <v>0.38657999999999998</v>
      </c>
      <c r="X361" s="4">
        <v>2.631E-2</v>
      </c>
      <c r="Y361" s="4">
        <v>1.3596999999999999</v>
      </c>
      <c r="Z361" s="4">
        <v>20.109660000000002</v>
      </c>
      <c r="AA361" s="4">
        <v>10.394679999999999</v>
      </c>
      <c r="AB361" s="4">
        <v>-1.28067</v>
      </c>
    </row>
    <row r="362" spans="1:28" x14ac:dyDescent="0.25">
      <c r="A362" s="4"/>
      <c r="B362" s="4"/>
      <c r="C362" s="5"/>
      <c r="D362" s="4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2"/>
      <c r="Q362" s="7" t="s">
        <v>2</v>
      </c>
      <c r="R362" s="7" t="s">
        <v>1</v>
      </c>
      <c r="T362" s="4">
        <v>2006111</v>
      </c>
      <c r="U362" s="4" t="s">
        <v>29</v>
      </c>
      <c r="V362" s="4">
        <v>6.4820000000000003E-2</v>
      </c>
      <c r="W362" s="4">
        <v>0.37986999999999999</v>
      </c>
      <c r="X362" s="4">
        <v>2.7730000000000001E-2</v>
      </c>
      <c r="Y362" s="4">
        <v>1.3138799999999999</v>
      </c>
      <c r="Z362" s="4">
        <v>15.499779999999999</v>
      </c>
      <c r="AA362" s="4">
        <v>9.2265300000000003</v>
      </c>
      <c r="AB362" s="4">
        <v>-1.62859</v>
      </c>
    </row>
    <row r="363" spans="1:28" x14ac:dyDescent="0.25">
      <c r="A363" s="6">
        <v>36</v>
      </c>
      <c r="B363" s="4">
        <v>30</v>
      </c>
      <c r="C363" s="5">
        <v>50</v>
      </c>
      <c r="D363" s="4">
        <v>20</v>
      </c>
      <c r="E363" s="3">
        <v>23.5</v>
      </c>
      <c r="F363" s="3">
        <f>1.8*E363+32</f>
        <v>74.300000000000011</v>
      </c>
      <c r="G363" s="3">
        <v>16</v>
      </c>
      <c r="H363" s="3">
        <f>IF(F363&gt;68,G363+(F363-68)*0.2,G451-(68-F363)*0.2)</f>
        <v>17.260000000000002</v>
      </c>
      <c r="I363" s="3">
        <v>23</v>
      </c>
      <c r="J363" s="3">
        <f>1.8*I363+32</f>
        <v>73.400000000000006</v>
      </c>
      <c r="K363" s="3">
        <v>9</v>
      </c>
      <c r="L363" s="3">
        <f>IF(J363&gt;68,K363+(J363-68)*0.2,K363-(68-J363)*0.2)</f>
        <v>10.080000000000002</v>
      </c>
      <c r="M363" s="3">
        <f>(C363-H363)/C363*100</f>
        <v>65.47999999999999</v>
      </c>
      <c r="N363" s="3">
        <f>100-(M363+O363)</f>
        <v>14.360000000000014</v>
      </c>
      <c r="O363" s="3">
        <f>L363/C363*100</f>
        <v>20.160000000000004</v>
      </c>
      <c r="P363" s="2" t="s">
        <v>0</v>
      </c>
      <c r="Q363" s="1">
        <v>409080.36252199998</v>
      </c>
      <c r="R363" s="45">
        <v>3659279.3295</v>
      </c>
      <c r="T363" s="4">
        <v>2006111</v>
      </c>
      <c r="U363" s="4" t="s">
        <v>28</v>
      </c>
      <c r="V363" s="4">
        <v>6.6299999999999998E-2</v>
      </c>
      <c r="W363" s="4">
        <v>0.38486999999999999</v>
      </c>
      <c r="X363" s="4">
        <v>2.6939999999999999E-2</v>
      </c>
      <c r="Y363" s="4">
        <v>1.31202</v>
      </c>
      <c r="Z363" s="4">
        <v>13.944900000000001</v>
      </c>
      <c r="AA363" s="4">
        <v>8.8599499999999995</v>
      </c>
      <c r="AB363" s="4">
        <v>-1.6117300000000001</v>
      </c>
    </row>
    <row r="364" spans="1:28" x14ac:dyDescent="0.25">
      <c r="A364" s="6">
        <v>36</v>
      </c>
      <c r="B364" s="4">
        <v>60</v>
      </c>
      <c r="C364" s="5">
        <v>50</v>
      </c>
      <c r="D364" s="4">
        <v>20</v>
      </c>
      <c r="E364" s="3">
        <v>23.5</v>
      </c>
      <c r="F364" s="3">
        <f>1.8*E364+32</f>
        <v>74.300000000000011</v>
      </c>
      <c r="G364" s="3">
        <v>12.5</v>
      </c>
      <c r="H364" s="3">
        <f>IF(F364&gt;68,G364+(F364-68)*0.2,G580-(68-F364)*0.2)</f>
        <v>13.760000000000002</v>
      </c>
      <c r="I364" s="3">
        <v>23</v>
      </c>
      <c r="J364" s="3">
        <f>1.8*I364+32</f>
        <v>73.400000000000006</v>
      </c>
      <c r="K364" s="3">
        <v>7</v>
      </c>
      <c r="L364" s="3">
        <f>IF(J364&gt;68,K364+(J364-68)*0.2,K364-(68-J364)*0.2)</f>
        <v>8.0800000000000018</v>
      </c>
      <c r="M364" s="3">
        <f>(C364-H364)/C364*100</f>
        <v>72.47999999999999</v>
      </c>
      <c r="N364" s="3">
        <f>100-(M364+O364)</f>
        <v>11.360000000000014</v>
      </c>
      <c r="O364" s="3">
        <f>L364/C364*100</f>
        <v>16.160000000000004</v>
      </c>
      <c r="P364" s="2" t="s">
        <v>20</v>
      </c>
      <c r="Q364" s="1">
        <v>409080.36252199998</v>
      </c>
      <c r="R364" s="45">
        <v>3659279.3295</v>
      </c>
      <c r="T364" s="4">
        <v>2006111</v>
      </c>
      <c r="U364" s="4" t="s">
        <v>27</v>
      </c>
      <c r="V364" s="4">
        <v>7.485E-2</v>
      </c>
      <c r="W364" s="4">
        <v>0.39583000000000002</v>
      </c>
      <c r="X364" s="4">
        <v>2.6009999999999998E-2</v>
      </c>
      <c r="Y364" s="4">
        <v>1.27593</v>
      </c>
      <c r="Z364" s="4">
        <v>10.317159999999999</v>
      </c>
      <c r="AA364" s="4">
        <v>7.3914900000000001</v>
      </c>
      <c r="AB364" s="4">
        <v>-1.88819</v>
      </c>
    </row>
    <row r="365" spans="1:28" x14ac:dyDescent="0.25">
      <c r="A365" s="6">
        <v>36</v>
      </c>
      <c r="B365" s="4">
        <v>90</v>
      </c>
      <c r="C365" s="5">
        <v>50</v>
      </c>
      <c r="D365" s="4">
        <v>20</v>
      </c>
      <c r="E365" s="3">
        <v>23.8</v>
      </c>
      <c r="F365" s="3">
        <f>1.8*E365+32</f>
        <v>74.84</v>
      </c>
      <c r="G365" s="3">
        <v>13</v>
      </c>
      <c r="H365" s="3">
        <f>IF(F365&gt;68,G365+(F365-68)*0.2,G283-(68-F365)*0.2)</f>
        <v>14.368</v>
      </c>
      <c r="I365" s="3">
        <v>23</v>
      </c>
      <c r="J365" s="3">
        <f>1.8*I365+32</f>
        <v>73.400000000000006</v>
      </c>
      <c r="K365" s="3">
        <v>7.5</v>
      </c>
      <c r="L365" s="3">
        <f>IF(J365&gt;68,K365+(J365-68)*0.2,K365-(68-J365)*0.2)</f>
        <v>8.5800000000000018</v>
      </c>
      <c r="M365" s="3">
        <f>(C365-H365)/C365*100</f>
        <v>71.263999999999996</v>
      </c>
      <c r="N365" s="3">
        <f>100-(M365+O365)</f>
        <v>11.575999999999993</v>
      </c>
      <c r="O365" s="3">
        <f>L365/C365*100</f>
        <v>17.160000000000004</v>
      </c>
      <c r="P365" s="2" t="s">
        <v>20</v>
      </c>
      <c r="Q365" s="1">
        <v>409080.36252199998</v>
      </c>
      <c r="R365" s="45">
        <v>3659279.3295</v>
      </c>
      <c r="T365" s="4">
        <v>2006111</v>
      </c>
      <c r="U365" s="4" t="s">
        <v>26</v>
      </c>
      <c r="V365" s="4">
        <v>7.9990000000000006E-2</v>
      </c>
      <c r="W365" s="4">
        <v>0.40178999999999998</v>
      </c>
      <c r="X365" s="4">
        <v>2.784E-2</v>
      </c>
      <c r="Y365" s="4">
        <v>1.2340899999999999</v>
      </c>
      <c r="Z365" s="4">
        <v>13.456659999999999</v>
      </c>
      <c r="AA365" s="4">
        <v>7.0667900000000001</v>
      </c>
      <c r="AB365" s="4">
        <v>-2.4882499999999999</v>
      </c>
    </row>
    <row r="366" spans="1:28" x14ac:dyDescent="0.25">
      <c r="A366" s="6">
        <v>36</v>
      </c>
      <c r="B366" s="4">
        <v>120</v>
      </c>
      <c r="C366" s="5">
        <v>50</v>
      </c>
      <c r="D366" s="4">
        <v>20</v>
      </c>
      <c r="E366" s="3">
        <v>25</v>
      </c>
      <c r="F366" s="3">
        <f>1.8*E366+32</f>
        <v>77</v>
      </c>
      <c r="G366" s="3">
        <v>12</v>
      </c>
      <c r="H366" s="3">
        <f>IF(F366&gt;68,G366+(F366-68)*0.2,#REF!-(68-F366)*0.2)</f>
        <v>13.8</v>
      </c>
      <c r="I366" s="3">
        <v>23</v>
      </c>
      <c r="J366" s="3">
        <f>1.8*I366+32</f>
        <v>73.400000000000006</v>
      </c>
      <c r="K366" s="3">
        <v>7</v>
      </c>
      <c r="L366" s="3">
        <f>IF(J366&gt;68,K366+(J366-68)*0.2,K366-(68-J366)*0.2)</f>
        <v>8.0800000000000018</v>
      </c>
      <c r="M366" s="3">
        <f>(C366-H366)/C366*100</f>
        <v>72.400000000000006</v>
      </c>
      <c r="N366" s="3">
        <f>100-(M366+O366)</f>
        <v>11.439999999999998</v>
      </c>
      <c r="O366" s="3">
        <f>L366/C366*100</f>
        <v>16.160000000000004</v>
      </c>
      <c r="P366" s="2" t="s">
        <v>20</v>
      </c>
      <c r="Q366" s="1">
        <v>409080.36252199998</v>
      </c>
      <c r="R366" s="45">
        <v>3659279.3295</v>
      </c>
      <c r="T366" s="4">
        <v>2006111</v>
      </c>
      <c r="U366" s="4" t="s">
        <v>25</v>
      </c>
      <c r="V366" s="4">
        <v>7.2620000000000004E-2</v>
      </c>
      <c r="W366" s="4">
        <v>0.3826</v>
      </c>
      <c r="X366" s="4">
        <v>2.7040000000000002E-2</v>
      </c>
      <c r="Y366" s="4">
        <v>1.2611300000000001</v>
      </c>
      <c r="Z366" s="4">
        <v>13.42558</v>
      </c>
      <c r="AA366" s="4">
        <v>7.4389500000000002</v>
      </c>
      <c r="AB366" s="4">
        <v>-2.0977199999999998</v>
      </c>
    </row>
    <row r="367" spans="1:28" x14ac:dyDescent="0.25">
      <c r="A367" s="6">
        <v>36</v>
      </c>
      <c r="B367" s="4">
        <v>150</v>
      </c>
      <c r="C367" s="5">
        <v>50</v>
      </c>
      <c r="D367" s="4">
        <v>20</v>
      </c>
      <c r="E367" s="3">
        <v>25</v>
      </c>
      <c r="F367" s="3">
        <f>1.8*E367+32</f>
        <v>77</v>
      </c>
      <c r="G367" s="3">
        <v>15.5</v>
      </c>
      <c r="H367" s="3">
        <f>IF(F367&gt;68,G367+(F367-68)*0.2,G285-(68-F367)*0.2)</f>
        <v>17.3</v>
      </c>
      <c r="I367" s="3">
        <v>23</v>
      </c>
      <c r="J367" s="3">
        <f>1.8*I367+32</f>
        <v>73.400000000000006</v>
      </c>
      <c r="K367" s="3">
        <v>9</v>
      </c>
      <c r="L367" s="3">
        <f>IF(J367&gt;68,K367+(J367-68)*0.2,K367-(68-J367)*0.2)</f>
        <v>10.080000000000002</v>
      </c>
      <c r="M367" s="3">
        <f>(C367-H367)/C367*100</f>
        <v>65.400000000000006</v>
      </c>
      <c r="N367" s="3">
        <f>100-(M367+O367)</f>
        <v>14.439999999999998</v>
      </c>
      <c r="O367" s="3">
        <f>L367/C367*100</f>
        <v>20.160000000000004</v>
      </c>
      <c r="P367" s="2" t="s">
        <v>0</v>
      </c>
      <c r="Q367" s="1">
        <v>409080.36252199998</v>
      </c>
      <c r="R367" s="45">
        <v>3659279.3295</v>
      </c>
      <c r="T367" s="4">
        <v>2006111</v>
      </c>
      <c r="U367" s="4" t="s">
        <v>24</v>
      </c>
      <c r="V367" s="4">
        <v>6.6100000000000006E-2</v>
      </c>
      <c r="W367" s="4">
        <v>0.37809999999999999</v>
      </c>
      <c r="X367" s="4">
        <v>2.743E-2</v>
      </c>
      <c r="Y367" s="4">
        <v>1.3051999999999999</v>
      </c>
      <c r="Z367" s="4">
        <v>14.907959999999999</v>
      </c>
      <c r="AA367" s="4">
        <v>8.7684300000000004</v>
      </c>
      <c r="AB367" s="4">
        <v>-1.6916599999999999</v>
      </c>
    </row>
    <row r="368" spans="1:28" x14ac:dyDescent="0.25">
      <c r="A368" s="6">
        <v>36</v>
      </c>
      <c r="B368" s="4">
        <v>180</v>
      </c>
      <c r="C368" s="5">
        <v>50</v>
      </c>
      <c r="D368" s="4">
        <v>20</v>
      </c>
      <c r="E368" s="3">
        <v>25</v>
      </c>
      <c r="F368" s="3">
        <f>1.8*E368+32</f>
        <v>77</v>
      </c>
      <c r="G368" s="3">
        <v>14.5</v>
      </c>
      <c r="H368" s="3">
        <f>IF(F368&gt;68,G368+(F368-68)*0.2,G286-(68-F368)*0.2)</f>
        <v>16.3</v>
      </c>
      <c r="I368" s="3">
        <v>23</v>
      </c>
      <c r="J368" s="3">
        <f>1.8*I368+32</f>
        <v>73.400000000000006</v>
      </c>
      <c r="K368" s="3">
        <v>8.5</v>
      </c>
      <c r="L368" s="3">
        <f>IF(J368&gt;68,K368+(J368-68)*0.2,K368-(68-J368)*0.2)</f>
        <v>9.5800000000000018</v>
      </c>
      <c r="M368" s="3">
        <f>(C368-H368)/C368*100</f>
        <v>67.400000000000006</v>
      </c>
      <c r="N368" s="3">
        <f>100-(M368+O368)</f>
        <v>13.439999999999998</v>
      </c>
      <c r="O368" s="3">
        <f>L368/C368*100</f>
        <v>19.160000000000004</v>
      </c>
      <c r="P368" s="2" t="s">
        <v>20</v>
      </c>
      <c r="Q368" s="1">
        <v>409080.36252199998</v>
      </c>
      <c r="R368" s="45">
        <v>3659279.3295</v>
      </c>
      <c r="T368" s="4">
        <v>2006111</v>
      </c>
      <c r="U368" s="4" t="s">
        <v>278</v>
      </c>
      <c r="V368" s="4">
        <v>6.3490000000000005E-2</v>
      </c>
      <c r="W368" s="4">
        <v>0.37236999999999998</v>
      </c>
      <c r="X368" s="4">
        <v>2.691E-2</v>
      </c>
      <c r="Y368" s="4">
        <v>1.3434200000000001</v>
      </c>
      <c r="Z368" s="4">
        <v>18.35557</v>
      </c>
      <c r="AA368" s="4">
        <v>9.1404099999999993</v>
      </c>
      <c r="AB368" s="4">
        <v>-1.47035</v>
      </c>
    </row>
    <row r="369" spans="1:28" x14ac:dyDescent="0.25">
      <c r="A369" s="6">
        <v>36</v>
      </c>
      <c r="B369" s="4">
        <v>210</v>
      </c>
      <c r="C369" s="5">
        <v>50.01</v>
      </c>
      <c r="D369" s="4">
        <v>20</v>
      </c>
      <c r="E369" s="3">
        <v>25.2</v>
      </c>
      <c r="F369" s="3">
        <f>1.8*E369+32</f>
        <v>77.36</v>
      </c>
      <c r="G369" s="3">
        <v>15</v>
      </c>
      <c r="H369" s="3">
        <f>IF(F369&gt;68,G369+(F369-68)*0.2,G287-(68-F369)*0.2)</f>
        <v>16.872</v>
      </c>
      <c r="I369" s="3">
        <v>23</v>
      </c>
      <c r="J369" s="3">
        <f>1.8*I369+32</f>
        <v>73.400000000000006</v>
      </c>
      <c r="K369" s="3">
        <v>10</v>
      </c>
      <c r="L369" s="3">
        <f>IF(J369&gt;68,K369+(J369-68)*0.2,K369-(68-J369)*0.2)</f>
        <v>11.080000000000002</v>
      </c>
      <c r="M369" s="3">
        <f>(C369-H369)/C369*100</f>
        <v>66.262747450509892</v>
      </c>
      <c r="N369" s="3">
        <f>100-(M369+O369)</f>
        <v>11.581683663267341</v>
      </c>
      <c r="O369" s="3">
        <f>L369/C369*100</f>
        <v>22.15556888622276</v>
      </c>
      <c r="P369" s="2" t="s">
        <v>0</v>
      </c>
      <c r="Q369" s="1">
        <v>409080.36252199998</v>
      </c>
      <c r="R369" s="45">
        <v>3659279.3295</v>
      </c>
      <c r="T369" s="4">
        <v>2006111</v>
      </c>
      <c r="U369" s="4" t="s">
        <v>277</v>
      </c>
      <c r="V369" s="4">
        <v>6.5820000000000004E-2</v>
      </c>
      <c r="W369" s="4">
        <v>0.37211</v>
      </c>
      <c r="X369" s="4">
        <v>2.6169999999999999E-2</v>
      </c>
      <c r="Y369" s="4">
        <v>1.3210999999999999</v>
      </c>
      <c r="Z369" s="4">
        <v>16.098559999999999</v>
      </c>
      <c r="AA369" s="4">
        <v>8.2964599999999997</v>
      </c>
      <c r="AB369" s="4">
        <v>-1.57691</v>
      </c>
    </row>
    <row r="370" spans="1:28" x14ac:dyDescent="0.25">
      <c r="A370" s="6">
        <v>36</v>
      </c>
      <c r="B370" s="4">
        <v>240</v>
      </c>
      <c r="C370" s="5">
        <v>50</v>
      </c>
      <c r="D370" s="4">
        <v>20</v>
      </c>
      <c r="E370" s="3">
        <v>25.5</v>
      </c>
      <c r="F370" s="3">
        <f>1.8*E370+32</f>
        <v>77.900000000000006</v>
      </c>
      <c r="G370" s="3">
        <v>12</v>
      </c>
      <c r="H370" s="3">
        <f>IF(F370&gt;68,G370+(F370-68)*0.2,G288-(68-F370)*0.2)</f>
        <v>13.98</v>
      </c>
      <c r="I370" s="3">
        <v>23</v>
      </c>
      <c r="J370" s="3">
        <f>1.8*I370+32</f>
        <v>73.400000000000006</v>
      </c>
      <c r="K370" s="3">
        <v>9.5</v>
      </c>
      <c r="L370" s="3">
        <f>IF(J370&gt;68,K370+(J370-68)*0.2,K370-(68-J370)*0.2)</f>
        <v>10.580000000000002</v>
      </c>
      <c r="M370" s="3">
        <f>(C370-H370)/C370*100</f>
        <v>72.039999999999992</v>
      </c>
      <c r="N370" s="3">
        <f>100-(M370+O370)</f>
        <v>6.8000000000000114</v>
      </c>
      <c r="O370" s="3">
        <f>L370/C370*100</f>
        <v>21.160000000000004</v>
      </c>
      <c r="P370" s="2" t="s">
        <v>0</v>
      </c>
      <c r="Q370" s="1">
        <v>409080.36252199998</v>
      </c>
      <c r="R370" s="45">
        <v>3659279.3295</v>
      </c>
      <c r="T370" s="4">
        <v>2006111</v>
      </c>
      <c r="U370" s="4" t="s">
        <v>276</v>
      </c>
      <c r="V370" s="4">
        <v>7.7579999999999996E-2</v>
      </c>
      <c r="W370" s="4">
        <v>0.40362999999999999</v>
      </c>
      <c r="X370" s="4">
        <v>2.503E-2</v>
      </c>
      <c r="Y370" s="4">
        <v>1.27535</v>
      </c>
      <c r="Z370" s="4">
        <v>8.9520499999999998</v>
      </c>
      <c r="AA370" s="4">
        <v>6.9554600000000004</v>
      </c>
      <c r="AB370" s="4">
        <v>-1.8558399999999999</v>
      </c>
    </row>
    <row r="371" spans="1:28" x14ac:dyDescent="0.25">
      <c r="A371" s="6">
        <v>36</v>
      </c>
      <c r="B371" s="4">
        <v>270</v>
      </c>
      <c r="C371" s="5">
        <v>50</v>
      </c>
      <c r="D371" s="4">
        <v>20</v>
      </c>
      <c r="E371" s="3">
        <v>25.5</v>
      </c>
      <c r="F371" s="3">
        <f>1.8*E371+32</f>
        <v>77.900000000000006</v>
      </c>
      <c r="G371" s="3">
        <v>10</v>
      </c>
      <c r="H371" s="3">
        <f>IF(F371&gt;68,G371+(F371-68)*0.2,G289-(68-F371)*0.2)</f>
        <v>11.98</v>
      </c>
      <c r="I371" s="3">
        <v>23</v>
      </c>
      <c r="J371" s="3">
        <f>1.8*I371+32</f>
        <v>73.400000000000006</v>
      </c>
      <c r="K371" s="3">
        <v>7.5</v>
      </c>
      <c r="L371" s="3">
        <f>IF(J371&gt;68,K371+(J371-68)*0.2,K371-(68-J371)*0.2)</f>
        <v>8.5800000000000018</v>
      </c>
      <c r="M371" s="3">
        <f>(C371-H371)/C371*100</f>
        <v>76.039999999999992</v>
      </c>
      <c r="N371" s="3">
        <f>100-(M371+O371)</f>
        <v>6.8000000000000114</v>
      </c>
      <c r="O371" s="3">
        <f>L371/C371*100</f>
        <v>17.160000000000004</v>
      </c>
      <c r="P371" s="2" t="s">
        <v>20</v>
      </c>
      <c r="Q371" s="1">
        <v>409080.36252199998</v>
      </c>
      <c r="R371" s="45">
        <v>3659279.3295</v>
      </c>
      <c r="T371" s="4">
        <v>2006111</v>
      </c>
      <c r="U371" s="4" t="s">
        <v>275</v>
      </c>
      <c r="V371" s="4">
        <v>6.5070000000000003E-2</v>
      </c>
      <c r="W371" s="4">
        <v>0.37597999999999998</v>
      </c>
      <c r="X371" s="4">
        <v>2.7390000000000001E-2</v>
      </c>
      <c r="Y371" s="4">
        <v>1.3145800000000001</v>
      </c>
      <c r="Z371" s="4">
        <v>15.852209999999999</v>
      </c>
      <c r="AA371" s="4">
        <v>8.9265000000000008</v>
      </c>
      <c r="AB371" s="4">
        <v>-1.6303099999999999</v>
      </c>
    </row>
    <row r="372" spans="1:28" x14ac:dyDescent="0.25">
      <c r="A372" s="6">
        <v>36</v>
      </c>
      <c r="B372" s="4">
        <v>300</v>
      </c>
      <c r="C372" s="5">
        <v>50.01</v>
      </c>
      <c r="D372" s="4">
        <v>20</v>
      </c>
      <c r="E372" s="3">
        <v>25.8</v>
      </c>
      <c r="F372" s="3">
        <f>1.8*E372+32</f>
        <v>78.44</v>
      </c>
      <c r="G372" s="3">
        <v>11.5</v>
      </c>
      <c r="H372" s="3">
        <f>IF(F372&gt;68,G372+(F372-68)*0.2,G290-(68-F372)*0.2)</f>
        <v>13.587999999999999</v>
      </c>
      <c r="I372" s="3">
        <v>23</v>
      </c>
      <c r="J372" s="3">
        <f>1.8*I372+32</f>
        <v>73.400000000000006</v>
      </c>
      <c r="K372" s="3">
        <v>8</v>
      </c>
      <c r="L372" s="3">
        <f>IF(J372&gt;68,K372+(J372-68)*0.2,K372-(68-J372)*0.2)</f>
        <v>9.0800000000000018</v>
      </c>
      <c r="M372" s="3">
        <f>(C372-H372)/C372*100</f>
        <v>72.829434113177356</v>
      </c>
      <c r="N372" s="3">
        <f>100-(M372+O372)</f>
        <v>9.014197160567889</v>
      </c>
      <c r="O372" s="3">
        <f>L372/C372*100</f>
        <v>18.156368726254755</v>
      </c>
      <c r="P372" s="2" t="s">
        <v>20</v>
      </c>
      <c r="Q372" s="1">
        <v>409080.36252199998</v>
      </c>
      <c r="R372" s="45">
        <v>3659279.3295</v>
      </c>
    </row>
    <row r="373" spans="1:28" x14ac:dyDescent="0.25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</row>
    <row r="374" spans="1:28" ht="51.75" x14ac:dyDescent="0.25">
      <c r="A374" s="15" t="s">
        <v>19</v>
      </c>
      <c r="B374" s="10" t="s">
        <v>18</v>
      </c>
      <c r="C374" s="14" t="s">
        <v>17</v>
      </c>
      <c r="D374" s="13" t="s">
        <v>16</v>
      </c>
      <c r="E374" s="12" t="s">
        <v>15</v>
      </c>
      <c r="F374" s="12" t="s">
        <v>14</v>
      </c>
      <c r="G374" s="12" t="s">
        <v>13</v>
      </c>
      <c r="H374" s="12" t="s">
        <v>12</v>
      </c>
      <c r="I374" s="12" t="s">
        <v>11</v>
      </c>
      <c r="J374" s="12" t="s">
        <v>10</v>
      </c>
      <c r="K374" s="12" t="s">
        <v>9</v>
      </c>
      <c r="L374" s="12" t="s">
        <v>8</v>
      </c>
      <c r="M374" s="11" t="s">
        <v>7</v>
      </c>
      <c r="N374" s="11" t="s">
        <v>6</v>
      </c>
      <c r="O374" s="11" t="s">
        <v>5</v>
      </c>
      <c r="P374" s="10" t="s">
        <v>4</v>
      </c>
      <c r="Q374" s="9" t="s">
        <v>3</v>
      </c>
      <c r="R374" s="8"/>
    </row>
    <row r="375" spans="1:28" x14ac:dyDescent="0.25">
      <c r="A375" s="15"/>
      <c r="B375" s="10"/>
      <c r="C375" s="14"/>
      <c r="D375" s="13"/>
      <c r="E375" s="12"/>
      <c r="F375" s="12"/>
      <c r="G375" s="12"/>
      <c r="H375" s="12"/>
      <c r="I375" s="12"/>
      <c r="J375" s="12"/>
      <c r="K375" s="12"/>
      <c r="L375" s="12"/>
      <c r="M375" s="11"/>
      <c r="N375" s="11"/>
      <c r="O375" s="11"/>
      <c r="P375" s="10"/>
      <c r="Q375" s="7" t="s">
        <v>2</v>
      </c>
      <c r="R375" s="7" t="s">
        <v>1</v>
      </c>
    </row>
    <row r="376" spans="1:28" x14ac:dyDescent="0.25">
      <c r="A376" s="6">
        <v>37</v>
      </c>
      <c r="B376" s="4">
        <v>30</v>
      </c>
      <c r="C376" s="5">
        <v>50</v>
      </c>
      <c r="D376" s="4">
        <v>20</v>
      </c>
      <c r="E376" s="3">
        <v>22.8</v>
      </c>
      <c r="F376" s="3">
        <f>1.8*E376+32</f>
        <v>73.039999999999992</v>
      </c>
      <c r="G376" s="3">
        <v>18.5</v>
      </c>
      <c r="H376" s="3">
        <f>IF(F376&gt;68,G376+(F376-68)*0.2,#REF!-(68-F376)*0.2)</f>
        <v>19.507999999999999</v>
      </c>
      <c r="I376" s="3">
        <v>23</v>
      </c>
      <c r="J376" s="3">
        <f>1.8*I376+32</f>
        <v>73.400000000000006</v>
      </c>
      <c r="K376" s="3">
        <v>10.5</v>
      </c>
      <c r="L376" s="3">
        <f>IF(J376&gt;68,K376+(J376-68)*0.2,K376-(68-J376)*0.2)</f>
        <v>11.580000000000002</v>
      </c>
      <c r="M376" s="3">
        <f>(C376-H376)/C376*100</f>
        <v>60.984000000000002</v>
      </c>
      <c r="N376" s="3">
        <f>100-(M376+O376)</f>
        <v>15.855999999999995</v>
      </c>
      <c r="O376" s="3">
        <f>L376/C376*100</f>
        <v>23.160000000000004</v>
      </c>
      <c r="P376" s="2" t="s">
        <v>0</v>
      </c>
      <c r="Q376" s="1">
        <v>409092.54579900001</v>
      </c>
      <c r="R376" s="1">
        <v>3659279.1217359998</v>
      </c>
    </row>
    <row r="377" spans="1:28" x14ac:dyDescent="0.25">
      <c r="A377" s="6">
        <v>37</v>
      </c>
      <c r="B377" s="4">
        <v>60</v>
      </c>
      <c r="C377" s="5">
        <v>50</v>
      </c>
      <c r="D377" s="4">
        <v>20</v>
      </c>
      <c r="E377" s="3">
        <v>22.8</v>
      </c>
      <c r="F377" s="3">
        <f>1.8*E377+32</f>
        <v>73.039999999999992</v>
      </c>
      <c r="G377" s="3">
        <v>22</v>
      </c>
      <c r="H377" s="3">
        <f>IF(F377&gt;68,G377+(F377-68)*0.2,#REF!-(68-F377)*0.2)</f>
        <v>23.007999999999999</v>
      </c>
      <c r="I377" s="3">
        <v>23</v>
      </c>
      <c r="J377" s="3">
        <f>1.8*I377+32</f>
        <v>73.400000000000006</v>
      </c>
      <c r="K377" s="3">
        <v>13</v>
      </c>
      <c r="L377" s="3">
        <f>IF(J377&gt;68,K377+(J377-68)*0.2,K377-(68-J377)*0.2)</f>
        <v>14.080000000000002</v>
      </c>
      <c r="M377" s="3">
        <f>(C377-H377)/C377*100</f>
        <v>53.984000000000002</v>
      </c>
      <c r="N377" s="3">
        <f>100-(M377+O377)</f>
        <v>17.855999999999995</v>
      </c>
      <c r="O377" s="3">
        <f>L377/C377*100</f>
        <v>28.16</v>
      </c>
      <c r="P377" s="2" t="s">
        <v>0</v>
      </c>
      <c r="Q377" s="1">
        <v>409092.54579900001</v>
      </c>
      <c r="R377" s="1">
        <v>3659279.1217359998</v>
      </c>
    </row>
    <row r="378" spans="1:28" x14ac:dyDescent="0.25">
      <c r="A378" s="6">
        <v>37</v>
      </c>
      <c r="B378" s="4">
        <v>90</v>
      </c>
      <c r="C378" s="5">
        <v>50</v>
      </c>
      <c r="D378" s="4">
        <v>20</v>
      </c>
      <c r="E378" s="3">
        <v>23</v>
      </c>
      <c r="F378" s="3">
        <f>1.8*E378+32</f>
        <v>73.400000000000006</v>
      </c>
      <c r="G378" s="3">
        <v>29</v>
      </c>
      <c r="H378" s="3">
        <f>IF(F378&gt;68,G378+(F378-68)*0.2,#REF!-(68-F378)*0.2)</f>
        <v>30.080000000000002</v>
      </c>
      <c r="I378" s="3">
        <v>23</v>
      </c>
      <c r="J378" s="3">
        <f>1.8*I378+32</f>
        <v>73.400000000000006</v>
      </c>
      <c r="K378" s="3">
        <v>19</v>
      </c>
      <c r="L378" s="3">
        <f>IF(J378&gt;68,K378+(J378-68)*0.2,K378-(68-J378)*0.2)</f>
        <v>20.080000000000002</v>
      </c>
      <c r="M378" s="3">
        <f>(C378-H378)/C378*100</f>
        <v>39.839999999999996</v>
      </c>
      <c r="N378" s="3">
        <f>100-(M378+O378)</f>
        <v>20</v>
      </c>
      <c r="O378" s="3">
        <f>L378/C378*100</f>
        <v>40.160000000000004</v>
      </c>
      <c r="P378" s="2" t="s">
        <v>274</v>
      </c>
      <c r="Q378" s="1">
        <v>409092.54579900001</v>
      </c>
      <c r="R378" s="1">
        <v>3659279.1217359998</v>
      </c>
    </row>
    <row r="379" spans="1:28" x14ac:dyDescent="0.25">
      <c r="A379" s="6">
        <v>37</v>
      </c>
      <c r="B379" s="4">
        <v>120</v>
      </c>
      <c r="C379" s="5">
        <v>50.01</v>
      </c>
      <c r="D379" s="4">
        <v>20</v>
      </c>
      <c r="E379" s="3">
        <v>24</v>
      </c>
      <c r="F379" s="3">
        <f>1.8*E379+32</f>
        <v>75.2</v>
      </c>
      <c r="G379" s="3">
        <v>28.5</v>
      </c>
      <c r="H379" s="3">
        <f>IF(F379&gt;68,G379+(F379-68)*0.2,#REF!-(68-F379)*0.2)</f>
        <v>29.94</v>
      </c>
      <c r="I379" s="3">
        <v>23</v>
      </c>
      <c r="J379" s="3">
        <f>1.8*I379+32</f>
        <v>73.400000000000006</v>
      </c>
      <c r="K379" s="3">
        <v>19</v>
      </c>
      <c r="L379" s="3">
        <f>IF(J379&gt;68,K379+(J379-68)*0.2,K379-(68-J379)*0.2)</f>
        <v>20.080000000000002</v>
      </c>
      <c r="M379" s="3">
        <f>(C379-H379)/C379*100</f>
        <v>40.131973605278937</v>
      </c>
      <c r="N379" s="3">
        <f>100-(M379+O379)</f>
        <v>19.716056788642277</v>
      </c>
      <c r="O379" s="3">
        <f>L379/C379*100</f>
        <v>40.151969606078794</v>
      </c>
      <c r="P379" s="2" t="s">
        <v>274</v>
      </c>
      <c r="Q379" s="1">
        <v>409092.54579900001</v>
      </c>
      <c r="R379" s="1">
        <v>3659279.1217359998</v>
      </c>
    </row>
    <row r="380" spans="1:28" x14ac:dyDescent="0.25">
      <c r="A380" s="6">
        <v>37</v>
      </c>
      <c r="B380" s="4">
        <v>150</v>
      </c>
      <c r="C380" s="5">
        <v>50</v>
      </c>
      <c r="D380" s="4">
        <v>20</v>
      </c>
      <c r="E380" s="3">
        <v>24.5</v>
      </c>
      <c r="F380" s="3">
        <f>1.8*E380+32</f>
        <v>76.099999999999994</v>
      </c>
      <c r="G380" s="3">
        <v>17</v>
      </c>
      <c r="H380" s="3">
        <f>IF(F380&gt;68,G380+(F380-68)*0.2,#REF!-(68-F380)*0.2)</f>
        <v>18.619999999999997</v>
      </c>
      <c r="I380" s="3">
        <v>23.2</v>
      </c>
      <c r="J380" s="3">
        <f>1.8*I380+32</f>
        <v>73.759999999999991</v>
      </c>
      <c r="K380" s="3">
        <v>10</v>
      </c>
      <c r="L380" s="3">
        <f>IF(J380&gt;68,K380+(J380-68)*0.2,K380-(68-J380)*0.2)</f>
        <v>11.151999999999997</v>
      </c>
      <c r="M380" s="3">
        <f>(C380-H380)/C380*100</f>
        <v>62.760000000000005</v>
      </c>
      <c r="N380" s="3">
        <f>100-(M380+O380)</f>
        <v>14.936000000000007</v>
      </c>
      <c r="O380" s="3">
        <f>L380/C380*100</f>
        <v>22.303999999999995</v>
      </c>
      <c r="P380" s="2" t="s">
        <v>0</v>
      </c>
      <c r="Q380" s="1">
        <v>409092.54579900001</v>
      </c>
      <c r="R380" s="1">
        <v>3659279.1217359998</v>
      </c>
    </row>
    <row r="381" spans="1:28" x14ac:dyDescent="0.25">
      <c r="A381" s="6">
        <v>37</v>
      </c>
      <c r="B381" s="4">
        <v>180</v>
      </c>
      <c r="C381" s="5">
        <v>50.01</v>
      </c>
      <c r="D381" s="4">
        <v>20</v>
      </c>
      <c r="E381" s="3">
        <v>24</v>
      </c>
      <c r="F381" s="3">
        <f>1.8*E381+32</f>
        <v>75.2</v>
      </c>
      <c r="G381" s="3">
        <v>18.5</v>
      </c>
      <c r="H381" s="3">
        <f>IF(F381&gt;68,G381+(F381-68)*0.2,#REF!-(68-F381)*0.2)</f>
        <v>19.940000000000001</v>
      </c>
      <c r="I381" s="3">
        <v>23.2</v>
      </c>
      <c r="J381" s="3">
        <f>1.8*I381+32</f>
        <v>73.759999999999991</v>
      </c>
      <c r="K381" s="3">
        <v>12.5</v>
      </c>
      <c r="L381" s="3">
        <f>IF(J381&gt;68,K381+(J381-68)*0.2,K381-(68-J381)*0.2)</f>
        <v>13.651999999999997</v>
      </c>
      <c r="M381" s="3">
        <f>(C381-H381)/C381*100</f>
        <v>60.12797440511897</v>
      </c>
      <c r="N381" s="3">
        <f>100-(M381+O381)</f>
        <v>12.573485302939417</v>
      </c>
      <c r="O381" s="3">
        <f>L381/C381*100</f>
        <v>27.29854029194161</v>
      </c>
      <c r="P381" s="2" t="s">
        <v>0</v>
      </c>
      <c r="Q381" s="1">
        <v>409092.54579900001</v>
      </c>
      <c r="R381" s="1">
        <v>3659279.1217359998</v>
      </c>
    </row>
    <row r="382" spans="1:28" x14ac:dyDescent="0.25">
      <c r="A382" s="6">
        <v>37</v>
      </c>
      <c r="B382" s="4">
        <v>210</v>
      </c>
      <c r="C382" s="5">
        <v>50</v>
      </c>
      <c r="D382" s="4">
        <v>20</v>
      </c>
      <c r="E382" s="3">
        <v>24.5</v>
      </c>
      <c r="F382" s="3">
        <f>1.8*E382+32</f>
        <v>76.099999999999994</v>
      </c>
      <c r="G382" s="3">
        <v>12</v>
      </c>
      <c r="H382" s="3">
        <f>IF(F382&gt;68,G382+(F382-68)*0.2,#REF!-(68-F382)*0.2)</f>
        <v>13.62</v>
      </c>
      <c r="I382" s="3">
        <v>23.2</v>
      </c>
      <c r="J382" s="3">
        <f>1.8*I382+32</f>
        <v>73.759999999999991</v>
      </c>
      <c r="K382" s="3">
        <v>8</v>
      </c>
      <c r="L382" s="3">
        <f>IF(J382&gt;68,K382+(J382-68)*0.2,K382-(68-J382)*0.2)</f>
        <v>9.1519999999999975</v>
      </c>
      <c r="M382" s="3">
        <f>(C382-H382)/C382*100</f>
        <v>72.760000000000005</v>
      </c>
      <c r="N382" s="3">
        <f>100-(M382+O382)</f>
        <v>8.936000000000007</v>
      </c>
      <c r="O382" s="3">
        <f>L382/C382*100</f>
        <v>18.303999999999995</v>
      </c>
      <c r="P382" s="2" t="s">
        <v>0</v>
      </c>
      <c r="Q382" s="1">
        <v>409092.54579900001</v>
      </c>
      <c r="R382" s="1">
        <v>3659279.1217359998</v>
      </c>
    </row>
    <row r="383" spans="1:28" x14ac:dyDescent="0.25">
      <c r="A383" s="6">
        <v>37</v>
      </c>
      <c r="B383" s="4">
        <v>240</v>
      </c>
      <c r="C383" s="5">
        <v>50.01</v>
      </c>
      <c r="D383" s="4">
        <v>20</v>
      </c>
      <c r="E383" s="3">
        <v>25</v>
      </c>
      <c r="F383" s="3">
        <f>1.8*E383+32</f>
        <v>77</v>
      </c>
      <c r="G383" s="3">
        <v>10.5</v>
      </c>
      <c r="H383" s="3">
        <f>IF(F383&gt;68,G383+(F383-68)*0.2,#REF!-(68-F383)*0.2)</f>
        <v>12.3</v>
      </c>
      <c r="I383" s="3">
        <v>23.2</v>
      </c>
      <c r="J383" s="3">
        <f>1.8*I383+32</f>
        <v>73.759999999999991</v>
      </c>
      <c r="K383" s="3">
        <v>7.5</v>
      </c>
      <c r="L383" s="3">
        <f>IF(J383&gt;68,K383+(J383-68)*0.2,K383-(68-J383)*0.2)</f>
        <v>8.6519999999999975</v>
      </c>
      <c r="M383" s="3">
        <f>(C383-H383)/C383*100</f>
        <v>75.404919016196743</v>
      </c>
      <c r="N383" s="3">
        <f>100-(M383+O383)</f>
        <v>7.2945410917816673</v>
      </c>
      <c r="O383" s="3">
        <f>L383/C383*100</f>
        <v>17.30053989202159</v>
      </c>
      <c r="P383" s="2" t="s">
        <v>20</v>
      </c>
      <c r="Q383" s="1">
        <v>409092.54579900001</v>
      </c>
      <c r="R383" s="1">
        <v>3659279.1217359998</v>
      </c>
    </row>
    <row r="384" spans="1:28" x14ac:dyDescent="0.25">
      <c r="A384" s="6">
        <v>37</v>
      </c>
      <c r="B384" s="4">
        <v>270</v>
      </c>
      <c r="C384" s="5">
        <v>50.01</v>
      </c>
      <c r="D384" s="4">
        <v>20</v>
      </c>
      <c r="E384" s="3">
        <v>25</v>
      </c>
      <c r="F384" s="3">
        <f>1.8*E384+32</f>
        <v>77</v>
      </c>
      <c r="G384" s="3">
        <v>18</v>
      </c>
      <c r="H384" s="3">
        <f>IF(F384&gt;68,G384+(F384-68)*0.2,#REF!-(68-F384)*0.2)</f>
        <v>19.8</v>
      </c>
      <c r="I384" s="3">
        <v>23.2</v>
      </c>
      <c r="J384" s="3">
        <f>1.8*I384+32</f>
        <v>73.759999999999991</v>
      </c>
      <c r="K384" s="3">
        <v>12.5</v>
      </c>
      <c r="L384" s="3">
        <f>IF(J384&gt;68,K384+(J384-68)*0.2,K384-(68-J384)*0.2)</f>
        <v>13.651999999999997</v>
      </c>
      <c r="M384" s="3">
        <f>(C384-H384)/C384*100</f>
        <v>60.407918416316733</v>
      </c>
      <c r="N384" s="3">
        <f>100-(M384+O384)</f>
        <v>12.293541291741661</v>
      </c>
      <c r="O384" s="3">
        <f>L384/C384*100</f>
        <v>27.29854029194161</v>
      </c>
      <c r="P384" s="2" t="s">
        <v>20</v>
      </c>
      <c r="Q384" s="1">
        <v>409092.54579900001</v>
      </c>
      <c r="R384" s="1">
        <v>3659279.1217359998</v>
      </c>
    </row>
    <row r="385" spans="1:18" x14ac:dyDescent="0.25">
      <c r="A385" s="6">
        <v>37</v>
      </c>
      <c r="B385" s="4">
        <v>300</v>
      </c>
      <c r="C385" s="5">
        <v>50</v>
      </c>
      <c r="D385" s="4">
        <v>20</v>
      </c>
      <c r="E385" s="3">
        <v>25</v>
      </c>
      <c r="F385" s="3">
        <f>1.8*E385+32</f>
        <v>77</v>
      </c>
      <c r="G385" s="3">
        <v>16.5</v>
      </c>
      <c r="H385" s="3">
        <f>IF(F385&gt;68,G385+(F385-68)*0.2,#REF!-(68-F385)*0.2)</f>
        <v>18.3</v>
      </c>
      <c r="I385" s="3">
        <v>23.2</v>
      </c>
      <c r="J385" s="3">
        <f>1.8*I385+32</f>
        <v>73.759999999999991</v>
      </c>
      <c r="K385" s="3">
        <v>10.5</v>
      </c>
      <c r="L385" s="3">
        <f>IF(J385&gt;68,K385+(J385-68)*0.2,K385-(68-J385)*0.2)</f>
        <v>11.651999999999997</v>
      </c>
      <c r="M385" s="3">
        <f>(C385-H385)/C385*100</f>
        <v>63.4</v>
      </c>
      <c r="N385" s="3">
        <f>100-(M385+O385)</f>
        <v>13.296000000000006</v>
      </c>
      <c r="O385" s="3">
        <f>L385/C385*100</f>
        <v>23.303999999999995</v>
      </c>
      <c r="P385" s="2" t="s">
        <v>20</v>
      </c>
      <c r="Q385" s="1">
        <v>409092.54579900001</v>
      </c>
      <c r="R385" s="1">
        <v>3659279.1217359998</v>
      </c>
    </row>
    <row r="386" spans="1:18" x14ac:dyDescent="0.25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</row>
    <row r="387" spans="1:18" ht="51.75" x14ac:dyDescent="0.25">
      <c r="A387" s="15" t="s">
        <v>19</v>
      </c>
      <c r="B387" s="10" t="s">
        <v>18</v>
      </c>
      <c r="C387" s="14" t="s">
        <v>17</v>
      </c>
      <c r="D387" s="13" t="s">
        <v>16</v>
      </c>
      <c r="E387" s="12" t="s">
        <v>15</v>
      </c>
      <c r="F387" s="12" t="s">
        <v>14</v>
      </c>
      <c r="G387" s="12" t="s">
        <v>13</v>
      </c>
      <c r="H387" s="12" t="s">
        <v>12</v>
      </c>
      <c r="I387" s="12" t="s">
        <v>11</v>
      </c>
      <c r="J387" s="12" t="s">
        <v>10</v>
      </c>
      <c r="K387" s="12" t="s">
        <v>9</v>
      </c>
      <c r="L387" s="12" t="s">
        <v>8</v>
      </c>
      <c r="M387" s="11" t="s">
        <v>7</v>
      </c>
      <c r="N387" s="11" t="s">
        <v>6</v>
      </c>
      <c r="O387" s="11" t="s">
        <v>5</v>
      </c>
      <c r="P387" s="10" t="s">
        <v>4</v>
      </c>
      <c r="Q387" s="44" t="s">
        <v>3</v>
      </c>
      <c r="R387" s="44"/>
    </row>
    <row r="388" spans="1:18" x14ac:dyDescent="0.25">
      <c r="A388" s="15"/>
      <c r="B388" s="10"/>
      <c r="C388" s="14"/>
      <c r="D388" s="13"/>
      <c r="E388" s="12"/>
      <c r="F388" s="12"/>
      <c r="G388" s="12"/>
      <c r="H388" s="12"/>
      <c r="I388" s="12"/>
      <c r="J388" s="12"/>
      <c r="K388" s="12"/>
      <c r="L388" s="12"/>
      <c r="M388" s="11"/>
      <c r="N388" s="11"/>
      <c r="O388" s="11"/>
      <c r="P388" s="10"/>
      <c r="Q388" s="7" t="s">
        <v>2</v>
      </c>
      <c r="R388" s="7" t="s">
        <v>1</v>
      </c>
    </row>
    <row r="389" spans="1:18" x14ac:dyDescent="0.25">
      <c r="A389" s="6">
        <v>38</v>
      </c>
      <c r="B389" s="4">
        <v>30</v>
      </c>
      <c r="C389" s="5">
        <v>50</v>
      </c>
      <c r="D389" s="4">
        <v>20</v>
      </c>
      <c r="E389" s="3">
        <v>23</v>
      </c>
      <c r="F389" s="3">
        <f>1.8*E389+32</f>
        <v>73.400000000000006</v>
      </c>
      <c r="G389" s="3">
        <v>16.5</v>
      </c>
      <c r="H389" s="3">
        <f>IF(F389&gt;68,G389+(F389-68)*0.2,X202-(68-F389)*0.2)</f>
        <v>17.580000000000002</v>
      </c>
      <c r="I389" s="3">
        <v>23</v>
      </c>
      <c r="J389" s="3">
        <f>1.8*I389+32</f>
        <v>73.400000000000006</v>
      </c>
      <c r="K389" s="3">
        <v>10</v>
      </c>
      <c r="L389" s="3">
        <f>IF(J389&gt;68,K389+(J389-68)*0.2,K389-(68-J389)*0.2)</f>
        <v>11.080000000000002</v>
      </c>
      <c r="M389" s="3">
        <f>(C389-H389)/C389*100</f>
        <v>64.84</v>
      </c>
      <c r="N389" s="3">
        <f>100-(M389+O389)</f>
        <v>13</v>
      </c>
      <c r="O389" s="3">
        <f>L389/C389*100</f>
        <v>22.160000000000004</v>
      </c>
      <c r="P389" s="2" t="s">
        <v>0</v>
      </c>
      <c r="Q389" s="1">
        <v>409104.71393899998</v>
      </c>
      <c r="R389" s="1">
        <v>3659278.914229</v>
      </c>
    </row>
    <row r="390" spans="1:18" x14ac:dyDescent="0.25">
      <c r="A390" s="6">
        <v>38</v>
      </c>
      <c r="B390" s="4">
        <v>60</v>
      </c>
      <c r="C390" s="5">
        <v>50.01</v>
      </c>
      <c r="D390" s="4">
        <v>20</v>
      </c>
      <c r="E390" s="3">
        <v>23</v>
      </c>
      <c r="F390" s="3">
        <f>1.8*E390+32</f>
        <v>73.400000000000006</v>
      </c>
      <c r="G390" s="3">
        <v>21.5</v>
      </c>
      <c r="H390" s="3">
        <f>IF(F390&gt;68,G390+(F390-68)*0.2,X203-(68-F390)*0.2)</f>
        <v>22.580000000000002</v>
      </c>
      <c r="I390" s="3">
        <v>23</v>
      </c>
      <c r="J390" s="3">
        <f>1.8*I390+32</f>
        <v>73.400000000000006</v>
      </c>
      <c r="K390" s="3">
        <v>14</v>
      </c>
      <c r="L390" s="3">
        <f>IF(J390&gt;68,K390+(J390-68)*0.2,K390-(68-J390)*0.2)</f>
        <v>15.080000000000002</v>
      </c>
      <c r="M390" s="3">
        <f>(C390-H390)/C390*100</f>
        <v>54.849030193961198</v>
      </c>
      <c r="N390" s="3">
        <f>100-(M390+O390)</f>
        <v>14.997000599880039</v>
      </c>
      <c r="O390" s="3">
        <f>L390/C390*100</f>
        <v>30.15396920615877</v>
      </c>
      <c r="P390" s="2" t="s">
        <v>0</v>
      </c>
      <c r="Q390" s="1">
        <v>409104.71393899998</v>
      </c>
      <c r="R390" s="1">
        <v>3659278.914229</v>
      </c>
    </row>
    <row r="391" spans="1:18" x14ac:dyDescent="0.25">
      <c r="A391" s="6">
        <v>38</v>
      </c>
      <c r="B391" s="4">
        <v>90</v>
      </c>
      <c r="C391" s="5">
        <v>50</v>
      </c>
      <c r="D391" s="4">
        <v>20</v>
      </c>
      <c r="E391" s="3">
        <v>23</v>
      </c>
      <c r="F391" s="3">
        <f>1.8*E391+32</f>
        <v>73.400000000000006</v>
      </c>
      <c r="G391" s="3">
        <v>23.5</v>
      </c>
      <c r="H391" s="3">
        <f>IF(F391&gt;68,G391+(F391-68)*0.2,X204-(68-F391)*0.2)</f>
        <v>24.580000000000002</v>
      </c>
      <c r="I391" s="3">
        <v>23</v>
      </c>
      <c r="J391" s="3">
        <f>1.8*I391+32</f>
        <v>73.400000000000006</v>
      </c>
      <c r="K391" s="3">
        <v>17.5</v>
      </c>
      <c r="L391" s="3">
        <f>IF(J391&gt;68,K391+(J391-68)*0.2,K391-(68-J391)*0.2)</f>
        <v>18.580000000000002</v>
      </c>
      <c r="M391" s="3">
        <f>(C391-H391)/C391*100</f>
        <v>50.839999999999996</v>
      </c>
      <c r="N391" s="3">
        <f>100-(M391+O391)</f>
        <v>12</v>
      </c>
      <c r="O391" s="3">
        <f>L391/C391*100</f>
        <v>37.160000000000004</v>
      </c>
      <c r="P391" s="2" t="s">
        <v>0</v>
      </c>
      <c r="Q391" s="1">
        <v>409104.71393899998</v>
      </c>
      <c r="R391" s="1">
        <v>3659278.914229</v>
      </c>
    </row>
    <row r="392" spans="1:18" x14ac:dyDescent="0.25">
      <c r="A392" s="6">
        <v>38</v>
      </c>
      <c r="B392" s="4">
        <v>120</v>
      </c>
      <c r="C392" s="5">
        <v>50</v>
      </c>
      <c r="D392" s="4">
        <v>20</v>
      </c>
      <c r="E392" s="3">
        <v>24.2</v>
      </c>
      <c r="F392" s="3">
        <f>1.8*E392+32</f>
        <v>75.56</v>
      </c>
      <c r="G392" s="3">
        <v>17.5</v>
      </c>
      <c r="H392" s="3">
        <f>IF(F392&gt;68,G392+(F392-68)*0.2,X205-(68-F392)*0.2)</f>
        <v>19.012</v>
      </c>
      <c r="I392" s="3">
        <v>23</v>
      </c>
      <c r="J392" s="3">
        <f>1.8*I392+32</f>
        <v>73.400000000000006</v>
      </c>
      <c r="K392" s="3">
        <v>14</v>
      </c>
      <c r="L392" s="3">
        <f>IF(J392&gt;68,K392+(J392-68)*0.2,K392-(68-J392)*0.2)</f>
        <v>15.080000000000002</v>
      </c>
      <c r="M392" s="3">
        <f>(C392-H392)/C392*100</f>
        <v>61.975999999999999</v>
      </c>
      <c r="N392" s="3">
        <f>100-(M392+O392)</f>
        <v>7.8640000000000043</v>
      </c>
      <c r="O392" s="3">
        <f>L392/C392*100</f>
        <v>30.160000000000004</v>
      </c>
      <c r="P392" s="2" t="s">
        <v>0</v>
      </c>
      <c r="Q392" s="1">
        <v>409104.71393899998</v>
      </c>
      <c r="R392" s="1">
        <v>3659278.914229</v>
      </c>
    </row>
    <row r="393" spans="1:18" x14ac:dyDescent="0.25">
      <c r="A393" s="6">
        <v>38</v>
      </c>
      <c r="B393" s="4">
        <v>150</v>
      </c>
      <c r="C393" s="5">
        <v>50.01</v>
      </c>
      <c r="D393" s="4">
        <v>20</v>
      </c>
      <c r="E393" s="3">
        <v>24.8</v>
      </c>
      <c r="F393" s="3">
        <f>1.8*E393+32</f>
        <v>76.64</v>
      </c>
      <c r="G393" s="3">
        <v>12</v>
      </c>
      <c r="H393" s="3">
        <f>IF(F393&gt;68,G393+(F393-68)*0.2,X207-(68-F393)*0.2)</f>
        <v>13.728</v>
      </c>
      <c r="I393" s="3">
        <v>23.5</v>
      </c>
      <c r="J393" s="3">
        <f>1.8*I393+32</f>
        <v>74.300000000000011</v>
      </c>
      <c r="K393" s="3">
        <v>9.5</v>
      </c>
      <c r="L393" s="3">
        <f>IF(J393&gt;68,K393+(J393-68)*0.2,K393-(68-J393)*0.2)</f>
        <v>10.760000000000002</v>
      </c>
      <c r="M393" s="3">
        <f>(C393-H393)/C393*100</f>
        <v>72.5494901019796</v>
      </c>
      <c r="N393" s="3">
        <f>100-(M393+O393)</f>
        <v>5.9348130373925301</v>
      </c>
      <c r="O393" s="3">
        <f>L393/C393*100</f>
        <v>21.515696860627877</v>
      </c>
      <c r="P393" s="2" t="s">
        <v>0</v>
      </c>
      <c r="Q393" s="1">
        <v>409104.71393899998</v>
      </c>
      <c r="R393" s="1">
        <v>3659278.914229</v>
      </c>
    </row>
    <row r="394" spans="1:18" x14ac:dyDescent="0.25">
      <c r="A394" s="6">
        <v>38</v>
      </c>
      <c r="B394" s="4">
        <v>180</v>
      </c>
      <c r="C394" s="5">
        <v>50</v>
      </c>
      <c r="D394" s="4">
        <v>20</v>
      </c>
      <c r="E394" s="3">
        <v>25</v>
      </c>
      <c r="F394" s="3">
        <f>1.8*E394+32</f>
        <v>77</v>
      </c>
      <c r="G394" s="3">
        <v>16</v>
      </c>
      <c r="H394" s="3">
        <f>IF(F394&gt;68,G394+(F394-68)*0.2,X208-(68-F394)*0.2)</f>
        <v>17.8</v>
      </c>
      <c r="I394" s="3">
        <v>23.5</v>
      </c>
      <c r="J394" s="3">
        <f>1.8*I394+32</f>
        <v>74.300000000000011</v>
      </c>
      <c r="K394" s="3">
        <v>12.5</v>
      </c>
      <c r="L394" s="3">
        <f>IF(J394&gt;68,K394+(J394-68)*0.2,K394-(68-J394)*0.2)</f>
        <v>13.760000000000002</v>
      </c>
      <c r="M394" s="3">
        <f>(C394-H394)/C394*100</f>
        <v>64.400000000000006</v>
      </c>
      <c r="N394" s="3">
        <f>100-(M394+O394)</f>
        <v>8.0799999999999841</v>
      </c>
      <c r="O394" s="3">
        <f>L394/C394*100</f>
        <v>27.520000000000007</v>
      </c>
      <c r="P394" s="2" t="s">
        <v>0</v>
      </c>
      <c r="Q394" s="1">
        <v>409104.71393899998</v>
      </c>
      <c r="R394" s="1">
        <v>3659278.914229</v>
      </c>
    </row>
    <row r="395" spans="1:18" x14ac:dyDescent="0.25">
      <c r="A395" s="6">
        <v>38</v>
      </c>
      <c r="B395" s="4">
        <v>210</v>
      </c>
      <c r="C395" s="5">
        <v>50</v>
      </c>
      <c r="D395" s="4">
        <v>20</v>
      </c>
      <c r="E395" s="3">
        <v>25</v>
      </c>
      <c r="F395" s="3">
        <f>1.8*E395+32</f>
        <v>77</v>
      </c>
      <c r="G395" s="3">
        <v>9.5</v>
      </c>
      <c r="H395" s="3">
        <f>IF(F395&gt;68,G395+(F395-68)*0.2,X209-(68-F395)*0.2)</f>
        <v>11.3</v>
      </c>
      <c r="I395" s="3">
        <v>23.5</v>
      </c>
      <c r="J395" s="3">
        <f>1.8*I395+32</f>
        <v>74.300000000000011</v>
      </c>
      <c r="K395" s="3">
        <v>8</v>
      </c>
      <c r="L395" s="3">
        <f>IF(J395&gt;68,K395+(J395-68)*0.2,K395-(68-J395)*0.2)</f>
        <v>9.2600000000000016</v>
      </c>
      <c r="M395" s="3">
        <f>(C395-H395)/C395*100</f>
        <v>77.400000000000006</v>
      </c>
      <c r="N395" s="3">
        <f>100-(M395+O395)</f>
        <v>4.0799999999999841</v>
      </c>
      <c r="O395" s="3">
        <f>L395/C395*100</f>
        <v>18.520000000000003</v>
      </c>
      <c r="P395" s="2" t="s">
        <v>20</v>
      </c>
      <c r="Q395" s="1">
        <v>409104.71393899998</v>
      </c>
      <c r="R395" s="1">
        <v>3659278.914229</v>
      </c>
    </row>
    <row r="396" spans="1:18" x14ac:dyDescent="0.25">
      <c r="A396" s="6">
        <v>38</v>
      </c>
      <c r="B396" s="4">
        <v>240</v>
      </c>
      <c r="C396" s="5">
        <v>50.01</v>
      </c>
      <c r="D396" s="4">
        <v>20</v>
      </c>
      <c r="E396" s="3">
        <v>25</v>
      </c>
      <c r="F396" s="3">
        <f>1.8*E396+32</f>
        <v>77</v>
      </c>
      <c r="G396" s="3">
        <v>18</v>
      </c>
      <c r="H396" s="3">
        <f>IF(F396&gt;68,G396+(F396-68)*0.2,X210-(68-F396)*0.2)</f>
        <v>19.8</v>
      </c>
      <c r="I396" s="3">
        <v>23.5</v>
      </c>
      <c r="J396" s="3">
        <f>1.8*I396+32</f>
        <v>74.300000000000011</v>
      </c>
      <c r="K396" s="3">
        <v>13</v>
      </c>
      <c r="L396" s="3">
        <f>IF(J396&gt;68,K396+(J396-68)*0.2,K396-(68-J396)*0.2)</f>
        <v>14.260000000000002</v>
      </c>
      <c r="M396" s="3">
        <f>(C396-H396)/C396*100</f>
        <v>60.407918416316733</v>
      </c>
      <c r="N396" s="3">
        <f>100-(M396+O396)</f>
        <v>11.077784443111369</v>
      </c>
      <c r="O396" s="3">
        <f>L396/C396*100</f>
        <v>28.514297140571891</v>
      </c>
      <c r="P396" s="2" t="s">
        <v>0</v>
      </c>
      <c r="Q396" s="1">
        <v>409104.71393899998</v>
      </c>
      <c r="R396" s="1">
        <v>3659278.914229</v>
      </c>
    </row>
    <row r="397" spans="1:18" x14ac:dyDescent="0.25">
      <c r="A397" s="6">
        <v>38</v>
      </c>
      <c r="B397" s="4">
        <v>270</v>
      </c>
      <c r="C397" s="5">
        <v>50</v>
      </c>
      <c r="D397" s="4">
        <v>20</v>
      </c>
      <c r="E397" s="3">
        <v>25</v>
      </c>
      <c r="F397" s="3">
        <f>1.8*E397+32</f>
        <v>77</v>
      </c>
      <c r="G397" s="3">
        <v>19</v>
      </c>
      <c r="H397" s="3">
        <f>IF(F397&gt;68,G397+(F397-68)*0.2,X211-(68-F397)*0.2)</f>
        <v>20.8</v>
      </c>
      <c r="I397" s="3">
        <v>23.5</v>
      </c>
      <c r="J397" s="3">
        <f>1.8*I397+32</f>
        <v>74.300000000000011</v>
      </c>
      <c r="K397" s="3">
        <v>14</v>
      </c>
      <c r="L397" s="3">
        <f>IF(J397&gt;68,K397+(J397-68)*0.2,K397-(68-J397)*0.2)</f>
        <v>15.260000000000002</v>
      </c>
      <c r="M397" s="3">
        <f>(C397-H397)/C397*100</f>
        <v>58.4</v>
      </c>
      <c r="N397" s="3">
        <f>100-(M397+O397)</f>
        <v>11.079999999999998</v>
      </c>
      <c r="O397" s="3">
        <f>L397/C397*100</f>
        <v>30.520000000000003</v>
      </c>
      <c r="P397" s="2" t="s">
        <v>0</v>
      </c>
      <c r="Q397" s="1">
        <v>409104.71393899998</v>
      </c>
      <c r="R397" s="1">
        <v>3659278.914229</v>
      </c>
    </row>
    <row r="398" spans="1:18" x14ac:dyDescent="0.25">
      <c r="A398" s="6">
        <v>38</v>
      </c>
      <c r="B398" s="4">
        <v>300</v>
      </c>
      <c r="C398" s="5">
        <v>50.01</v>
      </c>
      <c r="D398" s="4">
        <v>20</v>
      </c>
      <c r="E398" s="3">
        <v>25</v>
      </c>
      <c r="F398" s="3">
        <f>1.8*E398+32</f>
        <v>77</v>
      </c>
      <c r="G398" s="3">
        <v>16.5</v>
      </c>
      <c r="H398" s="3">
        <f>IF(F398&gt;68,G398+(F398-68)*0.2,X212-(68-F398)*0.2)</f>
        <v>18.3</v>
      </c>
      <c r="I398" s="3">
        <v>23.5</v>
      </c>
      <c r="J398" s="3">
        <f>1.8*I398+32</f>
        <v>74.300000000000011</v>
      </c>
      <c r="K398" s="3">
        <v>11.5</v>
      </c>
      <c r="L398" s="3">
        <f>IF(J398&gt;68,K398+(J398-68)*0.2,K398-(68-J398)*0.2)</f>
        <v>12.760000000000002</v>
      </c>
      <c r="M398" s="3">
        <f>(C398-H398)/C398*100</f>
        <v>63.407318536292735</v>
      </c>
      <c r="N398" s="3">
        <f>100-(M398+O398)</f>
        <v>11.077784443111383</v>
      </c>
      <c r="O398" s="3">
        <f>L398/C398*100</f>
        <v>25.514897020595882</v>
      </c>
      <c r="P398" s="2" t="s">
        <v>0</v>
      </c>
      <c r="Q398" s="1">
        <v>409104.71393899998</v>
      </c>
      <c r="R398" s="1">
        <v>3659278.914229</v>
      </c>
    </row>
    <row r="399" spans="1:18" x14ac:dyDescent="0.25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</row>
    <row r="400" spans="1:18" ht="51.75" x14ac:dyDescent="0.25">
      <c r="A400" s="15" t="s">
        <v>19</v>
      </c>
      <c r="B400" s="10" t="s">
        <v>18</v>
      </c>
      <c r="C400" s="14" t="s">
        <v>17</v>
      </c>
      <c r="D400" s="13" t="s">
        <v>16</v>
      </c>
      <c r="E400" s="12" t="s">
        <v>15</v>
      </c>
      <c r="F400" s="12" t="s">
        <v>14</v>
      </c>
      <c r="G400" s="12" t="s">
        <v>13</v>
      </c>
      <c r="H400" s="12" t="s">
        <v>12</v>
      </c>
      <c r="I400" s="12" t="s">
        <v>11</v>
      </c>
      <c r="J400" s="12" t="s">
        <v>10</v>
      </c>
      <c r="K400" s="12" t="s">
        <v>9</v>
      </c>
      <c r="L400" s="12" t="s">
        <v>8</v>
      </c>
      <c r="M400" s="11" t="s">
        <v>7</v>
      </c>
      <c r="N400" s="11" t="s">
        <v>6</v>
      </c>
      <c r="O400" s="11" t="s">
        <v>5</v>
      </c>
      <c r="P400" s="10" t="s">
        <v>4</v>
      </c>
      <c r="Q400" s="44" t="s">
        <v>3</v>
      </c>
      <c r="R400" s="44"/>
    </row>
    <row r="401" spans="1:18" x14ac:dyDescent="0.25">
      <c r="A401" s="15"/>
      <c r="B401" s="10"/>
      <c r="C401" s="14"/>
      <c r="D401" s="13"/>
      <c r="E401" s="12"/>
      <c r="F401" s="12"/>
      <c r="G401" s="12"/>
      <c r="H401" s="12"/>
      <c r="I401" s="12"/>
      <c r="J401" s="12"/>
      <c r="K401" s="12"/>
      <c r="L401" s="12"/>
      <c r="M401" s="11"/>
      <c r="N401" s="11"/>
      <c r="O401" s="11"/>
      <c r="P401" s="10"/>
      <c r="Q401" s="7" t="s">
        <v>2</v>
      </c>
      <c r="R401" s="7" t="s">
        <v>1</v>
      </c>
    </row>
    <row r="402" spans="1:18" x14ac:dyDescent="0.25">
      <c r="A402" s="6">
        <v>41</v>
      </c>
      <c r="B402" s="4">
        <v>30</v>
      </c>
      <c r="C402" s="5">
        <v>50</v>
      </c>
      <c r="D402" s="4">
        <v>20</v>
      </c>
      <c r="E402" s="3">
        <v>23</v>
      </c>
      <c r="F402" s="3">
        <f>1.8*E402+32</f>
        <v>73.400000000000006</v>
      </c>
      <c r="G402" s="3">
        <v>17.5</v>
      </c>
      <c r="H402" s="3">
        <f>IF(F402&gt;68,G402+(F402-68)*0.2,G464-(68-F402)*0.2)</f>
        <v>18.580000000000002</v>
      </c>
      <c r="I402" s="3">
        <v>22.5</v>
      </c>
      <c r="J402" s="3">
        <f>1.8*I402+32</f>
        <v>72.5</v>
      </c>
      <c r="K402" s="3">
        <v>11.5</v>
      </c>
      <c r="L402" s="3">
        <f>IF(J402&gt;68,K402+(J402-68)*0.2,K402-(68-J402)*0.2)</f>
        <v>12.4</v>
      </c>
      <c r="M402" s="3">
        <f>(C402-H402)/C402*100</f>
        <v>62.839999999999996</v>
      </c>
      <c r="N402" s="3">
        <f>100-(M402+O402)</f>
        <v>12.36</v>
      </c>
      <c r="O402" s="3">
        <f>L402/C402*100</f>
        <v>24.8</v>
      </c>
      <c r="P402" s="2" t="s">
        <v>0</v>
      </c>
      <c r="Q402" s="1">
        <v>409019.15675299999</v>
      </c>
      <c r="R402" s="1">
        <v>3659261.837938</v>
      </c>
    </row>
    <row r="403" spans="1:18" x14ac:dyDescent="0.25">
      <c r="A403" s="6">
        <v>41</v>
      </c>
      <c r="B403" s="4">
        <v>60</v>
      </c>
      <c r="C403" s="5">
        <v>50</v>
      </c>
      <c r="D403" s="4">
        <v>20</v>
      </c>
      <c r="E403" s="3">
        <v>23</v>
      </c>
      <c r="F403" s="3">
        <f>1.8*E403+32</f>
        <v>73.400000000000006</v>
      </c>
      <c r="G403" s="3">
        <v>22</v>
      </c>
      <c r="H403" s="3">
        <f>IF(F403&gt;68,G403+(F403-68)*0.2,G524-(68-F403)*0.2)</f>
        <v>23.080000000000002</v>
      </c>
      <c r="I403" s="3">
        <v>22.5</v>
      </c>
      <c r="J403" s="3">
        <f>1.8*I403+32</f>
        <v>72.5</v>
      </c>
      <c r="K403" s="3">
        <v>13.5</v>
      </c>
      <c r="L403" s="3">
        <f>IF(J403&gt;68,K403+(J403-68)*0.2,K403-(68-J403)*0.2)</f>
        <v>14.4</v>
      </c>
      <c r="M403" s="3">
        <f>(C403-H403)/C403*100</f>
        <v>53.839999999999996</v>
      </c>
      <c r="N403" s="3">
        <f>100-(M403+O403)</f>
        <v>17.36</v>
      </c>
      <c r="O403" s="3">
        <f>L403/C403*100</f>
        <v>28.800000000000004</v>
      </c>
      <c r="P403" s="2" t="s">
        <v>0</v>
      </c>
      <c r="Q403" s="1">
        <v>409019.15675299999</v>
      </c>
      <c r="R403" s="1">
        <v>3659261.837938</v>
      </c>
    </row>
    <row r="404" spans="1:18" x14ac:dyDescent="0.25">
      <c r="A404" s="6">
        <v>41</v>
      </c>
      <c r="B404" s="4">
        <v>90</v>
      </c>
      <c r="C404" s="5">
        <v>50.01</v>
      </c>
      <c r="D404" s="4">
        <v>20</v>
      </c>
      <c r="E404" s="3">
        <v>23</v>
      </c>
      <c r="F404" s="3">
        <f>1.8*E404+32</f>
        <v>73.400000000000006</v>
      </c>
      <c r="G404" s="3">
        <v>31.5</v>
      </c>
      <c r="H404" s="3">
        <f>IF(F404&gt;68,G404+(F404-68)*0.2,G153-(68-F404)*0.2)</f>
        <v>32.58</v>
      </c>
      <c r="I404" s="3">
        <v>22.5</v>
      </c>
      <c r="J404" s="3">
        <f>1.8*I404+32</f>
        <v>72.5</v>
      </c>
      <c r="K404" s="3">
        <v>20</v>
      </c>
      <c r="L404" s="3">
        <f>IF(J404&gt;68,K404+(J404-68)*0.2,K404-(68-J404)*0.2)</f>
        <v>20.9</v>
      </c>
      <c r="M404" s="3">
        <f>(C404-H404)/C404*100</f>
        <v>34.85302939412118</v>
      </c>
      <c r="N404" s="3">
        <f>100-(M404+O404)</f>
        <v>23.355328934213162</v>
      </c>
      <c r="O404" s="3">
        <f>L404/C404*100</f>
        <v>41.791641671665666</v>
      </c>
      <c r="P404" s="2" t="s">
        <v>274</v>
      </c>
      <c r="Q404" s="1">
        <v>409019.15675299999</v>
      </c>
      <c r="R404" s="1">
        <v>3659261.837938</v>
      </c>
    </row>
    <row r="405" spans="1:18" x14ac:dyDescent="0.25">
      <c r="A405" s="6">
        <v>41</v>
      </c>
      <c r="B405" s="4">
        <v>120</v>
      </c>
      <c r="C405" s="5">
        <v>50</v>
      </c>
      <c r="D405" s="4">
        <v>20</v>
      </c>
      <c r="E405" s="3">
        <v>25</v>
      </c>
      <c r="F405" s="3">
        <f>1.8*E405+32</f>
        <v>77</v>
      </c>
      <c r="G405" s="3">
        <v>26</v>
      </c>
      <c r="H405" s="3">
        <f>IF(F405&gt;68,G405+(F405-68)*0.2,#REF!-(68-F405)*0.2)</f>
        <v>27.8</v>
      </c>
      <c r="I405" s="3">
        <v>23</v>
      </c>
      <c r="J405" s="3">
        <f>1.8*I405+32</f>
        <v>73.400000000000006</v>
      </c>
      <c r="K405" s="3">
        <v>16.5</v>
      </c>
      <c r="L405" s="3">
        <f>IF(J405&gt;68,K405+(J405-68)*0.2,K405-(68-J405)*0.2)</f>
        <v>17.580000000000002</v>
      </c>
      <c r="M405" s="3">
        <f>(C405-H405)/C405*100</f>
        <v>44.4</v>
      </c>
      <c r="N405" s="3">
        <f>100-(M405+O405)</f>
        <v>20.439999999999998</v>
      </c>
      <c r="O405" s="3">
        <f>L405/C405*100</f>
        <v>35.160000000000004</v>
      </c>
      <c r="P405" s="2" t="s">
        <v>0</v>
      </c>
      <c r="Q405" s="1">
        <v>409019.15675299999</v>
      </c>
      <c r="R405" s="1">
        <v>3659261.837938</v>
      </c>
    </row>
    <row r="406" spans="1:18" x14ac:dyDescent="0.25">
      <c r="A406" s="6">
        <v>41</v>
      </c>
      <c r="B406" s="4">
        <v>150</v>
      </c>
      <c r="C406" s="5">
        <v>50</v>
      </c>
      <c r="D406" s="4">
        <v>20</v>
      </c>
      <c r="E406" s="3">
        <v>25</v>
      </c>
      <c r="F406" s="3">
        <f>1.8*E406+32</f>
        <v>77</v>
      </c>
      <c r="G406" s="3">
        <v>17</v>
      </c>
      <c r="H406" s="3">
        <f>IF(F406&gt;68,G406+(F406-68)*0.2,G155-(68-F406)*0.2)</f>
        <v>18.8</v>
      </c>
      <c r="I406" s="3">
        <v>23</v>
      </c>
      <c r="J406" s="3">
        <f>1.8*I406+32</f>
        <v>73.400000000000006</v>
      </c>
      <c r="K406" s="3">
        <v>10</v>
      </c>
      <c r="L406" s="3">
        <f>IF(J406&gt;68,K406+(J406-68)*0.2,K406-(68-J406)*0.2)</f>
        <v>11.080000000000002</v>
      </c>
      <c r="M406" s="3">
        <f>(C406-H406)/C406*100</f>
        <v>62.4</v>
      </c>
      <c r="N406" s="3">
        <f>100-(M406+O406)</f>
        <v>15.439999999999998</v>
      </c>
      <c r="O406" s="3">
        <f>L406/C406*100</f>
        <v>22.160000000000004</v>
      </c>
      <c r="P406" s="2" t="s">
        <v>0</v>
      </c>
      <c r="Q406" s="1">
        <v>409019.15675299999</v>
      </c>
      <c r="R406" s="1">
        <v>3659261.837938</v>
      </c>
    </row>
    <row r="407" spans="1:18" x14ac:dyDescent="0.25">
      <c r="A407" s="6">
        <v>41</v>
      </c>
      <c r="B407" s="4">
        <v>180</v>
      </c>
      <c r="C407" s="5">
        <v>50</v>
      </c>
      <c r="D407" s="4">
        <v>20</v>
      </c>
      <c r="E407" s="3">
        <v>25</v>
      </c>
      <c r="F407" s="3">
        <f>1.8*E407+32</f>
        <v>77</v>
      </c>
      <c r="G407" s="3">
        <v>15.5</v>
      </c>
      <c r="H407" s="3">
        <f>IF(F407&gt;68,G407+(F407-68)*0.2,G156-(68-F407)*0.2)</f>
        <v>17.3</v>
      </c>
      <c r="I407" s="3">
        <v>23</v>
      </c>
      <c r="J407" s="3">
        <f>1.8*I407+32</f>
        <v>73.400000000000006</v>
      </c>
      <c r="K407" s="3">
        <v>9</v>
      </c>
      <c r="L407" s="3">
        <f>IF(J407&gt;68,K407+(J407-68)*0.2,K407-(68-J407)*0.2)</f>
        <v>10.080000000000002</v>
      </c>
      <c r="M407" s="3">
        <f>(C407-H407)/C407*100</f>
        <v>65.400000000000006</v>
      </c>
      <c r="N407" s="3">
        <f>100-(M407+O407)</f>
        <v>14.439999999999998</v>
      </c>
      <c r="O407" s="3">
        <f>L407/C407*100</f>
        <v>20.160000000000004</v>
      </c>
      <c r="P407" s="2" t="s">
        <v>0</v>
      </c>
      <c r="Q407" s="1">
        <v>409019.15675299999</v>
      </c>
      <c r="R407" s="1">
        <v>3659261.837938</v>
      </c>
    </row>
    <row r="408" spans="1:18" x14ac:dyDescent="0.25">
      <c r="A408" s="6">
        <v>41</v>
      </c>
      <c r="B408" s="4">
        <v>210</v>
      </c>
      <c r="C408" s="5">
        <v>50</v>
      </c>
      <c r="D408" s="4">
        <v>20</v>
      </c>
      <c r="E408" s="3">
        <v>25</v>
      </c>
      <c r="F408" s="3">
        <f>1.8*E408+32</f>
        <v>77</v>
      </c>
      <c r="G408" s="3">
        <v>13.5</v>
      </c>
      <c r="H408" s="3">
        <f>IF(F408&gt;68,G408+(F408-68)*0.2,G157-(68-F408)*0.2)</f>
        <v>15.3</v>
      </c>
      <c r="I408" s="3">
        <v>23</v>
      </c>
      <c r="J408" s="3">
        <f>1.8*I408+32</f>
        <v>73.400000000000006</v>
      </c>
      <c r="K408" s="3">
        <v>9.5</v>
      </c>
      <c r="L408" s="3">
        <f>IF(J408&gt;68,K408+(J408-68)*0.2,K408-(68-J408)*0.2)</f>
        <v>10.580000000000002</v>
      </c>
      <c r="M408" s="3">
        <f>(C408-H408)/C408*100</f>
        <v>69.400000000000006</v>
      </c>
      <c r="N408" s="3">
        <f>100-(M408+O408)</f>
        <v>9.4399999999999977</v>
      </c>
      <c r="O408" s="3">
        <f>L408/C408*100</f>
        <v>21.160000000000004</v>
      </c>
      <c r="P408" s="2" t="s">
        <v>0</v>
      </c>
      <c r="Q408" s="1">
        <v>409019.15675299999</v>
      </c>
      <c r="R408" s="1">
        <v>3659261.837938</v>
      </c>
    </row>
    <row r="409" spans="1:18" x14ac:dyDescent="0.25">
      <c r="A409" s="6">
        <v>41</v>
      </c>
      <c r="B409" s="4">
        <v>240</v>
      </c>
      <c r="C409" s="5">
        <v>50</v>
      </c>
      <c r="D409" s="4">
        <v>20</v>
      </c>
      <c r="E409" s="3">
        <v>25</v>
      </c>
      <c r="F409" s="3">
        <f>1.8*E409+32</f>
        <v>77</v>
      </c>
      <c r="G409" s="3">
        <v>8.5</v>
      </c>
      <c r="H409" s="3">
        <f>IF(F409&gt;68,G409+(F409-68)*0.2,G158-(68-F409)*0.2)</f>
        <v>10.3</v>
      </c>
      <c r="I409" s="3">
        <v>23</v>
      </c>
      <c r="J409" s="3">
        <f>1.8*I409+32</f>
        <v>73.400000000000006</v>
      </c>
      <c r="K409" s="3">
        <v>7.5</v>
      </c>
      <c r="L409" s="3">
        <f>IF(J409&gt;68,K409+(J409-68)*0.2,K409-(68-J409)*0.2)</f>
        <v>8.5800000000000018</v>
      </c>
      <c r="M409" s="3">
        <f>(C409-H409)/C409*100</f>
        <v>79.400000000000006</v>
      </c>
      <c r="N409" s="3">
        <f>100-(M409+O409)</f>
        <v>3.4399999999999977</v>
      </c>
      <c r="O409" s="3">
        <f>L409/C409*100</f>
        <v>17.160000000000004</v>
      </c>
      <c r="P409" s="2" t="s">
        <v>20</v>
      </c>
      <c r="Q409" s="1">
        <v>409019.15675299999</v>
      </c>
      <c r="R409" s="1">
        <v>3659261.837938</v>
      </c>
    </row>
    <row r="410" spans="1:18" x14ac:dyDescent="0.25">
      <c r="A410" s="6">
        <v>41</v>
      </c>
      <c r="B410" s="4">
        <v>270</v>
      </c>
      <c r="C410" s="5">
        <v>50</v>
      </c>
      <c r="D410" s="4">
        <v>20</v>
      </c>
      <c r="E410" s="3">
        <v>25.2</v>
      </c>
      <c r="F410" s="3">
        <f>1.8*E410+32</f>
        <v>77.36</v>
      </c>
      <c r="G410" s="3">
        <v>9</v>
      </c>
      <c r="H410" s="3">
        <f>IF(F410&gt;68,G410+(F410-68)*0.2,G159-(68-F410)*0.2)</f>
        <v>10.872</v>
      </c>
      <c r="I410" s="3">
        <v>23</v>
      </c>
      <c r="J410" s="3">
        <f>1.8*I410+32</f>
        <v>73.400000000000006</v>
      </c>
      <c r="K410" s="3">
        <v>7.5</v>
      </c>
      <c r="L410" s="3">
        <f>IF(J410&gt;68,K410+(J410-68)*0.2,K410-(68-J410)*0.2)</f>
        <v>8.5800000000000018</v>
      </c>
      <c r="M410" s="3">
        <f>(C410-H410)/C410*100</f>
        <v>78.256</v>
      </c>
      <c r="N410" s="3">
        <f>100-(M410+O410)</f>
        <v>4.5840000000000032</v>
      </c>
      <c r="O410" s="3">
        <f>L410/C410*100</f>
        <v>17.160000000000004</v>
      </c>
      <c r="P410" s="2" t="s">
        <v>20</v>
      </c>
      <c r="Q410" s="1">
        <v>409019.15675299999</v>
      </c>
      <c r="R410" s="1">
        <v>3659261.837938</v>
      </c>
    </row>
    <row r="411" spans="1:18" x14ac:dyDescent="0.25">
      <c r="A411" s="6">
        <v>41</v>
      </c>
      <c r="B411" s="4">
        <v>300</v>
      </c>
      <c r="C411" s="5"/>
      <c r="D411" s="4"/>
      <c r="E411" s="3"/>
      <c r="F411" s="3"/>
      <c r="G411" s="3"/>
      <c r="H411" s="3">
        <f>IF(F411&gt;68,G411+(F411-68)*0.2,G160-(68-F411)*0.2)</f>
        <v>12.399999999999999</v>
      </c>
      <c r="I411" s="3"/>
      <c r="J411" s="3"/>
      <c r="K411" s="3"/>
      <c r="L411" s="3">
        <f>IF(J411&gt;68,K411+(J411-68)*0.2,K411-(68-J411)*0.2)</f>
        <v>-13.600000000000001</v>
      </c>
      <c r="M411" s="3"/>
      <c r="N411" s="3"/>
      <c r="O411" s="3"/>
      <c r="P411" s="2"/>
      <c r="Q411" s="1">
        <v>409019.15675299999</v>
      </c>
      <c r="R411" s="1">
        <v>3659261.837938</v>
      </c>
    </row>
    <row r="412" spans="1:18" x14ac:dyDescent="0.25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</row>
    <row r="413" spans="1:18" ht="51.75" x14ac:dyDescent="0.25">
      <c r="A413" s="15" t="s">
        <v>19</v>
      </c>
      <c r="B413" s="10" t="s">
        <v>18</v>
      </c>
      <c r="C413" s="14" t="s">
        <v>17</v>
      </c>
      <c r="D413" s="13" t="s">
        <v>16</v>
      </c>
      <c r="E413" s="12" t="s">
        <v>15</v>
      </c>
      <c r="F413" s="12" t="s">
        <v>14</v>
      </c>
      <c r="G413" s="12" t="s">
        <v>13</v>
      </c>
      <c r="H413" s="12" t="s">
        <v>12</v>
      </c>
      <c r="I413" s="12" t="s">
        <v>11</v>
      </c>
      <c r="J413" s="12" t="s">
        <v>10</v>
      </c>
      <c r="K413" s="12" t="s">
        <v>9</v>
      </c>
      <c r="L413" s="12" t="s">
        <v>8</v>
      </c>
      <c r="M413" s="11" t="s">
        <v>7</v>
      </c>
      <c r="N413" s="11" t="s">
        <v>6</v>
      </c>
      <c r="O413" s="11" t="s">
        <v>5</v>
      </c>
      <c r="P413" s="10" t="s">
        <v>4</v>
      </c>
      <c r="Q413" s="44" t="s">
        <v>3</v>
      </c>
      <c r="R413" s="44"/>
    </row>
    <row r="414" spans="1:18" x14ac:dyDescent="0.25">
      <c r="A414" s="15"/>
      <c r="B414" s="10"/>
      <c r="C414" s="14"/>
      <c r="D414" s="13"/>
      <c r="E414" s="12"/>
      <c r="F414" s="12"/>
      <c r="G414" s="12"/>
      <c r="H414" s="12"/>
      <c r="I414" s="12"/>
      <c r="J414" s="12"/>
      <c r="K414" s="12"/>
      <c r="L414" s="12"/>
      <c r="M414" s="11"/>
      <c r="N414" s="11"/>
      <c r="O414" s="11"/>
      <c r="P414" s="10"/>
      <c r="Q414" s="7" t="s">
        <v>2</v>
      </c>
      <c r="R414" s="7" t="s">
        <v>1</v>
      </c>
    </row>
    <row r="415" spans="1:18" x14ac:dyDescent="0.25">
      <c r="A415" s="6">
        <v>42</v>
      </c>
      <c r="B415" s="4">
        <v>30</v>
      </c>
      <c r="C415" s="5">
        <v>50.02</v>
      </c>
      <c r="D415" s="4">
        <v>20</v>
      </c>
      <c r="E415" s="3">
        <v>23</v>
      </c>
      <c r="F415" s="3">
        <f>1.8*E415+32</f>
        <v>73.400000000000006</v>
      </c>
      <c r="G415" s="3">
        <v>16</v>
      </c>
      <c r="H415" s="3">
        <f>IF(F415&gt;68,G415+(F415-68)*0.2,#REF!-(68-F415)*0.2)</f>
        <v>17.080000000000002</v>
      </c>
      <c r="I415" s="3">
        <v>23</v>
      </c>
      <c r="J415" s="3">
        <f>1.8*I415+32</f>
        <v>73.400000000000006</v>
      </c>
      <c r="K415" s="3">
        <v>10</v>
      </c>
      <c r="L415" s="3">
        <f>IF(J415&gt;68,K415+(J415-68)*0.2,K415-(68-J415)*0.2)</f>
        <v>11.080000000000002</v>
      </c>
      <c r="M415" s="3">
        <f>(C415-H415)/C415*100</f>
        <v>65.853658536585357</v>
      </c>
      <c r="N415" s="3">
        <f>100-(M415+O415)</f>
        <v>11.995201919232315</v>
      </c>
      <c r="O415" s="3">
        <f>L415/C415*100</f>
        <v>22.151139544182328</v>
      </c>
      <c r="P415" s="2" t="s">
        <v>0</v>
      </c>
      <c r="Q415" s="1">
        <v>409031.32113300002</v>
      </c>
      <c r="R415" s="1">
        <v>3659261.6304959999</v>
      </c>
    </row>
    <row r="416" spans="1:18" x14ac:dyDescent="0.25">
      <c r="A416" s="6">
        <v>42</v>
      </c>
      <c r="B416" s="4">
        <v>60</v>
      </c>
      <c r="C416" s="5">
        <v>50</v>
      </c>
      <c r="D416" s="4">
        <v>20</v>
      </c>
      <c r="E416" s="3">
        <v>23</v>
      </c>
      <c r="F416" s="3">
        <f>1.8*E416+32</f>
        <v>73.400000000000006</v>
      </c>
      <c r="G416" s="3">
        <v>16.5</v>
      </c>
      <c r="H416" s="3">
        <f>IF(F416&gt;68,G416+(F416-68)*0.2,#REF!-(68-F416)*0.2)</f>
        <v>17.580000000000002</v>
      </c>
      <c r="I416" s="3">
        <v>23</v>
      </c>
      <c r="J416" s="3">
        <f>1.8*I416+32</f>
        <v>73.400000000000006</v>
      </c>
      <c r="K416" s="3">
        <v>12</v>
      </c>
      <c r="L416" s="3">
        <f>IF(J416&gt;68,K416+(J416-68)*0.2,K416-(68-J416)*0.2)</f>
        <v>13.080000000000002</v>
      </c>
      <c r="M416" s="3">
        <f>(C416-H416)/C416*100</f>
        <v>64.84</v>
      </c>
      <c r="N416" s="3">
        <f>100-(M416+O416)</f>
        <v>9</v>
      </c>
      <c r="O416" s="3">
        <f>L416/C416*100</f>
        <v>26.160000000000004</v>
      </c>
      <c r="P416" s="2" t="s">
        <v>0</v>
      </c>
      <c r="Q416" s="1">
        <v>409031.32113300002</v>
      </c>
      <c r="R416" s="1">
        <v>3659261.6304959999</v>
      </c>
    </row>
    <row r="417" spans="1:18" x14ac:dyDescent="0.25">
      <c r="A417" s="6">
        <v>42</v>
      </c>
      <c r="B417" s="4">
        <v>90</v>
      </c>
      <c r="C417" s="5">
        <v>50.01</v>
      </c>
      <c r="D417" s="4">
        <v>20</v>
      </c>
      <c r="E417" s="3">
        <v>23</v>
      </c>
      <c r="F417" s="3">
        <f>1.8*E417+32</f>
        <v>73.400000000000006</v>
      </c>
      <c r="G417" s="3">
        <v>19</v>
      </c>
      <c r="H417" s="3">
        <f>IF(F417&gt;68,G417+(F417-68)*0.2,G62-(68-F417)*0.2)</f>
        <v>20.080000000000002</v>
      </c>
      <c r="I417" s="3">
        <v>23</v>
      </c>
      <c r="J417" s="3">
        <f>1.8*I417+32</f>
        <v>73.400000000000006</v>
      </c>
      <c r="K417" s="3">
        <v>10.5</v>
      </c>
      <c r="L417" s="3">
        <f>IF(J417&gt;68,K417+(J417-68)*0.2,K417-(68-J417)*0.2)</f>
        <v>11.580000000000002</v>
      </c>
      <c r="M417" s="3">
        <f>(C417-H417)/C417*100</f>
        <v>59.848030393921213</v>
      </c>
      <c r="N417" s="3">
        <f>100-(M417+O417)</f>
        <v>16.996600679864031</v>
      </c>
      <c r="O417" s="3">
        <f>L417/C417*100</f>
        <v>23.155368926214763</v>
      </c>
      <c r="P417" s="2" t="s">
        <v>0</v>
      </c>
      <c r="Q417" s="1">
        <v>409031.32113300002</v>
      </c>
      <c r="R417" s="1">
        <v>3659261.6304959999</v>
      </c>
    </row>
    <row r="418" spans="1:18" x14ac:dyDescent="0.25">
      <c r="A418" s="6">
        <v>42</v>
      </c>
      <c r="B418" s="4">
        <v>120</v>
      </c>
      <c r="C418" s="5">
        <v>50</v>
      </c>
      <c r="D418" s="4">
        <v>20</v>
      </c>
      <c r="E418" s="3">
        <v>24</v>
      </c>
      <c r="F418" s="3">
        <f>1.8*E418+32</f>
        <v>75.2</v>
      </c>
      <c r="G418" s="3">
        <v>18.5</v>
      </c>
      <c r="H418" s="3">
        <f>IF(F418&gt;68,G418+(F418-68)*0.2,#REF!-(68-F418)*0.2)</f>
        <v>19.940000000000001</v>
      </c>
      <c r="I418" s="3">
        <v>23</v>
      </c>
      <c r="J418" s="3">
        <f>1.8*I418+32</f>
        <v>73.400000000000006</v>
      </c>
      <c r="K418" s="3">
        <v>11</v>
      </c>
      <c r="L418" s="3">
        <f>IF(J418&gt;68,K418+(J418-68)*0.2,K418-(68-J418)*0.2)</f>
        <v>12.080000000000002</v>
      </c>
      <c r="M418" s="3">
        <f>(C418-H418)/C418*100</f>
        <v>60.12</v>
      </c>
      <c r="N418" s="3">
        <f>100-(M418+O418)</f>
        <v>15.719999999999999</v>
      </c>
      <c r="O418" s="3">
        <f>L418/C418*100</f>
        <v>24.160000000000004</v>
      </c>
      <c r="P418" s="2" t="s">
        <v>0</v>
      </c>
      <c r="Q418" s="1">
        <v>409031.32113300002</v>
      </c>
      <c r="R418" s="1">
        <v>3659261.6304959999</v>
      </c>
    </row>
    <row r="419" spans="1:18" x14ac:dyDescent="0.25">
      <c r="A419" s="6">
        <v>42</v>
      </c>
      <c r="B419" s="4">
        <v>150</v>
      </c>
      <c r="C419" s="5">
        <v>50</v>
      </c>
      <c r="D419" s="4">
        <v>20</v>
      </c>
      <c r="E419" s="3">
        <v>24</v>
      </c>
      <c r="F419" s="3">
        <f>1.8*E419+32</f>
        <v>75.2</v>
      </c>
      <c r="G419" s="3">
        <v>26</v>
      </c>
      <c r="H419" s="3">
        <f>IF(F419&gt;68,G419+(F419-68)*0.2,G64-(68-F419)*0.2)</f>
        <v>27.44</v>
      </c>
      <c r="I419" s="3">
        <v>23</v>
      </c>
      <c r="J419" s="3">
        <f>1.8*I419+32</f>
        <v>73.400000000000006</v>
      </c>
      <c r="K419" s="3">
        <v>17</v>
      </c>
      <c r="L419" s="3">
        <f>IF(J419&gt;68,K419+(J419-68)*0.2,K419-(68-J419)*0.2)</f>
        <v>18.080000000000002</v>
      </c>
      <c r="M419" s="3">
        <f>(C419-H419)/C419*100</f>
        <v>45.12</v>
      </c>
      <c r="N419" s="3">
        <f>100-(M419+O419)</f>
        <v>18.72</v>
      </c>
      <c r="O419" s="3">
        <f>L419/C419*100</f>
        <v>36.160000000000004</v>
      </c>
      <c r="P419" s="2" t="s">
        <v>23</v>
      </c>
      <c r="Q419" s="1">
        <v>409031.32113300002</v>
      </c>
      <c r="R419" s="1">
        <v>3659261.6304959999</v>
      </c>
    </row>
    <row r="420" spans="1:18" x14ac:dyDescent="0.25">
      <c r="A420" s="6">
        <v>42</v>
      </c>
      <c r="B420" s="4">
        <v>180</v>
      </c>
      <c r="C420" s="5">
        <v>50</v>
      </c>
      <c r="D420" s="4">
        <v>20</v>
      </c>
      <c r="E420" s="3">
        <v>24.2</v>
      </c>
      <c r="F420" s="3">
        <f>1.8*E420+32</f>
        <v>75.56</v>
      </c>
      <c r="G420" s="3">
        <v>18</v>
      </c>
      <c r="H420" s="3">
        <f>IF(F420&gt;68,G420+(F420-68)*0.2,G65-(68-F420)*0.2)</f>
        <v>19.512</v>
      </c>
      <c r="I420" s="3">
        <v>23.5</v>
      </c>
      <c r="J420" s="3">
        <f>1.8*I420+32</f>
        <v>74.300000000000011</v>
      </c>
      <c r="K420" s="3">
        <v>13</v>
      </c>
      <c r="L420" s="3">
        <f>IF(J420&gt;68,K420+(J420-68)*0.2,K420-(68-J420)*0.2)</f>
        <v>14.260000000000002</v>
      </c>
      <c r="M420" s="3">
        <f>(C420-H420)/C420*100</f>
        <v>60.975999999999999</v>
      </c>
      <c r="N420" s="3">
        <f>100-(M420+O420)</f>
        <v>10.504000000000005</v>
      </c>
      <c r="O420" s="3">
        <f>L420/C420*100</f>
        <v>28.52</v>
      </c>
      <c r="P420" s="2" t="s">
        <v>0</v>
      </c>
      <c r="Q420" s="1">
        <v>409031.32113300002</v>
      </c>
      <c r="R420" s="1">
        <v>3659261.6304959999</v>
      </c>
    </row>
    <row r="421" spans="1:18" x14ac:dyDescent="0.25">
      <c r="A421" s="6">
        <v>42</v>
      </c>
      <c r="B421" s="4">
        <v>210</v>
      </c>
      <c r="C421" s="5">
        <v>50.01</v>
      </c>
      <c r="D421" s="4">
        <v>20</v>
      </c>
      <c r="E421" s="3">
        <v>24.2</v>
      </c>
      <c r="F421" s="3">
        <f>1.8*E421+32</f>
        <v>75.56</v>
      </c>
      <c r="G421" s="3">
        <v>12</v>
      </c>
      <c r="H421" s="3">
        <f>IF(F421&gt;68,G421+(F421-68)*0.2,G66-(68-F421)*0.2)</f>
        <v>13.512</v>
      </c>
      <c r="I421" s="3">
        <v>23.5</v>
      </c>
      <c r="J421" s="3">
        <f>1.8*I421+32</f>
        <v>74.300000000000011</v>
      </c>
      <c r="K421" s="3">
        <v>9</v>
      </c>
      <c r="L421" s="3">
        <f>IF(J421&gt;68,K421+(J421-68)*0.2,K421-(68-J421)*0.2)</f>
        <v>10.260000000000002</v>
      </c>
      <c r="M421" s="3">
        <f>(C421-H421)/C421*100</f>
        <v>72.98140371925615</v>
      </c>
      <c r="N421" s="3">
        <f>100-(M421+O421)</f>
        <v>6.5026994601079764</v>
      </c>
      <c r="O421" s="3">
        <f>L421/C421*100</f>
        <v>20.515896820635877</v>
      </c>
      <c r="P421" s="2" t="s">
        <v>0</v>
      </c>
      <c r="Q421" s="1">
        <v>409031.32113300002</v>
      </c>
      <c r="R421" s="1">
        <v>3659261.6304959999</v>
      </c>
    </row>
    <row r="422" spans="1:18" x14ac:dyDescent="0.25">
      <c r="A422" s="6">
        <v>42</v>
      </c>
      <c r="B422" s="4">
        <v>240</v>
      </c>
      <c r="C422" s="5">
        <v>50</v>
      </c>
      <c r="D422" s="4">
        <v>20</v>
      </c>
      <c r="E422" s="3">
        <v>24.2</v>
      </c>
      <c r="F422" s="3">
        <f>1.8*E422+32</f>
        <v>75.56</v>
      </c>
      <c r="G422" s="3">
        <v>14</v>
      </c>
      <c r="H422" s="3">
        <f>IF(F422&gt;68,G422+(F422-68)*0.2,G67-(68-F422)*0.2)</f>
        <v>15.512</v>
      </c>
      <c r="I422" s="3">
        <v>24</v>
      </c>
      <c r="J422" s="3">
        <f>1.8*I422+32</f>
        <v>75.2</v>
      </c>
      <c r="K422" s="3">
        <v>10.5</v>
      </c>
      <c r="L422" s="3">
        <f>IF(J422&gt;68,K422+(J422-68)*0.2,K422-(68-J422)*0.2)</f>
        <v>11.940000000000001</v>
      </c>
      <c r="M422" s="3">
        <f>(C422-H422)/C422*100</f>
        <v>68.975999999999999</v>
      </c>
      <c r="N422" s="3">
        <f>100-(M422+O422)</f>
        <v>7.1440000000000055</v>
      </c>
      <c r="O422" s="3">
        <f>L422/C422*100</f>
        <v>23.880000000000003</v>
      </c>
      <c r="P422" s="2" t="s">
        <v>0</v>
      </c>
      <c r="Q422" s="1">
        <v>409031.32113300002</v>
      </c>
      <c r="R422" s="1">
        <v>3659261.6304959999</v>
      </c>
    </row>
    <row r="423" spans="1:18" x14ac:dyDescent="0.25">
      <c r="A423" s="6">
        <v>42</v>
      </c>
      <c r="B423" s="4">
        <v>270</v>
      </c>
      <c r="C423" s="5">
        <v>50.01</v>
      </c>
      <c r="D423" s="4">
        <v>20</v>
      </c>
      <c r="E423" s="3">
        <v>25.5</v>
      </c>
      <c r="F423" s="3">
        <f>1.8*E423+32</f>
        <v>77.900000000000006</v>
      </c>
      <c r="G423" s="3">
        <v>12</v>
      </c>
      <c r="H423" s="3">
        <f>IF(F423&gt;68,G423+(F423-68)*0.2,G68-(68-F423)*0.2)</f>
        <v>13.98</v>
      </c>
      <c r="I423" s="3">
        <v>24</v>
      </c>
      <c r="J423" s="3">
        <f>1.8*I423+32</f>
        <v>75.2</v>
      </c>
      <c r="K423" s="3">
        <v>8</v>
      </c>
      <c r="L423" s="3">
        <f>IF(J423&gt;68,K423+(J423-68)*0.2,K423-(68-J423)*0.2)</f>
        <v>9.4400000000000013</v>
      </c>
      <c r="M423" s="3">
        <f>(C423-H423)/C423*100</f>
        <v>72.045590881823642</v>
      </c>
      <c r="N423" s="3">
        <f>100-(M423+O423)</f>
        <v>9.0781843631273631</v>
      </c>
      <c r="O423" s="3">
        <f>L423/C423*100</f>
        <v>18.876224755048991</v>
      </c>
      <c r="P423" s="2" t="s">
        <v>20</v>
      </c>
      <c r="Q423" s="1">
        <v>409031.32113300002</v>
      </c>
      <c r="R423" s="1">
        <v>3659261.6304959999</v>
      </c>
    </row>
    <row r="424" spans="1:18" x14ac:dyDescent="0.25">
      <c r="A424" s="6">
        <v>42</v>
      </c>
      <c r="B424" s="4">
        <v>300</v>
      </c>
      <c r="C424" s="5">
        <v>50</v>
      </c>
      <c r="D424" s="4">
        <v>20</v>
      </c>
      <c r="E424" s="3">
        <v>25.5</v>
      </c>
      <c r="F424" s="3">
        <f>1.8*E424+32</f>
        <v>77.900000000000006</v>
      </c>
      <c r="G424" s="3">
        <v>19</v>
      </c>
      <c r="H424" s="3">
        <f>IF(F424&gt;68,G424+(F424-68)*0.2,G69-(68-F424)*0.2)</f>
        <v>20.98</v>
      </c>
      <c r="I424" s="3">
        <v>24</v>
      </c>
      <c r="J424" s="3">
        <f>1.8*I424+32</f>
        <v>75.2</v>
      </c>
      <c r="K424" s="3">
        <v>12</v>
      </c>
      <c r="L424" s="3">
        <f>IF(J424&gt;68,K424+(J424-68)*0.2,K424-(68-J424)*0.2)</f>
        <v>13.440000000000001</v>
      </c>
      <c r="M424" s="3">
        <f>(C424-H424)/C424*100</f>
        <v>58.040000000000006</v>
      </c>
      <c r="N424" s="3">
        <f>100-(M424+O424)</f>
        <v>15.079999999999984</v>
      </c>
      <c r="O424" s="3">
        <f>L424/C424*100</f>
        <v>26.880000000000003</v>
      </c>
      <c r="P424" s="2" t="s">
        <v>0</v>
      </c>
      <c r="Q424" s="1">
        <v>409031.32113300002</v>
      </c>
      <c r="R424" s="1">
        <v>3659261.6304959999</v>
      </c>
    </row>
    <row r="425" spans="1:18" x14ac:dyDescent="0.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</row>
    <row r="426" spans="1:18" ht="51.75" x14ac:dyDescent="0.25">
      <c r="A426" s="15" t="s">
        <v>19</v>
      </c>
      <c r="B426" s="10" t="s">
        <v>18</v>
      </c>
      <c r="C426" s="14" t="s">
        <v>17</v>
      </c>
      <c r="D426" s="13" t="s">
        <v>16</v>
      </c>
      <c r="E426" s="12" t="s">
        <v>15</v>
      </c>
      <c r="F426" s="12" t="s">
        <v>14</v>
      </c>
      <c r="G426" s="12" t="s">
        <v>13</v>
      </c>
      <c r="H426" s="12" t="s">
        <v>12</v>
      </c>
      <c r="I426" s="12" t="s">
        <v>11</v>
      </c>
      <c r="J426" s="12" t="s">
        <v>10</v>
      </c>
      <c r="K426" s="12" t="s">
        <v>9</v>
      </c>
      <c r="L426" s="12" t="s">
        <v>8</v>
      </c>
      <c r="M426" s="11" t="s">
        <v>7</v>
      </c>
      <c r="N426" s="11" t="s">
        <v>6</v>
      </c>
      <c r="O426" s="11" t="s">
        <v>5</v>
      </c>
      <c r="P426" s="10" t="s">
        <v>4</v>
      </c>
      <c r="Q426" s="44" t="s">
        <v>3</v>
      </c>
      <c r="R426" s="44"/>
    </row>
    <row r="427" spans="1:18" x14ac:dyDescent="0.25">
      <c r="A427" s="15"/>
      <c r="B427" s="10"/>
      <c r="C427" s="14"/>
      <c r="D427" s="13"/>
      <c r="E427" s="12"/>
      <c r="F427" s="12"/>
      <c r="G427" s="12"/>
      <c r="H427" s="12"/>
      <c r="I427" s="12"/>
      <c r="J427" s="12"/>
      <c r="K427" s="12"/>
      <c r="L427" s="12"/>
      <c r="M427" s="11"/>
      <c r="N427" s="11"/>
      <c r="O427" s="11"/>
      <c r="P427" s="10"/>
      <c r="Q427" s="7" t="s">
        <v>2</v>
      </c>
      <c r="R427" s="7" t="s">
        <v>1</v>
      </c>
    </row>
    <row r="428" spans="1:18" x14ac:dyDescent="0.25">
      <c r="A428" s="6">
        <v>43</v>
      </c>
      <c r="B428" s="4">
        <v>30</v>
      </c>
      <c r="C428" s="5">
        <v>50</v>
      </c>
      <c r="D428" s="4">
        <v>20</v>
      </c>
      <c r="E428" s="3">
        <v>24</v>
      </c>
      <c r="F428" s="3">
        <f>1.8*E428+32</f>
        <v>75.2</v>
      </c>
      <c r="G428" s="3">
        <v>16</v>
      </c>
      <c r="H428" s="3">
        <f>IF(F428&gt;68,G428+(F428-68)*0.2,G360-(68-F428)*0.2)</f>
        <v>17.440000000000001</v>
      </c>
      <c r="I428" s="3">
        <v>23</v>
      </c>
      <c r="J428" s="3">
        <f>1.8*I428+32</f>
        <v>73.400000000000006</v>
      </c>
      <c r="K428" s="3">
        <v>9</v>
      </c>
      <c r="L428" s="3">
        <f>IF(J428&gt;68,K428+(J428-68)*0.2,K428-(68-J428)*0.2)</f>
        <v>10.080000000000002</v>
      </c>
      <c r="M428" s="3">
        <f>(C428-H428)/C428*100</f>
        <v>65.12</v>
      </c>
      <c r="N428" s="3">
        <f>100-(M428+O428)</f>
        <v>14.719999999999999</v>
      </c>
      <c r="O428" s="3">
        <f>L428/C428*100</f>
        <v>20.160000000000004</v>
      </c>
      <c r="P428" s="2" t="s">
        <v>0</v>
      </c>
      <c r="Q428" s="1">
        <v>409043.56419499998</v>
      </c>
      <c r="R428" s="1">
        <v>3659261.4217119999</v>
      </c>
    </row>
    <row r="429" spans="1:18" x14ac:dyDescent="0.25">
      <c r="A429" s="6">
        <v>43</v>
      </c>
      <c r="B429" s="4">
        <v>60</v>
      </c>
      <c r="C429" s="5">
        <v>50</v>
      </c>
      <c r="D429" s="4">
        <v>20</v>
      </c>
      <c r="E429" s="3">
        <v>24</v>
      </c>
      <c r="F429" s="3">
        <f>1.8*E429+32</f>
        <v>75.2</v>
      </c>
      <c r="G429" s="3">
        <v>16</v>
      </c>
      <c r="H429" s="3">
        <f>IF(F429&gt;68,G429+(F429-68)*0.2,#REF!-(68-F429)*0.2)</f>
        <v>17.440000000000001</v>
      </c>
      <c r="I429" s="3">
        <v>23</v>
      </c>
      <c r="J429" s="3">
        <f>1.8*I429+32</f>
        <v>73.400000000000006</v>
      </c>
      <c r="K429" s="3">
        <v>9</v>
      </c>
      <c r="L429" s="3">
        <f>IF(J429&gt;68,K429+(J429-68)*0.2,K429-(68-J429)*0.2)</f>
        <v>10.080000000000002</v>
      </c>
      <c r="M429" s="3">
        <f>(C429-H429)/C429*100</f>
        <v>65.12</v>
      </c>
      <c r="N429" s="3">
        <f>100-(M429+O429)</f>
        <v>14.719999999999999</v>
      </c>
      <c r="O429" s="3">
        <f>L429/C429*100</f>
        <v>20.160000000000004</v>
      </c>
      <c r="P429" s="2" t="s">
        <v>0</v>
      </c>
      <c r="Q429" s="1">
        <v>409043.56419499998</v>
      </c>
      <c r="R429" s="1">
        <v>3659261.4217119999</v>
      </c>
    </row>
    <row r="430" spans="1:18" x14ac:dyDescent="0.25">
      <c r="A430" s="6">
        <v>43</v>
      </c>
      <c r="B430" s="4">
        <v>90</v>
      </c>
      <c r="C430" s="5">
        <v>50.01</v>
      </c>
      <c r="D430" s="4">
        <v>20</v>
      </c>
      <c r="E430" s="3">
        <v>24</v>
      </c>
      <c r="F430" s="3">
        <f>1.8*E430+32</f>
        <v>75.2</v>
      </c>
      <c r="G430" s="3">
        <v>19</v>
      </c>
      <c r="H430" s="3">
        <f>IF(F430&gt;68,G430+(F430-68)*0.2,G257-(68-F430)*0.2)</f>
        <v>20.440000000000001</v>
      </c>
      <c r="I430" s="3">
        <v>23</v>
      </c>
      <c r="J430" s="3">
        <f>1.8*I430+32</f>
        <v>73.400000000000006</v>
      </c>
      <c r="K430" s="3">
        <v>11.5</v>
      </c>
      <c r="L430" s="3">
        <f>IF(J430&gt;68,K430+(J430-68)*0.2,K430-(68-J430)*0.2)</f>
        <v>12.580000000000002</v>
      </c>
      <c r="M430" s="3">
        <f>(C430-H430)/C430*100</f>
        <v>59.128174365126974</v>
      </c>
      <c r="N430" s="3">
        <f>100-(M430+O430)</f>
        <v>15.716856628674265</v>
      </c>
      <c r="O430" s="3">
        <f>L430/C430*100</f>
        <v>25.154969006198762</v>
      </c>
      <c r="P430" s="2" t="s">
        <v>0</v>
      </c>
      <c r="Q430" s="1">
        <v>409043.56419499998</v>
      </c>
      <c r="R430" s="1">
        <v>3659261.4217119999</v>
      </c>
    </row>
    <row r="431" spans="1:18" x14ac:dyDescent="0.25">
      <c r="A431" s="6">
        <v>43</v>
      </c>
      <c r="B431" s="4">
        <v>120</v>
      </c>
      <c r="C431" s="5">
        <v>50</v>
      </c>
      <c r="D431" s="4">
        <v>20</v>
      </c>
      <c r="E431" s="3">
        <v>26</v>
      </c>
      <c r="F431" s="3">
        <f>1.8*E431+32</f>
        <v>78.800000000000011</v>
      </c>
      <c r="G431" s="3">
        <v>26</v>
      </c>
      <c r="H431" s="3">
        <f>IF(F431&gt;68,G431+(F431-68)*0.2,#REF!-(68-F431)*0.2)</f>
        <v>28.160000000000004</v>
      </c>
      <c r="I431" s="3">
        <v>23</v>
      </c>
      <c r="J431" s="3">
        <f>1.8*I431+32</f>
        <v>73.400000000000006</v>
      </c>
      <c r="K431" s="3">
        <v>13</v>
      </c>
      <c r="L431" s="3">
        <f>IF(J431&gt;68,K431+(J431-68)*0.2,K431-(68-J431)*0.2)</f>
        <v>14.080000000000002</v>
      </c>
      <c r="M431" s="3">
        <f>(C431-H431)/C431*100</f>
        <v>43.679999999999993</v>
      </c>
      <c r="N431" s="3">
        <f>100-(M431+O431)</f>
        <v>28.160000000000011</v>
      </c>
      <c r="O431" s="3">
        <f>L431/C431*100</f>
        <v>28.16</v>
      </c>
      <c r="P431" s="2" t="s">
        <v>0</v>
      </c>
      <c r="Q431" s="1">
        <v>409043.56419499998</v>
      </c>
      <c r="R431" s="1">
        <v>3659261.4217119999</v>
      </c>
    </row>
    <row r="432" spans="1:18" x14ac:dyDescent="0.25">
      <c r="A432" s="6">
        <v>43</v>
      </c>
      <c r="B432" s="4">
        <v>150</v>
      </c>
      <c r="C432" s="5">
        <v>50.01</v>
      </c>
      <c r="D432" s="4">
        <v>20</v>
      </c>
      <c r="E432" s="3">
        <v>26.5</v>
      </c>
      <c r="F432" s="3">
        <f>1.8*E432+32</f>
        <v>79.7</v>
      </c>
      <c r="G432" s="3">
        <v>17</v>
      </c>
      <c r="H432" s="3">
        <f>IF(F432&gt;68,G432+(F432-68)*0.2,G259-(68-F432)*0.2)</f>
        <v>19.34</v>
      </c>
      <c r="I432" s="3">
        <v>23</v>
      </c>
      <c r="J432" s="3">
        <f>1.8*I432+32</f>
        <v>73.400000000000006</v>
      </c>
      <c r="K432" s="3">
        <v>10</v>
      </c>
      <c r="L432" s="3">
        <f>IF(J432&gt;68,K432+(J432-68)*0.2,K432-(68-J432)*0.2)</f>
        <v>11.080000000000002</v>
      </c>
      <c r="M432" s="3">
        <f>(C432-H432)/C432*100</f>
        <v>61.327734453109372</v>
      </c>
      <c r="N432" s="3">
        <f>100-(M432+O432)</f>
        <v>16.516696660667861</v>
      </c>
      <c r="O432" s="3">
        <f>L432/C432*100</f>
        <v>22.15556888622276</v>
      </c>
      <c r="P432" s="2" t="s">
        <v>0</v>
      </c>
      <c r="Q432" s="1">
        <v>409043.56419499998</v>
      </c>
      <c r="R432" s="1">
        <v>3659261.4217119999</v>
      </c>
    </row>
    <row r="433" spans="1:18" x14ac:dyDescent="0.25">
      <c r="A433" s="6">
        <v>43</v>
      </c>
      <c r="B433" s="4">
        <v>180</v>
      </c>
      <c r="C433" s="5">
        <v>50</v>
      </c>
      <c r="D433" s="4">
        <v>20</v>
      </c>
      <c r="E433" s="3">
        <v>26.5</v>
      </c>
      <c r="F433" s="3">
        <f>1.8*E433+32</f>
        <v>79.7</v>
      </c>
      <c r="G433" s="3">
        <v>21</v>
      </c>
      <c r="H433" s="3">
        <f>IF(F433&gt;68,G433+(F433-68)*0.2,G260-(68-F433)*0.2)</f>
        <v>23.34</v>
      </c>
      <c r="I433" s="3">
        <v>23</v>
      </c>
      <c r="J433" s="3">
        <f>1.8*I433+32</f>
        <v>73.400000000000006</v>
      </c>
      <c r="K433" s="3">
        <v>10.5</v>
      </c>
      <c r="L433" s="3">
        <f>IF(J433&gt;68,K433+(J433-68)*0.2,K433-(68-J433)*0.2)</f>
        <v>11.580000000000002</v>
      </c>
      <c r="M433" s="3">
        <f>(C433-H433)/C433*100</f>
        <v>53.32</v>
      </c>
      <c r="N433" s="3">
        <f>100-(M433+O433)</f>
        <v>23.519999999999996</v>
      </c>
      <c r="O433" s="3">
        <f>L433/C433*100</f>
        <v>23.160000000000004</v>
      </c>
      <c r="P433" s="2" t="s">
        <v>0</v>
      </c>
      <c r="Q433" s="1">
        <v>409043.56419499998</v>
      </c>
      <c r="R433" s="1">
        <v>3659261.4217119999</v>
      </c>
    </row>
    <row r="434" spans="1:18" x14ac:dyDescent="0.25">
      <c r="A434" s="6">
        <v>43</v>
      </c>
      <c r="B434" s="4">
        <v>210</v>
      </c>
      <c r="C434" s="5">
        <v>50</v>
      </c>
      <c r="D434" s="4">
        <v>20</v>
      </c>
      <c r="E434" s="3">
        <v>27</v>
      </c>
      <c r="F434" s="3">
        <f>1.8*E434+32</f>
        <v>80.599999999999994</v>
      </c>
      <c r="G434" s="3">
        <v>21</v>
      </c>
      <c r="H434" s="3">
        <f>IF(F434&gt;68,G434+(F434-68)*0.2,G261-(68-F434)*0.2)</f>
        <v>23.52</v>
      </c>
      <c r="I434" s="3">
        <v>23</v>
      </c>
      <c r="J434" s="3">
        <f>1.8*I434+32</f>
        <v>73.400000000000006</v>
      </c>
      <c r="K434" s="3">
        <v>9</v>
      </c>
      <c r="L434" s="3">
        <f>IF(J434&gt;68,K434+(J434-68)*0.2,K434-(68-J434)*0.2)</f>
        <v>10.080000000000002</v>
      </c>
      <c r="M434" s="3">
        <f>(C434-H434)/C434*100</f>
        <v>52.959999999999994</v>
      </c>
      <c r="N434" s="3">
        <f>100-(M434+O434)</f>
        <v>26.879999999999995</v>
      </c>
      <c r="O434" s="3">
        <f>L434/C434*100</f>
        <v>20.160000000000004</v>
      </c>
      <c r="P434" s="2" t="s">
        <v>0</v>
      </c>
      <c r="Q434" s="1">
        <v>409043.56419499998</v>
      </c>
      <c r="R434" s="1">
        <v>3659261.4217119999</v>
      </c>
    </row>
    <row r="435" spans="1:18" x14ac:dyDescent="0.25">
      <c r="A435" s="6">
        <v>43</v>
      </c>
      <c r="B435" s="4">
        <v>240</v>
      </c>
      <c r="C435" s="5">
        <v>50</v>
      </c>
      <c r="D435" s="4">
        <v>20</v>
      </c>
      <c r="E435" s="3">
        <v>27</v>
      </c>
      <c r="F435" s="3">
        <f>1.8*E435+32</f>
        <v>80.599999999999994</v>
      </c>
      <c r="G435" s="3">
        <v>14</v>
      </c>
      <c r="H435" s="3">
        <f>IF(F435&gt;68,G435+(F435-68)*0.2,G262-(68-F435)*0.2)</f>
        <v>16.52</v>
      </c>
      <c r="I435" s="3">
        <v>23</v>
      </c>
      <c r="J435" s="3">
        <f>1.8*I435+32</f>
        <v>73.400000000000006</v>
      </c>
      <c r="K435" s="3">
        <v>7</v>
      </c>
      <c r="L435" s="3">
        <f>IF(J435&gt;68,K435+(J435-68)*0.2,K435-(68-J435)*0.2)</f>
        <v>8.0800000000000018</v>
      </c>
      <c r="M435" s="3">
        <f>(C435-H435)/C435*100</f>
        <v>66.960000000000008</v>
      </c>
      <c r="N435" s="3">
        <f>100-(M435+O435)</f>
        <v>16.879999999999995</v>
      </c>
      <c r="O435" s="3">
        <f>L435/C435*100</f>
        <v>16.160000000000004</v>
      </c>
      <c r="P435" s="2" t="s">
        <v>20</v>
      </c>
      <c r="Q435" s="1">
        <v>409043.56419499998</v>
      </c>
      <c r="R435" s="1">
        <v>3659261.4217119999</v>
      </c>
    </row>
    <row r="436" spans="1:18" x14ac:dyDescent="0.25">
      <c r="A436" s="6">
        <v>43</v>
      </c>
      <c r="B436" s="4">
        <v>270</v>
      </c>
      <c r="C436" s="5">
        <v>50</v>
      </c>
      <c r="D436" s="4">
        <v>20</v>
      </c>
      <c r="E436" s="3">
        <v>27.5</v>
      </c>
      <c r="F436" s="3">
        <f>1.8*E436+32</f>
        <v>81.5</v>
      </c>
      <c r="G436" s="3">
        <v>13</v>
      </c>
      <c r="H436" s="3">
        <f>IF(F436&gt;68,G436+(F436-68)*0.2,G263-(68-F436)*0.2)</f>
        <v>15.7</v>
      </c>
      <c r="I436" s="3">
        <v>23</v>
      </c>
      <c r="J436" s="3">
        <f>1.8*I436+32</f>
        <v>73.400000000000006</v>
      </c>
      <c r="K436" s="3">
        <v>7</v>
      </c>
      <c r="L436" s="3">
        <f>IF(J436&gt;68,K436+(J436-68)*0.2,K436-(68-J436)*0.2)</f>
        <v>8.0800000000000018</v>
      </c>
      <c r="M436" s="3">
        <f>(C436-H436)/C436*100</f>
        <v>68.599999999999994</v>
      </c>
      <c r="N436" s="3">
        <f>100-(M436+O436)</f>
        <v>15.240000000000009</v>
      </c>
      <c r="O436" s="3">
        <f>L436/C436*100</f>
        <v>16.160000000000004</v>
      </c>
      <c r="P436" s="2" t="s">
        <v>20</v>
      </c>
      <c r="Q436" s="1">
        <v>409043.56419499998</v>
      </c>
      <c r="R436" s="1">
        <v>3659261.4217119999</v>
      </c>
    </row>
    <row r="437" spans="1:18" x14ac:dyDescent="0.25">
      <c r="A437" s="6">
        <v>43</v>
      </c>
      <c r="B437" s="4">
        <v>300</v>
      </c>
      <c r="C437" s="5">
        <v>50.01</v>
      </c>
      <c r="D437" s="4">
        <v>20</v>
      </c>
      <c r="E437" s="3">
        <v>28</v>
      </c>
      <c r="F437" s="3">
        <f>1.8*E437+32</f>
        <v>82.4</v>
      </c>
      <c r="G437" s="3">
        <v>28</v>
      </c>
      <c r="H437" s="3">
        <f>IF(F437&gt;68,G437+(F437-68)*0.2,G264-(68-F437)*0.2)</f>
        <v>30.880000000000003</v>
      </c>
      <c r="I437" s="3">
        <v>23</v>
      </c>
      <c r="J437" s="3">
        <f>1.8*I437+32</f>
        <v>73.400000000000006</v>
      </c>
      <c r="K437" s="3">
        <v>12</v>
      </c>
      <c r="L437" s="3">
        <f>IF(J437&gt;68,K437+(J437-68)*0.2,K437-(68-J437)*0.2)</f>
        <v>13.080000000000002</v>
      </c>
      <c r="M437" s="3">
        <f>(C437-H437)/C437*100</f>
        <v>38.252349530093973</v>
      </c>
      <c r="N437" s="3">
        <f>100-(M437+O437)</f>
        <v>35.592881423715255</v>
      </c>
      <c r="O437" s="3">
        <f>L437/C437*100</f>
        <v>26.154769046190768</v>
      </c>
      <c r="P437" s="2" t="s">
        <v>0</v>
      </c>
      <c r="Q437" s="1">
        <v>409043.56419499998</v>
      </c>
      <c r="R437" s="1">
        <v>3659261.4217119999</v>
      </c>
    </row>
    <row r="438" spans="1:18" x14ac:dyDescent="0.25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</row>
    <row r="439" spans="1:18" ht="51.75" x14ac:dyDescent="0.25">
      <c r="A439" s="15" t="s">
        <v>19</v>
      </c>
      <c r="B439" s="10" t="s">
        <v>18</v>
      </c>
      <c r="C439" s="14" t="s">
        <v>17</v>
      </c>
      <c r="D439" s="13" t="s">
        <v>16</v>
      </c>
      <c r="E439" s="12" t="s">
        <v>15</v>
      </c>
      <c r="F439" s="12" t="s">
        <v>14</v>
      </c>
      <c r="G439" s="12" t="s">
        <v>13</v>
      </c>
      <c r="H439" s="12" t="s">
        <v>12</v>
      </c>
      <c r="I439" s="12" t="s">
        <v>11</v>
      </c>
      <c r="J439" s="12" t="s">
        <v>10</v>
      </c>
      <c r="K439" s="12" t="s">
        <v>9</v>
      </c>
      <c r="L439" s="12" t="s">
        <v>8</v>
      </c>
      <c r="M439" s="11" t="s">
        <v>7</v>
      </c>
      <c r="N439" s="11" t="s">
        <v>6</v>
      </c>
      <c r="O439" s="11" t="s">
        <v>5</v>
      </c>
      <c r="P439" s="10" t="s">
        <v>4</v>
      </c>
      <c r="Q439" s="44" t="s">
        <v>3</v>
      </c>
      <c r="R439" s="44"/>
    </row>
    <row r="440" spans="1:18" x14ac:dyDescent="0.25">
      <c r="A440" s="15"/>
      <c r="B440" s="10"/>
      <c r="C440" s="14"/>
      <c r="D440" s="13"/>
      <c r="E440" s="12"/>
      <c r="F440" s="12"/>
      <c r="G440" s="12"/>
      <c r="H440" s="12"/>
      <c r="I440" s="12"/>
      <c r="J440" s="12"/>
      <c r="K440" s="12"/>
      <c r="L440" s="12"/>
      <c r="M440" s="11"/>
      <c r="N440" s="11"/>
      <c r="O440" s="11"/>
      <c r="P440" s="10"/>
      <c r="Q440" s="7" t="s">
        <v>2</v>
      </c>
      <c r="R440" s="7" t="s">
        <v>1</v>
      </c>
    </row>
    <row r="441" spans="1:18" x14ac:dyDescent="0.25">
      <c r="A441" s="6">
        <v>44</v>
      </c>
      <c r="B441" s="4">
        <v>30</v>
      </c>
      <c r="C441" s="5">
        <v>50</v>
      </c>
      <c r="D441" s="4">
        <v>20</v>
      </c>
      <c r="E441" s="3">
        <v>22.5</v>
      </c>
      <c r="F441" s="3">
        <f>1.8*E441+32</f>
        <v>72.5</v>
      </c>
      <c r="G441" s="3">
        <v>16.5</v>
      </c>
      <c r="H441" s="3">
        <f>IF(F441&gt;68,G441+(F441-68)*0.2,G719-(68-F441)*0.2)</f>
        <v>17.399999999999999</v>
      </c>
      <c r="I441" s="3">
        <v>22.5</v>
      </c>
      <c r="J441" s="3">
        <f>1.8*I441+32</f>
        <v>72.5</v>
      </c>
      <c r="K441" s="3">
        <v>10</v>
      </c>
      <c r="L441" s="3">
        <f>IF(J441&gt;68,K441+(J441-68)*0.2,K441-(68-J441)*0.2)</f>
        <v>10.9</v>
      </c>
      <c r="M441" s="3">
        <f>(C441-H441)/C441*100</f>
        <v>65.2</v>
      </c>
      <c r="N441" s="3">
        <f>100-(M441+O441)</f>
        <v>13</v>
      </c>
      <c r="O441" s="3">
        <f>L441/C441*100</f>
        <v>21.8</v>
      </c>
      <c r="P441" s="2" t="s">
        <v>0</v>
      </c>
      <c r="Q441" s="1">
        <v>409055.76866399997</v>
      </c>
      <c r="R441" s="1">
        <v>3659261.2135859998</v>
      </c>
    </row>
    <row r="442" spans="1:18" x14ac:dyDescent="0.25">
      <c r="A442" s="6">
        <v>44</v>
      </c>
      <c r="B442" s="4">
        <v>60</v>
      </c>
      <c r="C442" s="5">
        <v>50</v>
      </c>
      <c r="D442" s="4">
        <v>20</v>
      </c>
      <c r="E442" s="3">
        <v>23</v>
      </c>
      <c r="F442" s="3">
        <f>1.8*E442+32</f>
        <v>73.400000000000006</v>
      </c>
      <c r="G442" s="3">
        <v>21</v>
      </c>
      <c r="H442" s="3">
        <f>IF(F442&gt;68,G442+(F442-68)*0.2,G720-(68-F442)*0.2)</f>
        <v>22.080000000000002</v>
      </c>
      <c r="I442" s="3">
        <v>22.8</v>
      </c>
      <c r="J442" s="3">
        <f>1.8*I442+32</f>
        <v>73.039999999999992</v>
      </c>
      <c r="K442" s="3">
        <v>12</v>
      </c>
      <c r="L442" s="3">
        <f>IF(J442&gt;68,K442+(J442-68)*0.2,K442-(68-J442)*0.2)</f>
        <v>13.007999999999999</v>
      </c>
      <c r="M442" s="3">
        <f>(C442-H442)/C442*100</f>
        <v>55.84</v>
      </c>
      <c r="N442" s="3">
        <f>100-(M442+O442)</f>
        <v>18.143999999999991</v>
      </c>
      <c r="O442" s="3">
        <f>L442/C442*100</f>
        <v>26.016000000000002</v>
      </c>
      <c r="P442" s="2" t="s">
        <v>0</v>
      </c>
      <c r="Q442" s="1">
        <v>409055.76866399997</v>
      </c>
      <c r="R442" s="1">
        <v>3659261.2135859998</v>
      </c>
    </row>
    <row r="443" spans="1:18" x14ac:dyDescent="0.25">
      <c r="A443" s="6">
        <v>44</v>
      </c>
      <c r="B443" s="4">
        <v>90</v>
      </c>
      <c r="C443" s="5">
        <v>50.01</v>
      </c>
      <c r="D443" s="4">
        <v>20</v>
      </c>
      <c r="E443" s="3">
        <v>23</v>
      </c>
      <c r="F443" s="3">
        <f>1.8*E443+32</f>
        <v>73.400000000000006</v>
      </c>
      <c r="G443" s="3">
        <v>26</v>
      </c>
      <c r="H443" s="3">
        <f>IF(F443&gt;68,G443+(F443-68)*0.2,G721-(68-F443)*0.2)</f>
        <v>27.080000000000002</v>
      </c>
      <c r="I443" s="3">
        <v>22.8</v>
      </c>
      <c r="J443" s="3">
        <f>1.8*I443+32</f>
        <v>73.039999999999992</v>
      </c>
      <c r="K443" s="3">
        <v>16.5</v>
      </c>
      <c r="L443" s="3">
        <f>IF(J443&gt;68,K443+(J443-68)*0.2,K443-(68-J443)*0.2)</f>
        <v>17.507999999999999</v>
      </c>
      <c r="M443" s="3">
        <f>(C443-H443)/C443*100</f>
        <v>45.850829834033185</v>
      </c>
      <c r="N443" s="3">
        <f>100-(M443+O443)</f>
        <v>19.140171965606896</v>
      </c>
      <c r="O443" s="3">
        <f>L443/C443*100</f>
        <v>35.008998200359926</v>
      </c>
      <c r="P443" s="2" t="s">
        <v>0</v>
      </c>
      <c r="Q443" s="1">
        <v>409055.76866399997</v>
      </c>
      <c r="R443" s="1">
        <v>3659261.2135859998</v>
      </c>
    </row>
    <row r="444" spans="1:18" x14ac:dyDescent="0.25">
      <c r="A444" s="6">
        <v>44</v>
      </c>
      <c r="B444" s="4">
        <v>120</v>
      </c>
      <c r="C444" s="5">
        <v>50</v>
      </c>
      <c r="D444" s="4">
        <v>20</v>
      </c>
      <c r="E444" s="3">
        <v>23</v>
      </c>
      <c r="F444" s="3">
        <f>1.8*E444+32</f>
        <v>73.400000000000006</v>
      </c>
      <c r="G444" s="3">
        <v>24.5</v>
      </c>
      <c r="H444" s="3">
        <f>IF(F444&gt;68,G444+(F444-68)*0.2,G722-(68-F444)*0.2)</f>
        <v>25.580000000000002</v>
      </c>
      <c r="I444" s="3">
        <v>22.8</v>
      </c>
      <c r="J444" s="3">
        <f>1.8*I444+32</f>
        <v>73.039999999999992</v>
      </c>
      <c r="K444" s="3">
        <v>15.5</v>
      </c>
      <c r="L444" s="3">
        <f>IF(J444&gt;68,K444+(J444-68)*0.2,K444-(68-J444)*0.2)</f>
        <v>16.507999999999999</v>
      </c>
      <c r="M444" s="3">
        <f>(C444-H444)/C444*100</f>
        <v>48.839999999999996</v>
      </c>
      <c r="N444" s="3">
        <f>100-(M444+O444)</f>
        <v>18.144000000000005</v>
      </c>
      <c r="O444" s="3">
        <f>L444/C444*100</f>
        <v>33.015999999999998</v>
      </c>
      <c r="P444" s="2" t="s">
        <v>0</v>
      </c>
      <c r="Q444" s="1">
        <v>409055.76866399997</v>
      </c>
      <c r="R444" s="1">
        <v>3659261.2135859998</v>
      </c>
    </row>
    <row r="445" spans="1:18" x14ac:dyDescent="0.25">
      <c r="A445" s="6">
        <v>44</v>
      </c>
      <c r="B445" s="4">
        <v>150</v>
      </c>
      <c r="C445" s="5">
        <v>50</v>
      </c>
      <c r="D445" s="4">
        <v>20</v>
      </c>
      <c r="E445" s="3">
        <v>24</v>
      </c>
      <c r="F445" s="3">
        <f>1.8*E445+32</f>
        <v>75.2</v>
      </c>
      <c r="G445" s="3">
        <v>18</v>
      </c>
      <c r="H445" s="3">
        <f>IF(F445&gt;68,G445+(F445-68)*0.2,G723-(68-F445)*0.2)</f>
        <v>19.440000000000001</v>
      </c>
      <c r="I445" s="3">
        <v>23</v>
      </c>
      <c r="J445" s="3">
        <f>1.8*I445+32</f>
        <v>73.400000000000006</v>
      </c>
      <c r="K445" s="3">
        <v>11</v>
      </c>
      <c r="L445" s="3">
        <f>IF(J445&gt;68,K445+(J445-68)*0.2,K445-(68-J445)*0.2)</f>
        <v>12.080000000000002</v>
      </c>
      <c r="M445" s="3">
        <f>(C445-H445)/C445*100</f>
        <v>61.12</v>
      </c>
      <c r="N445" s="3">
        <f>100-(M445+O445)</f>
        <v>14.719999999999999</v>
      </c>
      <c r="O445" s="3">
        <f>L445/C445*100</f>
        <v>24.160000000000004</v>
      </c>
      <c r="P445" s="2" t="s">
        <v>0</v>
      </c>
      <c r="Q445" s="1">
        <v>409055.76866399997</v>
      </c>
      <c r="R445" s="1">
        <v>3659261.2135859998</v>
      </c>
    </row>
    <row r="446" spans="1:18" x14ac:dyDescent="0.25">
      <c r="A446" s="6">
        <v>44</v>
      </c>
      <c r="B446" s="4">
        <v>180</v>
      </c>
      <c r="C446" s="5">
        <v>50</v>
      </c>
      <c r="D446" s="4">
        <v>20</v>
      </c>
      <c r="E446" s="3">
        <v>24</v>
      </c>
      <c r="F446" s="3">
        <f>1.8*E446+32</f>
        <v>75.2</v>
      </c>
      <c r="G446" s="3">
        <v>15</v>
      </c>
      <c r="H446" s="3">
        <f>IF(F446&gt;68,G446+(F446-68)*0.2,G724-(68-F446)*0.2)</f>
        <v>16.440000000000001</v>
      </c>
      <c r="I446" s="3">
        <v>23</v>
      </c>
      <c r="J446" s="3">
        <f>1.8*I446+32</f>
        <v>73.400000000000006</v>
      </c>
      <c r="K446" s="3">
        <v>8.5</v>
      </c>
      <c r="L446" s="3">
        <f>IF(J446&gt;68,K446+(J446-68)*0.2,K446-(68-J446)*0.2)</f>
        <v>9.5800000000000018</v>
      </c>
      <c r="M446" s="3">
        <f>(C446-H446)/C446*100</f>
        <v>67.12</v>
      </c>
      <c r="N446" s="3">
        <f>100-(M446+O446)</f>
        <v>13.719999999999999</v>
      </c>
      <c r="O446" s="3">
        <f>L446/C446*100</f>
        <v>19.160000000000004</v>
      </c>
      <c r="P446" s="2" t="s">
        <v>20</v>
      </c>
      <c r="Q446" s="1">
        <v>409055.76866399997</v>
      </c>
      <c r="R446" s="1">
        <v>3659261.2135859998</v>
      </c>
    </row>
    <row r="447" spans="1:18" x14ac:dyDescent="0.25">
      <c r="A447" s="6">
        <v>44</v>
      </c>
      <c r="B447" s="4">
        <v>210</v>
      </c>
      <c r="C447" s="5">
        <v>50</v>
      </c>
      <c r="D447" s="4">
        <v>20</v>
      </c>
      <c r="E447" s="3">
        <v>24</v>
      </c>
      <c r="F447" s="3">
        <f>1.8*E447+32</f>
        <v>75.2</v>
      </c>
      <c r="G447" s="3">
        <v>22.5</v>
      </c>
      <c r="H447" s="3">
        <f>IF(F447&gt;68,G447+(F447-68)*0.2,G725-(68-F447)*0.2)</f>
        <v>23.94</v>
      </c>
      <c r="I447" s="3">
        <v>23</v>
      </c>
      <c r="J447" s="3">
        <f>1.8*I447+32</f>
        <v>73.400000000000006</v>
      </c>
      <c r="K447" s="3">
        <v>12.5</v>
      </c>
      <c r="L447" s="3">
        <f>IF(J447&gt;68,K447+(J447-68)*0.2,K447-(68-J447)*0.2)</f>
        <v>13.580000000000002</v>
      </c>
      <c r="M447" s="3">
        <f>(C447-H447)/C447*100</f>
        <v>52.12</v>
      </c>
      <c r="N447" s="3">
        <f>100-(M447+O447)</f>
        <v>20.72</v>
      </c>
      <c r="O447" s="3">
        <f>L447/C447*100</f>
        <v>27.160000000000007</v>
      </c>
      <c r="P447" s="2" t="s">
        <v>0</v>
      </c>
      <c r="Q447" s="1">
        <v>409055.76866399997</v>
      </c>
      <c r="R447" s="1">
        <v>3659261.2135859998</v>
      </c>
    </row>
    <row r="448" spans="1:18" x14ac:dyDescent="0.25">
      <c r="A448" s="6">
        <v>44</v>
      </c>
      <c r="B448" s="4">
        <v>240</v>
      </c>
      <c r="C448" s="5">
        <v>50.01</v>
      </c>
      <c r="D448" s="4">
        <v>20</v>
      </c>
      <c r="E448" s="3">
        <v>24</v>
      </c>
      <c r="F448" s="3">
        <f>1.8*E448+32</f>
        <v>75.2</v>
      </c>
      <c r="G448" s="3">
        <v>19</v>
      </c>
      <c r="H448" s="3">
        <f>IF(F448&gt;68,G448+(F448-68)*0.2,G726-(68-F448)*0.2)</f>
        <v>20.440000000000001</v>
      </c>
      <c r="I448" s="3">
        <v>23</v>
      </c>
      <c r="J448" s="3">
        <f>1.8*I448+32</f>
        <v>73.400000000000006</v>
      </c>
      <c r="K448" s="3">
        <v>10</v>
      </c>
      <c r="L448" s="3">
        <f>IF(J448&gt;68,K448+(J448-68)*0.2,K448-(68-J448)*0.2)</f>
        <v>11.080000000000002</v>
      </c>
      <c r="M448" s="3">
        <f>(C448-H448)/C448*100</f>
        <v>59.128174365126974</v>
      </c>
      <c r="N448" s="3">
        <f>100-(M448+O448)</f>
        <v>18.716256748650267</v>
      </c>
      <c r="O448" s="3">
        <f>L448/C448*100</f>
        <v>22.15556888622276</v>
      </c>
      <c r="P448" s="2" t="s">
        <v>0</v>
      </c>
      <c r="Q448" s="1">
        <v>409055.76866399997</v>
      </c>
      <c r="R448" s="1">
        <v>3659261.2135859998</v>
      </c>
    </row>
    <row r="449" spans="1:18" x14ac:dyDescent="0.25">
      <c r="A449" s="6">
        <v>44</v>
      </c>
      <c r="B449" s="4">
        <v>270</v>
      </c>
      <c r="C449" s="5">
        <v>50.01</v>
      </c>
      <c r="D449" s="4">
        <v>20</v>
      </c>
      <c r="E449" s="3">
        <v>24</v>
      </c>
      <c r="F449" s="3">
        <f>1.8*E449+32</f>
        <v>75.2</v>
      </c>
      <c r="G449" s="3">
        <v>16</v>
      </c>
      <c r="H449" s="3">
        <f>IF(F449&gt;68,G449+(F449-68)*0.2,G727-(68-F449)*0.2)</f>
        <v>17.440000000000001</v>
      </c>
      <c r="I449" s="3">
        <v>23</v>
      </c>
      <c r="J449" s="3">
        <f>1.8*I449+32</f>
        <v>73.400000000000006</v>
      </c>
      <c r="K449" s="3">
        <v>9</v>
      </c>
      <c r="L449" s="3">
        <f>IF(J449&gt;68,K449+(J449-68)*0.2,K449-(68-J449)*0.2)</f>
        <v>10.080000000000002</v>
      </c>
      <c r="M449" s="3">
        <f>(C449-H449)/C449*100</f>
        <v>65.126974605078971</v>
      </c>
      <c r="N449" s="3">
        <f>100-(M449+O449)</f>
        <v>14.717056588682283</v>
      </c>
      <c r="O449" s="3">
        <f>L449/C449*100</f>
        <v>20.155968806238754</v>
      </c>
      <c r="P449" s="2" t="s">
        <v>0</v>
      </c>
      <c r="Q449" s="1">
        <v>409055.76866399997</v>
      </c>
      <c r="R449" s="1">
        <v>3659261.2135859998</v>
      </c>
    </row>
    <row r="450" spans="1:18" x14ac:dyDescent="0.25">
      <c r="A450" s="6">
        <v>44</v>
      </c>
      <c r="B450" s="4">
        <v>300</v>
      </c>
      <c r="C450" s="5">
        <v>50</v>
      </c>
      <c r="D450" s="4">
        <v>20</v>
      </c>
      <c r="E450" s="3">
        <v>24</v>
      </c>
      <c r="F450" s="3">
        <f>1.8*E450+32</f>
        <v>75.2</v>
      </c>
      <c r="G450" s="3">
        <v>16.5</v>
      </c>
      <c r="H450" s="3">
        <f>IF(F450&gt;68,G450+(F450-68)*0.2,G728-(68-F450)*0.2)</f>
        <v>17.940000000000001</v>
      </c>
      <c r="I450" s="3">
        <v>23</v>
      </c>
      <c r="J450" s="3">
        <f>1.8*I450+32</f>
        <v>73.400000000000006</v>
      </c>
      <c r="K450" s="3">
        <v>9</v>
      </c>
      <c r="L450" s="3">
        <f>IF(J450&gt;68,K450+(J450-68)*0.2,K450-(68-J450)*0.2)</f>
        <v>10.080000000000002</v>
      </c>
      <c r="M450" s="3">
        <f>(C450-H450)/C450*100</f>
        <v>64.12</v>
      </c>
      <c r="N450" s="3">
        <f>100-(M450+O450)</f>
        <v>15.719999999999999</v>
      </c>
      <c r="O450" s="3">
        <f>L450/C450*100</f>
        <v>20.160000000000004</v>
      </c>
      <c r="P450" s="2" t="s">
        <v>0</v>
      </c>
      <c r="Q450" s="1">
        <v>409055.76866399997</v>
      </c>
      <c r="R450" s="1">
        <v>3659261.2135859998</v>
      </c>
    </row>
    <row r="451" spans="1:18" x14ac:dyDescent="0.25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</row>
    <row r="452" spans="1:18" ht="51.75" x14ac:dyDescent="0.25">
      <c r="A452" s="15" t="s">
        <v>19</v>
      </c>
      <c r="B452" s="10" t="s">
        <v>18</v>
      </c>
      <c r="C452" s="14" t="s">
        <v>17</v>
      </c>
      <c r="D452" s="13" t="s">
        <v>16</v>
      </c>
      <c r="E452" s="12" t="s">
        <v>15</v>
      </c>
      <c r="F452" s="12" t="s">
        <v>14</v>
      </c>
      <c r="G452" s="12" t="s">
        <v>13</v>
      </c>
      <c r="H452" s="12" t="s">
        <v>12</v>
      </c>
      <c r="I452" s="12" t="s">
        <v>11</v>
      </c>
      <c r="J452" s="12" t="s">
        <v>10</v>
      </c>
      <c r="K452" s="12" t="s">
        <v>9</v>
      </c>
      <c r="L452" s="12" t="s">
        <v>8</v>
      </c>
      <c r="M452" s="11" t="s">
        <v>7</v>
      </c>
      <c r="N452" s="11" t="s">
        <v>6</v>
      </c>
      <c r="O452" s="11" t="s">
        <v>5</v>
      </c>
      <c r="P452" s="10" t="s">
        <v>4</v>
      </c>
      <c r="Q452" s="44" t="s">
        <v>3</v>
      </c>
      <c r="R452" s="44"/>
    </row>
    <row r="453" spans="1:18" x14ac:dyDescent="0.25">
      <c r="A453" s="15"/>
      <c r="B453" s="10"/>
      <c r="C453" s="14"/>
      <c r="D453" s="13"/>
      <c r="E453" s="12"/>
      <c r="F453" s="12"/>
      <c r="G453" s="12"/>
      <c r="H453" s="12"/>
      <c r="I453" s="12"/>
      <c r="J453" s="12"/>
      <c r="K453" s="12"/>
      <c r="L453" s="12"/>
      <c r="M453" s="11"/>
      <c r="N453" s="11"/>
      <c r="O453" s="11"/>
      <c r="P453" s="10"/>
      <c r="Q453" s="7" t="s">
        <v>2</v>
      </c>
      <c r="R453" s="7" t="s">
        <v>1</v>
      </c>
    </row>
    <row r="454" spans="1:18" x14ac:dyDescent="0.25">
      <c r="A454" s="6">
        <v>45</v>
      </c>
      <c r="B454" s="4">
        <v>30</v>
      </c>
      <c r="C454" s="5">
        <v>50</v>
      </c>
      <c r="D454" s="4">
        <v>20</v>
      </c>
      <c r="E454" s="3">
        <v>23</v>
      </c>
      <c r="F454" s="3">
        <f>1.8*E454+32</f>
        <v>73.400000000000006</v>
      </c>
      <c r="G454" s="3">
        <v>16</v>
      </c>
      <c r="H454" s="3">
        <f>IF(F454&gt;68,G454+(F454-68)*0.2,G663-(68-F454)*0.2)</f>
        <v>17.080000000000002</v>
      </c>
      <c r="I454" s="3">
        <v>22</v>
      </c>
      <c r="J454" s="3">
        <f>1.8*I454+32</f>
        <v>71.599999999999994</v>
      </c>
      <c r="K454" s="3">
        <v>8.5</v>
      </c>
      <c r="L454" s="3">
        <f>IF(J454&gt;68,K454+(J454-68)*0.2,K454-(68-J454)*0.2)</f>
        <v>9.2199999999999989</v>
      </c>
      <c r="M454" s="3">
        <f>(C454-H454)/C454*100</f>
        <v>65.84</v>
      </c>
      <c r="N454" s="3">
        <f>100-(M454+O454)</f>
        <v>15.719999999999999</v>
      </c>
      <c r="O454" s="3">
        <f>L454/C454*100</f>
        <v>18.439999999999998</v>
      </c>
      <c r="P454" s="2" t="s">
        <v>20</v>
      </c>
      <c r="Q454" s="1">
        <v>409067.93343199999</v>
      </c>
      <c r="R454" s="1">
        <v>3659261.0061369999</v>
      </c>
    </row>
    <row r="455" spans="1:18" x14ac:dyDescent="0.25">
      <c r="A455" s="6">
        <v>45</v>
      </c>
      <c r="B455" s="4">
        <v>60</v>
      </c>
      <c r="C455" s="5">
        <v>50.01</v>
      </c>
      <c r="D455" s="4">
        <v>20</v>
      </c>
      <c r="E455" s="3">
        <v>23</v>
      </c>
      <c r="F455" s="3">
        <f>1.8*E455+32</f>
        <v>73.400000000000006</v>
      </c>
      <c r="G455" s="3">
        <v>17.5</v>
      </c>
      <c r="H455" s="3">
        <f>IF(F455&gt;68,G455+(F455-68)*0.2,G664-(68-F455)*0.2)</f>
        <v>18.580000000000002</v>
      </c>
      <c r="I455" s="3">
        <v>22</v>
      </c>
      <c r="J455" s="3">
        <f>1.8*I455+32</f>
        <v>71.599999999999994</v>
      </c>
      <c r="K455" s="3">
        <v>10</v>
      </c>
      <c r="L455" s="3">
        <f>IF(J455&gt;68,K455+(J455-68)*0.2,K455-(68-J455)*0.2)</f>
        <v>10.719999999999999</v>
      </c>
      <c r="M455" s="3">
        <f>(C455-H455)/C455*100</f>
        <v>62.847430513897216</v>
      </c>
      <c r="N455" s="3">
        <f>100-(M455+O455)</f>
        <v>15.716856628674265</v>
      </c>
      <c r="O455" s="3">
        <f>L455/C455*100</f>
        <v>21.435712857428513</v>
      </c>
      <c r="P455" s="2" t="s">
        <v>0</v>
      </c>
      <c r="Q455" s="1">
        <v>409067.93343199999</v>
      </c>
      <c r="R455" s="1">
        <v>3659261.0061369999</v>
      </c>
    </row>
    <row r="456" spans="1:18" x14ac:dyDescent="0.25">
      <c r="A456" s="6">
        <v>45</v>
      </c>
      <c r="B456" s="4">
        <v>90</v>
      </c>
      <c r="C456" s="5">
        <v>50.01</v>
      </c>
      <c r="D456" s="4">
        <v>20</v>
      </c>
      <c r="E456" s="3">
        <v>22.5</v>
      </c>
      <c r="F456" s="3">
        <f>1.8*E456+32</f>
        <v>72.5</v>
      </c>
      <c r="G456" s="3">
        <v>24</v>
      </c>
      <c r="H456" s="3">
        <f>IF(F456&gt;68,G456+(F456-68)*0.2,G665-(68-F456)*0.2)</f>
        <v>24.9</v>
      </c>
      <c r="I456" s="3">
        <v>22</v>
      </c>
      <c r="J456" s="3">
        <f>1.8*I456+32</f>
        <v>71.599999999999994</v>
      </c>
      <c r="K456" s="3">
        <v>15.5</v>
      </c>
      <c r="L456" s="3">
        <f>IF(J456&gt;68,K456+(J456-68)*0.2,K456-(68-J456)*0.2)</f>
        <v>16.22</v>
      </c>
      <c r="M456" s="3">
        <f>(C456-H456)/C456*100</f>
        <v>50.209958008398324</v>
      </c>
      <c r="N456" s="3">
        <f>100-(M456+O456)</f>
        <v>17.356528694261144</v>
      </c>
      <c r="O456" s="3">
        <f>L456/C456*100</f>
        <v>32.433513297340532</v>
      </c>
      <c r="P456" s="2" t="s">
        <v>0</v>
      </c>
      <c r="Q456" s="1">
        <v>409067.93343199999</v>
      </c>
      <c r="R456" s="1">
        <v>3659261.0061369999</v>
      </c>
    </row>
    <row r="457" spans="1:18" x14ac:dyDescent="0.25">
      <c r="A457" s="6">
        <v>45</v>
      </c>
      <c r="B457" s="4">
        <v>120</v>
      </c>
      <c r="C457" s="5">
        <v>50</v>
      </c>
      <c r="D457" s="4">
        <v>20</v>
      </c>
      <c r="E457" s="3">
        <v>22.5</v>
      </c>
      <c r="F457" s="3">
        <f>1.8*E457+32</f>
        <v>72.5</v>
      </c>
      <c r="G457" s="3">
        <v>21</v>
      </c>
      <c r="H457" s="3">
        <f>IF(F457&gt;68,G457+(F457-68)*0.2,G666-(68-F457)*0.2)</f>
        <v>21.9</v>
      </c>
      <c r="I457" s="3">
        <v>22</v>
      </c>
      <c r="J457" s="3">
        <f>1.8*I457+32</f>
        <v>71.599999999999994</v>
      </c>
      <c r="K457" s="3">
        <v>13.5</v>
      </c>
      <c r="L457" s="3">
        <f>IF(J457&gt;68,K457+(J457-68)*0.2,K457-(68-J457)*0.2)</f>
        <v>14.219999999999999</v>
      </c>
      <c r="M457" s="3">
        <f>(C457-H457)/C457*100</f>
        <v>56.2</v>
      </c>
      <c r="N457" s="3">
        <f>100-(M457+O457)</f>
        <v>15.36</v>
      </c>
      <c r="O457" s="3">
        <f>L457/C457*100</f>
        <v>28.439999999999998</v>
      </c>
      <c r="P457" s="2" t="s">
        <v>0</v>
      </c>
      <c r="Q457" s="1">
        <v>409067.93343199999</v>
      </c>
      <c r="R457" s="1">
        <v>3659261.0061369999</v>
      </c>
    </row>
    <row r="458" spans="1:18" x14ac:dyDescent="0.25">
      <c r="A458" s="6">
        <v>45</v>
      </c>
      <c r="B458" s="4">
        <v>150</v>
      </c>
      <c r="C458" s="5">
        <v>50.01</v>
      </c>
      <c r="D458" s="4">
        <v>20</v>
      </c>
      <c r="E458" s="3">
        <v>22.5</v>
      </c>
      <c r="F458" s="3">
        <f>1.8*E458+32</f>
        <v>72.5</v>
      </c>
      <c r="G458" s="3">
        <v>21</v>
      </c>
      <c r="H458" s="3">
        <f>IF(F458&gt;68,G458+(F458-68)*0.2,G667-(68-F458)*0.2)</f>
        <v>21.9</v>
      </c>
      <c r="I458" s="3">
        <v>22</v>
      </c>
      <c r="J458" s="3">
        <f>1.8*I458+32</f>
        <v>71.599999999999994</v>
      </c>
      <c r="K458" s="3">
        <v>13</v>
      </c>
      <c r="L458" s="3">
        <f>IF(J458&gt;68,K458+(J458-68)*0.2,K458-(68-J458)*0.2)</f>
        <v>13.719999999999999</v>
      </c>
      <c r="M458" s="3">
        <f>(C458-H458)/C458*100</f>
        <v>56.208758248350335</v>
      </c>
      <c r="N458" s="3">
        <f>100-(M458+O458)</f>
        <v>16.356728654269148</v>
      </c>
      <c r="O458" s="3">
        <f>L458/C458*100</f>
        <v>27.434513097380524</v>
      </c>
      <c r="P458" s="2" t="s">
        <v>0</v>
      </c>
      <c r="Q458" s="1">
        <v>409067.93343199999</v>
      </c>
      <c r="R458" s="1">
        <v>3659261.0061369999</v>
      </c>
    </row>
    <row r="459" spans="1:18" x14ac:dyDescent="0.25">
      <c r="A459" s="6">
        <v>45</v>
      </c>
      <c r="B459" s="4">
        <v>180</v>
      </c>
      <c r="C459" s="5">
        <v>50</v>
      </c>
      <c r="D459" s="4">
        <v>20</v>
      </c>
      <c r="E459" s="3">
        <v>22.5</v>
      </c>
      <c r="F459" s="3">
        <f>1.8*E459+32</f>
        <v>72.5</v>
      </c>
      <c r="G459" s="3">
        <v>15.5</v>
      </c>
      <c r="H459" s="3">
        <f>IF(F459&gt;68,G459+(F459-68)*0.2,G668-(68-F459)*0.2)</f>
        <v>16.399999999999999</v>
      </c>
      <c r="I459" s="3">
        <v>22</v>
      </c>
      <c r="J459" s="3">
        <f>1.8*I459+32</f>
        <v>71.599999999999994</v>
      </c>
      <c r="K459" s="3">
        <v>10.5</v>
      </c>
      <c r="L459" s="3">
        <f>IF(J459&gt;68,K459+(J459-68)*0.2,K459-(68-J459)*0.2)</f>
        <v>11.219999999999999</v>
      </c>
      <c r="M459" s="3">
        <f>(C459-H459)/C459*100</f>
        <v>67.2</v>
      </c>
      <c r="N459" s="3">
        <f>100-(M459+O459)</f>
        <v>10.36</v>
      </c>
      <c r="O459" s="3">
        <f>L459/C459*100</f>
        <v>22.439999999999998</v>
      </c>
      <c r="P459" s="2" t="s">
        <v>0</v>
      </c>
      <c r="Q459" s="1">
        <v>409067.93343199999</v>
      </c>
      <c r="R459" s="1">
        <v>3659261.0061369999</v>
      </c>
    </row>
    <row r="460" spans="1:18" x14ac:dyDescent="0.25">
      <c r="A460" s="6">
        <v>45</v>
      </c>
      <c r="B460" s="4">
        <v>210</v>
      </c>
      <c r="C460" s="5">
        <v>50</v>
      </c>
      <c r="D460" s="4">
        <v>20</v>
      </c>
      <c r="E460" s="3">
        <v>22.5</v>
      </c>
      <c r="F460" s="3">
        <f>1.8*E460+32</f>
        <v>72.5</v>
      </c>
      <c r="G460" s="3">
        <v>15</v>
      </c>
      <c r="H460" s="3">
        <f>IF(F460&gt;68,G460+(F460-68)*0.2,G669-(68-F460)*0.2)</f>
        <v>15.9</v>
      </c>
      <c r="I460" s="3">
        <v>22</v>
      </c>
      <c r="J460" s="3">
        <f>1.8*I460+32</f>
        <v>71.599999999999994</v>
      </c>
      <c r="K460" s="3">
        <v>10</v>
      </c>
      <c r="L460" s="3">
        <f>IF(J460&gt;68,K460+(J460-68)*0.2,K460-(68-J460)*0.2)</f>
        <v>10.719999999999999</v>
      </c>
      <c r="M460" s="3">
        <f>(C460-H460)/C460*100</f>
        <v>68.2</v>
      </c>
      <c r="N460" s="3">
        <f>100-(M460+O460)</f>
        <v>10.36</v>
      </c>
      <c r="O460" s="3">
        <f>L460/C460*100</f>
        <v>21.439999999999998</v>
      </c>
      <c r="P460" s="2" t="s">
        <v>0</v>
      </c>
      <c r="Q460" s="1">
        <v>409067.93343199999</v>
      </c>
      <c r="R460" s="1">
        <v>3659261.0061369999</v>
      </c>
    </row>
    <row r="461" spans="1:18" x14ac:dyDescent="0.25">
      <c r="A461" s="6">
        <v>45</v>
      </c>
      <c r="B461" s="4">
        <v>240</v>
      </c>
      <c r="C461" s="5">
        <v>50.01</v>
      </c>
      <c r="D461" s="4">
        <v>20</v>
      </c>
      <c r="E461" s="3">
        <v>22.5</v>
      </c>
      <c r="F461" s="3">
        <f>1.8*E461+32</f>
        <v>72.5</v>
      </c>
      <c r="G461" s="3">
        <v>14</v>
      </c>
      <c r="H461" s="3">
        <f>IF(F461&gt;68,G461+(F461-68)*0.2,G670-(68-F461)*0.2)</f>
        <v>14.9</v>
      </c>
      <c r="I461" s="3">
        <v>22</v>
      </c>
      <c r="J461" s="3">
        <f>1.8*I461+32</f>
        <v>71.599999999999994</v>
      </c>
      <c r="K461" s="3">
        <v>11</v>
      </c>
      <c r="L461" s="3">
        <f>IF(J461&gt;68,K461+(J461-68)*0.2,K461-(68-J461)*0.2)</f>
        <v>11.719999999999999</v>
      </c>
      <c r="M461" s="3">
        <f>(C461-H461)/C461*100</f>
        <v>70.20595880823835</v>
      </c>
      <c r="N461" s="3">
        <f>100-(M461+O461)</f>
        <v>6.3587282543491312</v>
      </c>
      <c r="O461" s="3">
        <f>L461/C461*100</f>
        <v>23.435312937412515</v>
      </c>
      <c r="P461" s="2" t="s">
        <v>0</v>
      </c>
      <c r="Q461" s="1">
        <v>409067.93343199999</v>
      </c>
      <c r="R461" s="1">
        <v>3659261.0061369999</v>
      </c>
    </row>
    <row r="462" spans="1:18" x14ac:dyDescent="0.25">
      <c r="A462" s="6">
        <v>45</v>
      </c>
      <c r="B462" s="4">
        <v>270</v>
      </c>
      <c r="C462" s="5">
        <v>50.01</v>
      </c>
      <c r="D462" s="4">
        <v>20</v>
      </c>
      <c r="E462" s="3">
        <v>22.5</v>
      </c>
      <c r="F462" s="3">
        <f>1.8*E462+32</f>
        <v>72.5</v>
      </c>
      <c r="G462" s="3">
        <v>9</v>
      </c>
      <c r="H462" s="3">
        <f>IF(F462&gt;68,G462+(F462-68)*0.2,G671-(68-F462)*0.2)</f>
        <v>9.9</v>
      </c>
      <c r="I462" s="3">
        <v>22</v>
      </c>
      <c r="J462" s="3">
        <f>1.8*I462+32</f>
        <v>71.599999999999994</v>
      </c>
      <c r="K462" s="3">
        <v>8</v>
      </c>
      <c r="L462" s="3">
        <f>IF(J462&gt;68,K462+(J462-68)*0.2,K462-(68-J462)*0.2)</f>
        <v>8.7199999999999989</v>
      </c>
      <c r="M462" s="3">
        <f>(C462-H462)/C462*100</f>
        <v>80.203959208158366</v>
      </c>
      <c r="N462" s="3">
        <f>100-(M462+O462)</f>
        <v>2.359528094381119</v>
      </c>
      <c r="O462" s="3">
        <f>L462/C462*100</f>
        <v>17.436512697460508</v>
      </c>
      <c r="P462" s="2" t="s">
        <v>20</v>
      </c>
      <c r="Q462" s="1">
        <v>409067.93343199999</v>
      </c>
      <c r="R462" s="1">
        <v>3659261.0061369999</v>
      </c>
    </row>
    <row r="463" spans="1:18" x14ac:dyDescent="0.25">
      <c r="A463" s="6">
        <v>45</v>
      </c>
      <c r="B463" s="4">
        <v>300</v>
      </c>
      <c r="C463" s="5">
        <v>50.01</v>
      </c>
      <c r="D463" s="4">
        <v>20</v>
      </c>
      <c r="E463" s="3">
        <v>22.5</v>
      </c>
      <c r="F463" s="3">
        <f>1.8*E463+32</f>
        <v>72.5</v>
      </c>
      <c r="G463" s="3">
        <v>8.5</v>
      </c>
      <c r="H463" s="3">
        <f>IF(F463&gt;68,G463+(F463-68)*0.2,G672-(68-F463)*0.2)</f>
        <v>9.4</v>
      </c>
      <c r="I463" s="3">
        <v>22</v>
      </c>
      <c r="J463" s="3">
        <f>1.8*I463+32</f>
        <v>71.599999999999994</v>
      </c>
      <c r="K463" s="3">
        <v>7</v>
      </c>
      <c r="L463" s="3">
        <f>IF(J463&gt;68,K463+(J463-68)*0.2,K463-(68-J463)*0.2)</f>
        <v>7.7199999999999989</v>
      </c>
      <c r="M463" s="3">
        <f>(C463-H463)/C463*100</f>
        <v>81.203759248150376</v>
      </c>
      <c r="N463" s="3">
        <f>100-(M463+O463)</f>
        <v>3.3593281343731149</v>
      </c>
      <c r="O463" s="3">
        <f>L463/C463*100</f>
        <v>15.436912617476503</v>
      </c>
      <c r="P463" s="2" t="s">
        <v>20</v>
      </c>
      <c r="Q463" s="1">
        <v>409067.93343199999</v>
      </c>
      <c r="R463" s="1">
        <v>3659261.0061369999</v>
      </c>
    </row>
    <row r="464" spans="1:18" x14ac:dyDescent="0.25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</row>
    <row r="465" spans="1:18" ht="51.75" x14ac:dyDescent="0.25">
      <c r="A465" s="15" t="s">
        <v>19</v>
      </c>
      <c r="B465" s="10" t="s">
        <v>18</v>
      </c>
      <c r="C465" s="14" t="s">
        <v>17</v>
      </c>
      <c r="D465" s="13" t="s">
        <v>16</v>
      </c>
      <c r="E465" s="12" t="s">
        <v>15</v>
      </c>
      <c r="F465" s="12" t="s">
        <v>14</v>
      </c>
      <c r="G465" s="12" t="s">
        <v>13</v>
      </c>
      <c r="H465" s="12" t="s">
        <v>12</v>
      </c>
      <c r="I465" s="12" t="s">
        <v>11</v>
      </c>
      <c r="J465" s="12" t="s">
        <v>10</v>
      </c>
      <c r="K465" s="12" t="s">
        <v>9</v>
      </c>
      <c r="L465" s="12" t="s">
        <v>8</v>
      </c>
      <c r="M465" s="11" t="s">
        <v>7</v>
      </c>
      <c r="N465" s="11" t="s">
        <v>6</v>
      </c>
      <c r="O465" s="11" t="s">
        <v>5</v>
      </c>
      <c r="P465" s="10" t="s">
        <v>4</v>
      </c>
      <c r="Q465" s="44" t="s">
        <v>3</v>
      </c>
      <c r="R465" s="44"/>
    </row>
    <row r="466" spans="1:18" x14ac:dyDescent="0.25">
      <c r="A466" s="15"/>
      <c r="B466" s="10"/>
      <c r="C466" s="14"/>
      <c r="D466" s="13"/>
      <c r="E466" s="12"/>
      <c r="F466" s="12"/>
      <c r="G466" s="12"/>
      <c r="H466" s="12"/>
      <c r="I466" s="12"/>
      <c r="J466" s="12"/>
      <c r="K466" s="12"/>
      <c r="L466" s="12"/>
      <c r="M466" s="11"/>
      <c r="N466" s="11"/>
      <c r="O466" s="11"/>
      <c r="P466" s="10"/>
      <c r="Q466" s="7" t="s">
        <v>2</v>
      </c>
      <c r="R466" s="7" t="s">
        <v>1</v>
      </c>
    </row>
    <row r="467" spans="1:18" x14ac:dyDescent="0.25">
      <c r="A467" s="6">
        <v>46</v>
      </c>
      <c r="B467" s="4">
        <v>30</v>
      </c>
      <c r="C467" s="5">
        <v>50</v>
      </c>
      <c r="D467" s="4">
        <v>20</v>
      </c>
      <c r="E467" s="3">
        <v>23</v>
      </c>
      <c r="F467" s="3">
        <f>1.8*E467+32</f>
        <v>73.400000000000006</v>
      </c>
      <c r="G467" s="3">
        <v>16.5</v>
      </c>
      <c r="H467" s="3">
        <f>IF(F467&gt;68,G467+(F467-68)*0.2,G75-(68-F467)*0.2)</f>
        <v>17.580000000000002</v>
      </c>
      <c r="I467" s="3">
        <v>23</v>
      </c>
      <c r="J467" s="3">
        <f>1.8*I467+32</f>
        <v>73.400000000000006</v>
      </c>
      <c r="K467" s="3">
        <v>9.5</v>
      </c>
      <c r="L467" s="3">
        <f>IF(J467&gt;68,K467+(J467-68)*0.2,K467-(68-J467)*0.2)</f>
        <v>10.580000000000002</v>
      </c>
      <c r="M467" s="3">
        <f>(C467-H467)/C467*100</f>
        <v>64.84</v>
      </c>
      <c r="N467" s="3">
        <f>100-(M467+O467)</f>
        <v>14</v>
      </c>
      <c r="O467" s="3">
        <f>L467/C467*100</f>
        <v>21.160000000000004</v>
      </c>
      <c r="P467" s="2" t="s">
        <v>0</v>
      </c>
      <c r="Q467" s="1">
        <v>409080.10535199998</v>
      </c>
      <c r="R467" s="1">
        <v>3659260.7985660001</v>
      </c>
    </row>
    <row r="468" spans="1:18" x14ac:dyDescent="0.25">
      <c r="A468" s="6">
        <v>46</v>
      </c>
      <c r="B468" s="4">
        <v>60</v>
      </c>
      <c r="C468" s="5">
        <v>50</v>
      </c>
      <c r="D468" s="4">
        <v>20</v>
      </c>
      <c r="E468" s="3">
        <v>23</v>
      </c>
      <c r="F468" s="3">
        <f>1.8*E468+32</f>
        <v>73.400000000000006</v>
      </c>
      <c r="G468" s="3">
        <v>19</v>
      </c>
      <c r="H468" s="3">
        <f>IF(F468&gt;68,G468+(F468-68)*0.2,#REF!-(68-F468)*0.2)</f>
        <v>20.080000000000002</v>
      </c>
      <c r="I468" s="3">
        <v>23</v>
      </c>
      <c r="J468" s="3">
        <f>1.8*I468+32</f>
        <v>73.400000000000006</v>
      </c>
      <c r="K468" s="3">
        <v>11</v>
      </c>
      <c r="L468" s="3">
        <f>IF(J468&gt;68,K468+(J468-68)*0.2,K468-(68-J468)*0.2)</f>
        <v>12.080000000000002</v>
      </c>
      <c r="M468" s="3">
        <f>(C468-H468)/C468*100</f>
        <v>59.839999999999996</v>
      </c>
      <c r="N468" s="3">
        <f>100-(M468+O468)</f>
        <v>16</v>
      </c>
      <c r="O468" s="3">
        <f>L468/C468*100</f>
        <v>24.160000000000004</v>
      </c>
      <c r="P468" s="2" t="s">
        <v>0</v>
      </c>
      <c r="Q468" s="1">
        <v>409080.10535199998</v>
      </c>
      <c r="R468" s="1">
        <v>3659260.7985660001</v>
      </c>
    </row>
    <row r="469" spans="1:18" x14ac:dyDescent="0.25">
      <c r="A469" s="6">
        <v>46</v>
      </c>
      <c r="B469" s="4">
        <v>90</v>
      </c>
      <c r="C469" s="5">
        <v>50</v>
      </c>
      <c r="D469" s="4">
        <v>20</v>
      </c>
      <c r="E469" s="3">
        <v>23</v>
      </c>
      <c r="F469" s="3">
        <f>1.8*E469+32</f>
        <v>73.400000000000006</v>
      </c>
      <c r="G469" s="3">
        <v>24</v>
      </c>
      <c r="H469" s="3">
        <f>IF(F469&gt;68,G469+(F469-68)*0.2,G77-(68-F469)*0.2)</f>
        <v>25.080000000000002</v>
      </c>
      <c r="I469" s="3">
        <v>23</v>
      </c>
      <c r="J469" s="3">
        <f>1.8*I469+32</f>
        <v>73.400000000000006</v>
      </c>
      <c r="K469" s="3">
        <v>15</v>
      </c>
      <c r="L469" s="3">
        <f>IF(J469&gt;68,K469+(J469-68)*0.2,K469-(68-J469)*0.2)</f>
        <v>16.080000000000002</v>
      </c>
      <c r="M469" s="3">
        <f>(C469-H469)/C469*100</f>
        <v>49.839999999999996</v>
      </c>
      <c r="N469" s="3">
        <f>100-(M469+O469)</f>
        <v>18</v>
      </c>
      <c r="O469" s="3">
        <f>L469/C469*100</f>
        <v>32.160000000000004</v>
      </c>
      <c r="P469" s="2" t="s">
        <v>0</v>
      </c>
      <c r="Q469" s="1">
        <v>409080.10535199998</v>
      </c>
      <c r="R469" s="1">
        <v>3659260.7985660001</v>
      </c>
    </row>
    <row r="470" spans="1:18" x14ac:dyDescent="0.25">
      <c r="A470" s="6">
        <v>46</v>
      </c>
      <c r="B470" s="4">
        <v>120</v>
      </c>
      <c r="C470" s="5">
        <v>50.01</v>
      </c>
      <c r="D470" s="4">
        <v>20</v>
      </c>
      <c r="E470" s="3">
        <v>23.8</v>
      </c>
      <c r="F470" s="3">
        <f>1.8*E470+32</f>
        <v>74.84</v>
      </c>
      <c r="G470" s="3">
        <v>22.5</v>
      </c>
      <c r="H470" s="3">
        <f>IF(F470&gt;68,G470+(F470-68)*0.2,G78-(68-F470)*0.2)</f>
        <v>23.868000000000002</v>
      </c>
      <c r="I470" s="3">
        <v>23</v>
      </c>
      <c r="J470" s="3">
        <f>1.8*I470+32</f>
        <v>73.400000000000006</v>
      </c>
      <c r="K470" s="3">
        <v>16.5</v>
      </c>
      <c r="L470" s="3">
        <f>IF(J470&gt;68,K470+(J470-68)*0.2,K470-(68-J470)*0.2)</f>
        <v>17.580000000000002</v>
      </c>
      <c r="M470" s="3">
        <f>(C470-H470)/C470*100</f>
        <v>52.273545290941804</v>
      </c>
      <c r="N470" s="3">
        <f>100-(M470+O470)</f>
        <v>12.573485302939417</v>
      </c>
      <c r="O470" s="3">
        <f>L470/C470*100</f>
        <v>35.152969406118785</v>
      </c>
      <c r="P470" s="2" t="s">
        <v>21</v>
      </c>
      <c r="Q470" s="1">
        <v>409080.10535199998</v>
      </c>
      <c r="R470" s="1">
        <v>3659260.7985660001</v>
      </c>
    </row>
    <row r="471" spans="1:18" x14ac:dyDescent="0.25">
      <c r="A471" s="6">
        <v>46</v>
      </c>
      <c r="B471" s="4">
        <v>150</v>
      </c>
      <c r="C471" s="5">
        <v>50.01</v>
      </c>
      <c r="D471" s="4">
        <v>20</v>
      </c>
      <c r="E471" s="3">
        <v>24</v>
      </c>
      <c r="F471" s="3">
        <f>1.8*E471+32</f>
        <v>75.2</v>
      </c>
      <c r="G471" s="3">
        <v>20.5</v>
      </c>
      <c r="H471" s="3">
        <f>IF(F471&gt;68,G471+(F471-68)*0.2,G79-(68-F471)*0.2)</f>
        <v>21.94</v>
      </c>
      <c r="I471" s="3">
        <v>23</v>
      </c>
      <c r="J471" s="3">
        <f>1.8*I471+32</f>
        <v>73.400000000000006</v>
      </c>
      <c r="K471" s="3">
        <v>15</v>
      </c>
      <c r="L471" s="3">
        <f>IF(J471&gt;68,K471+(J471-68)*0.2,K471-(68-J471)*0.2)</f>
        <v>16.080000000000002</v>
      </c>
      <c r="M471" s="3">
        <f>(C471-H471)/C471*100</f>
        <v>56.128774245150971</v>
      </c>
      <c r="N471" s="3">
        <f>100-(M471+O471)</f>
        <v>11.717656468706252</v>
      </c>
      <c r="O471" s="3">
        <f>L471/C471*100</f>
        <v>32.153569286142776</v>
      </c>
      <c r="P471" s="2" t="s">
        <v>0</v>
      </c>
      <c r="Q471" s="1">
        <v>409080.10535199998</v>
      </c>
      <c r="R471" s="1">
        <v>3659260.7985660001</v>
      </c>
    </row>
    <row r="472" spans="1:18" x14ac:dyDescent="0.25">
      <c r="A472" s="6">
        <v>46</v>
      </c>
      <c r="B472" s="4">
        <v>180</v>
      </c>
      <c r="C472" s="5">
        <v>50.02</v>
      </c>
      <c r="D472" s="4">
        <v>20</v>
      </c>
      <c r="E472" s="3">
        <v>24</v>
      </c>
      <c r="F472" s="3">
        <f>1.8*E472+32</f>
        <v>75.2</v>
      </c>
      <c r="G472" s="3">
        <v>17.5</v>
      </c>
      <c r="H472" s="3">
        <f>IF(F472&gt;68,G472+(F472-68)*0.2,G80-(68-F472)*0.2)</f>
        <v>18.940000000000001</v>
      </c>
      <c r="I472" s="3">
        <v>23</v>
      </c>
      <c r="J472" s="3">
        <f>1.8*I472+32</f>
        <v>73.400000000000006</v>
      </c>
      <c r="K472" s="3">
        <v>12</v>
      </c>
      <c r="L472" s="3">
        <f>IF(J472&gt;68,K472+(J472-68)*0.2,K472-(68-J472)*0.2)</f>
        <v>13.080000000000002</v>
      </c>
      <c r="M472" s="3">
        <f>(C472-H472)/C472*100</f>
        <v>62.13514594162335</v>
      </c>
      <c r="N472" s="3">
        <f>100-(M472+O472)</f>
        <v>11.715313874450217</v>
      </c>
      <c r="O472" s="3">
        <f>L472/C472*100</f>
        <v>26.149540183926433</v>
      </c>
      <c r="P472" s="2" t="s">
        <v>0</v>
      </c>
      <c r="Q472" s="1">
        <v>409080.10535199998</v>
      </c>
      <c r="R472" s="1">
        <v>3659260.7985660001</v>
      </c>
    </row>
    <row r="473" spans="1:18" x14ac:dyDescent="0.25">
      <c r="A473" s="6">
        <v>46</v>
      </c>
      <c r="B473" s="4">
        <v>210</v>
      </c>
      <c r="C473" s="5">
        <v>50</v>
      </c>
      <c r="D473" s="4">
        <v>20</v>
      </c>
      <c r="E473" s="3">
        <v>24</v>
      </c>
      <c r="F473" s="3">
        <f>1.8*E473+32</f>
        <v>75.2</v>
      </c>
      <c r="G473" s="3">
        <v>12.5</v>
      </c>
      <c r="H473" s="3">
        <f>IF(F473&gt;68,G473+(F473-68)*0.2,G81-(68-F473)*0.2)</f>
        <v>13.940000000000001</v>
      </c>
      <c r="I473" s="3">
        <v>23.2</v>
      </c>
      <c r="J473" s="3">
        <f>1.8*I473+32</f>
        <v>73.759999999999991</v>
      </c>
      <c r="K473" s="3">
        <v>9</v>
      </c>
      <c r="L473" s="3">
        <f>IF(J473&gt;68,K473+(J473-68)*0.2,K473-(68-J473)*0.2)</f>
        <v>10.151999999999997</v>
      </c>
      <c r="M473" s="3">
        <f>(C473-H473)/C473*100</f>
        <v>72.12</v>
      </c>
      <c r="N473" s="3">
        <f>100-(M473+O473)</f>
        <v>7.5759999999999934</v>
      </c>
      <c r="O473" s="3">
        <f>L473/C473*100</f>
        <v>20.303999999999995</v>
      </c>
      <c r="P473" s="2" t="s">
        <v>0</v>
      </c>
      <c r="Q473" s="1">
        <v>409080.10535199998</v>
      </c>
      <c r="R473" s="1">
        <v>3659260.7985660001</v>
      </c>
    </row>
    <row r="474" spans="1:18" x14ac:dyDescent="0.25">
      <c r="A474" s="6">
        <v>46</v>
      </c>
      <c r="B474" s="4">
        <v>240</v>
      </c>
      <c r="C474" s="5">
        <v>49.99</v>
      </c>
      <c r="D474" s="4">
        <v>20</v>
      </c>
      <c r="E474" s="3">
        <v>24</v>
      </c>
      <c r="F474" s="3">
        <f>1.8*E474+32</f>
        <v>75.2</v>
      </c>
      <c r="G474" s="3">
        <v>9.5</v>
      </c>
      <c r="H474" s="3">
        <f>IF(F474&gt;68,G474+(F474-68)*0.2,G82-(68-F474)*0.2)</f>
        <v>10.940000000000001</v>
      </c>
      <c r="I474" s="3">
        <v>23.2</v>
      </c>
      <c r="J474" s="3">
        <f>1.8*I474+32</f>
        <v>73.759999999999991</v>
      </c>
      <c r="K474" s="3">
        <v>10.5</v>
      </c>
      <c r="L474" s="3">
        <f>IF(J474&gt;68,K474+(J474-68)*0.2,K474-(68-J474)*0.2)</f>
        <v>11.651999999999997</v>
      </c>
      <c r="M474" s="3">
        <f>(C474-H474)/C474*100</f>
        <v>78.115623124624918</v>
      </c>
      <c r="N474" s="3">
        <f>100-(M474+O474)</f>
        <v>-1.4242848569713829</v>
      </c>
      <c r="O474" s="3">
        <f>L474/C474*100</f>
        <v>23.308661732346465</v>
      </c>
      <c r="P474" s="2" t="s">
        <v>20</v>
      </c>
      <c r="Q474" s="1">
        <v>409080.10535199998</v>
      </c>
      <c r="R474" s="1">
        <v>3659260.7985660001</v>
      </c>
    </row>
    <row r="475" spans="1:18" x14ac:dyDescent="0.25">
      <c r="A475" s="6">
        <v>46</v>
      </c>
      <c r="B475" s="4">
        <v>270</v>
      </c>
      <c r="C475" s="5">
        <v>50.01</v>
      </c>
      <c r="D475" s="4">
        <v>20</v>
      </c>
      <c r="E475" s="3">
        <v>25.5</v>
      </c>
      <c r="F475" s="3">
        <f>1.8*E475+32</f>
        <v>77.900000000000006</v>
      </c>
      <c r="G475" s="3">
        <v>9</v>
      </c>
      <c r="H475" s="3">
        <f>IF(F475&gt;68,G475+(F475-68)*0.2,G83-(68-F475)*0.2)</f>
        <v>10.98</v>
      </c>
      <c r="I475" s="3">
        <v>23</v>
      </c>
      <c r="J475" s="3">
        <f>1.8*I475+32</f>
        <v>73.400000000000006</v>
      </c>
      <c r="K475" s="3">
        <v>8</v>
      </c>
      <c r="L475" s="3">
        <f>IF(J475&gt;68,K475+(J475-68)*0.2,K475-(68-J475)*0.2)</f>
        <v>9.0800000000000018</v>
      </c>
      <c r="M475" s="3">
        <f>(C475-H475)/C475*100</f>
        <v>78.044391121775647</v>
      </c>
      <c r="N475" s="3">
        <f>100-(M475+O475)</f>
        <v>3.7992401519695989</v>
      </c>
      <c r="O475" s="3">
        <f>L475/C475*100</f>
        <v>18.156368726254755</v>
      </c>
      <c r="P475" s="2" t="s">
        <v>20</v>
      </c>
      <c r="Q475" s="1">
        <v>409080.10535199998</v>
      </c>
      <c r="R475" s="1">
        <v>3659260.7985660001</v>
      </c>
    </row>
    <row r="476" spans="1:18" x14ac:dyDescent="0.25">
      <c r="A476" s="6">
        <v>46</v>
      </c>
      <c r="B476" s="4">
        <v>300</v>
      </c>
      <c r="C476" s="5">
        <v>50</v>
      </c>
      <c r="D476" s="4">
        <v>20</v>
      </c>
      <c r="E476" s="3">
        <v>25.5</v>
      </c>
      <c r="F476" s="3">
        <f>1.8*E476+32</f>
        <v>77.900000000000006</v>
      </c>
      <c r="G476" s="3">
        <v>12</v>
      </c>
      <c r="H476" s="3">
        <f>IF(F476&gt;68,G476+(F476-68)*0.2,G84-(68-F476)*0.2)</f>
        <v>13.98</v>
      </c>
      <c r="I476" s="3">
        <v>23</v>
      </c>
      <c r="J476" s="3">
        <f>1.8*I476+32</f>
        <v>73.400000000000006</v>
      </c>
      <c r="K476" s="3">
        <v>12</v>
      </c>
      <c r="L476" s="3">
        <f>IF(J476&gt;68,K476+(J476-68)*0.2,K476-(68-J476)*0.2)</f>
        <v>13.080000000000002</v>
      </c>
      <c r="M476" s="3">
        <f>(C476-H476)/C476*100</f>
        <v>72.039999999999992</v>
      </c>
      <c r="N476" s="3">
        <f>100-(M476+O476)</f>
        <v>1.8000000000000114</v>
      </c>
      <c r="O476" s="3">
        <f>L476/C476*100</f>
        <v>26.160000000000004</v>
      </c>
      <c r="P476" s="2" t="s">
        <v>20</v>
      </c>
      <c r="Q476" s="1">
        <v>409080.10535199998</v>
      </c>
      <c r="R476" s="1">
        <v>3659260.7985660001</v>
      </c>
    </row>
    <row r="477" spans="1:18" x14ac:dyDescent="0.25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</row>
    <row r="478" spans="1:18" ht="51.75" x14ac:dyDescent="0.25">
      <c r="A478" s="15" t="s">
        <v>19</v>
      </c>
      <c r="B478" s="10" t="s">
        <v>18</v>
      </c>
      <c r="C478" s="14" t="s">
        <v>17</v>
      </c>
      <c r="D478" s="13" t="s">
        <v>16</v>
      </c>
      <c r="E478" s="12" t="s">
        <v>15</v>
      </c>
      <c r="F478" s="12" t="s">
        <v>14</v>
      </c>
      <c r="G478" s="12" t="s">
        <v>13</v>
      </c>
      <c r="H478" s="12" t="s">
        <v>12</v>
      </c>
      <c r="I478" s="12" t="s">
        <v>11</v>
      </c>
      <c r="J478" s="12" t="s">
        <v>10</v>
      </c>
      <c r="K478" s="12" t="s">
        <v>9</v>
      </c>
      <c r="L478" s="12" t="s">
        <v>8</v>
      </c>
      <c r="M478" s="11" t="s">
        <v>7</v>
      </c>
      <c r="N478" s="11" t="s">
        <v>6</v>
      </c>
      <c r="O478" s="11" t="s">
        <v>5</v>
      </c>
      <c r="P478" s="10" t="s">
        <v>4</v>
      </c>
      <c r="Q478" s="44" t="s">
        <v>3</v>
      </c>
      <c r="R478" s="44"/>
    </row>
    <row r="479" spans="1:18" x14ac:dyDescent="0.25">
      <c r="A479" s="15"/>
      <c r="B479" s="10"/>
      <c r="C479" s="14"/>
      <c r="D479" s="13"/>
      <c r="E479" s="12"/>
      <c r="F479" s="12"/>
      <c r="G479" s="12"/>
      <c r="H479" s="12"/>
      <c r="I479" s="12"/>
      <c r="J479" s="12"/>
      <c r="K479" s="12"/>
      <c r="L479" s="12"/>
      <c r="M479" s="11"/>
      <c r="N479" s="11"/>
      <c r="O479" s="11"/>
      <c r="P479" s="10"/>
      <c r="Q479" s="7" t="s">
        <v>2</v>
      </c>
      <c r="R479" s="7" t="s">
        <v>1</v>
      </c>
    </row>
    <row r="480" spans="1:18" x14ac:dyDescent="0.25">
      <c r="A480" s="6">
        <v>47</v>
      </c>
      <c r="B480" s="4">
        <v>30</v>
      </c>
      <c r="C480" s="5">
        <v>50</v>
      </c>
      <c r="D480" s="4">
        <v>20</v>
      </c>
      <c r="E480" s="3">
        <v>23.5</v>
      </c>
      <c r="F480" s="3">
        <f>1.8*E480+32</f>
        <v>74.300000000000011</v>
      </c>
      <c r="G480" s="3">
        <v>16</v>
      </c>
      <c r="H480" s="3">
        <f>IF(F480&gt;68,G480+(F480-68)*0.2,#REF!-(68-F480)*0.2)</f>
        <v>17.260000000000002</v>
      </c>
      <c r="I480" s="3">
        <v>23</v>
      </c>
      <c r="J480" s="3">
        <f>1.8*I480+32</f>
        <v>73.400000000000006</v>
      </c>
      <c r="K480" s="3">
        <v>8</v>
      </c>
      <c r="L480" s="3">
        <f>IF(J480&gt;68,K480+(J480-68)*0.2,K480-(68-J480)*0.2)</f>
        <v>9.0800000000000018</v>
      </c>
      <c r="M480" s="3">
        <f>(C480-H480)/C480*100</f>
        <v>65.47999999999999</v>
      </c>
      <c r="N480" s="3">
        <f>100-(M480+O480)</f>
        <v>16.360000000000014</v>
      </c>
      <c r="O480" s="3">
        <f>L480/C480*100</f>
        <v>18.160000000000004</v>
      </c>
      <c r="P480" s="2" t="s">
        <v>20</v>
      </c>
      <c r="Q480" s="1">
        <v>409092.274386</v>
      </c>
      <c r="R480" s="1">
        <v>3659260.5910439999</v>
      </c>
    </row>
    <row r="481" spans="1:18" x14ac:dyDescent="0.25">
      <c r="A481" s="6">
        <v>47</v>
      </c>
      <c r="B481" s="4">
        <v>60</v>
      </c>
      <c r="C481" s="5">
        <v>50</v>
      </c>
      <c r="D481" s="4">
        <v>20</v>
      </c>
      <c r="E481" s="3">
        <v>23.5</v>
      </c>
      <c r="F481" s="3">
        <f>1.8*E481+32</f>
        <v>74.300000000000011</v>
      </c>
      <c r="G481" s="3">
        <v>19.5</v>
      </c>
      <c r="H481" s="3">
        <f>IF(F481&gt;68,G481+(F481-68)*0.2,#REF!-(68-F481)*0.2)</f>
        <v>20.76</v>
      </c>
      <c r="I481" s="3">
        <v>23</v>
      </c>
      <c r="J481" s="3">
        <f>1.8*I481+32</f>
        <v>73.400000000000006</v>
      </c>
      <c r="K481" s="3">
        <v>9</v>
      </c>
      <c r="L481" s="3">
        <f>IF(J481&gt;68,K481+(J481-68)*0.2,K481-(68-J481)*0.2)</f>
        <v>10.080000000000002</v>
      </c>
      <c r="M481" s="3">
        <f>(C481-H481)/C481*100</f>
        <v>58.48</v>
      </c>
      <c r="N481" s="3">
        <f>100-(M481+O481)</f>
        <v>21.36</v>
      </c>
      <c r="O481" s="3">
        <f>L481/C481*100</f>
        <v>20.160000000000004</v>
      </c>
      <c r="P481" s="2" t="s">
        <v>0</v>
      </c>
      <c r="Q481" s="1">
        <v>409092.274386</v>
      </c>
      <c r="R481" s="1">
        <v>3659260.5910439999</v>
      </c>
    </row>
    <row r="482" spans="1:18" x14ac:dyDescent="0.25">
      <c r="A482" s="6">
        <v>47</v>
      </c>
      <c r="B482" s="4">
        <v>90</v>
      </c>
      <c r="C482" s="5">
        <v>50</v>
      </c>
      <c r="D482" s="4">
        <v>20</v>
      </c>
      <c r="E482" s="3">
        <v>23.5</v>
      </c>
      <c r="F482" s="3">
        <f>1.8*E482+32</f>
        <v>74.300000000000011</v>
      </c>
      <c r="G482" s="3">
        <v>26</v>
      </c>
      <c r="H482" s="3">
        <f>IF(F482&gt;68,G482+(F482-68)*0.2,#REF!-(68-F482)*0.2)</f>
        <v>27.26</v>
      </c>
      <c r="I482" s="3">
        <v>23</v>
      </c>
      <c r="J482" s="3">
        <f>1.8*I482+32</f>
        <v>73.400000000000006</v>
      </c>
      <c r="K482" s="3">
        <v>13</v>
      </c>
      <c r="L482" s="3">
        <f>IF(J482&gt;68,K482+(J482-68)*0.2,K482-(68-J482)*0.2)</f>
        <v>14.080000000000002</v>
      </c>
      <c r="M482" s="3">
        <f>(C482-H482)/C482*100</f>
        <v>45.48</v>
      </c>
      <c r="N482" s="3">
        <f>100-(M482+O482)</f>
        <v>26.36</v>
      </c>
      <c r="O482" s="3">
        <f>L482/C482*100</f>
        <v>28.16</v>
      </c>
      <c r="P482" s="2" t="s">
        <v>0</v>
      </c>
      <c r="Q482" s="1">
        <v>409092.274386</v>
      </c>
      <c r="R482" s="1">
        <v>3659260.5910439999</v>
      </c>
    </row>
    <row r="483" spans="1:18" x14ac:dyDescent="0.25">
      <c r="A483" s="6">
        <v>47</v>
      </c>
      <c r="B483" s="4">
        <v>120</v>
      </c>
      <c r="C483" s="5">
        <v>50.01</v>
      </c>
      <c r="D483" s="4">
        <v>20</v>
      </c>
      <c r="E483" s="3">
        <v>25</v>
      </c>
      <c r="F483" s="3">
        <f>1.8*E483+32</f>
        <v>77</v>
      </c>
      <c r="G483" s="3">
        <v>20</v>
      </c>
      <c r="H483" s="3">
        <f>IF(F483&gt;68,G483+(F483-68)*0.2,#REF!-(68-F483)*0.2)</f>
        <v>21.8</v>
      </c>
      <c r="I483" s="3">
        <v>23</v>
      </c>
      <c r="J483" s="3">
        <f>1.8*I483+32</f>
        <v>73.400000000000006</v>
      </c>
      <c r="K483" s="3">
        <v>11.5</v>
      </c>
      <c r="L483" s="3">
        <f>IF(J483&gt;68,K483+(J483-68)*0.2,K483-(68-J483)*0.2)</f>
        <v>12.580000000000002</v>
      </c>
      <c r="M483" s="3">
        <f>(C483-H483)/C483*100</f>
        <v>56.40871825634872</v>
      </c>
      <c r="N483" s="3">
        <f>100-(M483+O483)</f>
        <v>18.436312737452511</v>
      </c>
      <c r="O483" s="3">
        <f>L483/C483*100</f>
        <v>25.154969006198762</v>
      </c>
      <c r="P483" s="2" t="s">
        <v>0</v>
      </c>
      <c r="Q483" s="1">
        <v>409092.274386</v>
      </c>
      <c r="R483" s="1">
        <v>3659260.5910439999</v>
      </c>
    </row>
    <row r="484" spans="1:18" x14ac:dyDescent="0.25">
      <c r="A484" s="6">
        <v>47</v>
      </c>
      <c r="B484" s="4">
        <v>150</v>
      </c>
      <c r="C484" s="5">
        <v>50</v>
      </c>
      <c r="D484" s="4">
        <v>20</v>
      </c>
      <c r="E484" s="3">
        <v>25.2</v>
      </c>
      <c r="F484" s="3">
        <f>1.8*E484+32</f>
        <v>77.36</v>
      </c>
      <c r="G484" s="3">
        <v>22</v>
      </c>
      <c r="H484" s="3">
        <f>IF(F484&gt;68,G484+(F484-68)*0.2,#REF!-(68-F484)*0.2)</f>
        <v>23.872</v>
      </c>
      <c r="I484" s="3">
        <v>23</v>
      </c>
      <c r="J484" s="3">
        <f>1.8*I484+32</f>
        <v>73.400000000000006</v>
      </c>
      <c r="K484" s="3">
        <v>11.5</v>
      </c>
      <c r="L484" s="3">
        <f>IF(J484&gt;68,K484+(J484-68)*0.2,K484-(68-J484)*0.2)</f>
        <v>12.580000000000002</v>
      </c>
      <c r="M484" s="3">
        <f>(C484-H484)/C484*100</f>
        <v>52.256</v>
      </c>
      <c r="N484" s="3">
        <f>100-(M484+O484)</f>
        <v>22.584000000000003</v>
      </c>
      <c r="O484" s="3">
        <f>L484/C484*100</f>
        <v>25.160000000000004</v>
      </c>
      <c r="P484" s="2" t="s">
        <v>0</v>
      </c>
      <c r="Q484" s="1">
        <v>409092.274386</v>
      </c>
      <c r="R484" s="1">
        <v>3659260.5910439999</v>
      </c>
    </row>
    <row r="485" spans="1:18" x14ac:dyDescent="0.25">
      <c r="A485" s="6">
        <v>47</v>
      </c>
      <c r="B485" s="4">
        <v>180</v>
      </c>
      <c r="C485" s="5">
        <v>50.01</v>
      </c>
      <c r="D485" s="4">
        <v>20</v>
      </c>
      <c r="E485" s="3">
        <v>25.2</v>
      </c>
      <c r="F485" s="3">
        <f>1.8*E485+32</f>
        <v>77.36</v>
      </c>
      <c r="G485" s="3">
        <v>21</v>
      </c>
      <c r="H485" s="3">
        <f>IF(F485&gt;68,G485+(F485-68)*0.2,#REF!-(68-F485)*0.2)</f>
        <v>22.872</v>
      </c>
      <c r="I485" s="3">
        <v>23</v>
      </c>
      <c r="J485" s="3">
        <f>1.8*I485+32</f>
        <v>73.400000000000006</v>
      </c>
      <c r="K485" s="3">
        <v>11</v>
      </c>
      <c r="L485" s="3">
        <f>IF(J485&gt;68,K485+(J485-68)*0.2,K485-(68-J485)*0.2)</f>
        <v>12.080000000000002</v>
      </c>
      <c r="M485" s="3">
        <f>(C485-H485)/C485*100</f>
        <v>54.265146970605883</v>
      </c>
      <c r="N485" s="3">
        <f>100-(M485+O485)</f>
        <v>21.579684063187358</v>
      </c>
      <c r="O485" s="3">
        <f>L485/C485*100</f>
        <v>24.155168966206762</v>
      </c>
      <c r="P485" s="2" t="s">
        <v>0</v>
      </c>
      <c r="Q485" s="1">
        <v>409092.274386</v>
      </c>
      <c r="R485" s="1">
        <v>3659260.5910439999</v>
      </c>
    </row>
    <row r="486" spans="1:18" x14ac:dyDescent="0.25">
      <c r="A486" s="6">
        <v>47</v>
      </c>
      <c r="B486" s="4">
        <v>210</v>
      </c>
      <c r="C486" s="5">
        <v>50.01</v>
      </c>
      <c r="D486" s="4">
        <v>20</v>
      </c>
      <c r="E486" s="3">
        <v>25</v>
      </c>
      <c r="F486" s="3">
        <f>1.8*E486+32</f>
        <v>77</v>
      </c>
      <c r="G486" s="3">
        <v>9</v>
      </c>
      <c r="H486" s="3">
        <f>IF(F486&gt;68,G486+(F486-68)*0.2,#REF!-(68-F486)*0.2)</f>
        <v>10.8</v>
      </c>
      <c r="I486" s="3">
        <v>23</v>
      </c>
      <c r="J486" s="3">
        <f>1.8*I486+32</f>
        <v>73.400000000000006</v>
      </c>
      <c r="K486" s="3">
        <v>7</v>
      </c>
      <c r="L486" s="3">
        <f>IF(J486&gt;68,K486+(J486-68)*0.2,K486-(68-J486)*0.2)</f>
        <v>8.0800000000000018</v>
      </c>
      <c r="M486" s="3">
        <f>(C486-H486)/C486*100</f>
        <v>78.404319136172745</v>
      </c>
      <c r="N486" s="3">
        <f>100-(M486+O486)</f>
        <v>5.4389122175565063</v>
      </c>
      <c r="O486" s="3">
        <f>L486/C486*100</f>
        <v>16.156768646270748</v>
      </c>
      <c r="P486" s="2" t="s">
        <v>20</v>
      </c>
      <c r="Q486" s="1">
        <v>409092.274386</v>
      </c>
      <c r="R486" s="1">
        <v>3659260.5910439999</v>
      </c>
    </row>
    <row r="487" spans="1:18" x14ac:dyDescent="0.25">
      <c r="A487" s="6">
        <v>47</v>
      </c>
      <c r="B487" s="4">
        <v>240</v>
      </c>
      <c r="C487" s="5">
        <v>50</v>
      </c>
      <c r="D487" s="4">
        <v>20</v>
      </c>
      <c r="E487" s="3">
        <v>24.8</v>
      </c>
      <c r="F487" s="3">
        <f>1.8*E487+32</f>
        <v>76.64</v>
      </c>
      <c r="G487" s="3">
        <v>10</v>
      </c>
      <c r="H487" s="3">
        <f>IF(F487&gt;68,G487+(F487-68)*0.2,#REF!-(68-F487)*0.2)</f>
        <v>11.728</v>
      </c>
      <c r="I487" s="3">
        <v>23</v>
      </c>
      <c r="J487" s="3">
        <f>1.8*I487+32</f>
        <v>73.400000000000006</v>
      </c>
      <c r="K487" s="3">
        <v>7</v>
      </c>
      <c r="L487" s="3">
        <f>IF(J487&gt;68,K487+(J487-68)*0.2,K487-(68-J487)*0.2)</f>
        <v>8.0800000000000018</v>
      </c>
      <c r="M487" s="3">
        <f>(C487-H487)/C487*100</f>
        <v>76.543999999999997</v>
      </c>
      <c r="N487" s="3">
        <f>100-(M487+O487)</f>
        <v>7.2959999999999923</v>
      </c>
      <c r="O487" s="3">
        <f>L487/C487*100</f>
        <v>16.160000000000004</v>
      </c>
      <c r="P487" s="2" t="s">
        <v>20</v>
      </c>
      <c r="Q487" s="1">
        <v>409092.274386</v>
      </c>
      <c r="R487" s="1">
        <v>3659260.5910439999</v>
      </c>
    </row>
    <row r="488" spans="1:18" x14ac:dyDescent="0.25">
      <c r="A488" s="6">
        <v>47</v>
      </c>
      <c r="B488" s="4">
        <v>270</v>
      </c>
      <c r="C488" s="5">
        <v>50.01</v>
      </c>
      <c r="D488" s="4">
        <v>20</v>
      </c>
      <c r="E488" s="3">
        <v>24.8</v>
      </c>
      <c r="F488" s="3">
        <f>1.8*E488+32</f>
        <v>76.64</v>
      </c>
      <c r="G488" s="3">
        <v>22.5</v>
      </c>
      <c r="H488" s="3">
        <f>IF(F488&gt;68,G488+(F488-68)*0.2,#REF!-(68-F488)*0.2)</f>
        <v>24.228000000000002</v>
      </c>
      <c r="I488" s="3">
        <v>23</v>
      </c>
      <c r="J488" s="3">
        <f>1.8*I488+32</f>
        <v>73.400000000000006</v>
      </c>
      <c r="K488" s="3">
        <v>9.5</v>
      </c>
      <c r="L488" s="3">
        <f>IF(J488&gt;68,K488+(J488-68)*0.2,K488-(68-J488)*0.2)</f>
        <v>10.580000000000002</v>
      </c>
      <c r="M488" s="3">
        <f>(C488-H488)/C488*100</f>
        <v>51.553689262147564</v>
      </c>
      <c r="N488" s="3">
        <f>100-(M488+O488)</f>
        <v>27.290541891621672</v>
      </c>
      <c r="O488" s="3">
        <f>L488/C488*100</f>
        <v>21.155768846230757</v>
      </c>
      <c r="P488" s="2" t="s">
        <v>0</v>
      </c>
      <c r="Q488" s="1">
        <v>409092.274386</v>
      </c>
      <c r="R488" s="1">
        <v>3659260.5910439999</v>
      </c>
    </row>
    <row r="489" spans="1:18" x14ac:dyDescent="0.25">
      <c r="A489" s="6">
        <v>47</v>
      </c>
      <c r="B489" s="4">
        <v>300</v>
      </c>
      <c r="C489" s="5">
        <v>50</v>
      </c>
      <c r="D489" s="4">
        <v>20</v>
      </c>
      <c r="E489" s="3">
        <v>24.8</v>
      </c>
      <c r="F489" s="3">
        <f>1.8*E489+32</f>
        <v>76.64</v>
      </c>
      <c r="G489" s="3">
        <v>18</v>
      </c>
      <c r="H489" s="3">
        <f>IF(F489&gt;68,G489+(F489-68)*0.2,#REF!-(68-F489)*0.2)</f>
        <v>19.728000000000002</v>
      </c>
      <c r="I489" s="3">
        <v>23</v>
      </c>
      <c r="J489" s="3">
        <f>1.8*I489+32</f>
        <v>73.400000000000006</v>
      </c>
      <c r="K489" s="3">
        <v>8.5</v>
      </c>
      <c r="L489" s="3">
        <f>IF(J489&gt;68,K489+(J489-68)*0.2,K489-(68-J489)*0.2)</f>
        <v>9.5800000000000018</v>
      </c>
      <c r="M489" s="3">
        <f>(C489-H489)/C489*100</f>
        <v>60.543999999999997</v>
      </c>
      <c r="N489" s="3">
        <f>100-(M489+O489)</f>
        <v>20.295999999999992</v>
      </c>
      <c r="O489" s="3">
        <f>L489/C489*100</f>
        <v>19.160000000000004</v>
      </c>
      <c r="P489" s="2" t="s">
        <v>20</v>
      </c>
      <c r="Q489" s="1">
        <v>409092.274386</v>
      </c>
      <c r="R489" s="1">
        <v>3659260.5910439999</v>
      </c>
    </row>
    <row r="490" spans="1:18" x14ac:dyDescent="0.25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</row>
    <row r="491" spans="1:18" ht="51.75" x14ac:dyDescent="0.25">
      <c r="A491" s="15" t="s">
        <v>19</v>
      </c>
      <c r="B491" s="10" t="s">
        <v>18</v>
      </c>
      <c r="C491" s="14" t="s">
        <v>17</v>
      </c>
      <c r="D491" s="13" t="s">
        <v>16</v>
      </c>
      <c r="E491" s="12" t="s">
        <v>15</v>
      </c>
      <c r="F491" s="12" t="s">
        <v>14</v>
      </c>
      <c r="G491" s="12" t="s">
        <v>13</v>
      </c>
      <c r="H491" s="12" t="s">
        <v>12</v>
      </c>
      <c r="I491" s="12" t="s">
        <v>11</v>
      </c>
      <c r="J491" s="12" t="s">
        <v>10</v>
      </c>
      <c r="K491" s="12" t="s">
        <v>9</v>
      </c>
      <c r="L491" s="12" t="s">
        <v>8</v>
      </c>
      <c r="M491" s="11" t="s">
        <v>7</v>
      </c>
      <c r="N491" s="11" t="s">
        <v>6</v>
      </c>
      <c r="O491" s="11" t="s">
        <v>5</v>
      </c>
      <c r="P491" s="10" t="s">
        <v>4</v>
      </c>
      <c r="Q491" s="44" t="s">
        <v>3</v>
      </c>
      <c r="R491" s="44"/>
    </row>
    <row r="492" spans="1:18" x14ac:dyDescent="0.25">
      <c r="A492" s="15"/>
      <c r="B492" s="10"/>
      <c r="C492" s="14"/>
      <c r="D492" s="13"/>
      <c r="E492" s="12"/>
      <c r="F492" s="12"/>
      <c r="G492" s="12"/>
      <c r="H492" s="12"/>
      <c r="I492" s="12"/>
      <c r="J492" s="12"/>
      <c r="K492" s="12"/>
      <c r="L492" s="12"/>
      <c r="M492" s="11"/>
      <c r="N492" s="11"/>
      <c r="O492" s="11"/>
      <c r="P492" s="10"/>
      <c r="Q492" s="7" t="s">
        <v>2</v>
      </c>
      <c r="R492" s="7" t="s">
        <v>1</v>
      </c>
    </row>
    <row r="493" spans="1:18" x14ac:dyDescent="0.25">
      <c r="A493" s="6">
        <v>48</v>
      </c>
      <c r="B493" s="4">
        <v>30</v>
      </c>
      <c r="C493" s="5">
        <v>50.01</v>
      </c>
      <c r="D493" s="4">
        <v>20</v>
      </c>
      <c r="E493" s="3">
        <v>23</v>
      </c>
      <c r="F493" s="3">
        <f>1.8*E493+32</f>
        <v>73.400000000000006</v>
      </c>
      <c r="G493" s="3">
        <v>16.5</v>
      </c>
      <c r="H493" s="3">
        <f>IF(F493&gt;68,G493+(F493-68)*0.2,G321-(68-F493)*0.2)</f>
        <v>17.580000000000002</v>
      </c>
      <c r="I493" s="3">
        <v>23</v>
      </c>
      <c r="J493" s="3">
        <f>1.8*I493+32</f>
        <v>73.400000000000006</v>
      </c>
      <c r="K493" s="3">
        <v>11</v>
      </c>
      <c r="L493" s="3">
        <f>IF(J493&gt;68,K493+(J493-68)*0.2,K493-(68-J493)*0.2)</f>
        <v>12.080000000000002</v>
      </c>
      <c r="M493" s="3">
        <f>(C493-H493)/C493*100</f>
        <v>64.847030593881215</v>
      </c>
      <c r="N493" s="3">
        <f>100-(M493+O493)</f>
        <v>10.997800439912027</v>
      </c>
      <c r="O493" s="3">
        <f>L493/C493*100</f>
        <v>24.155168966206762</v>
      </c>
      <c r="P493" s="2" t="s">
        <v>0</v>
      </c>
      <c r="Q493" s="1">
        <v>409104.50402200001</v>
      </c>
      <c r="R493" s="1">
        <v>3659260.382489</v>
      </c>
    </row>
    <row r="494" spans="1:18" x14ac:dyDescent="0.25">
      <c r="A494" s="6">
        <v>48</v>
      </c>
      <c r="B494" s="4">
        <v>60</v>
      </c>
      <c r="C494" s="5">
        <v>50</v>
      </c>
      <c r="D494" s="4">
        <v>20</v>
      </c>
      <c r="E494" s="3">
        <v>23</v>
      </c>
      <c r="F494" s="3">
        <f>1.8*E494+32</f>
        <v>73.400000000000006</v>
      </c>
      <c r="G494" s="3">
        <v>18.5</v>
      </c>
      <c r="H494" s="3">
        <f>IF(F494&gt;68,G494+(F494-68)*0.2,#REF!-(68-F494)*0.2)</f>
        <v>19.580000000000002</v>
      </c>
      <c r="I494" s="3">
        <v>23</v>
      </c>
      <c r="J494" s="3">
        <f>1.8*I494+32</f>
        <v>73.400000000000006</v>
      </c>
      <c r="K494" s="3">
        <v>11.5</v>
      </c>
      <c r="L494" s="3">
        <f>IF(J494&gt;68,K494+(J494-68)*0.2,K494-(68-J494)*0.2)</f>
        <v>12.580000000000002</v>
      </c>
      <c r="M494" s="3">
        <f>(C494-H494)/C494*100</f>
        <v>60.839999999999996</v>
      </c>
      <c r="N494" s="3">
        <f>100-(M494+O494)</f>
        <v>14</v>
      </c>
      <c r="O494" s="3">
        <f>L494/C494*100</f>
        <v>25.160000000000004</v>
      </c>
      <c r="P494" s="2" t="s">
        <v>0</v>
      </c>
      <c r="Q494" s="1">
        <v>409104.50402200001</v>
      </c>
      <c r="R494" s="1">
        <v>3659260.382489</v>
      </c>
    </row>
    <row r="495" spans="1:18" x14ac:dyDescent="0.25">
      <c r="A495" s="6">
        <v>48</v>
      </c>
      <c r="B495" s="4">
        <v>90</v>
      </c>
      <c r="C495" s="5">
        <v>50</v>
      </c>
      <c r="D495" s="4">
        <v>20</v>
      </c>
      <c r="E495" s="3">
        <v>23</v>
      </c>
      <c r="F495" s="3">
        <f>1.8*E495+32</f>
        <v>73.400000000000006</v>
      </c>
      <c r="G495" s="3">
        <v>22</v>
      </c>
      <c r="H495" s="3">
        <f>IF(F495&gt;68,G495+(F495-68)*0.2,G36-(68-F495)*0.2)</f>
        <v>23.080000000000002</v>
      </c>
      <c r="I495" s="3">
        <v>23</v>
      </c>
      <c r="J495" s="3">
        <f>1.8*I495+32</f>
        <v>73.400000000000006</v>
      </c>
      <c r="K495" s="3">
        <v>15</v>
      </c>
      <c r="L495" s="3">
        <f>IF(J495&gt;68,K495+(J495-68)*0.2,K495-(68-J495)*0.2)</f>
        <v>16.080000000000002</v>
      </c>
      <c r="M495" s="3">
        <f>(C495-H495)/C495*100</f>
        <v>53.839999999999996</v>
      </c>
      <c r="N495" s="3">
        <f>100-(M495+O495)</f>
        <v>14</v>
      </c>
      <c r="O495" s="3">
        <f>L495/C495*100</f>
        <v>32.160000000000004</v>
      </c>
      <c r="P495" s="2" t="s">
        <v>0</v>
      </c>
      <c r="Q495" s="1">
        <v>409104.50402200001</v>
      </c>
      <c r="R495" s="1">
        <v>3659260.382489</v>
      </c>
    </row>
    <row r="496" spans="1:18" x14ac:dyDescent="0.25">
      <c r="A496" s="6">
        <v>48</v>
      </c>
      <c r="B496" s="4">
        <v>120</v>
      </c>
      <c r="C496" s="5">
        <v>50.01</v>
      </c>
      <c r="D496" s="4">
        <v>20</v>
      </c>
      <c r="E496" s="3">
        <v>23</v>
      </c>
      <c r="F496" s="3">
        <f>1.8*E496+32</f>
        <v>73.400000000000006</v>
      </c>
      <c r="G496" s="3">
        <v>23</v>
      </c>
      <c r="H496" s="3">
        <f>IF(F496&gt;68,G496+(F496-68)*0.2,#REF!-(68-F496)*0.2)</f>
        <v>24.080000000000002</v>
      </c>
      <c r="I496" s="3">
        <v>23</v>
      </c>
      <c r="J496" s="3">
        <f>1.8*I496+32</f>
        <v>73.400000000000006</v>
      </c>
      <c r="K496" s="3">
        <v>18</v>
      </c>
      <c r="L496" s="3">
        <f>IF(J496&gt;68,K496+(J496-68)*0.2,K496-(68-J496)*0.2)</f>
        <v>19.080000000000002</v>
      </c>
      <c r="M496" s="3">
        <f>(C496-H496)/C496*100</f>
        <v>51.849630073985196</v>
      </c>
      <c r="N496" s="3">
        <f>100-(M496+O496)</f>
        <v>9.9980003999200164</v>
      </c>
      <c r="O496" s="3">
        <f>L496/C496*100</f>
        <v>38.152369526094787</v>
      </c>
      <c r="P496" s="2" t="s">
        <v>21</v>
      </c>
      <c r="Q496" s="1">
        <v>409104.50402200001</v>
      </c>
      <c r="R496" s="1">
        <v>3659260.382489</v>
      </c>
    </row>
    <row r="497" spans="1:18" x14ac:dyDescent="0.25">
      <c r="A497" s="6">
        <v>48</v>
      </c>
      <c r="B497" s="4">
        <v>150</v>
      </c>
      <c r="C497" s="5">
        <v>50</v>
      </c>
      <c r="D497" s="4">
        <v>20</v>
      </c>
      <c r="E497" s="3">
        <v>23</v>
      </c>
      <c r="F497" s="3">
        <f>1.8*E497+32</f>
        <v>73.400000000000006</v>
      </c>
      <c r="G497" s="3">
        <v>18</v>
      </c>
      <c r="H497" s="3">
        <f>IF(F497&gt;68,G497+(F497-68)*0.2,G38-(68-F497)*0.2)</f>
        <v>19.080000000000002</v>
      </c>
      <c r="I497" s="3">
        <v>23</v>
      </c>
      <c r="J497" s="3">
        <f>1.8*I497+32</f>
        <v>73.400000000000006</v>
      </c>
      <c r="K497" s="3">
        <v>14.5</v>
      </c>
      <c r="L497" s="3">
        <f>IF(J497&gt;68,K497+(J497-68)*0.2,K497-(68-J497)*0.2)</f>
        <v>15.580000000000002</v>
      </c>
      <c r="M497" s="3">
        <f>(C497-H497)/C497*100</f>
        <v>61.839999999999996</v>
      </c>
      <c r="N497" s="3">
        <f>100-(M497+O497)</f>
        <v>7</v>
      </c>
      <c r="O497" s="3">
        <f>L497/C497*100</f>
        <v>31.160000000000004</v>
      </c>
      <c r="P497" s="2" t="s">
        <v>0</v>
      </c>
      <c r="Q497" s="1">
        <v>409104.50402200001</v>
      </c>
      <c r="R497" s="1">
        <v>3659260.382489</v>
      </c>
    </row>
    <row r="498" spans="1:18" x14ac:dyDescent="0.25">
      <c r="A498" s="6">
        <v>48</v>
      </c>
      <c r="B498" s="4">
        <v>180</v>
      </c>
      <c r="C498" s="5">
        <v>50</v>
      </c>
      <c r="D498" s="4">
        <v>20</v>
      </c>
      <c r="E498" s="3">
        <v>23</v>
      </c>
      <c r="F498" s="3">
        <f>1.8*E498+32</f>
        <v>73.400000000000006</v>
      </c>
      <c r="G498" s="3">
        <v>16</v>
      </c>
      <c r="H498" s="3">
        <f>IF(F498&gt;68,G498+(F498-68)*0.2,G39-(68-F498)*0.2)</f>
        <v>17.080000000000002</v>
      </c>
      <c r="I498" s="3">
        <v>23</v>
      </c>
      <c r="J498" s="3">
        <f>1.8*I498+32</f>
        <v>73.400000000000006</v>
      </c>
      <c r="K498" s="3">
        <v>11.5</v>
      </c>
      <c r="L498" s="3">
        <f>IF(J498&gt;68,K498+(J498-68)*0.2,K498-(68-J498)*0.2)</f>
        <v>12.580000000000002</v>
      </c>
      <c r="M498" s="3">
        <f>(C498-H498)/C498*100</f>
        <v>65.84</v>
      </c>
      <c r="N498" s="3">
        <f>100-(M498+O498)</f>
        <v>9</v>
      </c>
      <c r="O498" s="3">
        <f>L498/C498*100</f>
        <v>25.160000000000004</v>
      </c>
      <c r="P498" s="2" t="s">
        <v>0</v>
      </c>
      <c r="Q498" s="1">
        <v>409104.50402200001</v>
      </c>
      <c r="R498" s="1">
        <v>3659260.382489</v>
      </c>
    </row>
    <row r="499" spans="1:18" x14ac:dyDescent="0.25">
      <c r="A499" s="6">
        <v>48</v>
      </c>
      <c r="B499" s="4">
        <v>210</v>
      </c>
      <c r="C499" s="5">
        <v>50.01</v>
      </c>
      <c r="D499" s="4">
        <v>20</v>
      </c>
      <c r="E499" s="3">
        <v>23</v>
      </c>
      <c r="F499" s="3">
        <f>1.8*E499+32</f>
        <v>73.400000000000006</v>
      </c>
      <c r="G499" s="3">
        <v>13</v>
      </c>
      <c r="H499" s="3">
        <f>IF(F499&gt;68,G499+(F499-68)*0.2,G40-(68-F499)*0.2)</f>
        <v>14.080000000000002</v>
      </c>
      <c r="I499" s="3">
        <v>23</v>
      </c>
      <c r="J499" s="3">
        <f>1.8*I499+32</f>
        <v>73.400000000000006</v>
      </c>
      <c r="K499" s="3">
        <v>10</v>
      </c>
      <c r="L499" s="3">
        <f>IF(J499&gt;68,K499+(J499-68)*0.2,K499-(68-J499)*0.2)</f>
        <v>11.080000000000002</v>
      </c>
      <c r="M499" s="3">
        <f>(C499-H499)/C499*100</f>
        <v>71.845630873825229</v>
      </c>
      <c r="N499" s="3">
        <f>100-(M499+O499)</f>
        <v>5.9988002399520042</v>
      </c>
      <c r="O499" s="3">
        <f>L499/C499*100</f>
        <v>22.15556888622276</v>
      </c>
      <c r="P499" s="2" t="s">
        <v>0</v>
      </c>
      <c r="Q499" s="1">
        <v>409104.50402200001</v>
      </c>
      <c r="R499" s="1">
        <v>3659260.382489</v>
      </c>
    </row>
    <row r="500" spans="1:18" x14ac:dyDescent="0.25">
      <c r="A500" s="6">
        <v>48</v>
      </c>
      <c r="B500" s="4">
        <v>240</v>
      </c>
      <c r="C500" s="5">
        <v>50.01</v>
      </c>
      <c r="D500" s="4">
        <v>20</v>
      </c>
      <c r="E500" s="3">
        <v>23</v>
      </c>
      <c r="F500" s="3">
        <f>1.8*E500+32</f>
        <v>73.400000000000006</v>
      </c>
      <c r="G500" s="3">
        <v>13.5</v>
      </c>
      <c r="H500" s="3">
        <f>IF(F500&gt;68,G500+(F500-68)*0.2,G41-(68-F500)*0.2)</f>
        <v>14.580000000000002</v>
      </c>
      <c r="I500" s="3">
        <v>23</v>
      </c>
      <c r="J500" s="3">
        <f>1.8*I500+32</f>
        <v>73.400000000000006</v>
      </c>
      <c r="K500" s="3">
        <v>11</v>
      </c>
      <c r="L500" s="3">
        <f>IF(J500&gt;68,K500+(J500-68)*0.2,K500-(68-J500)*0.2)</f>
        <v>12.080000000000002</v>
      </c>
      <c r="M500" s="3">
        <f>(C500-H500)/C500*100</f>
        <v>70.845830833833219</v>
      </c>
      <c r="N500" s="3">
        <f>100-(M500+O500)</f>
        <v>4.9990001999600224</v>
      </c>
      <c r="O500" s="3">
        <f>L500/C500*100</f>
        <v>24.155168966206762</v>
      </c>
      <c r="P500" s="2" t="s">
        <v>0</v>
      </c>
      <c r="Q500" s="1">
        <v>409104.50402200001</v>
      </c>
      <c r="R500" s="1">
        <v>3659260.382489</v>
      </c>
    </row>
    <row r="501" spans="1:18" x14ac:dyDescent="0.25">
      <c r="A501" s="6">
        <v>48</v>
      </c>
      <c r="B501" s="4">
        <v>270</v>
      </c>
      <c r="C501" s="5">
        <v>50.01</v>
      </c>
      <c r="D501" s="4">
        <v>20</v>
      </c>
      <c r="E501" s="3">
        <v>23</v>
      </c>
      <c r="F501" s="3">
        <f>1.8*E501+32</f>
        <v>73.400000000000006</v>
      </c>
      <c r="G501" s="3">
        <v>24</v>
      </c>
      <c r="H501" s="3">
        <f>IF(F501&gt;68,G501+(F501-68)*0.2,G42-(68-F501)*0.2)</f>
        <v>25.080000000000002</v>
      </c>
      <c r="I501" s="3">
        <v>23</v>
      </c>
      <c r="J501" s="3">
        <f>1.8*I501+32</f>
        <v>73.400000000000006</v>
      </c>
      <c r="K501" s="3">
        <v>16</v>
      </c>
      <c r="L501" s="3">
        <f>IF(J501&gt;68,K501+(J501-68)*0.2,K501-(68-J501)*0.2)</f>
        <v>17.080000000000002</v>
      </c>
      <c r="M501" s="3">
        <f>(C501-H501)/C501*100</f>
        <v>49.850029994001197</v>
      </c>
      <c r="N501" s="3">
        <f>100-(M501+O501)</f>
        <v>15.996800639872021</v>
      </c>
      <c r="O501" s="3">
        <f>L501/C501*100</f>
        <v>34.153169366126775</v>
      </c>
      <c r="P501" s="2" t="s">
        <v>0</v>
      </c>
      <c r="Q501" s="1">
        <v>409104.50402200001</v>
      </c>
      <c r="R501" s="1">
        <v>3659260.382489</v>
      </c>
    </row>
    <row r="502" spans="1:18" x14ac:dyDescent="0.25">
      <c r="A502" s="6">
        <v>48</v>
      </c>
      <c r="B502" s="4">
        <v>300</v>
      </c>
      <c r="C502" s="5">
        <v>50.01</v>
      </c>
      <c r="D502" s="4">
        <v>20</v>
      </c>
      <c r="E502" s="3">
        <v>23</v>
      </c>
      <c r="F502" s="3">
        <f>1.8*E502+32</f>
        <v>73.400000000000006</v>
      </c>
      <c r="G502" s="3">
        <v>15</v>
      </c>
      <c r="H502" s="3">
        <f>IF(F502&gt;68,G502+(F502-68)*0.2,G43-(68-F502)*0.2)</f>
        <v>16.080000000000002</v>
      </c>
      <c r="I502" s="3">
        <v>23</v>
      </c>
      <c r="J502" s="3">
        <f>1.8*I502+32</f>
        <v>73.400000000000006</v>
      </c>
      <c r="K502" s="3">
        <v>11</v>
      </c>
      <c r="L502" s="3">
        <f>IF(J502&gt;68,K502+(J502-68)*0.2,K502-(68-J502)*0.2)</f>
        <v>12.080000000000002</v>
      </c>
      <c r="M502" s="3">
        <f>(C502-H502)/C502*100</f>
        <v>67.846430713857217</v>
      </c>
      <c r="N502" s="3">
        <f>100-(M502+O502)</f>
        <v>7.9984003199360245</v>
      </c>
      <c r="O502" s="3">
        <f>L502/C502*100</f>
        <v>24.155168966206762</v>
      </c>
      <c r="P502" s="2" t="s">
        <v>0</v>
      </c>
      <c r="Q502" s="1">
        <v>409104.50402200001</v>
      </c>
      <c r="R502" s="1">
        <v>3659260.382489</v>
      </c>
    </row>
  </sheetData>
  <mergeCells count="26">
    <mergeCell ref="Q140:R140"/>
    <mergeCell ref="Q36:R36"/>
    <mergeCell ref="Q49:R49"/>
    <mergeCell ref="Q62:R62"/>
    <mergeCell ref="Q10:R10"/>
    <mergeCell ref="Q23:R23"/>
    <mergeCell ref="Q283:R283"/>
    <mergeCell ref="Q361:R361"/>
    <mergeCell ref="Q179:R179"/>
    <mergeCell ref="Q166:R166"/>
    <mergeCell ref="Q153:R153"/>
    <mergeCell ref="Q75:R75"/>
    <mergeCell ref="Q88:R88"/>
    <mergeCell ref="Q101:R101"/>
    <mergeCell ref="Q114:R114"/>
    <mergeCell ref="Q127:R127"/>
    <mergeCell ref="Q296:R296"/>
    <mergeCell ref="Q322:R322"/>
    <mergeCell ref="Q374:R374"/>
    <mergeCell ref="Q192:R192"/>
    <mergeCell ref="Q205:R205"/>
    <mergeCell ref="Q218:R218"/>
    <mergeCell ref="Q231:R231"/>
    <mergeCell ref="Q244:R244"/>
    <mergeCell ref="Q257:R257"/>
    <mergeCell ref="Q270:R27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EFB3-D5F7-49CC-A5BC-4A42FC7761DE}">
  <dimension ref="A1:AB356"/>
  <sheetViews>
    <sheetView zoomScale="70" zoomScaleNormal="70" workbookViewId="0">
      <selection activeCell="T3" sqref="T3"/>
    </sheetView>
  </sheetViews>
  <sheetFormatPr defaultRowHeight="15" x14ac:dyDescent="0.25"/>
  <cols>
    <col min="1" max="1" width="11.5703125" bestFit="1" customWidth="1"/>
    <col min="3" max="3" width="8.28515625" customWidth="1"/>
    <col min="4" max="4" width="12" bestFit="1" customWidth="1"/>
    <col min="5" max="5" width="9.5703125" bestFit="1" customWidth="1"/>
    <col min="6" max="6" width="11.5703125" bestFit="1" customWidth="1"/>
    <col min="7" max="7" width="13.85546875" bestFit="1" customWidth="1"/>
    <col min="8" max="8" width="13.5703125" customWidth="1"/>
    <col min="9" max="9" width="9.140625" customWidth="1"/>
    <col min="10" max="10" width="11.140625" customWidth="1"/>
    <col min="11" max="11" width="13.28515625" customWidth="1"/>
    <col min="12" max="12" width="13.5703125" customWidth="1"/>
    <col min="13" max="13" width="9.140625" bestFit="1" customWidth="1"/>
    <col min="14" max="14" width="7.42578125" bestFit="1" customWidth="1"/>
    <col min="15" max="15" width="8.5703125" bestFit="1" customWidth="1"/>
    <col min="16" max="16" width="21" bestFit="1" customWidth="1"/>
    <col min="17" max="17" width="21.5703125" bestFit="1" customWidth="1"/>
    <col min="18" max="18" width="22" bestFit="1" customWidth="1"/>
    <col min="20" max="20" width="10" bestFit="1" customWidth="1"/>
  </cols>
  <sheetData>
    <row r="1" spans="1:28" ht="18.75" x14ac:dyDescent="0.3">
      <c r="A1" s="36"/>
      <c r="C1" s="61" t="s">
        <v>518</v>
      </c>
    </row>
    <row r="2" spans="1:28" x14ac:dyDescent="0.25">
      <c r="A2" s="36"/>
    </row>
    <row r="3" spans="1:28" x14ac:dyDescent="0.25">
      <c r="A3" s="36"/>
      <c r="T3" t="s">
        <v>268</v>
      </c>
    </row>
    <row r="4" spans="1:28" ht="51.75" x14ac:dyDescent="0.25">
      <c r="A4" s="15" t="s">
        <v>19</v>
      </c>
      <c r="B4" s="10" t="s">
        <v>443</v>
      </c>
      <c r="C4" s="14" t="s">
        <v>17</v>
      </c>
      <c r="D4" s="13" t="s">
        <v>16</v>
      </c>
      <c r="E4" s="12" t="s">
        <v>15</v>
      </c>
      <c r="F4" s="12" t="s">
        <v>14</v>
      </c>
      <c r="G4" s="12" t="s">
        <v>442</v>
      </c>
      <c r="H4" s="12" t="s">
        <v>441</v>
      </c>
      <c r="I4" s="12" t="s">
        <v>440</v>
      </c>
      <c r="J4" s="12" t="s">
        <v>439</v>
      </c>
      <c r="K4" s="12" t="s">
        <v>438</v>
      </c>
      <c r="L4" s="12" t="s">
        <v>437</v>
      </c>
      <c r="M4" s="11" t="s">
        <v>7</v>
      </c>
      <c r="N4" s="11" t="s">
        <v>6</v>
      </c>
      <c r="O4" s="11" t="s">
        <v>5</v>
      </c>
      <c r="P4" s="10" t="s">
        <v>4</v>
      </c>
      <c r="Q4" s="17" t="s">
        <v>3</v>
      </c>
      <c r="R4" s="17"/>
      <c r="T4" s="4" t="s">
        <v>267</v>
      </c>
      <c r="U4" s="4" t="s">
        <v>266</v>
      </c>
      <c r="V4" s="4" t="s">
        <v>265</v>
      </c>
      <c r="W4" s="4" t="s">
        <v>264</v>
      </c>
      <c r="X4" s="4" t="s">
        <v>263</v>
      </c>
      <c r="Y4" s="4" t="s">
        <v>262</v>
      </c>
      <c r="Z4" s="4" t="s">
        <v>261</v>
      </c>
      <c r="AA4" s="4" t="s">
        <v>260</v>
      </c>
      <c r="AB4" s="4" t="s">
        <v>259</v>
      </c>
    </row>
    <row r="5" spans="1:28" x14ac:dyDescent="0.25">
      <c r="A5" s="60">
        <v>2</v>
      </c>
      <c r="B5" s="10"/>
      <c r="C5" s="14"/>
      <c r="D5" s="13" t="s">
        <v>436</v>
      </c>
      <c r="E5" s="12"/>
      <c r="F5" s="12"/>
      <c r="G5" s="12"/>
      <c r="H5" s="12"/>
      <c r="I5" s="12"/>
      <c r="J5" s="12"/>
      <c r="K5" s="12"/>
      <c r="L5" s="12"/>
      <c r="M5" s="11"/>
      <c r="N5" s="11"/>
      <c r="O5" s="11"/>
      <c r="P5" s="10"/>
      <c r="Q5" s="7" t="s">
        <v>2</v>
      </c>
      <c r="R5" s="7" t="s">
        <v>1</v>
      </c>
      <c r="T5" s="4"/>
      <c r="U5" s="4"/>
      <c r="V5" s="4" t="s">
        <v>258</v>
      </c>
      <c r="W5" s="4" t="s">
        <v>258</v>
      </c>
      <c r="X5" s="4" t="s">
        <v>257</v>
      </c>
      <c r="Y5" s="4" t="s">
        <v>255</v>
      </c>
      <c r="Z5" s="4" t="s">
        <v>256</v>
      </c>
      <c r="AA5" s="4" t="s">
        <v>256</v>
      </c>
      <c r="AB5" s="4" t="s">
        <v>255</v>
      </c>
    </row>
    <row r="6" spans="1:28" x14ac:dyDescent="0.25">
      <c r="A6" s="60"/>
      <c r="B6" s="4" t="s">
        <v>435</v>
      </c>
      <c r="C6" s="5">
        <v>50</v>
      </c>
      <c r="D6" s="4">
        <v>20</v>
      </c>
      <c r="E6" s="3">
        <v>25</v>
      </c>
      <c r="F6" s="3">
        <f>1.8*E6+32</f>
        <v>77</v>
      </c>
      <c r="G6" s="3">
        <v>14</v>
      </c>
      <c r="H6" s="3">
        <f>IF(F6&gt;68,G6+(F6-68)*0.2,U233-(68-F6)*0.2)</f>
        <v>15.8</v>
      </c>
      <c r="I6" s="3">
        <v>24</v>
      </c>
      <c r="J6" s="3">
        <f>1.8*I6+32</f>
        <v>75.2</v>
      </c>
      <c r="K6" s="3">
        <v>8</v>
      </c>
      <c r="L6" s="3">
        <f>IF(J6&gt;68,K6+(J6-68)*0.2,K6-(68-J6)*0.2)</f>
        <v>9.4400000000000013</v>
      </c>
      <c r="M6" s="3">
        <f>(C6-H6)/C6*100</f>
        <v>68.400000000000006</v>
      </c>
      <c r="N6" s="3">
        <f>100-(M6+O6)</f>
        <v>12.719999999999999</v>
      </c>
      <c r="O6" s="3">
        <f>L6/C6*100</f>
        <v>18.880000000000003</v>
      </c>
      <c r="P6" s="2" t="s">
        <v>429</v>
      </c>
      <c r="Q6" s="37" t="s">
        <v>517</v>
      </c>
      <c r="R6" s="1">
        <v>3659352.7026630002</v>
      </c>
      <c r="T6" s="4">
        <v>2006111</v>
      </c>
      <c r="U6" s="4" t="s">
        <v>254</v>
      </c>
      <c r="V6" s="4">
        <v>5.7750000000000003E-2</v>
      </c>
      <c r="W6" s="4">
        <v>0.37896999999999997</v>
      </c>
      <c r="X6" s="4">
        <v>2.964E-2</v>
      </c>
      <c r="Y6" s="4">
        <v>1.3596600000000001</v>
      </c>
      <c r="Z6" s="4">
        <v>23.796939999999999</v>
      </c>
      <c r="AA6" s="4">
        <v>11.76505</v>
      </c>
      <c r="AB6" s="4">
        <v>-1.39795</v>
      </c>
    </row>
    <row r="7" spans="1:28" x14ac:dyDescent="0.25">
      <c r="A7" s="15" t="s">
        <v>434</v>
      </c>
      <c r="B7" s="4" t="s">
        <v>433</v>
      </c>
      <c r="C7" s="5">
        <v>50</v>
      </c>
      <c r="D7" s="4">
        <v>20</v>
      </c>
      <c r="E7" s="3">
        <v>25</v>
      </c>
      <c r="F7" s="3">
        <f>1.8*E7+32</f>
        <v>77</v>
      </c>
      <c r="G7" s="3">
        <v>16</v>
      </c>
      <c r="H7" s="3">
        <f>IF(F7&gt;68,G7+(F7-68)*0.2,U234-(68-F7)*0.2)</f>
        <v>17.8</v>
      </c>
      <c r="I7" s="3">
        <v>24</v>
      </c>
      <c r="J7" s="3">
        <f>1.8*I7+32</f>
        <v>75.2</v>
      </c>
      <c r="K7" s="3">
        <v>9</v>
      </c>
      <c r="L7" s="3">
        <f>IF(J7&gt;68,K7+(J7-68)*0.2,K7-(68-J7)*0.2)</f>
        <v>10.440000000000001</v>
      </c>
      <c r="M7" s="3">
        <f>(C7-H7)/C7*100</f>
        <v>64.400000000000006</v>
      </c>
      <c r="N7" s="3">
        <f>100-(M7+O7)</f>
        <v>14.719999999999999</v>
      </c>
      <c r="O7" s="3">
        <f>L7/C7*100</f>
        <v>20.880000000000003</v>
      </c>
      <c r="P7" s="2" t="s">
        <v>429</v>
      </c>
      <c r="Q7" s="37" t="s">
        <v>517</v>
      </c>
      <c r="R7" s="1">
        <v>3659352.7026630002</v>
      </c>
      <c r="T7" s="4">
        <v>2006111</v>
      </c>
      <c r="U7" s="4" t="s">
        <v>253</v>
      </c>
      <c r="V7" s="4">
        <v>6.0409999999999998E-2</v>
      </c>
      <c r="W7" s="4">
        <v>0.38201000000000002</v>
      </c>
      <c r="X7" s="4">
        <v>2.8289999999999999E-2</v>
      </c>
      <c r="Y7" s="4">
        <v>1.3405899999999999</v>
      </c>
      <c r="Z7" s="4">
        <v>19.313610000000001</v>
      </c>
      <c r="AA7" s="4">
        <v>10.54565</v>
      </c>
      <c r="AB7" s="4">
        <v>-1.45573</v>
      </c>
    </row>
    <row r="8" spans="1:28" x14ac:dyDescent="0.25">
      <c r="A8" s="55">
        <v>40178</v>
      </c>
      <c r="B8" s="4" t="s">
        <v>432</v>
      </c>
      <c r="C8" s="5">
        <v>50</v>
      </c>
      <c r="D8" s="4">
        <v>20</v>
      </c>
      <c r="E8" s="3">
        <v>25</v>
      </c>
      <c r="F8" s="3">
        <f>1.8*E8+32</f>
        <v>77</v>
      </c>
      <c r="G8" s="3">
        <v>13</v>
      </c>
      <c r="H8" s="3">
        <f>IF(F8&gt;68,G8+(F8-68)*0.2,U235-(68-F8)*0.2)</f>
        <v>14.8</v>
      </c>
      <c r="I8" s="3">
        <v>24</v>
      </c>
      <c r="J8" s="3">
        <f>1.8*I8+32</f>
        <v>75.2</v>
      </c>
      <c r="K8" s="3">
        <v>6</v>
      </c>
      <c r="L8" s="3">
        <f>IF(J8&gt;68,K8+(J8-68)*0.2,K8-(68-J8)*0.2)</f>
        <v>7.44</v>
      </c>
      <c r="M8" s="3">
        <f>(C8-H8)/C8*100</f>
        <v>70.400000000000006</v>
      </c>
      <c r="N8" s="3">
        <f>100-(M8+O8)</f>
        <v>14.719999999999999</v>
      </c>
      <c r="O8" s="3">
        <f>L8/C8*100</f>
        <v>14.88</v>
      </c>
      <c r="P8" s="2" t="s">
        <v>429</v>
      </c>
      <c r="Q8" s="37" t="s">
        <v>517</v>
      </c>
      <c r="R8" s="1">
        <v>3659352.7026630002</v>
      </c>
      <c r="T8" s="4">
        <v>2006111</v>
      </c>
      <c r="U8" s="4" t="s">
        <v>252</v>
      </c>
      <c r="V8" s="4">
        <v>5.1630000000000002E-2</v>
      </c>
      <c r="W8" s="4">
        <v>0.38035999999999998</v>
      </c>
      <c r="X8" s="4">
        <v>3.2000000000000001E-2</v>
      </c>
      <c r="Y8" s="4">
        <v>1.3989100000000001</v>
      </c>
      <c r="Z8" s="4">
        <v>34.45561</v>
      </c>
      <c r="AA8" s="4">
        <v>14.958909999999999</v>
      </c>
      <c r="AB8" s="4">
        <v>-1.2581800000000001</v>
      </c>
    </row>
    <row r="9" spans="1:28" x14ac:dyDescent="0.25">
      <c r="A9" s="54"/>
      <c r="B9" s="4" t="s">
        <v>431</v>
      </c>
      <c r="C9" s="5">
        <v>50</v>
      </c>
      <c r="D9" s="4">
        <v>20</v>
      </c>
      <c r="E9" s="3">
        <v>25</v>
      </c>
      <c r="F9" s="3">
        <f>1.8*E9+32</f>
        <v>77</v>
      </c>
      <c r="G9" s="3">
        <v>16</v>
      </c>
      <c r="H9" s="3">
        <f>IF(F9&gt;68,G9+(F9-68)*0.2,U236-(68-F9)*0.2)</f>
        <v>17.8</v>
      </c>
      <c r="I9" s="3">
        <v>24</v>
      </c>
      <c r="J9" s="3">
        <f>1.8*I9+32</f>
        <v>75.2</v>
      </c>
      <c r="K9" s="3">
        <v>7</v>
      </c>
      <c r="L9" s="3">
        <f>IF(J9&gt;68,K9+(J9-68)*0.2,K9-(68-J9)*0.2)</f>
        <v>8.4400000000000013</v>
      </c>
      <c r="M9" s="3">
        <f>(C9-H9)/C9*100</f>
        <v>64.400000000000006</v>
      </c>
      <c r="N9" s="3">
        <f>100-(M9+O9)</f>
        <v>18.72</v>
      </c>
      <c r="O9" s="3">
        <f>L9/C9*100</f>
        <v>16.880000000000003</v>
      </c>
      <c r="P9" s="2" t="s">
        <v>429</v>
      </c>
      <c r="Q9" s="37" t="s">
        <v>517</v>
      </c>
      <c r="R9" s="1">
        <v>3659352.7026630002</v>
      </c>
      <c r="T9" s="4">
        <v>2006111</v>
      </c>
      <c r="U9" s="4" t="s">
        <v>251</v>
      </c>
      <c r="V9" s="4">
        <v>5.4129999999999998E-2</v>
      </c>
      <c r="W9" s="4">
        <v>0.38377</v>
      </c>
      <c r="X9" s="4">
        <v>2.887E-2</v>
      </c>
      <c r="Y9" s="4">
        <v>1.3692</v>
      </c>
      <c r="Z9" s="4">
        <v>25.731660000000002</v>
      </c>
      <c r="AA9" s="4">
        <v>12.388350000000001</v>
      </c>
      <c r="AB9" s="4">
        <v>-1.28748</v>
      </c>
    </row>
    <row r="10" spans="1:28" x14ac:dyDescent="0.25">
      <c r="A10" s="6"/>
      <c r="B10" s="4" t="s">
        <v>430</v>
      </c>
      <c r="C10" s="5">
        <v>50</v>
      </c>
      <c r="D10" s="4">
        <v>20</v>
      </c>
      <c r="E10" s="3">
        <v>25</v>
      </c>
      <c r="F10" s="3">
        <f>1.8*E10+32</f>
        <v>77</v>
      </c>
      <c r="G10" s="3">
        <v>16</v>
      </c>
      <c r="H10" s="3">
        <f>IF(F10&gt;68,G10+(F10-68)*0.2,U237-(68-F10)*0.2)</f>
        <v>17.8</v>
      </c>
      <c r="I10" s="3">
        <v>24</v>
      </c>
      <c r="J10" s="3">
        <f>1.8*I10+32</f>
        <v>75.2</v>
      </c>
      <c r="K10" s="3">
        <v>7</v>
      </c>
      <c r="L10" s="3">
        <f>IF(J10&gt;68,K10+(J10-68)*0.2,K10-(68-J10)*0.2)</f>
        <v>8.4400000000000013</v>
      </c>
      <c r="M10" s="3">
        <f>(C10-H10)/C10*100</f>
        <v>64.400000000000006</v>
      </c>
      <c r="N10" s="3">
        <f>100-(M10+O10)</f>
        <v>18.72</v>
      </c>
      <c r="O10" s="3">
        <f>L10/C10*100</f>
        <v>16.880000000000003</v>
      </c>
      <c r="P10" s="2" t="s">
        <v>429</v>
      </c>
      <c r="Q10" s="37" t="s">
        <v>517</v>
      </c>
      <c r="R10" s="1">
        <v>3659352.7026630002</v>
      </c>
      <c r="T10" s="4">
        <v>2006111</v>
      </c>
      <c r="U10" s="4" t="s">
        <v>249</v>
      </c>
      <c r="V10" s="4">
        <v>5.4129999999999998E-2</v>
      </c>
      <c r="W10" s="4">
        <v>0.38377</v>
      </c>
      <c r="X10" s="4">
        <v>2.887E-2</v>
      </c>
      <c r="Y10" s="4">
        <v>1.3692</v>
      </c>
      <c r="Z10" s="4">
        <v>25.731660000000002</v>
      </c>
      <c r="AA10" s="4">
        <v>12.388350000000001</v>
      </c>
      <c r="AB10" s="4">
        <v>-1.28748</v>
      </c>
    </row>
    <row r="11" spans="1:28" x14ac:dyDescent="0.25">
      <c r="A11" s="6"/>
      <c r="B11" s="4" t="s">
        <v>428</v>
      </c>
      <c r="C11" s="5">
        <v>50</v>
      </c>
      <c r="D11" s="4">
        <v>20</v>
      </c>
      <c r="E11" s="3">
        <v>25</v>
      </c>
      <c r="F11" s="3">
        <f>1.8*E11+32</f>
        <v>77</v>
      </c>
      <c r="G11" s="3">
        <v>17</v>
      </c>
      <c r="H11" s="3">
        <f>IF(F11&gt;68,G11+(F11-68)*0.2,U238-(68-F11)*0.2)</f>
        <v>18.8</v>
      </c>
      <c r="I11" s="3">
        <v>24</v>
      </c>
      <c r="J11" s="3">
        <f>1.8*I11+32</f>
        <v>75.2</v>
      </c>
      <c r="K11" s="3">
        <v>5</v>
      </c>
      <c r="L11" s="3">
        <f>IF(J11&gt;68,K11+(J11-68)*0.2,K11-(68-J11)*0.2)</f>
        <v>6.44</v>
      </c>
      <c r="M11" s="3">
        <f>(C11-H11)/C11*100</f>
        <v>62.4</v>
      </c>
      <c r="N11" s="3">
        <f>100-(M11+O11)</f>
        <v>24.72</v>
      </c>
      <c r="O11" s="3">
        <f>L11/C11*100</f>
        <v>12.879999999999999</v>
      </c>
      <c r="P11" s="2" t="s">
        <v>429</v>
      </c>
      <c r="Q11" s="37" t="s">
        <v>517</v>
      </c>
      <c r="R11" s="1">
        <v>3659352.7026630002</v>
      </c>
      <c r="T11" s="4">
        <v>2006111</v>
      </c>
      <c r="U11" s="4" t="s">
        <v>248</v>
      </c>
      <c r="V11" s="4">
        <v>4.6890000000000001E-2</v>
      </c>
      <c r="W11" s="4">
        <v>0.38596999999999998</v>
      </c>
      <c r="X11" s="4">
        <v>2.7390000000000001E-2</v>
      </c>
      <c r="Y11" s="4">
        <v>1.3919699999999999</v>
      </c>
      <c r="Z11" s="4">
        <v>31.329820000000002</v>
      </c>
      <c r="AA11" s="4">
        <v>13.35243</v>
      </c>
      <c r="AB11" s="4">
        <v>-1.0915999999999999</v>
      </c>
    </row>
    <row r="12" spans="1:28" x14ac:dyDescent="0.25">
      <c r="A12" s="36"/>
      <c r="T12" s="4">
        <v>2006111</v>
      </c>
      <c r="U12" s="4" t="s">
        <v>247</v>
      </c>
      <c r="V12" s="4">
        <v>6.0490000000000002E-2</v>
      </c>
      <c r="W12" s="4">
        <v>0.38424999999999998</v>
      </c>
      <c r="X12" s="4">
        <v>2.751E-2</v>
      </c>
      <c r="Y12" s="4">
        <v>1.343</v>
      </c>
      <c r="Z12" s="4">
        <v>18.708269999999999</v>
      </c>
      <c r="AA12" s="4">
        <v>10.29607</v>
      </c>
      <c r="AB12" s="4">
        <v>-1.4155599999999999</v>
      </c>
    </row>
    <row r="13" spans="1:28" ht="51.75" x14ac:dyDescent="0.25">
      <c r="A13" s="15" t="s">
        <v>19</v>
      </c>
      <c r="B13" s="10" t="s">
        <v>443</v>
      </c>
      <c r="C13" s="14" t="s">
        <v>17</v>
      </c>
      <c r="D13" s="13" t="s">
        <v>16</v>
      </c>
      <c r="E13" s="12" t="s">
        <v>15</v>
      </c>
      <c r="F13" s="12" t="s">
        <v>14</v>
      </c>
      <c r="G13" s="12" t="s">
        <v>442</v>
      </c>
      <c r="H13" s="12" t="s">
        <v>441</v>
      </c>
      <c r="I13" s="12" t="s">
        <v>440</v>
      </c>
      <c r="J13" s="12" t="s">
        <v>439</v>
      </c>
      <c r="K13" s="12" t="s">
        <v>438</v>
      </c>
      <c r="L13" s="12" t="s">
        <v>437</v>
      </c>
      <c r="M13" s="11" t="s">
        <v>7</v>
      </c>
      <c r="N13" s="11" t="s">
        <v>6</v>
      </c>
      <c r="O13" s="11" t="s">
        <v>5</v>
      </c>
      <c r="P13" s="10" t="s">
        <v>4</v>
      </c>
      <c r="Q13" s="17" t="s">
        <v>3</v>
      </c>
      <c r="R13" s="17"/>
      <c r="T13" s="4">
        <v>2006111</v>
      </c>
      <c r="U13" s="4" t="s">
        <v>246</v>
      </c>
      <c r="V13" s="4">
        <v>6.318E-2</v>
      </c>
      <c r="W13" s="4">
        <v>0.38103999999999999</v>
      </c>
      <c r="X13" s="4">
        <v>2.794E-2</v>
      </c>
      <c r="Y13" s="4">
        <v>1.3246500000000001</v>
      </c>
      <c r="Z13" s="4">
        <v>16.703050000000001</v>
      </c>
      <c r="AA13" s="4">
        <v>9.7254699999999996</v>
      </c>
      <c r="AB13" s="4">
        <v>-1.5544500000000001</v>
      </c>
    </row>
    <row r="14" spans="1:28" x14ac:dyDescent="0.25">
      <c r="A14" s="60">
        <v>4</v>
      </c>
      <c r="B14" s="10"/>
      <c r="C14" s="14"/>
      <c r="D14" s="13" t="s">
        <v>436</v>
      </c>
      <c r="E14" s="12"/>
      <c r="F14" s="12"/>
      <c r="G14" s="12"/>
      <c r="H14" s="12"/>
      <c r="I14" s="12"/>
      <c r="J14" s="12"/>
      <c r="K14" s="12"/>
      <c r="L14" s="12"/>
      <c r="M14" s="11"/>
      <c r="N14" s="11"/>
      <c r="O14" s="11"/>
      <c r="P14" s="10"/>
      <c r="Q14" s="7" t="s">
        <v>2</v>
      </c>
      <c r="R14" s="7" t="s">
        <v>1</v>
      </c>
      <c r="T14" s="4">
        <v>2006111</v>
      </c>
      <c r="U14" s="4" t="s">
        <v>245</v>
      </c>
      <c r="V14" s="4">
        <v>5.1119999999999999E-2</v>
      </c>
      <c r="W14" s="4">
        <v>0.38181999999999999</v>
      </c>
      <c r="X14" s="4">
        <v>3.1449999999999999E-2</v>
      </c>
      <c r="Y14" s="4">
        <v>1.3890100000000001</v>
      </c>
      <c r="Z14" s="4">
        <v>32.630899999999997</v>
      </c>
      <c r="AA14" s="4">
        <v>14.662269999999999</v>
      </c>
      <c r="AB14" s="4">
        <v>-1.26295</v>
      </c>
    </row>
    <row r="15" spans="1:28" x14ac:dyDescent="0.25">
      <c r="A15" s="60"/>
      <c r="B15" s="4" t="s">
        <v>435</v>
      </c>
      <c r="C15" s="5">
        <v>50</v>
      </c>
      <c r="D15" s="4">
        <v>20</v>
      </c>
      <c r="E15" s="3">
        <v>25</v>
      </c>
      <c r="F15" s="3">
        <f>1.8*E15+32</f>
        <v>77</v>
      </c>
      <c r="G15" s="3">
        <v>17</v>
      </c>
      <c r="H15" s="3">
        <f>IF(F15&gt;68,G15+(F15-68)*0.2,U242-(68-F15)*0.2)</f>
        <v>18.8</v>
      </c>
      <c r="I15" s="3">
        <v>24</v>
      </c>
      <c r="J15" s="3">
        <f>1.8*I15+32</f>
        <v>75.2</v>
      </c>
      <c r="K15" s="3">
        <v>9</v>
      </c>
      <c r="L15" s="3">
        <f>IF(J15&gt;68,K15+(J15-68)*0.2,K15-(68-J15)*0.2)</f>
        <v>10.440000000000001</v>
      </c>
      <c r="M15" s="3">
        <f>(C15-H15)/C15*100</f>
        <v>62.4</v>
      </c>
      <c r="N15" s="3">
        <f>100-(M15+O15)</f>
        <v>16.72</v>
      </c>
      <c r="O15" s="3">
        <f>L15/C15*100</f>
        <v>20.880000000000003</v>
      </c>
      <c r="P15" s="2" t="s">
        <v>427</v>
      </c>
      <c r="Q15" s="37" t="s">
        <v>516</v>
      </c>
      <c r="R15" s="37" t="s">
        <v>515</v>
      </c>
      <c r="T15" s="4">
        <v>2006111</v>
      </c>
      <c r="U15" s="4" t="s">
        <v>244</v>
      </c>
      <c r="V15" s="4">
        <v>6.0490000000000002E-2</v>
      </c>
      <c r="W15" s="4">
        <v>0.38424999999999998</v>
      </c>
      <c r="X15" s="4">
        <v>2.751E-2</v>
      </c>
      <c r="Y15" s="4">
        <v>1.343</v>
      </c>
      <c r="Z15" s="4">
        <v>18.708269999999999</v>
      </c>
      <c r="AA15" s="4">
        <v>10.29607</v>
      </c>
      <c r="AB15" s="4">
        <v>-1.4155599999999999</v>
      </c>
    </row>
    <row r="16" spans="1:28" x14ac:dyDescent="0.25">
      <c r="A16" s="15" t="s">
        <v>434</v>
      </c>
      <c r="B16" s="4" t="s">
        <v>433</v>
      </c>
      <c r="C16" s="5">
        <v>50</v>
      </c>
      <c r="D16" s="4">
        <v>20</v>
      </c>
      <c r="E16" s="3">
        <v>25</v>
      </c>
      <c r="F16" s="3">
        <f>1.8*E16+32</f>
        <v>77</v>
      </c>
      <c r="G16" s="3">
        <v>16</v>
      </c>
      <c r="H16" s="3">
        <f>IF(F16&gt;68,G16+(F16-68)*0.2,U243-(68-F16)*0.2)</f>
        <v>17.8</v>
      </c>
      <c r="I16" s="3">
        <v>24</v>
      </c>
      <c r="J16" s="3">
        <f>1.8*I16+32</f>
        <v>75.2</v>
      </c>
      <c r="K16" s="3">
        <v>10</v>
      </c>
      <c r="L16" s="3">
        <f>IF(J16&gt;68,K16+(J16-68)*0.2,K16-(68-J16)*0.2)</f>
        <v>11.440000000000001</v>
      </c>
      <c r="M16" s="3">
        <f>(C16-H16)/C16*100</f>
        <v>64.400000000000006</v>
      </c>
      <c r="N16" s="3">
        <f>100-(M16+O16)</f>
        <v>12.719999999999999</v>
      </c>
      <c r="O16" s="3">
        <f>L16/C16*100</f>
        <v>22.880000000000003</v>
      </c>
      <c r="P16" s="2" t="s">
        <v>427</v>
      </c>
      <c r="Q16" s="37" t="s">
        <v>516</v>
      </c>
      <c r="R16" s="37" t="s">
        <v>515</v>
      </c>
      <c r="T16" s="4">
        <v>2006111</v>
      </c>
      <c r="U16" s="4" t="s">
        <v>243</v>
      </c>
      <c r="V16" s="4">
        <v>6.3270000000000007E-2</v>
      </c>
      <c r="W16" s="4">
        <v>0.38352999999999998</v>
      </c>
      <c r="X16" s="4">
        <v>2.7439999999999999E-2</v>
      </c>
      <c r="Y16" s="4">
        <v>1.3272900000000001</v>
      </c>
      <c r="Z16" s="4">
        <v>16.324159999999999</v>
      </c>
      <c r="AA16" s="4">
        <v>9.6265900000000002</v>
      </c>
      <c r="AB16" s="4">
        <v>-1.51793</v>
      </c>
    </row>
    <row r="17" spans="1:28" x14ac:dyDescent="0.25">
      <c r="A17" s="55">
        <v>40178</v>
      </c>
      <c r="B17" s="4" t="s">
        <v>432</v>
      </c>
      <c r="C17" s="5">
        <v>50</v>
      </c>
      <c r="D17" s="4">
        <v>20</v>
      </c>
      <c r="E17" s="3">
        <v>25</v>
      </c>
      <c r="F17" s="3">
        <f>1.8*E17+32</f>
        <v>77</v>
      </c>
      <c r="G17" s="3">
        <v>14</v>
      </c>
      <c r="H17" s="3">
        <f>IF(F17&gt;68,G17+(F17-68)*0.2,U244-(68-F17)*0.2)</f>
        <v>15.8</v>
      </c>
      <c r="I17" s="3">
        <v>24</v>
      </c>
      <c r="J17" s="3">
        <f>1.8*I17+32</f>
        <v>75.2</v>
      </c>
      <c r="K17" s="3">
        <v>6</v>
      </c>
      <c r="L17" s="3">
        <f>IF(J17&gt;68,K17+(J17-68)*0.2,K17-(68-J17)*0.2)</f>
        <v>7.44</v>
      </c>
      <c r="M17" s="3">
        <f>(C17-H17)/C17*100</f>
        <v>68.400000000000006</v>
      </c>
      <c r="N17" s="3">
        <f>100-(M17+O17)</f>
        <v>16.72</v>
      </c>
      <c r="O17" s="3">
        <f>L17/C17*100</f>
        <v>14.88</v>
      </c>
      <c r="P17" s="2" t="s">
        <v>429</v>
      </c>
      <c r="Q17" s="37" t="s">
        <v>516</v>
      </c>
      <c r="R17" s="37" t="s">
        <v>515</v>
      </c>
      <c r="T17" s="4">
        <v>2006111</v>
      </c>
      <c r="U17" s="4" t="s">
        <v>242</v>
      </c>
      <c r="V17" s="4">
        <v>6.0490000000000002E-2</v>
      </c>
      <c r="W17" s="4">
        <v>0.38424999999999998</v>
      </c>
      <c r="X17" s="4">
        <v>2.751E-2</v>
      </c>
      <c r="Y17" s="4">
        <v>1.343</v>
      </c>
      <c r="Z17" s="4">
        <v>18.708269999999999</v>
      </c>
      <c r="AA17" s="4">
        <v>10.29607</v>
      </c>
      <c r="AB17" s="4">
        <v>-1.4155599999999999</v>
      </c>
    </row>
    <row r="18" spans="1:28" x14ac:dyDescent="0.25">
      <c r="A18" s="54"/>
      <c r="B18" s="4" t="s">
        <v>431</v>
      </c>
      <c r="C18" s="5">
        <v>50</v>
      </c>
      <c r="D18" s="4">
        <v>20</v>
      </c>
      <c r="E18" s="3">
        <v>25</v>
      </c>
      <c r="F18" s="3">
        <f>1.8*E18+32</f>
        <v>77</v>
      </c>
      <c r="G18" s="3">
        <v>17</v>
      </c>
      <c r="H18" s="3">
        <f>IF(F18&gt;68,G18+(F18-68)*0.2,U245-(68-F18)*0.2)</f>
        <v>18.8</v>
      </c>
      <c r="I18" s="3">
        <v>24</v>
      </c>
      <c r="J18" s="3">
        <f>1.8*I18+32</f>
        <v>75.2</v>
      </c>
      <c r="K18" s="3">
        <v>9</v>
      </c>
      <c r="L18" s="3">
        <f>IF(J18&gt;68,K18+(J18-68)*0.2,K18-(68-J18)*0.2)</f>
        <v>10.440000000000001</v>
      </c>
      <c r="M18" s="3">
        <f>(C18-H18)/C18*100</f>
        <v>62.4</v>
      </c>
      <c r="N18" s="3">
        <f>100-(M18+O18)</f>
        <v>16.72</v>
      </c>
      <c r="O18" s="3">
        <f>L18/C18*100</f>
        <v>20.880000000000003</v>
      </c>
      <c r="P18" s="2" t="s">
        <v>427</v>
      </c>
      <c r="Q18" s="37" t="s">
        <v>516</v>
      </c>
      <c r="R18" s="37" t="s">
        <v>515</v>
      </c>
      <c r="T18" s="4">
        <v>2006111</v>
      </c>
      <c r="U18" s="4" t="s">
        <v>241</v>
      </c>
      <c r="V18" s="4">
        <v>5.74E-2</v>
      </c>
      <c r="W18" s="4">
        <v>0.38295000000000001</v>
      </c>
      <c r="X18" s="4">
        <v>2.86E-2</v>
      </c>
      <c r="Y18" s="4">
        <v>1.3555699999999999</v>
      </c>
      <c r="Z18" s="4">
        <v>22.366029999999999</v>
      </c>
      <c r="AA18" s="4">
        <v>11.435689999999999</v>
      </c>
      <c r="AB18" s="4">
        <v>-1.3673999999999999</v>
      </c>
    </row>
    <row r="19" spans="1:28" x14ac:dyDescent="0.25">
      <c r="A19" s="6"/>
      <c r="B19" s="4" t="s">
        <v>430</v>
      </c>
      <c r="C19" s="5">
        <v>50</v>
      </c>
      <c r="D19" s="4">
        <v>20</v>
      </c>
      <c r="E19" s="3">
        <v>25</v>
      </c>
      <c r="F19" s="3">
        <f>1.8*E19+32</f>
        <v>77</v>
      </c>
      <c r="G19" s="3">
        <v>17</v>
      </c>
      <c r="H19" s="3">
        <f>IF(F19&gt;68,G19+(F19-68)*0.2,U246-(68-F19)*0.2)</f>
        <v>18.8</v>
      </c>
      <c r="I19" s="3">
        <v>24</v>
      </c>
      <c r="J19" s="3">
        <f>1.8*I19+32</f>
        <v>75.2</v>
      </c>
      <c r="K19" s="3">
        <v>10</v>
      </c>
      <c r="L19" s="3">
        <f>IF(J19&gt;68,K19+(J19-68)*0.2,K19-(68-J19)*0.2)</f>
        <v>11.440000000000001</v>
      </c>
      <c r="M19" s="3">
        <f>(C19-H19)/C19*100</f>
        <v>62.4</v>
      </c>
      <c r="N19" s="3">
        <f>100-(M19+O19)</f>
        <v>14.719999999999999</v>
      </c>
      <c r="O19" s="3">
        <f>L19/C19*100</f>
        <v>22.880000000000003</v>
      </c>
      <c r="P19" s="2" t="s">
        <v>427</v>
      </c>
      <c r="Q19" s="37" t="s">
        <v>516</v>
      </c>
      <c r="R19" s="37" t="s">
        <v>515</v>
      </c>
      <c r="T19" s="4">
        <v>2006111</v>
      </c>
      <c r="U19" s="4" t="s">
        <v>240</v>
      </c>
      <c r="V19" s="4">
        <v>5.3330000000000002E-2</v>
      </c>
      <c r="W19" s="4">
        <v>0.37708000000000003</v>
      </c>
      <c r="X19" s="4">
        <v>3.1649999999999998E-2</v>
      </c>
      <c r="Y19" s="4">
        <v>1.43455</v>
      </c>
      <c r="Z19" s="4">
        <v>38.633490000000002</v>
      </c>
      <c r="AA19" s="4">
        <v>14.746729999999999</v>
      </c>
      <c r="AB19" s="4">
        <v>-1.1984999999999999</v>
      </c>
    </row>
    <row r="20" spans="1:28" x14ac:dyDescent="0.25">
      <c r="A20" s="6"/>
      <c r="B20" s="4" t="s">
        <v>428</v>
      </c>
      <c r="C20" s="5">
        <v>50</v>
      </c>
      <c r="D20" s="4">
        <v>20</v>
      </c>
      <c r="E20" s="3">
        <v>25</v>
      </c>
      <c r="F20" s="3">
        <f>1.8*E20+32</f>
        <v>77</v>
      </c>
      <c r="G20" s="3">
        <v>17</v>
      </c>
      <c r="H20" s="3">
        <f>IF(F20&gt;68,G20+(F20-68)*0.2,U247-(68-F20)*0.2)</f>
        <v>18.8</v>
      </c>
      <c r="I20" s="3">
        <v>24</v>
      </c>
      <c r="J20" s="3">
        <f>1.8*I20+32</f>
        <v>75.2</v>
      </c>
      <c r="K20" s="3">
        <v>9</v>
      </c>
      <c r="L20" s="3">
        <f>IF(J20&gt;68,K20+(J20-68)*0.2,K20-(68-J20)*0.2)</f>
        <v>10.440000000000001</v>
      </c>
      <c r="M20" s="3">
        <f>(C20-H20)/C20*100</f>
        <v>62.4</v>
      </c>
      <c r="N20" s="3">
        <f>100-(M20+O20)</f>
        <v>16.72</v>
      </c>
      <c r="O20" s="3">
        <f>L20/C20*100</f>
        <v>20.880000000000003</v>
      </c>
      <c r="P20" s="2" t="s">
        <v>427</v>
      </c>
      <c r="Q20" s="37" t="s">
        <v>516</v>
      </c>
      <c r="R20" s="37" t="s">
        <v>515</v>
      </c>
      <c r="T20" s="4">
        <v>2006111</v>
      </c>
      <c r="U20" s="4" t="s">
        <v>239</v>
      </c>
      <c r="V20" s="4">
        <v>5.4260000000000003E-2</v>
      </c>
      <c r="W20" s="4">
        <v>0.38213999999999998</v>
      </c>
      <c r="X20" s="4">
        <v>2.9909999999999999E-2</v>
      </c>
      <c r="Y20" s="4">
        <v>1.37049</v>
      </c>
      <c r="Z20" s="4">
        <v>26.945609999999999</v>
      </c>
      <c r="AA20" s="4">
        <v>12.86354</v>
      </c>
      <c r="AB20" s="4">
        <v>-1.31707</v>
      </c>
    </row>
    <row r="21" spans="1:28" x14ac:dyDescent="0.25">
      <c r="A21" s="36"/>
      <c r="T21" s="4">
        <v>2006111</v>
      </c>
      <c r="U21" s="4" t="s">
        <v>238</v>
      </c>
      <c r="V21" s="4">
        <v>6.0409999999999998E-2</v>
      </c>
      <c r="W21" s="4">
        <v>0.38201000000000002</v>
      </c>
      <c r="X21" s="4">
        <v>2.8289999999999999E-2</v>
      </c>
      <c r="Y21" s="4">
        <v>1.3405899999999999</v>
      </c>
      <c r="Z21" s="4">
        <v>19.313610000000001</v>
      </c>
      <c r="AA21" s="4">
        <v>10.54565</v>
      </c>
      <c r="AB21" s="4">
        <v>-1.45573</v>
      </c>
    </row>
    <row r="22" spans="1:28" ht="51.75" x14ac:dyDescent="0.25">
      <c r="A22" s="15" t="s">
        <v>19</v>
      </c>
      <c r="B22" s="10" t="s">
        <v>443</v>
      </c>
      <c r="C22" s="14" t="s">
        <v>17</v>
      </c>
      <c r="D22" s="13" t="s">
        <v>16</v>
      </c>
      <c r="E22" s="12" t="s">
        <v>15</v>
      </c>
      <c r="F22" s="12" t="s">
        <v>14</v>
      </c>
      <c r="G22" s="12" t="s">
        <v>442</v>
      </c>
      <c r="H22" s="12" t="s">
        <v>441</v>
      </c>
      <c r="I22" s="12" t="s">
        <v>440</v>
      </c>
      <c r="J22" s="12" t="s">
        <v>439</v>
      </c>
      <c r="K22" s="12" t="s">
        <v>438</v>
      </c>
      <c r="L22" s="12" t="s">
        <v>437</v>
      </c>
      <c r="M22" s="11" t="s">
        <v>7</v>
      </c>
      <c r="N22" s="11" t="s">
        <v>6</v>
      </c>
      <c r="O22" s="11" t="s">
        <v>5</v>
      </c>
      <c r="P22" s="10" t="s">
        <v>4</v>
      </c>
      <c r="Q22" s="17" t="s">
        <v>3</v>
      </c>
      <c r="R22" s="17"/>
      <c r="T22" s="4">
        <v>2006111</v>
      </c>
      <c r="U22" s="4" t="s">
        <v>237</v>
      </c>
      <c r="V22" s="4">
        <v>5.74E-2</v>
      </c>
      <c r="W22" s="4">
        <v>0.38295000000000001</v>
      </c>
      <c r="X22" s="4">
        <v>2.86E-2</v>
      </c>
      <c r="Y22" s="4">
        <v>1.3555699999999999</v>
      </c>
      <c r="Z22" s="4">
        <v>22.366029999999999</v>
      </c>
      <c r="AA22" s="4">
        <v>11.435689999999999</v>
      </c>
      <c r="AB22" s="4">
        <v>-1.3673999999999999</v>
      </c>
    </row>
    <row r="23" spans="1:28" x14ac:dyDescent="0.25">
      <c r="A23" s="60">
        <v>5</v>
      </c>
      <c r="B23" s="10"/>
      <c r="C23" s="14"/>
      <c r="D23" s="13" t="s">
        <v>436</v>
      </c>
      <c r="E23" s="12"/>
      <c r="F23" s="12"/>
      <c r="G23" s="12"/>
      <c r="H23" s="12"/>
      <c r="I23" s="12"/>
      <c r="J23" s="12"/>
      <c r="K23" s="12"/>
      <c r="L23" s="12"/>
      <c r="M23" s="11"/>
      <c r="N23" s="11"/>
      <c r="O23" s="11"/>
      <c r="P23" s="10"/>
      <c r="Q23" s="7" t="s">
        <v>2</v>
      </c>
      <c r="R23" s="7" t="s">
        <v>1</v>
      </c>
      <c r="T23" s="4">
        <v>2006111</v>
      </c>
      <c r="U23" s="4" t="s">
        <v>236</v>
      </c>
      <c r="V23" s="4">
        <v>5.5730000000000002E-2</v>
      </c>
      <c r="W23" s="4">
        <v>0.37679000000000001</v>
      </c>
      <c r="X23" s="4">
        <v>3.0519999999999999E-2</v>
      </c>
      <c r="Y23" s="4">
        <v>1.3961600000000001</v>
      </c>
      <c r="Z23" s="4">
        <v>30.291370000000001</v>
      </c>
      <c r="AA23" s="4">
        <v>13.00464</v>
      </c>
      <c r="AB23" s="4">
        <v>-1.2899499999999999</v>
      </c>
    </row>
    <row r="24" spans="1:28" x14ac:dyDescent="0.25">
      <c r="A24" s="60"/>
      <c r="B24" s="4" t="s">
        <v>435</v>
      </c>
      <c r="C24" s="5">
        <v>50</v>
      </c>
      <c r="D24" s="4">
        <v>20</v>
      </c>
      <c r="E24" s="3">
        <v>25</v>
      </c>
      <c r="F24" s="3">
        <f>1.8*E24+32</f>
        <v>77</v>
      </c>
      <c r="G24" s="3">
        <v>16</v>
      </c>
      <c r="H24" s="3">
        <f>IF(F24&gt;68,G24+(F24-68)*0.2,U251-(68-F24)*0.2)</f>
        <v>17.8</v>
      </c>
      <c r="I24" s="3">
        <v>24</v>
      </c>
      <c r="J24" s="3">
        <f>1.8*I24+32</f>
        <v>75.2</v>
      </c>
      <c r="K24" s="3">
        <v>8</v>
      </c>
      <c r="L24" s="3">
        <f>IF(J24&gt;68,K24+(J24-68)*0.2,K24-(68-J24)*0.2)</f>
        <v>9.4400000000000013</v>
      </c>
      <c r="M24" s="3">
        <f>(C24-H24)/C24*100</f>
        <v>64.400000000000006</v>
      </c>
      <c r="N24" s="3">
        <f>100-(M24+O24)</f>
        <v>16.72</v>
      </c>
      <c r="O24" s="3">
        <f>L24/C24*100</f>
        <v>18.880000000000003</v>
      </c>
      <c r="P24" s="2" t="s">
        <v>429</v>
      </c>
      <c r="Q24" s="21" t="s">
        <v>514</v>
      </c>
      <c r="R24" s="21" t="s">
        <v>513</v>
      </c>
      <c r="T24" s="4">
        <v>2006111</v>
      </c>
      <c r="U24" s="4" t="s">
        <v>235</v>
      </c>
      <c r="V24" s="4">
        <v>5.7489999999999999E-2</v>
      </c>
      <c r="W24" s="4">
        <v>0.38099</v>
      </c>
      <c r="X24" s="4">
        <v>2.9319999999999999E-2</v>
      </c>
      <c r="Y24" s="4">
        <v>1.3561399999999999</v>
      </c>
      <c r="Z24" s="4">
        <v>23.166979999999999</v>
      </c>
      <c r="AA24" s="4">
        <v>11.696070000000001</v>
      </c>
      <c r="AB24" s="4">
        <v>-1.3926799999999999</v>
      </c>
    </row>
    <row r="25" spans="1:28" x14ac:dyDescent="0.25">
      <c r="A25" s="15" t="s">
        <v>434</v>
      </c>
      <c r="B25" s="4" t="s">
        <v>433</v>
      </c>
      <c r="C25" s="5">
        <v>50</v>
      </c>
      <c r="D25" s="4">
        <v>20</v>
      </c>
      <c r="E25" s="3">
        <v>25</v>
      </c>
      <c r="F25" s="3">
        <f>1.8*E25+32</f>
        <v>77</v>
      </c>
      <c r="G25" s="3">
        <v>11</v>
      </c>
      <c r="H25" s="3">
        <f>IF(F25&gt;68,G25+(F25-68)*0.2,U252-(68-F25)*0.2)</f>
        <v>12.8</v>
      </c>
      <c r="I25" s="3">
        <v>24</v>
      </c>
      <c r="J25" s="3">
        <f>1.8*I25+32</f>
        <v>75.2</v>
      </c>
      <c r="K25" s="3">
        <v>6</v>
      </c>
      <c r="L25" s="3">
        <f>IF(J25&gt;68,K25+(J25-68)*0.2,K25-(68-J25)*0.2)</f>
        <v>7.44</v>
      </c>
      <c r="M25" s="3">
        <f>(C25-H25)/C25*100</f>
        <v>74.400000000000006</v>
      </c>
      <c r="N25" s="3">
        <f>100-(M25+O25)</f>
        <v>10.719999999999999</v>
      </c>
      <c r="O25" s="3">
        <f>L25/C25*100</f>
        <v>14.88</v>
      </c>
      <c r="P25" s="2" t="s">
        <v>429</v>
      </c>
      <c r="Q25" s="21" t="s">
        <v>514</v>
      </c>
      <c r="R25" s="21" t="s">
        <v>513</v>
      </c>
      <c r="T25" s="4">
        <v>2006111</v>
      </c>
      <c r="U25" s="4" t="s">
        <v>234</v>
      </c>
      <c r="V25" s="4">
        <v>5.74E-2</v>
      </c>
      <c r="W25" s="4">
        <v>0.38295000000000001</v>
      </c>
      <c r="X25" s="4">
        <v>2.86E-2</v>
      </c>
      <c r="Y25" s="4">
        <v>1.3555699999999999</v>
      </c>
      <c r="Z25" s="4">
        <v>22.366029999999999</v>
      </c>
      <c r="AA25" s="4">
        <v>11.435689999999999</v>
      </c>
      <c r="AB25" s="4">
        <v>-1.3673999999999999</v>
      </c>
    </row>
    <row r="26" spans="1:28" x14ac:dyDescent="0.25">
      <c r="A26" s="55">
        <v>40178</v>
      </c>
      <c r="B26" s="4" t="s">
        <v>432</v>
      </c>
      <c r="C26" s="5">
        <v>50</v>
      </c>
      <c r="D26" s="4">
        <v>20</v>
      </c>
      <c r="E26" s="3">
        <v>25</v>
      </c>
      <c r="F26" s="3">
        <f>1.8*E26+32</f>
        <v>77</v>
      </c>
      <c r="G26" s="3">
        <v>15</v>
      </c>
      <c r="H26" s="3">
        <f>IF(F26&gt;68,G26+(F26-68)*0.2,U253-(68-F26)*0.2)</f>
        <v>16.8</v>
      </c>
      <c r="I26" s="3">
        <v>24</v>
      </c>
      <c r="J26" s="3">
        <f>1.8*I26+32</f>
        <v>75.2</v>
      </c>
      <c r="K26" s="3">
        <v>7</v>
      </c>
      <c r="L26" s="3">
        <f>IF(J26&gt;68,K26+(J26-68)*0.2,K26-(68-J26)*0.2)</f>
        <v>8.4400000000000013</v>
      </c>
      <c r="M26" s="3">
        <f>(C26-H26)/C26*100</f>
        <v>66.400000000000006</v>
      </c>
      <c r="N26" s="3">
        <f>100-(M26+O26)</f>
        <v>16.72</v>
      </c>
      <c r="O26" s="3">
        <f>L26/C26*100</f>
        <v>16.880000000000003</v>
      </c>
      <c r="P26" s="2" t="s">
        <v>429</v>
      </c>
      <c r="Q26" s="21" t="s">
        <v>514</v>
      </c>
      <c r="R26" s="21" t="s">
        <v>513</v>
      </c>
      <c r="T26" s="4">
        <v>2006111</v>
      </c>
      <c r="U26" s="4" t="s">
        <v>233</v>
      </c>
      <c r="V26" s="4">
        <v>5.7489999999999999E-2</v>
      </c>
      <c r="W26" s="4">
        <v>0.38099</v>
      </c>
      <c r="X26" s="4">
        <v>2.9319999999999999E-2</v>
      </c>
      <c r="Y26" s="4">
        <v>1.3561399999999999</v>
      </c>
      <c r="Z26" s="4">
        <v>23.166979999999999</v>
      </c>
      <c r="AA26" s="4">
        <v>11.696070000000001</v>
      </c>
      <c r="AB26" s="4">
        <v>-1.3926799999999999</v>
      </c>
    </row>
    <row r="27" spans="1:28" x14ac:dyDescent="0.25">
      <c r="A27" s="54"/>
      <c r="B27" s="4" t="s">
        <v>431</v>
      </c>
      <c r="C27" s="5">
        <v>50</v>
      </c>
      <c r="D27" s="4">
        <v>20</v>
      </c>
      <c r="E27" s="3">
        <v>25</v>
      </c>
      <c r="F27" s="3">
        <f>1.8*E27+32</f>
        <v>77</v>
      </c>
      <c r="G27" s="3">
        <v>16</v>
      </c>
      <c r="H27" s="3">
        <f>IF(F27&gt;68,G27+(F27-68)*0.2,U254-(68-F27)*0.2)</f>
        <v>17.8</v>
      </c>
      <c r="I27" s="3">
        <v>24</v>
      </c>
      <c r="J27" s="3">
        <f>1.8*I27+32</f>
        <v>75.2</v>
      </c>
      <c r="K27" s="3">
        <v>9</v>
      </c>
      <c r="L27" s="3">
        <f>IF(J27&gt;68,K27+(J27-68)*0.2,K27-(68-J27)*0.2)</f>
        <v>10.440000000000001</v>
      </c>
      <c r="M27" s="3">
        <f>(C27-H27)/C27*100</f>
        <v>64.400000000000006</v>
      </c>
      <c r="N27" s="3">
        <f>100-(M27+O27)</f>
        <v>14.719999999999999</v>
      </c>
      <c r="O27" s="3">
        <f>L27/C27*100</f>
        <v>20.880000000000003</v>
      </c>
      <c r="P27" s="2" t="s">
        <v>427</v>
      </c>
      <c r="Q27" s="21" t="s">
        <v>514</v>
      </c>
      <c r="R27" s="21" t="s">
        <v>513</v>
      </c>
      <c r="T27" s="4">
        <v>2006111</v>
      </c>
      <c r="U27" s="4" t="s">
        <v>231</v>
      </c>
      <c r="V27" s="4">
        <v>6.0409999999999998E-2</v>
      </c>
      <c r="W27" s="4">
        <v>0.38201000000000002</v>
      </c>
      <c r="X27" s="4">
        <v>2.8289999999999999E-2</v>
      </c>
      <c r="Y27" s="4">
        <v>1.3405899999999999</v>
      </c>
      <c r="Z27" s="4">
        <v>19.313610000000001</v>
      </c>
      <c r="AA27" s="4">
        <v>10.54565</v>
      </c>
      <c r="AB27" s="4">
        <v>-1.45573</v>
      </c>
    </row>
    <row r="28" spans="1:28" x14ac:dyDescent="0.25">
      <c r="A28" s="6"/>
      <c r="B28" s="4" t="s">
        <v>430</v>
      </c>
      <c r="C28" s="5">
        <v>50</v>
      </c>
      <c r="D28" s="4">
        <v>20</v>
      </c>
      <c r="E28" s="3">
        <v>25</v>
      </c>
      <c r="F28" s="3">
        <f>1.8*E28+32</f>
        <v>77</v>
      </c>
      <c r="G28" s="3">
        <v>16</v>
      </c>
      <c r="H28" s="3">
        <f>IF(F28&gt;68,G28+(F28-68)*0.2,U255-(68-F28)*0.2)</f>
        <v>17.8</v>
      </c>
      <c r="I28" s="3">
        <v>24</v>
      </c>
      <c r="J28" s="3">
        <f>1.8*I28+32</f>
        <v>75.2</v>
      </c>
      <c r="K28" s="3">
        <v>8</v>
      </c>
      <c r="L28" s="3">
        <f>IF(J28&gt;68,K28+(J28-68)*0.2,K28-(68-J28)*0.2)</f>
        <v>9.4400000000000013</v>
      </c>
      <c r="M28" s="3">
        <f>(C28-H28)/C28*100</f>
        <v>64.400000000000006</v>
      </c>
      <c r="N28" s="3">
        <f>100-(M28+O28)</f>
        <v>16.72</v>
      </c>
      <c r="O28" s="3">
        <f>L28/C28*100</f>
        <v>18.880000000000003</v>
      </c>
      <c r="P28" s="2" t="s">
        <v>429</v>
      </c>
      <c r="Q28" s="21" t="s">
        <v>514</v>
      </c>
      <c r="R28" s="21" t="s">
        <v>513</v>
      </c>
      <c r="T28" s="4">
        <v>2006111</v>
      </c>
      <c r="U28" s="4" t="s">
        <v>230</v>
      </c>
      <c r="V28" s="4">
        <v>5.74E-2</v>
      </c>
      <c r="W28" s="4">
        <v>0.38295000000000001</v>
      </c>
      <c r="X28" s="4">
        <v>2.86E-2</v>
      </c>
      <c r="Y28" s="4">
        <v>1.3555699999999999</v>
      </c>
      <c r="Z28" s="4">
        <v>22.366029999999999</v>
      </c>
      <c r="AA28" s="4">
        <v>11.435689999999999</v>
      </c>
      <c r="AB28" s="4">
        <v>-1.3673999999999999</v>
      </c>
    </row>
    <row r="29" spans="1:28" x14ac:dyDescent="0.25">
      <c r="A29" s="6"/>
      <c r="B29" s="4" t="s">
        <v>428</v>
      </c>
      <c r="C29" s="5">
        <v>50</v>
      </c>
      <c r="D29" s="4">
        <v>20</v>
      </c>
      <c r="E29" s="3">
        <v>25</v>
      </c>
      <c r="F29" s="3">
        <f>1.8*E29+32</f>
        <v>77</v>
      </c>
      <c r="G29" s="3">
        <v>12</v>
      </c>
      <c r="H29" s="3">
        <f>IF(F29&gt;68,G29+(F29-68)*0.2,U256-(68-F29)*0.2)</f>
        <v>13.8</v>
      </c>
      <c r="I29" s="3">
        <v>24</v>
      </c>
      <c r="J29" s="3">
        <f>1.8*I29+32</f>
        <v>75.2</v>
      </c>
      <c r="K29" s="3">
        <v>7</v>
      </c>
      <c r="L29" s="3">
        <f>IF(J29&gt;68,K29+(J29-68)*0.2,K29-(68-J29)*0.2)</f>
        <v>8.4400000000000013</v>
      </c>
      <c r="M29" s="3">
        <f>(C29-H29)/C29*100</f>
        <v>72.400000000000006</v>
      </c>
      <c r="N29" s="3">
        <f>100-(M29+O29)</f>
        <v>10.719999999999999</v>
      </c>
      <c r="O29" s="3">
        <f>L29/C29*100</f>
        <v>16.880000000000003</v>
      </c>
      <c r="P29" s="2" t="s">
        <v>429</v>
      </c>
      <c r="Q29" s="21" t="s">
        <v>514</v>
      </c>
      <c r="R29" s="21" t="s">
        <v>513</v>
      </c>
      <c r="T29" s="4">
        <v>2006111</v>
      </c>
      <c r="U29" s="4" t="s">
        <v>229</v>
      </c>
      <c r="V29" s="4">
        <v>5.5019999999999999E-2</v>
      </c>
      <c r="W29" s="4">
        <v>0.37866</v>
      </c>
      <c r="X29" s="4">
        <v>3.0759999999999999E-2</v>
      </c>
      <c r="Y29" s="4">
        <v>1.3833800000000001</v>
      </c>
      <c r="Z29" s="4">
        <v>29.235969999999998</v>
      </c>
      <c r="AA29" s="4">
        <v>13.191380000000001</v>
      </c>
      <c r="AB29" s="4">
        <v>-1.31772</v>
      </c>
    </row>
    <row r="30" spans="1:28" x14ac:dyDescent="0.25">
      <c r="A30" s="36"/>
      <c r="T30" s="4">
        <v>2006111</v>
      </c>
      <c r="U30" s="4" t="s">
        <v>228</v>
      </c>
      <c r="V30" s="4">
        <v>5.4129999999999998E-2</v>
      </c>
      <c r="W30" s="4">
        <v>0.38377</v>
      </c>
      <c r="X30" s="4">
        <v>2.887E-2</v>
      </c>
      <c r="Y30" s="4">
        <v>1.3692</v>
      </c>
      <c r="Z30" s="4">
        <v>25.731660000000002</v>
      </c>
      <c r="AA30" s="4">
        <v>12.388350000000001</v>
      </c>
      <c r="AB30" s="4">
        <v>-1.28748</v>
      </c>
    </row>
    <row r="31" spans="1:28" ht="51.75" x14ac:dyDescent="0.25">
      <c r="A31" s="15" t="s">
        <v>19</v>
      </c>
      <c r="B31" s="10" t="s">
        <v>443</v>
      </c>
      <c r="C31" s="14" t="s">
        <v>17</v>
      </c>
      <c r="D31" s="13" t="s">
        <v>16</v>
      </c>
      <c r="E31" s="12" t="s">
        <v>15</v>
      </c>
      <c r="F31" s="12" t="s">
        <v>14</v>
      </c>
      <c r="G31" s="12" t="s">
        <v>442</v>
      </c>
      <c r="H31" s="12" t="s">
        <v>441</v>
      </c>
      <c r="I31" s="12" t="s">
        <v>440</v>
      </c>
      <c r="J31" s="12" t="s">
        <v>439</v>
      </c>
      <c r="K31" s="12" t="s">
        <v>438</v>
      </c>
      <c r="L31" s="12" t="s">
        <v>437</v>
      </c>
      <c r="M31" s="11" t="s">
        <v>7</v>
      </c>
      <c r="N31" s="11" t="s">
        <v>6</v>
      </c>
      <c r="O31" s="11" t="s">
        <v>5</v>
      </c>
      <c r="P31" s="10" t="s">
        <v>4</v>
      </c>
      <c r="Q31" s="17" t="s">
        <v>3</v>
      </c>
      <c r="R31" s="17"/>
      <c r="T31" s="4">
        <v>2006111</v>
      </c>
      <c r="U31" s="4" t="s">
        <v>227</v>
      </c>
      <c r="V31" s="4">
        <v>6.0409999999999998E-2</v>
      </c>
      <c r="W31" s="4">
        <v>0.38201000000000002</v>
      </c>
      <c r="X31" s="4">
        <v>2.8289999999999999E-2</v>
      </c>
      <c r="Y31" s="4">
        <v>1.3405899999999999</v>
      </c>
      <c r="Z31" s="4">
        <v>19.313610000000001</v>
      </c>
      <c r="AA31" s="4">
        <v>10.54565</v>
      </c>
      <c r="AB31" s="4">
        <v>-1.45573</v>
      </c>
    </row>
    <row r="32" spans="1:28" x14ac:dyDescent="0.25">
      <c r="A32" s="60">
        <v>6</v>
      </c>
      <c r="B32" s="10"/>
      <c r="C32" s="14"/>
      <c r="D32" s="13" t="s">
        <v>436</v>
      </c>
      <c r="E32" s="12"/>
      <c r="F32" s="12"/>
      <c r="G32" s="12"/>
      <c r="H32" s="12"/>
      <c r="I32" s="12"/>
      <c r="J32" s="12"/>
      <c r="K32" s="12"/>
      <c r="L32" s="12"/>
      <c r="M32" s="11"/>
      <c r="N32" s="11"/>
      <c r="O32" s="11"/>
      <c r="P32" s="10"/>
      <c r="Q32" s="7" t="s">
        <v>2</v>
      </c>
      <c r="R32" s="7" t="s">
        <v>1</v>
      </c>
      <c r="T32" s="4">
        <v>2006111</v>
      </c>
      <c r="U32" s="4" t="s">
        <v>226</v>
      </c>
      <c r="V32" s="4">
        <v>6.0490000000000002E-2</v>
      </c>
      <c r="W32" s="4">
        <v>0.38424999999999998</v>
      </c>
      <c r="X32" s="4">
        <v>2.751E-2</v>
      </c>
      <c r="Y32" s="4">
        <v>1.343</v>
      </c>
      <c r="Z32" s="4">
        <v>18.708269999999999</v>
      </c>
      <c r="AA32" s="4">
        <v>10.29607</v>
      </c>
      <c r="AB32" s="4">
        <v>-1.4155599999999999</v>
      </c>
    </row>
    <row r="33" spans="1:28" x14ac:dyDescent="0.25">
      <c r="A33" s="60"/>
      <c r="B33" s="4" t="s">
        <v>435</v>
      </c>
      <c r="C33" s="5">
        <v>50</v>
      </c>
      <c r="D33" s="4">
        <v>20</v>
      </c>
      <c r="E33" s="3">
        <v>25</v>
      </c>
      <c r="F33" s="3">
        <f>1.8*E33+32</f>
        <v>77</v>
      </c>
      <c r="G33" s="3">
        <v>15</v>
      </c>
      <c r="H33" s="3">
        <f>IF(F33&gt;68,G33+(F33-68)*0.2,U260-(68-F33)*0.2)</f>
        <v>16.8</v>
      </c>
      <c r="I33" s="3">
        <v>24</v>
      </c>
      <c r="J33" s="3">
        <f>1.8*I33+32</f>
        <v>75.2</v>
      </c>
      <c r="K33" s="3">
        <v>8</v>
      </c>
      <c r="L33" s="3">
        <f>IF(J33&gt;68,K33+(J33-68)*0.2,K33-(68-J33)*0.2)</f>
        <v>9.4400000000000013</v>
      </c>
      <c r="M33" s="3">
        <f>(C33-H33)/C33*100</f>
        <v>66.400000000000006</v>
      </c>
      <c r="N33" s="3">
        <f>100-(M33+O33)</f>
        <v>14.719999999999999</v>
      </c>
      <c r="O33" s="3">
        <f>L33/C33*100</f>
        <v>18.880000000000003</v>
      </c>
      <c r="P33" s="2" t="s">
        <v>429</v>
      </c>
      <c r="Q33" s="37" t="s">
        <v>512</v>
      </c>
      <c r="R33" s="37" t="s">
        <v>511</v>
      </c>
      <c r="T33" s="4">
        <v>2006111</v>
      </c>
      <c r="U33" s="4" t="s">
        <v>225</v>
      </c>
      <c r="V33" s="4">
        <v>7.5270000000000004E-2</v>
      </c>
      <c r="W33" s="4">
        <v>0.40490999999999999</v>
      </c>
      <c r="X33" s="4">
        <v>2.2280000000000001E-2</v>
      </c>
      <c r="Y33" s="4">
        <v>1.31402</v>
      </c>
      <c r="Z33" s="4">
        <v>7.8308499999999999</v>
      </c>
      <c r="AA33" s="4">
        <v>6.5615100000000002</v>
      </c>
      <c r="AB33" s="4">
        <v>-1.4544600000000001</v>
      </c>
    </row>
    <row r="34" spans="1:28" x14ac:dyDescent="0.25">
      <c r="A34" s="15" t="s">
        <v>434</v>
      </c>
      <c r="B34" s="4" t="s">
        <v>433</v>
      </c>
      <c r="C34" s="5">
        <v>50</v>
      </c>
      <c r="D34" s="4">
        <v>20</v>
      </c>
      <c r="E34" s="3">
        <v>25</v>
      </c>
      <c r="F34" s="3">
        <f>1.8*E34+32</f>
        <v>77</v>
      </c>
      <c r="G34" s="3">
        <v>16</v>
      </c>
      <c r="H34" s="3">
        <f>IF(F34&gt;68,G34+(F34-68)*0.2,U261-(68-F34)*0.2)</f>
        <v>17.8</v>
      </c>
      <c r="I34" s="3">
        <v>24</v>
      </c>
      <c r="J34" s="3">
        <f>1.8*I34+32</f>
        <v>75.2</v>
      </c>
      <c r="K34" s="3">
        <v>8</v>
      </c>
      <c r="L34" s="3">
        <f>IF(J34&gt;68,K34+(J34-68)*0.2,K34-(68-J34)*0.2)</f>
        <v>9.4400000000000013</v>
      </c>
      <c r="M34" s="3">
        <f>(C34-H34)/C34*100</f>
        <v>64.400000000000006</v>
      </c>
      <c r="N34" s="3">
        <f>100-(M34+O34)</f>
        <v>16.72</v>
      </c>
      <c r="O34" s="3">
        <f>L34/C34*100</f>
        <v>18.880000000000003</v>
      </c>
      <c r="P34" s="2" t="s">
        <v>429</v>
      </c>
      <c r="Q34" s="37" t="s">
        <v>512</v>
      </c>
      <c r="R34" s="37" t="s">
        <v>511</v>
      </c>
      <c r="T34" s="4">
        <v>2006111</v>
      </c>
      <c r="U34" s="4" t="s">
        <v>224</v>
      </c>
      <c r="V34" s="4">
        <v>7.4740000000000001E-2</v>
      </c>
      <c r="W34" s="4">
        <v>0.39813999999999999</v>
      </c>
      <c r="X34" s="4">
        <v>2.5100000000000001E-2</v>
      </c>
      <c r="Y34" s="4">
        <v>1.28695</v>
      </c>
      <c r="Z34" s="4">
        <v>9.4595500000000001</v>
      </c>
      <c r="AA34" s="4">
        <v>7.2568099999999998</v>
      </c>
      <c r="AB34" s="4">
        <v>-1.7539100000000001</v>
      </c>
    </row>
    <row r="35" spans="1:28" x14ac:dyDescent="0.25">
      <c r="A35" s="55">
        <v>40178</v>
      </c>
      <c r="B35" s="4" t="s">
        <v>432</v>
      </c>
      <c r="C35" s="5">
        <v>50</v>
      </c>
      <c r="D35" s="4">
        <v>20</v>
      </c>
      <c r="E35" s="3">
        <v>25</v>
      </c>
      <c r="F35" s="3">
        <f>1.8*E35+32</f>
        <v>77</v>
      </c>
      <c r="G35" s="3">
        <v>15</v>
      </c>
      <c r="H35" s="3">
        <f>IF(F35&gt;68,G35+(F35-68)*0.2,U262-(68-F35)*0.2)</f>
        <v>16.8</v>
      </c>
      <c r="I35" s="3">
        <v>24</v>
      </c>
      <c r="J35" s="3">
        <f>1.8*I35+32</f>
        <v>75.2</v>
      </c>
      <c r="K35" s="3">
        <v>8</v>
      </c>
      <c r="L35" s="3">
        <f>IF(J35&gt;68,K35+(J35-68)*0.2,K35-(68-J35)*0.2)</f>
        <v>9.4400000000000013</v>
      </c>
      <c r="M35" s="3">
        <f>(C35-H35)/C35*100</f>
        <v>66.400000000000006</v>
      </c>
      <c r="N35" s="3">
        <f>100-(M35+O35)</f>
        <v>14.719999999999999</v>
      </c>
      <c r="O35" s="3">
        <f>L35/C35*100</f>
        <v>18.880000000000003</v>
      </c>
      <c r="P35" s="2" t="s">
        <v>429</v>
      </c>
      <c r="Q35" s="37" t="s">
        <v>512</v>
      </c>
      <c r="R35" s="37" t="s">
        <v>511</v>
      </c>
      <c r="T35" s="4">
        <v>2006111</v>
      </c>
      <c r="U35" s="4" t="s">
        <v>223</v>
      </c>
      <c r="V35" s="4">
        <v>5.5719999999999999E-2</v>
      </c>
      <c r="W35" s="4">
        <v>0.37991999999999998</v>
      </c>
      <c r="X35" s="4">
        <v>3.023E-2</v>
      </c>
      <c r="Y35" s="4">
        <v>1.36965</v>
      </c>
      <c r="Z35" s="4">
        <v>26.53201</v>
      </c>
      <c r="AA35" s="4">
        <v>12.62748</v>
      </c>
      <c r="AB35" s="4">
        <v>-1.3518600000000001</v>
      </c>
    </row>
    <row r="36" spans="1:28" x14ac:dyDescent="0.25">
      <c r="A36" s="54"/>
      <c r="B36" s="4" t="s">
        <v>431</v>
      </c>
      <c r="C36" s="5">
        <v>50</v>
      </c>
      <c r="D36" s="4">
        <v>20</v>
      </c>
      <c r="E36" s="3">
        <v>25</v>
      </c>
      <c r="F36" s="3">
        <f>1.8*E36+32</f>
        <v>77</v>
      </c>
      <c r="G36" s="3">
        <v>16</v>
      </c>
      <c r="H36" s="3">
        <f>IF(F36&gt;68,G36+(F36-68)*0.2,U263-(68-F36)*0.2)</f>
        <v>17.8</v>
      </c>
      <c r="I36" s="3">
        <v>24</v>
      </c>
      <c r="J36" s="3">
        <f>1.8*I36+32</f>
        <v>75.2</v>
      </c>
      <c r="K36" s="3">
        <v>9</v>
      </c>
      <c r="L36" s="3">
        <f>IF(J36&gt;68,K36+(J36-68)*0.2,K36-(68-J36)*0.2)</f>
        <v>10.440000000000001</v>
      </c>
      <c r="M36" s="3">
        <f>(C36-H36)/C36*100</f>
        <v>64.400000000000006</v>
      </c>
      <c r="N36" s="3">
        <f>100-(M36+O36)</f>
        <v>14.719999999999999</v>
      </c>
      <c r="O36" s="3">
        <f>L36/C36*100</f>
        <v>20.880000000000003</v>
      </c>
      <c r="P36" s="2" t="s">
        <v>427</v>
      </c>
      <c r="Q36" s="37" t="s">
        <v>512</v>
      </c>
      <c r="R36" s="37" t="s">
        <v>511</v>
      </c>
      <c r="T36" s="4">
        <v>2006111</v>
      </c>
      <c r="U36" s="4" t="s">
        <v>222</v>
      </c>
      <c r="V36" s="4">
        <v>6.1429999999999998E-2</v>
      </c>
      <c r="W36" s="4">
        <v>0.38166</v>
      </c>
      <c r="X36" s="4">
        <v>2.8160000000000001E-2</v>
      </c>
      <c r="Y36" s="4">
        <v>1.3349299999999999</v>
      </c>
      <c r="Z36" s="4">
        <v>18.305959999999999</v>
      </c>
      <c r="AA36" s="4">
        <v>10.24188</v>
      </c>
      <c r="AB36" s="4">
        <v>-1.48996</v>
      </c>
    </row>
    <row r="37" spans="1:28" x14ac:dyDescent="0.25">
      <c r="A37" s="6"/>
      <c r="B37" s="4" t="s">
        <v>430</v>
      </c>
      <c r="C37" s="5">
        <v>50</v>
      </c>
      <c r="D37" s="4">
        <v>20</v>
      </c>
      <c r="E37" s="3">
        <v>25</v>
      </c>
      <c r="F37" s="3">
        <f>1.8*E37+32</f>
        <v>77</v>
      </c>
      <c r="G37" s="3">
        <v>16</v>
      </c>
      <c r="H37" s="3">
        <f>IF(F37&gt;68,G37+(F37-68)*0.2,U264-(68-F37)*0.2)</f>
        <v>17.8</v>
      </c>
      <c r="I37" s="3">
        <v>24</v>
      </c>
      <c r="J37" s="3">
        <f>1.8*I37+32</f>
        <v>75.2</v>
      </c>
      <c r="K37" s="3">
        <v>8</v>
      </c>
      <c r="L37" s="3">
        <f>IF(J37&gt;68,K37+(J37-68)*0.2,K37-(68-J37)*0.2)</f>
        <v>9.4400000000000013</v>
      </c>
      <c r="M37" s="3">
        <f>(C37-H37)/C37*100</f>
        <v>64.400000000000006</v>
      </c>
      <c r="N37" s="3">
        <f>100-(M37+O37)</f>
        <v>16.72</v>
      </c>
      <c r="O37" s="3">
        <f>L37/C37*100</f>
        <v>18.880000000000003</v>
      </c>
      <c r="P37" s="2" t="s">
        <v>429</v>
      </c>
      <c r="Q37" s="37" t="s">
        <v>512</v>
      </c>
      <c r="R37" s="37" t="s">
        <v>511</v>
      </c>
      <c r="T37" s="4">
        <v>2006111</v>
      </c>
      <c r="U37" s="4" t="s">
        <v>221</v>
      </c>
      <c r="V37" s="4">
        <v>6.4119999999999996E-2</v>
      </c>
      <c r="W37" s="4">
        <v>0.38069999999999998</v>
      </c>
      <c r="X37" s="4">
        <v>2.7810000000000001E-2</v>
      </c>
      <c r="Y37" s="4">
        <v>1.31877</v>
      </c>
      <c r="Z37" s="4">
        <v>15.94111</v>
      </c>
      <c r="AA37" s="4">
        <v>9.4488400000000006</v>
      </c>
      <c r="AB37" s="4">
        <v>-1.59297</v>
      </c>
    </row>
    <row r="38" spans="1:28" x14ac:dyDescent="0.25">
      <c r="A38" s="6"/>
      <c r="B38" s="4" t="s">
        <v>428</v>
      </c>
      <c r="C38" s="5">
        <v>50</v>
      </c>
      <c r="D38" s="4">
        <v>20</v>
      </c>
      <c r="E38" s="3">
        <v>25</v>
      </c>
      <c r="F38" s="3">
        <f>1.8*E38+32</f>
        <v>77</v>
      </c>
      <c r="G38" s="3">
        <v>13</v>
      </c>
      <c r="H38" s="3">
        <f>IF(F38&gt;68,G38+(F38-68)*0.2,U265-(68-F38)*0.2)</f>
        <v>14.8</v>
      </c>
      <c r="I38" s="3">
        <v>24</v>
      </c>
      <c r="J38" s="3">
        <f>1.8*I38+32</f>
        <v>75.2</v>
      </c>
      <c r="K38" s="3">
        <v>7</v>
      </c>
      <c r="L38" s="3">
        <f>IF(J38&gt;68,K38+(J38-68)*0.2,K38-(68-J38)*0.2)</f>
        <v>8.4400000000000013</v>
      </c>
      <c r="M38" s="3">
        <f>(C38-H38)/C38*100</f>
        <v>70.400000000000006</v>
      </c>
      <c r="N38" s="3">
        <f>100-(M38+O38)</f>
        <v>12.719999999999999</v>
      </c>
      <c r="O38" s="3">
        <f>L38/C38*100</f>
        <v>16.880000000000003</v>
      </c>
      <c r="P38" s="2" t="s">
        <v>429</v>
      </c>
      <c r="Q38" s="37" t="s">
        <v>512</v>
      </c>
      <c r="R38" s="37" t="s">
        <v>511</v>
      </c>
      <c r="T38" s="4">
        <v>2006111</v>
      </c>
      <c r="U38" s="4" t="s">
        <v>220</v>
      </c>
      <c r="V38" s="4">
        <v>5.5359999999999999E-2</v>
      </c>
      <c r="W38" s="4">
        <v>0.38518000000000002</v>
      </c>
      <c r="X38" s="4">
        <v>2.751E-2</v>
      </c>
      <c r="Y38" s="4">
        <v>1.3662399999999999</v>
      </c>
      <c r="Z38" s="4">
        <v>23.346440000000001</v>
      </c>
      <c r="AA38" s="4">
        <v>11.47307</v>
      </c>
      <c r="AB38" s="4">
        <v>-1.26895</v>
      </c>
    </row>
    <row r="39" spans="1:28" x14ac:dyDescent="0.25">
      <c r="A39" s="36"/>
      <c r="T39" s="4">
        <v>2006111</v>
      </c>
      <c r="U39" s="4" t="s">
        <v>219</v>
      </c>
      <c r="V39" s="4">
        <v>5.851E-2</v>
      </c>
      <c r="W39" s="4">
        <v>0.38262000000000002</v>
      </c>
      <c r="X39" s="4">
        <v>2.8490000000000001E-2</v>
      </c>
      <c r="Y39" s="4">
        <v>1.35032</v>
      </c>
      <c r="Z39" s="4">
        <v>21.230399999999999</v>
      </c>
      <c r="AA39" s="4">
        <v>11.10778</v>
      </c>
      <c r="AB39" s="4">
        <v>-1.3981399999999999</v>
      </c>
    </row>
    <row r="40" spans="1:28" ht="51.75" x14ac:dyDescent="0.25">
      <c r="A40" s="15" t="s">
        <v>19</v>
      </c>
      <c r="B40" s="10" t="s">
        <v>443</v>
      </c>
      <c r="C40" s="14" t="s">
        <v>17</v>
      </c>
      <c r="D40" s="13" t="s">
        <v>16</v>
      </c>
      <c r="E40" s="12" t="s">
        <v>15</v>
      </c>
      <c r="F40" s="12" t="s">
        <v>14</v>
      </c>
      <c r="G40" s="12" t="s">
        <v>442</v>
      </c>
      <c r="H40" s="12" t="s">
        <v>441</v>
      </c>
      <c r="I40" s="12" t="s">
        <v>440</v>
      </c>
      <c r="J40" s="12" t="s">
        <v>439</v>
      </c>
      <c r="K40" s="12" t="s">
        <v>438</v>
      </c>
      <c r="L40" s="12" t="s">
        <v>437</v>
      </c>
      <c r="M40" s="11" t="s">
        <v>7</v>
      </c>
      <c r="N40" s="11" t="s">
        <v>6</v>
      </c>
      <c r="O40" s="11" t="s">
        <v>5</v>
      </c>
      <c r="P40" s="10" t="s">
        <v>4</v>
      </c>
      <c r="Q40" s="17" t="s">
        <v>3</v>
      </c>
      <c r="R40" s="17"/>
      <c r="T40" s="4">
        <v>2006111</v>
      </c>
      <c r="U40" s="4" t="s">
        <v>218</v>
      </c>
      <c r="V40" s="4">
        <v>6.1519999999999998E-2</v>
      </c>
      <c r="W40" s="4">
        <v>0.38400000000000001</v>
      </c>
      <c r="X40" s="4">
        <v>2.7490000000000001E-2</v>
      </c>
      <c r="Y40" s="4">
        <v>1.33745</v>
      </c>
      <c r="Z40" s="4">
        <v>17.805779999999999</v>
      </c>
      <c r="AA40" s="4">
        <v>10.0501</v>
      </c>
      <c r="AB40" s="4">
        <v>-1.4511000000000001</v>
      </c>
    </row>
    <row r="41" spans="1:28" x14ac:dyDescent="0.25">
      <c r="A41" s="56">
        <v>7</v>
      </c>
      <c r="B41" s="10"/>
      <c r="C41" s="14"/>
      <c r="D41" s="13" t="s">
        <v>436</v>
      </c>
      <c r="E41" s="12"/>
      <c r="F41" s="12"/>
      <c r="G41" s="12"/>
      <c r="H41" s="12"/>
      <c r="I41" s="12"/>
      <c r="J41" s="12"/>
      <c r="K41" s="12"/>
      <c r="L41" s="12"/>
      <c r="M41" s="11"/>
      <c r="N41" s="11"/>
      <c r="O41" s="11"/>
      <c r="P41" s="10"/>
      <c r="Q41" s="7" t="s">
        <v>2</v>
      </c>
      <c r="R41" s="7" t="s">
        <v>1</v>
      </c>
      <c r="T41" s="4">
        <v>2006111</v>
      </c>
      <c r="U41" s="4" t="s">
        <v>217</v>
      </c>
      <c r="V41" s="4">
        <v>6.7210000000000006E-2</v>
      </c>
      <c r="W41" s="4">
        <v>0.38819999999999999</v>
      </c>
      <c r="X41" s="4">
        <v>2.605E-2</v>
      </c>
      <c r="Y41" s="4">
        <v>1.31562</v>
      </c>
      <c r="Z41" s="4">
        <v>12.985099999999999</v>
      </c>
      <c r="AA41" s="4">
        <v>8.5299800000000001</v>
      </c>
      <c r="AB41" s="4">
        <v>-1.55935</v>
      </c>
    </row>
    <row r="42" spans="1:28" x14ac:dyDescent="0.25">
      <c r="A42" s="56"/>
      <c r="B42" s="4" t="s">
        <v>435</v>
      </c>
      <c r="C42" s="5">
        <v>50</v>
      </c>
      <c r="D42" s="4">
        <v>20</v>
      </c>
      <c r="E42" s="3">
        <v>25</v>
      </c>
      <c r="F42" s="3">
        <f>1.8*E42+32</f>
        <v>77</v>
      </c>
      <c r="G42" s="3">
        <v>16</v>
      </c>
      <c r="H42" s="3">
        <f>IF(F42&gt;68,G42+(F42-68)*0.2,U269-(68-F42)*0.2)</f>
        <v>17.8</v>
      </c>
      <c r="I42" s="3">
        <v>24</v>
      </c>
      <c r="J42" s="3">
        <f>1.8*I42+32</f>
        <v>75.2</v>
      </c>
      <c r="K42" s="3">
        <v>7</v>
      </c>
      <c r="L42" s="3">
        <f>IF(J42&gt;68,K42+(J42-68)*0.2,K42-(68-J42)*0.2)</f>
        <v>8.4400000000000013</v>
      </c>
      <c r="M42" s="3">
        <f>(C42-H42)/C42*100</f>
        <v>64.400000000000006</v>
      </c>
      <c r="N42" s="3">
        <f>100-(M42+O42)</f>
        <v>18.72</v>
      </c>
      <c r="O42" s="3">
        <f>L42/C42*100</f>
        <v>16.880000000000003</v>
      </c>
      <c r="P42" s="2" t="s">
        <v>429</v>
      </c>
      <c r="Q42" s="37" t="s">
        <v>510</v>
      </c>
      <c r="R42" s="37" t="s">
        <v>509</v>
      </c>
      <c r="T42" s="4">
        <v>2006111</v>
      </c>
      <c r="U42" s="4" t="s">
        <v>405</v>
      </c>
      <c r="V42" s="4">
        <v>5.5449999999999999E-2</v>
      </c>
      <c r="W42" s="4">
        <v>0.38174000000000002</v>
      </c>
      <c r="X42" s="4">
        <v>2.9700000000000001E-2</v>
      </c>
      <c r="Y42" s="4">
        <v>1.3654900000000001</v>
      </c>
      <c r="Z42" s="4">
        <v>25.554040000000001</v>
      </c>
      <c r="AA42" s="4">
        <v>12.431749999999999</v>
      </c>
      <c r="AB42" s="4">
        <v>-1.3434299999999999</v>
      </c>
    </row>
    <row r="43" spans="1:28" x14ac:dyDescent="0.25">
      <c r="A43" s="15" t="s">
        <v>434</v>
      </c>
      <c r="B43" s="4" t="s">
        <v>433</v>
      </c>
      <c r="C43" s="5">
        <v>50</v>
      </c>
      <c r="D43" s="4">
        <v>20</v>
      </c>
      <c r="E43" s="3">
        <v>25</v>
      </c>
      <c r="F43" s="3">
        <f>1.8*E43+32</f>
        <v>77</v>
      </c>
      <c r="G43" s="3">
        <v>16</v>
      </c>
      <c r="H43" s="3">
        <f>IF(F43&gt;68,G43+(F43-68)*0.2,U270-(68-F43)*0.2)</f>
        <v>17.8</v>
      </c>
      <c r="I43" s="3">
        <v>24</v>
      </c>
      <c r="J43" s="3">
        <f>1.8*I43+32</f>
        <v>75.2</v>
      </c>
      <c r="K43" s="3">
        <v>9</v>
      </c>
      <c r="L43" s="3">
        <f>IF(J43&gt;68,K43+(J43-68)*0.2,K43-(68-J43)*0.2)</f>
        <v>10.440000000000001</v>
      </c>
      <c r="M43" s="3">
        <f>(C43-H43)/C43*100</f>
        <v>64.400000000000006</v>
      </c>
      <c r="N43" s="3">
        <f>100-(M43+O43)</f>
        <v>14.719999999999999</v>
      </c>
      <c r="O43" s="3">
        <f>L43/C43*100</f>
        <v>20.880000000000003</v>
      </c>
      <c r="P43" s="2" t="s">
        <v>427</v>
      </c>
      <c r="Q43" s="37" t="s">
        <v>510</v>
      </c>
      <c r="R43" s="37" t="s">
        <v>509</v>
      </c>
      <c r="T43" s="4">
        <v>2006111</v>
      </c>
      <c r="U43" s="4" t="s">
        <v>404</v>
      </c>
      <c r="V43" s="4">
        <v>5.534E-2</v>
      </c>
      <c r="W43" s="4">
        <v>0.38349</v>
      </c>
      <c r="X43" s="4">
        <v>2.878E-2</v>
      </c>
      <c r="Y43" s="4">
        <v>1.3644700000000001</v>
      </c>
      <c r="Z43" s="4">
        <v>24.484839999999998</v>
      </c>
      <c r="AA43" s="4">
        <v>12.03838</v>
      </c>
      <c r="AB43" s="4">
        <v>-1.31538</v>
      </c>
    </row>
    <row r="44" spans="1:28" x14ac:dyDescent="0.25">
      <c r="A44" s="55">
        <v>40178</v>
      </c>
      <c r="B44" s="4" t="s">
        <v>432</v>
      </c>
      <c r="C44" s="5">
        <v>50</v>
      </c>
      <c r="D44" s="4">
        <v>20</v>
      </c>
      <c r="E44" s="3">
        <v>25</v>
      </c>
      <c r="F44" s="3">
        <f>1.8*E44+32</f>
        <v>77</v>
      </c>
      <c r="G44" s="3">
        <v>17</v>
      </c>
      <c r="H44" s="3">
        <f>IF(F44&gt;68,G44+(F44-68)*0.2,U271-(68-F44)*0.2)</f>
        <v>18.8</v>
      </c>
      <c r="I44" s="3">
        <v>24</v>
      </c>
      <c r="J44" s="3">
        <f>1.8*I44+32</f>
        <v>75.2</v>
      </c>
      <c r="K44" s="3">
        <v>9</v>
      </c>
      <c r="L44" s="3">
        <f>IF(J44&gt;68,K44+(J44-68)*0.2,K44-(68-J44)*0.2)</f>
        <v>10.440000000000001</v>
      </c>
      <c r="M44" s="3">
        <f>(C44-H44)/C44*100</f>
        <v>62.4</v>
      </c>
      <c r="N44" s="3">
        <f>100-(M44+O44)</f>
        <v>16.72</v>
      </c>
      <c r="O44" s="3">
        <f>L44/C44*100</f>
        <v>20.880000000000003</v>
      </c>
      <c r="P44" s="2" t="s">
        <v>427</v>
      </c>
      <c r="Q44" s="37" t="s">
        <v>510</v>
      </c>
      <c r="R44" s="37" t="s">
        <v>509</v>
      </c>
      <c r="T44" s="4">
        <v>2006111</v>
      </c>
      <c r="U44" s="4" t="s">
        <v>403</v>
      </c>
      <c r="V44" s="4">
        <v>4.7440000000000003E-2</v>
      </c>
      <c r="W44" s="4">
        <v>0.38073000000000001</v>
      </c>
      <c r="X44" s="4">
        <v>3.4790000000000001E-2</v>
      </c>
      <c r="Y44" s="4">
        <v>1.46546</v>
      </c>
      <c r="Z44" s="4">
        <v>50.132219999999997</v>
      </c>
      <c r="AA44" s="4">
        <v>19.1264</v>
      </c>
      <c r="AB44" s="4">
        <v>-1.1249899999999999</v>
      </c>
    </row>
    <row r="45" spans="1:28" x14ac:dyDescent="0.25">
      <c r="A45" s="54"/>
      <c r="B45" s="4" t="s">
        <v>431</v>
      </c>
      <c r="C45" s="5">
        <v>50</v>
      </c>
      <c r="D45" s="4">
        <v>20</v>
      </c>
      <c r="E45" s="3">
        <v>25</v>
      </c>
      <c r="F45" s="3">
        <f>1.8*E45+32</f>
        <v>77</v>
      </c>
      <c r="G45" s="3">
        <v>24</v>
      </c>
      <c r="H45" s="3">
        <f>IF(F45&gt;68,G45+(F45-68)*0.2,U272-(68-F45)*0.2)</f>
        <v>25.8</v>
      </c>
      <c r="I45" s="3">
        <v>24</v>
      </c>
      <c r="J45" s="3">
        <f>1.8*I45+32</f>
        <v>75.2</v>
      </c>
      <c r="K45" s="3">
        <v>14</v>
      </c>
      <c r="L45" s="3">
        <f>IF(J45&gt;68,K45+(J45-68)*0.2,K45-(68-J45)*0.2)</f>
        <v>15.440000000000001</v>
      </c>
      <c r="M45" s="3">
        <f>(C45-H45)/C45*100</f>
        <v>48.4</v>
      </c>
      <c r="N45" s="3">
        <f>100-(M45+O45)</f>
        <v>20.72</v>
      </c>
      <c r="O45" s="3">
        <f>L45/C45*100</f>
        <v>30.880000000000003</v>
      </c>
      <c r="P45" s="2" t="s">
        <v>427</v>
      </c>
      <c r="Q45" s="37" t="s">
        <v>510</v>
      </c>
      <c r="R45" s="37" t="s">
        <v>509</v>
      </c>
      <c r="T45" s="4">
        <v>2006111</v>
      </c>
      <c r="U45" s="4" t="s">
        <v>402</v>
      </c>
      <c r="V45" s="4">
        <v>4.9360000000000001E-2</v>
      </c>
      <c r="W45" s="4">
        <v>0.38141999999999998</v>
      </c>
      <c r="X45" s="4">
        <v>3.279E-2</v>
      </c>
      <c r="Y45" s="4">
        <v>1.40808</v>
      </c>
      <c r="Z45" s="4">
        <v>37.745629999999998</v>
      </c>
      <c r="AA45" s="4">
        <v>16.203900000000001</v>
      </c>
      <c r="AB45" s="4">
        <v>-1.22282</v>
      </c>
    </row>
    <row r="46" spans="1:28" x14ac:dyDescent="0.25">
      <c r="A46" s="6"/>
      <c r="B46" s="4" t="s">
        <v>430</v>
      </c>
      <c r="C46" s="5">
        <v>50</v>
      </c>
      <c r="D46" s="4">
        <v>20</v>
      </c>
      <c r="E46" s="3">
        <v>25</v>
      </c>
      <c r="F46" s="3">
        <f>1.8*E46+32</f>
        <v>77</v>
      </c>
      <c r="G46" s="3">
        <v>22</v>
      </c>
      <c r="H46" s="3">
        <f>IF(F46&gt;68,G46+(F46-68)*0.2,U273-(68-F46)*0.2)</f>
        <v>23.8</v>
      </c>
      <c r="I46" s="3">
        <v>25</v>
      </c>
      <c r="J46" s="3">
        <f>1.8*I46+32</f>
        <v>77</v>
      </c>
      <c r="K46" s="3">
        <v>14</v>
      </c>
      <c r="L46" s="3">
        <f>IF(J46&gt;68,K46+(J46-68)*0.2,K46-(68-J46)*0.2)</f>
        <v>15.8</v>
      </c>
      <c r="M46" s="3">
        <f>(C46-H46)/C46*100</f>
        <v>52.400000000000006</v>
      </c>
      <c r="N46" s="3">
        <f>100-(M46+O46)</f>
        <v>16</v>
      </c>
      <c r="O46" s="3">
        <f>L46/C46*100</f>
        <v>31.6</v>
      </c>
      <c r="P46" s="2" t="s">
        <v>427</v>
      </c>
      <c r="Q46" s="37" t="s">
        <v>510</v>
      </c>
      <c r="R46" s="37" t="s">
        <v>509</v>
      </c>
      <c r="T46" s="4">
        <v>2006111</v>
      </c>
      <c r="U46" s="4" t="s">
        <v>401</v>
      </c>
      <c r="V46" s="4">
        <v>4.6449999999999998E-2</v>
      </c>
      <c r="W46" s="4">
        <v>0.38196999999999998</v>
      </c>
      <c r="X46" s="4">
        <v>3.4689999999999999E-2</v>
      </c>
      <c r="Y46" s="4">
        <v>1.43973</v>
      </c>
      <c r="Z46" s="4">
        <v>45.921599999999998</v>
      </c>
      <c r="AA46" s="4">
        <v>18.896660000000001</v>
      </c>
      <c r="AB46" s="4">
        <v>-1.1555299999999999</v>
      </c>
    </row>
    <row r="47" spans="1:28" x14ac:dyDescent="0.25">
      <c r="A47" s="6"/>
      <c r="B47" s="4" t="s">
        <v>428</v>
      </c>
      <c r="C47" s="5">
        <v>50</v>
      </c>
      <c r="D47" s="4">
        <v>20</v>
      </c>
      <c r="E47" s="3">
        <v>25</v>
      </c>
      <c r="F47" s="3">
        <f>1.8*E47+32</f>
        <v>77</v>
      </c>
      <c r="G47" s="3">
        <v>14</v>
      </c>
      <c r="H47" s="3">
        <f>IF(F47&gt;68,G47+(F47-68)*0.2,U274-(68-F47)*0.2)</f>
        <v>15.8</v>
      </c>
      <c r="I47" s="3">
        <v>25</v>
      </c>
      <c r="J47" s="3">
        <f>1.8*I47+32</f>
        <v>77</v>
      </c>
      <c r="K47" s="3">
        <v>7</v>
      </c>
      <c r="L47" s="3">
        <f>IF(J47&gt;68,K47+(J47-68)*0.2,K47-(68-J47)*0.2)</f>
        <v>8.8000000000000007</v>
      </c>
      <c r="M47" s="3">
        <f>(C47-H47)/C47*100</f>
        <v>68.400000000000006</v>
      </c>
      <c r="N47" s="3">
        <f>100-(M47+O47)</f>
        <v>14</v>
      </c>
      <c r="O47" s="3">
        <f>L47/C47*100</f>
        <v>17.600000000000001</v>
      </c>
      <c r="P47" s="2" t="s">
        <v>429</v>
      </c>
      <c r="Q47" s="37" t="s">
        <v>510</v>
      </c>
      <c r="R47" s="37" t="s">
        <v>509</v>
      </c>
      <c r="T47" s="4">
        <v>2006111</v>
      </c>
      <c r="U47" s="4" t="s">
        <v>400</v>
      </c>
      <c r="V47" s="4">
        <v>5.0090000000000003E-2</v>
      </c>
      <c r="W47" s="4">
        <v>0.38003999999999999</v>
      </c>
      <c r="X47" s="4">
        <v>3.3079999999999998E-2</v>
      </c>
      <c r="Y47" s="4">
        <v>1.4243600000000001</v>
      </c>
      <c r="Z47" s="4">
        <v>40.338189999999997</v>
      </c>
      <c r="AA47" s="4">
        <v>16.416720000000002</v>
      </c>
      <c r="AB47" s="4">
        <v>-1.2030799999999999</v>
      </c>
    </row>
    <row r="48" spans="1:28" x14ac:dyDescent="0.25">
      <c r="A48" s="36"/>
      <c r="T48" s="4">
        <v>2006111</v>
      </c>
      <c r="U48" s="4" t="s">
        <v>216</v>
      </c>
      <c r="V48" s="4">
        <v>5.8740000000000001E-2</v>
      </c>
      <c r="W48" s="4">
        <v>0.38667000000000001</v>
      </c>
      <c r="X48" s="4">
        <v>2.6270000000000002E-2</v>
      </c>
      <c r="Y48" s="4">
        <v>1.3569800000000001</v>
      </c>
      <c r="Z48" s="4">
        <v>19.474889999999998</v>
      </c>
      <c r="AA48" s="4">
        <v>10.234310000000001</v>
      </c>
      <c r="AB48" s="4">
        <v>-1.29634</v>
      </c>
    </row>
    <row r="49" spans="1:28" ht="51.75" x14ac:dyDescent="0.25">
      <c r="A49" s="15" t="s">
        <v>19</v>
      </c>
      <c r="B49" s="10" t="s">
        <v>443</v>
      </c>
      <c r="C49" s="14" t="s">
        <v>17</v>
      </c>
      <c r="D49" s="13" t="s">
        <v>16</v>
      </c>
      <c r="E49" s="12" t="s">
        <v>15</v>
      </c>
      <c r="F49" s="12" t="s">
        <v>14</v>
      </c>
      <c r="G49" s="12" t="s">
        <v>442</v>
      </c>
      <c r="H49" s="12" t="s">
        <v>441</v>
      </c>
      <c r="I49" s="12" t="s">
        <v>440</v>
      </c>
      <c r="J49" s="12" t="s">
        <v>439</v>
      </c>
      <c r="K49" s="12" t="s">
        <v>438</v>
      </c>
      <c r="L49" s="12" t="s">
        <v>437</v>
      </c>
      <c r="M49" s="11" t="s">
        <v>7</v>
      </c>
      <c r="N49" s="11" t="s">
        <v>6</v>
      </c>
      <c r="O49" s="11" t="s">
        <v>5</v>
      </c>
      <c r="P49" s="10" t="s">
        <v>4</v>
      </c>
      <c r="Q49" s="17" t="s">
        <v>3</v>
      </c>
      <c r="R49" s="17"/>
      <c r="T49" s="4">
        <v>2006111</v>
      </c>
      <c r="U49" s="4" t="s">
        <v>215</v>
      </c>
      <c r="V49" s="4">
        <v>6.4420000000000005E-2</v>
      </c>
      <c r="W49" s="4">
        <v>0.38585000000000003</v>
      </c>
      <c r="X49" s="4">
        <v>2.6679999999999999E-2</v>
      </c>
      <c r="Y49" s="4">
        <v>1.3260700000000001</v>
      </c>
      <c r="Z49" s="4">
        <v>15.09822</v>
      </c>
      <c r="AA49" s="4">
        <v>9.2042900000000003</v>
      </c>
      <c r="AB49" s="4">
        <v>-1.5042</v>
      </c>
    </row>
    <row r="50" spans="1:28" x14ac:dyDescent="0.25">
      <c r="A50" s="56">
        <v>8</v>
      </c>
      <c r="B50" s="10"/>
      <c r="C50" s="14"/>
      <c r="D50" s="13" t="s">
        <v>436</v>
      </c>
      <c r="E50" s="12"/>
      <c r="F50" s="12"/>
      <c r="G50" s="12"/>
      <c r="H50" s="12"/>
      <c r="I50" s="12"/>
      <c r="J50" s="12"/>
      <c r="K50" s="12"/>
      <c r="L50" s="12"/>
      <c r="M50" s="11"/>
      <c r="N50" s="11"/>
      <c r="O50" s="11"/>
      <c r="P50" s="10"/>
      <c r="Q50" s="7" t="s">
        <v>2</v>
      </c>
      <c r="R50" s="7" t="s">
        <v>1</v>
      </c>
      <c r="T50" s="4">
        <v>2006111</v>
      </c>
      <c r="U50" s="4" t="s">
        <v>214</v>
      </c>
      <c r="V50" s="4">
        <v>6.7979999999999999E-2</v>
      </c>
      <c r="W50" s="4">
        <v>0.40273999999999999</v>
      </c>
      <c r="X50" s="4">
        <v>1.7999999999999999E-2</v>
      </c>
      <c r="Y50" s="4">
        <v>1.38561</v>
      </c>
      <c r="Z50" s="4">
        <v>9.92361</v>
      </c>
      <c r="AA50" s="4">
        <v>5.9102600000000001</v>
      </c>
      <c r="AB50" s="4">
        <v>-0.95</v>
      </c>
    </row>
    <row r="51" spans="1:28" x14ac:dyDescent="0.25">
      <c r="A51" s="56"/>
      <c r="B51" s="4" t="s">
        <v>435</v>
      </c>
      <c r="C51" s="5">
        <v>50</v>
      </c>
      <c r="D51" s="4">
        <v>20</v>
      </c>
      <c r="E51" s="3">
        <v>25</v>
      </c>
      <c r="F51" s="3">
        <f>1.8*E51+32</f>
        <v>77</v>
      </c>
      <c r="G51" s="3">
        <v>16</v>
      </c>
      <c r="H51" s="3">
        <f>IF(F51&gt;68,G51+(F51-68)*0.2,U278-(68-F51)*0.2)</f>
        <v>17.8</v>
      </c>
      <c r="I51" s="3">
        <v>25</v>
      </c>
      <c r="J51" s="3">
        <f>1.8*I51+32</f>
        <v>77</v>
      </c>
      <c r="K51" s="3">
        <v>9</v>
      </c>
      <c r="L51" s="3">
        <f>IF(J51&gt;68,K51+(J51-68)*0.2,K51-(68-J51)*0.2)</f>
        <v>10.8</v>
      </c>
      <c r="M51" s="3">
        <f>(C51-H51)/C51*100</f>
        <v>64.400000000000006</v>
      </c>
      <c r="N51" s="3">
        <f>100-(M51+O51)</f>
        <v>14</v>
      </c>
      <c r="O51" s="3">
        <f>L51/C51*100</f>
        <v>21.6</v>
      </c>
      <c r="P51" s="2" t="s">
        <v>427</v>
      </c>
      <c r="Q51" s="58">
        <v>409105.21574130002</v>
      </c>
      <c r="R51" s="37" t="s">
        <v>508</v>
      </c>
      <c r="T51" s="4">
        <v>2006111</v>
      </c>
      <c r="U51" s="4" t="s">
        <v>213</v>
      </c>
      <c r="V51" s="4">
        <v>7.2190000000000004E-2</v>
      </c>
      <c r="W51" s="4">
        <v>0.40155000000000002</v>
      </c>
      <c r="X51" s="4">
        <v>2.179E-2</v>
      </c>
      <c r="Y51" s="4">
        <v>1.33283</v>
      </c>
      <c r="Z51" s="4">
        <v>8.9421499999999998</v>
      </c>
      <c r="AA51" s="4">
        <v>6.7452699999999997</v>
      </c>
      <c r="AB51" s="4">
        <v>-1.3257099999999999</v>
      </c>
    </row>
    <row r="52" spans="1:28" x14ac:dyDescent="0.25">
      <c r="A52" s="15" t="s">
        <v>434</v>
      </c>
      <c r="B52" s="4" t="s">
        <v>433</v>
      </c>
      <c r="C52" s="5">
        <v>50</v>
      </c>
      <c r="D52" s="4">
        <v>20</v>
      </c>
      <c r="E52" s="3">
        <v>25</v>
      </c>
      <c r="F52" s="3">
        <f>1.8*E52+32</f>
        <v>77</v>
      </c>
      <c r="G52" s="3">
        <v>16</v>
      </c>
      <c r="H52" s="3">
        <f>IF(F52&gt;68,G52+(F52-68)*0.2,U279-(68-F52)*0.2)</f>
        <v>17.8</v>
      </c>
      <c r="I52" s="3">
        <v>25</v>
      </c>
      <c r="J52" s="3">
        <f>1.8*I52+32</f>
        <v>77</v>
      </c>
      <c r="K52" s="3">
        <v>10</v>
      </c>
      <c r="L52" s="3">
        <f>IF(J52&gt;68,K52+(J52-68)*0.2,K52-(68-J52)*0.2)</f>
        <v>11.8</v>
      </c>
      <c r="M52" s="3">
        <f>(C52-H52)/C52*100</f>
        <v>64.400000000000006</v>
      </c>
      <c r="N52" s="3">
        <f>100-(M52+O52)</f>
        <v>12</v>
      </c>
      <c r="O52" s="3">
        <f>L52/C52*100</f>
        <v>23.6</v>
      </c>
      <c r="P52" s="2" t="s">
        <v>427</v>
      </c>
      <c r="Q52" s="58">
        <v>409105.21574130002</v>
      </c>
      <c r="R52" s="37" t="s">
        <v>508</v>
      </c>
      <c r="T52" s="4">
        <v>2006111</v>
      </c>
      <c r="U52" s="4" t="s">
        <v>212</v>
      </c>
      <c r="V52" s="4">
        <v>7.2779999999999997E-2</v>
      </c>
      <c r="W52" s="4">
        <v>0.40486</v>
      </c>
      <c r="X52" s="4">
        <v>2.0330000000000001E-2</v>
      </c>
      <c r="Y52" s="4">
        <v>1.3450500000000001</v>
      </c>
      <c r="Z52" s="4">
        <v>8.2818900000000006</v>
      </c>
      <c r="AA52" s="4">
        <v>6.2511999999999999</v>
      </c>
      <c r="AB52" s="4">
        <v>-1.2126699999999999</v>
      </c>
    </row>
    <row r="53" spans="1:28" x14ac:dyDescent="0.25">
      <c r="A53" s="55">
        <v>40178</v>
      </c>
      <c r="B53" s="4" t="s">
        <v>432</v>
      </c>
      <c r="C53" s="5">
        <v>50</v>
      </c>
      <c r="D53" s="4">
        <v>20</v>
      </c>
      <c r="E53" s="3">
        <v>25</v>
      </c>
      <c r="F53" s="3">
        <f>1.8*E53+32</f>
        <v>77</v>
      </c>
      <c r="G53" s="3">
        <v>17</v>
      </c>
      <c r="H53" s="3">
        <f>IF(F53&gt;68,G53+(F53-68)*0.2,U280-(68-F53)*0.2)</f>
        <v>18.8</v>
      </c>
      <c r="I53" s="3">
        <v>25</v>
      </c>
      <c r="J53" s="3">
        <f>1.8*I53+32</f>
        <v>77</v>
      </c>
      <c r="K53" s="3">
        <v>7</v>
      </c>
      <c r="L53" s="3">
        <f>IF(J53&gt;68,K53+(J53-68)*0.2,K53-(68-J53)*0.2)</f>
        <v>8.8000000000000007</v>
      </c>
      <c r="M53" s="3">
        <f>(C53-H53)/C53*100</f>
        <v>62.4</v>
      </c>
      <c r="N53" s="3">
        <f>100-(M53+O53)</f>
        <v>20</v>
      </c>
      <c r="O53" s="3">
        <f>L53/C53*100</f>
        <v>17.600000000000001</v>
      </c>
      <c r="P53" s="2" t="s">
        <v>429</v>
      </c>
      <c r="Q53" s="58">
        <v>409105.21574130002</v>
      </c>
      <c r="R53" s="37" t="s">
        <v>508</v>
      </c>
      <c r="T53" s="4">
        <v>2006111</v>
      </c>
      <c r="U53" s="4" t="s">
        <v>211</v>
      </c>
      <c r="V53" s="4">
        <v>6.8890000000000007E-2</v>
      </c>
      <c r="W53" s="4">
        <v>0.39484000000000002</v>
      </c>
      <c r="X53" s="4">
        <v>2.3619999999999999E-2</v>
      </c>
      <c r="Y53" s="4">
        <v>1.33005</v>
      </c>
      <c r="Z53" s="4">
        <v>11.15936</v>
      </c>
      <c r="AA53" s="4">
        <v>7.6643400000000002</v>
      </c>
      <c r="AB53" s="4">
        <v>-1.39639</v>
      </c>
    </row>
    <row r="54" spans="1:28" x14ac:dyDescent="0.25">
      <c r="A54" s="54"/>
      <c r="B54" s="4" t="s">
        <v>431</v>
      </c>
      <c r="C54" s="5">
        <v>50</v>
      </c>
      <c r="D54" s="4">
        <v>20</v>
      </c>
      <c r="E54" s="3">
        <v>25</v>
      </c>
      <c r="F54" s="3">
        <f>1.8*E54+32</f>
        <v>77</v>
      </c>
      <c r="G54" s="3">
        <v>16</v>
      </c>
      <c r="H54" s="3">
        <f>IF(F54&gt;68,G54+(F54-68)*0.2,U281-(68-F54)*0.2)</f>
        <v>17.8</v>
      </c>
      <c r="I54" s="3">
        <v>25</v>
      </c>
      <c r="J54" s="3">
        <f>1.8*I54+32</f>
        <v>77</v>
      </c>
      <c r="K54" s="3">
        <v>8</v>
      </c>
      <c r="L54" s="3">
        <f>IF(J54&gt;68,K54+(J54-68)*0.2,K54-(68-J54)*0.2)</f>
        <v>9.8000000000000007</v>
      </c>
      <c r="M54" s="3">
        <f>(C54-H54)/C54*100</f>
        <v>64.400000000000006</v>
      </c>
      <c r="N54" s="3">
        <f>100-(M54+O54)</f>
        <v>16</v>
      </c>
      <c r="O54" s="3">
        <f>L54/C54*100</f>
        <v>19.600000000000001</v>
      </c>
      <c r="P54" s="2" t="s">
        <v>429</v>
      </c>
      <c r="Q54" s="58">
        <v>409105.21574130002</v>
      </c>
      <c r="R54" s="37" t="s">
        <v>508</v>
      </c>
      <c r="T54" s="4">
        <v>2006111</v>
      </c>
      <c r="U54" s="4" t="s">
        <v>210</v>
      </c>
      <c r="V54" s="4">
        <v>5.3249999999999999E-2</v>
      </c>
      <c r="W54" s="4">
        <v>0.38851000000000002</v>
      </c>
      <c r="X54" s="4">
        <v>2.3290000000000002E-2</v>
      </c>
      <c r="Y54" s="4">
        <v>1.38811</v>
      </c>
      <c r="Z54" s="4">
        <v>22.430540000000001</v>
      </c>
      <c r="AA54" s="4">
        <v>9.9209899999999998</v>
      </c>
      <c r="AB54" s="4">
        <v>-1.04003</v>
      </c>
    </row>
    <row r="55" spans="1:28" x14ac:dyDescent="0.25">
      <c r="A55" s="6"/>
      <c r="B55" s="4" t="s">
        <v>430</v>
      </c>
      <c r="C55" s="5">
        <v>50</v>
      </c>
      <c r="D55" s="4">
        <v>20</v>
      </c>
      <c r="E55" s="3">
        <v>25</v>
      </c>
      <c r="F55" s="3">
        <f>1.8*E55+32</f>
        <v>77</v>
      </c>
      <c r="G55" s="3">
        <v>17</v>
      </c>
      <c r="H55" s="3">
        <f>IF(F55&gt;68,G55+(F55-68)*0.2,U282-(68-F55)*0.2)</f>
        <v>18.8</v>
      </c>
      <c r="I55" s="3">
        <v>25</v>
      </c>
      <c r="J55" s="3">
        <f>1.8*I55+32</f>
        <v>77</v>
      </c>
      <c r="K55" s="3">
        <v>9</v>
      </c>
      <c r="L55" s="3">
        <f>IF(J55&gt;68,K55+(J55-68)*0.2,K55-(68-J55)*0.2)</f>
        <v>10.8</v>
      </c>
      <c r="M55" s="3">
        <f>(C55-H55)/C55*100</f>
        <v>62.4</v>
      </c>
      <c r="N55" s="3">
        <f>100-(M55+O55)</f>
        <v>16</v>
      </c>
      <c r="O55" s="3">
        <f>L55/C55*100</f>
        <v>21.6</v>
      </c>
      <c r="P55" s="2" t="s">
        <v>427</v>
      </c>
      <c r="Q55" s="58">
        <v>409105.21574130002</v>
      </c>
      <c r="R55" s="37" t="s">
        <v>508</v>
      </c>
      <c r="T55" s="4">
        <v>2006111</v>
      </c>
      <c r="U55" s="4" t="s">
        <v>209</v>
      </c>
      <c r="V55" s="4">
        <v>5.0189999999999999E-2</v>
      </c>
      <c r="W55" s="4">
        <v>0.38135000000000002</v>
      </c>
      <c r="X55" s="4">
        <v>3.2300000000000002E-2</v>
      </c>
      <c r="Y55" s="4">
        <v>1.40073</v>
      </c>
      <c r="Z55" s="4">
        <v>35.717739999999999</v>
      </c>
      <c r="AA55" s="4">
        <v>15.56179</v>
      </c>
      <c r="AB55" s="4">
        <v>-1.24082</v>
      </c>
    </row>
    <row r="56" spans="1:28" x14ac:dyDescent="0.25">
      <c r="A56" s="6"/>
      <c r="B56" s="4" t="s">
        <v>428</v>
      </c>
      <c r="C56" s="5">
        <v>50</v>
      </c>
      <c r="D56" s="4">
        <v>20</v>
      </c>
      <c r="E56" s="3">
        <v>25</v>
      </c>
      <c r="F56" s="3">
        <f>1.8*E56+32</f>
        <v>77</v>
      </c>
      <c r="G56" s="3">
        <v>19</v>
      </c>
      <c r="H56" s="3">
        <f>IF(F56&gt;68,G56+(F56-68)*0.2,U283-(68-F56)*0.2)</f>
        <v>20.8</v>
      </c>
      <c r="I56" s="3">
        <v>25</v>
      </c>
      <c r="J56" s="3">
        <f>1.8*I56+32</f>
        <v>77</v>
      </c>
      <c r="K56" s="3">
        <v>11</v>
      </c>
      <c r="L56" s="3">
        <f>IF(J56&gt;68,K56+(J56-68)*0.2,K56-(68-J56)*0.2)</f>
        <v>12.8</v>
      </c>
      <c r="M56" s="3">
        <f>(C56-H56)/C56*100</f>
        <v>58.4</v>
      </c>
      <c r="N56" s="3">
        <f>100-(M56+O56)</f>
        <v>16</v>
      </c>
      <c r="O56" s="3">
        <f>L56/C56*100</f>
        <v>25.6</v>
      </c>
      <c r="P56" s="2" t="s">
        <v>427</v>
      </c>
      <c r="Q56" s="58">
        <v>409105.21574130002</v>
      </c>
      <c r="R56" s="37" t="s">
        <v>508</v>
      </c>
      <c r="T56" s="4">
        <v>2006111</v>
      </c>
      <c r="U56" s="4" t="s">
        <v>208</v>
      </c>
      <c r="V56" s="4">
        <v>4.2810000000000001E-2</v>
      </c>
      <c r="W56" s="4">
        <v>0.38452999999999998</v>
      </c>
      <c r="X56" s="4">
        <v>3.4700000000000002E-2</v>
      </c>
      <c r="Y56" s="4">
        <v>1.4249799999999999</v>
      </c>
      <c r="Z56" s="4">
        <v>45.043939999999999</v>
      </c>
      <c r="AA56" s="4">
        <v>19.779869999999999</v>
      </c>
      <c r="AB56" s="4">
        <v>-1.1394</v>
      </c>
    </row>
    <row r="57" spans="1:28" x14ac:dyDescent="0.25">
      <c r="A57" s="36"/>
      <c r="T57" s="4">
        <v>2006111</v>
      </c>
      <c r="U57" s="4" t="s">
        <v>207</v>
      </c>
      <c r="V57" s="4">
        <v>4.5749999999999999E-2</v>
      </c>
      <c r="W57" s="4">
        <v>0.38478000000000001</v>
      </c>
      <c r="X57" s="4">
        <v>3.0769999999999999E-2</v>
      </c>
      <c r="Y57" s="4">
        <v>1.3966499999999999</v>
      </c>
      <c r="Z57" s="4">
        <v>35.852350000000001</v>
      </c>
      <c r="AA57" s="4">
        <v>15.749320000000001</v>
      </c>
      <c r="AB57" s="4">
        <v>-1.15638</v>
      </c>
    </row>
    <row r="58" spans="1:28" ht="51.75" x14ac:dyDescent="0.25">
      <c r="A58" s="15" t="s">
        <v>19</v>
      </c>
      <c r="B58" s="10" t="s">
        <v>443</v>
      </c>
      <c r="C58" s="14" t="s">
        <v>17</v>
      </c>
      <c r="D58" s="13" t="s">
        <v>16</v>
      </c>
      <c r="E58" s="12" t="s">
        <v>15</v>
      </c>
      <c r="F58" s="12" t="s">
        <v>14</v>
      </c>
      <c r="G58" s="12" t="s">
        <v>442</v>
      </c>
      <c r="H58" s="12" t="s">
        <v>441</v>
      </c>
      <c r="I58" s="12" t="s">
        <v>440</v>
      </c>
      <c r="J58" s="12" t="s">
        <v>439</v>
      </c>
      <c r="K58" s="12" t="s">
        <v>438</v>
      </c>
      <c r="L58" s="12" t="s">
        <v>437</v>
      </c>
      <c r="M58" s="11" t="s">
        <v>7</v>
      </c>
      <c r="N58" s="11" t="s">
        <v>6</v>
      </c>
      <c r="O58" s="11" t="s">
        <v>5</v>
      </c>
      <c r="P58" s="10" t="s">
        <v>4</v>
      </c>
      <c r="Q58" s="17" t="s">
        <v>3</v>
      </c>
      <c r="R58" s="17"/>
      <c r="T58" s="4">
        <v>2006111</v>
      </c>
      <c r="U58" s="4" t="s">
        <v>206</v>
      </c>
      <c r="V58" s="4">
        <v>5.289E-2</v>
      </c>
      <c r="W58" s="4">
        <v>0.38444</v>
      </c>
      <c r="X58" s="4">
        <v>2.8570000000000002E-2</v>
      </c>
      <c r="Y58" s="4">
        <v>1.3738300000000001</v>
      </c>
      <c r="Z58" s="4">
        <v>26.6294</v>
      </c>
      <c r="AA58" s="4">
        <v>12.557449999999999</v>
      </c>
      <c r="AB58" s="4">
        <v>-1.2484299999999999</v>
      </c>
    </row>
    <row r="59" spans="1:28" x14ac:dyDescent="0.25">
      <c r="A59" s="56">
        <v>10</v>
      </c>
      <c r="B59" s="10"/>
      <c r="C59" s="14"/>
      <c r="D59" s="13" t="s">
        <v>436</v>
      </c>
      <c r="E59" s="12"/>
      <c r="F59" s="12"/>
      <c r="G59" s="12"/>
      <c r="H59" s="12"/>
      <c r="I59" s="12"/>
      <c r="J59" s="12"/>
      <c r="K59" s="12"/>
      <c r="L59" s="12"/>
      <c r="M59" s="11"/>
      <c r="N59" s="11"/>
      <c r="O59" s="11"/>
      <c r="P59" s="10"/>
      <c r="Q59" s="7" t="s">
        <v>2</v>
      </c>
      <c r="R59" s="7" t="s">
        <v>1</v>
      </c>
      <c r="T59" s="4">
        <v>2006111</v>
      </c>
      <c r="U59" s="4" t="s">
        <v>205</v>
      </c>
      <c r="V59" s="4">
        <v>6.6449999999999995E-2</v>
      </c>
      <c r="W59" s="4">
        <v>0.39455000000000001</v>
      </c>
      <c r="X59" s="4">
        <v>2.2800000000000001E-2</v>
      </c>
      <c r="Y59" s="4">
        <v>1.3480099999999999</v>
      </c>
      <c r="Z59" s="4">
        <v>12.33954</v>
      </c>
      <c r="AA59" s="4">
        <v>7.7477799999999997</v>
      </c>
      <c r="AB59" s="4">
        <v>-1.2685500000000001</v>
      </c>
    </row>
    <row r="60" spans="1:28" x14ac:dyDescent="0.25">
      <c r="A60" s="56"/>
      <c r="B60" s="4" t="s">
        <v>435</v>
      </c>
      <c r="C60" s="5">
        <v>50</v>
      </c>
      <c r="D60" s="4">
        <v>20</v>
      </c>
      <c r="E60" s="3">
        <v>25</v>
      </c>
      <c r="F60" s="3">
        <f>1.8*E60+32</f>
        <v>77</v>
      </c>
      <c r="G60" s="3">
        <v>15</v>
      </c>
      <c r="H60" s="3">
        <f>IF(F60&gt;68,G60+(F60-68)*0.2,U287-(68-F60)*0.2)</f>
        <v>16.8</v>
      </c>
      <c r="I60" s="3">
        <v>25</v>
      </c>
      <c r="J60" s="3">
        <f>1.8*I60+32</f>
        <v>77</v>
      </c>
      <c r="K60" s="3">
        <v>7</v>
      </c>
      <c r="L60" s="3">
        <f>IF(J60&gt;68,K60+(J60-68)*0.2,K60-(68-J60)*0.2)</f>
        <v>8.8000000000000007</v>
      </c>
      <c r="M60" s="3">
        <f>(C60-H60)/C60*100</f>
        <v>66.400000000000006</v>
      </c>
      <c r="N60" s="3">
        <f>100-(M60+O60)</f>
        <v>16</v>
      </c>
      <c r="O60" s="3">
        <f>L60/C60*100</f>
        <v>17.600000000000001</v>
      </c>
      <c r="P60" s="2" t="s">
        <v>429</v>
      </c>
      <c r="Q60" s="37" t="s">
        <v>507</v>
      </c>
      <c r="R60" s="37" t="s">
        <v>506</v>
      </c>
      <c r="T60" s="4">
        <v>2006111</v>
      </c>
      <c r="U60" s="4" t="s">
        <v>204</v>
      </c>
      <c r="V60" s="4">
        <v>6.2899999999999998E-2</v>
      </c>
      <c r="W60" s="4">
        <v>0.38928000000000001</v>
      </c>
      <c r="X60" s="4">
        <v>2.4989999999999998E-2</v>
      </c>
      <c r="Y60" s="4">
        <v>1.3462700000000001</v>
      </c>
      <c r="Z60" s="4">
        <v>15.53904</v>
      </c>
      <c r="AA60" s="4">
        <v>9.0044500000000003</v>
      </c>
      <c r="AB60" s="4">
        <v>-1.3320399999999999</v>
      </c>
    </row>
    <row r="61" spans="1:28" x14ac:dyDescent="0.25">
      <c r="A61" s="15" t="s">
        <v>434</v>
      </c>
      <c r="B61" s="4" t="s">
        <v>433</v>
      </c>
      <c r="C61" s="5">
        <v>50</v>
      </c>
      <c r="D61" s="4">
        <v>20</v>
      </c>
      <c r="E61" s="3">
        <v>25</v>
      </c>
      <c r="F61" s="3">
        <f>1.8*E61+32</f>
        <v>77</v>
      </c>
      <c r="G61" s="3">
        <v>16</v>
      </c>
      <c r="H61" s="3">
        <f>IF(F61&gt;68,G61+(F61-68)*0.2,U288-(68-F61)*0.2)</f>
        <v>17.8</v>
      </c>
      <c r="I61" s="3">
        <v>25</v>
      </c>
      <c r="J61" s="3">
        <f>1.8*I61+32</f>
        <v>77</v>
      </c>
      <c r="K61" s="3">
        <v>7</v>
      </c>
      <c r="L61" s="3">
        <f>IF(J61&gt;68,K61+(J61-68)*0.2,K61-(68-J61)*0.2)</f>
        <v>8.8000000000000007</v>
      </c>
      <c r="M61" s="3">
        <f>(C61-H61)/C61*100</f>
        <v>64.400000000000006</v>
      </c>
      <c r="N61" s="3">
        <f>100-(M61+O61)</f>
        <v>18</v>
      </c>
      <c r="O61" s="3">
        <f>L61/C61*100</f>
        <v>17.600000000000001</v>
      </c>
      <c r="P61" s="2" t="s">
        <v>429</v>
      </c>
      <c r="Q61" s="37" t="s">
        <v>507</v>
      </c>
      <c r="R61" s="37" t="s">
        <v>506</v>
      </c>
      <c r="T61" s="4">
        <v>2006111</v>
      </c>
      <c r="U61" s="4" t="s">
        <v>203</v>
      </c>
      <c r="V61" s="4">
        <v>5.6309999999999999E-2</v>
      </c>
      <c r="W61" s="4">
        <v>0.38194</v>
      </c>
      <c r="X61" s="4">
        <v>2.9340000000000001E-2</v>
      </c>
      <c r="Y61" s="4">
        <v>1.36094</v>
      </c>
      <c r="Z61" s="4">
        <v>24.24015</v>
      </c>
      <c r="AA61" s="4">
        <v>12.030340000000001</v>
      </c>
      <c r="AB61" s="4">
        <v>-1.35903</v>
      </c>
    </row>
    <row r="62" spans="1:28" x14ac:dyDescent="0.25">
      <c r="A62" s="55">
        <v>40178</v>
      </c>
      <c r="B62" s="4" t="s">
        <v>432</v>
      </c>
      <c r="C62" s="5">
        <v>50</v>
      </c>
      <c r="D62" s="4">
        <v>20</v>
      </c>
      <c r="E62" s="3">
        <v>25</v>
      </c>
      <c r="F62" s="3">
        <f>1.8*E62+32</f>
        <v>77</v>
      </c>
      <c r="G62" s="3">
        <v>11</v>
      </c>
      <c r="H62" s="3">
        <f>IF(F62&gt;68,G62+(F62-68)*0.2,U289-(68-F62)*0.2)</f>
        <v>12.8</v>
      </c>
      <c r="I62" s="3">
        <v>25</v>
      </c>
      <c r="J62" s="3">
        <f>1.8*I62+32</f>
        <v>77</v>
      </c>
      <c r="K62" s="3">
        <v>4</v>
      </c>
      <c r="L62" s="3">
        <f>IF(J62&gt;68,K62+(J62-68)*0.2,K62-(68-J62)*0.2)</f>
        <v>5.8</v>
      </c>
      <c r="M62" s="3">
        <f>(C62-H62)/C62*100</f>
        <v>74.400000000000006</v>
      </c>
      <c r="N62" s="3">
        <f>100-(M62+O62)</f>
        <v>14</v>
      </c>
      <c r="O62" s="3">
        <f>L62/C62*100</f>
        <v>11.6</v>
      </c>
      <c r="P62" s="2" t="s">
        <v>429</v>
      </c>
      <c r="Q62" s="37" t="s">
        <v>507</v>
      </c>
      <c r="R62" s="37" t="s">
        <v>506</v>
      </c>
      <c r="T62" s="4">
        <v>2006111</v>
      </c>
      <c r="U62" s="4" t="s">
        <v>202</v>
      </c>
      <c r="V62" s="4">
        <v>4.4450000000000003E-2</v>
      </c>
      <c r="W62" s="4">
        <v>0.38264999999999999</v>
      </c>
      <c r="X62" s="4">
        <v>3.6200000000000003E-2</v>
      </c>
      <c r="Y62" s="4">
        <v>1.46922</v>
      </c>
      <c r="Z62" s="4">
        <v>52.845759999999999</v>
      </c>
      <c r="AA62" s="4">
        <v>21.306159999999998</v>
      </c>
      <c r="AB62" s="4">
        <v>-1.1045799999999999</v>
      </c>
    </row>
    <row r="63" spans="1:28" x14ac:dyDescent="0.25">
      <c r="A63" s="54"/>
      <c r="B63" s="4" t="s">
        <v>431</v>
      </c>
      <c r="C63" s="5">
        <v>50</v>
      </c>
      <c r="D63" s="4">
        <v>20</v>
      </c>
      <c r="E63" s="3">
        <v>25</v>
      </c>
      <c r="F63" s="3">
        <f>1.8*E63+32</f>
        <v>77</v>
      </c>
      <c r="G63" s="3">
        <v>13</v>
      </c>
      <c r="H63" s="3">
        <f>IF(F63&gt;68,G63+(F63-68)*0.2,U290-(68-F63)*0.2)</f>
        <v>14.8</v>
      </c>
      <c r="I63" s="3">
        <v>25</v>
      </c>
      <c r="J63" s="3">
        <f>1.8*I63+32</f>
        <v>77</v>
      </c>
      <c r="K63" s="3">
        <v>5</v>
      </c>
      <c r="L63" s="3">
        <f>IF(J63&gt;68,K63+(J63-68)*0.2,K63-(68-J63)*0.2)</f>
        <v>6.8</v>
      </c>
      <c r="M63" s="3">
        <f>(C63-H63)/C63*100</f>
        <v>70.400000000000006</v>
      </c>
      <c r="N63" s="3">
        <f>100-(M63+O63)</f>
        <v>16</v>
      </c>
      <c r="O63" s="3">
        <f>L63/C63*100</f>
        <v>13.600000000000001</v>
      </c>
      <c r="P63" s="2" t="s">
        <v>429</v>
      </c>
      <c r="Q63" s="37" t="s">
        <v>507</v>
      </c>
      <c r="R63" s="37" t="s">
        <v>506</v>
      </c>
      <c r="T63" s="4">
        <v>2006111</v>
      </c>
      <c r="U63" s="4" t="s">
        <v>201</v>
      </c>
      <c r="V63" s="4">
        <v>5.0189999999999999E-2</v>
      </c>
      <c r="W63" s="4">
        <v>0.38135000000000002</v>
      </c>
      <c r="X63" s="4">
        <v>3.2300000000000002E-2</v>
      </c>
      <c r="Y63" s="4">
        <v>1.40073</v>
      </c>
      <c r="Z63" s="4">
        <v>35.717739999999999</v>
      </c>
      <c r="AA63" s="4">
        <v>15.56179</v>
      </c>
      <c r="AB63" s="4">
        <v>-1.24082</v>
      </c>
    </row>
    <row r="64" spans="1:28" x14ac:dyDescent="0.25">
      <c r="A64" s="6"/>
      <c r="B64" s="4" t="s">
        <v>430</v>
      </c>
      <c r="C64" s="5">
        <v>50</v>
      </c>
      <c r="D64" s="4">
        <v>20</v>
      </c>
      <c r="E64" s="3">
        <v>25</v>
      </c>
      <c r="F64" s="3">
        <f>1.8*E64+32</f>
        <v>77</v>
      </c>
      <c r="G64" s="3">
        <v>12</v>
      </c>
      <c r="H64" s="3">
        <f>IF(F64&gt;68,G64+(F64-68)*0.2,U291-(68-F64)*0.2)</f>
        <v>13.8</v>
      </c>
      <c r="I64" s="3">
        <v>25</v>
      </c>
      <c r="J64" s="3">
        <f>1.8*I64+32</f>
        <v>77</v>
      </c>
      <c r="K64" s="3">
        <v>4</v>
      </c>
      <c r="L64" s="3">
        <f>IF(J64&gt;68,K64+(J64-68)*0.2,K64-(68-J64)*0.2)</f>
        <v>5.8</v>
      </c>
      <c r="M64" s="3">
        <f>(C64-H64)/C64*100</f>
        <v>72.400000000000006</v>
      </c>
      <c r="N64" s="3">
        <f>100-(M64+O64)</f>
        <v>16</v>
      </c>
      <c r="O64" s="3">
        <f>L64/C64*100</f>
        <v>11.6</v>
      </c>
      <c r="P64" s="2" t="s">
        <v>429</v>
      </c>
      <c r="Q64" s="37" t="s">
        <v>507</v>
      </c>
      <c r="R64" s="37" t="s">
        <v>506</v>
      </c>
      <c r="T64" s="4">
        <v>2006111</v>
      </c>
      <c r="U64" s="4" t="s">
        <v>200</v>
      </c>
      <c r="V64" s="4">
        <v>4.9739999999999999E-2</v>
      </c>
      <c r="W64" s="4">
        <v>0.38266</v>
      </c>
      <c r="X64" s="4">
        <v>3.1510000000000003E-2</v>
      </c>
      <c r="Y64" s="4">
        <v>1.39151</v>
      </c>
      <c r="Z64" s="4">
        <v>33.713830000000002</v>
      </c>
      <c r="AA64" s="4">
        <v>15.09356</v>
      </c>
      <c r="AB64" s="4">
        <v>-1.23882</v>
      </c>
    </row>
    <row r="65" spans="1:28" x14ac:dyDescent="0.25">
      <c r="A65" s="6"/>
      <c r="B65" s="4" t="s">
        <v>428</v>
      </c>
      <c r="C65" s="5">
        <v>50</v>
      </c>
      <c r="D65" s="4">
        <v>20</v>
      </c>
      <c r="E65" s="3">
        <v>25</v>
      </c>
      <c r="F65" s="3">
        <f>1.8*E65+32</f>
        <v>77</v>
      </c>
      <c r="G65" s="3">
        <v>12</v>
      </c>
      <c r="H65" s="3">
        <f>IF(F65&gt;68,G65+(F65-68)*0.2,U292-(68-F65)*0.2)</f>
        <v>13.8</v>
      </c>
      <c r="I65" s="3">
        <v>25</v>
      </c>
      <c r="J65" s="3">
        <f>1.8*I65+32</f>
        <v>77</v>
      </c>
      <c r="K65" s="3">
        <v>5</v>
      </c>
      <c r="L65" s="3">
        <f>IF(J65&gt;68,K65+(J65-68)*0.2,K65-(68-J65)*0.2)</f>
        <v>6.8</v>
      </c>
      <c r="M65" s="3">
        <f>(C65-H65)/C65*100</f>
        <v>72.400000000000006</v>
      </c>
      <c r="N65" s="3">
        <f>100-(M65+O65)</f>
        <v>14</v>
      </c>
      <c r="O65" s="3">
        <f>L65/C65*100</f>
        <v>13.600000000000001</v>
      </c>
      <c r="P65" s="2" t="s">
        <v>429</v>
      </c>
      <c r="Q65" s="37" t="s">
        <v>507</v>
      </c>
      <c r="R65" s="37" t="s">
        <v>506</v>
      </c>
      <c r="T65" s="4">
        <v>2006111</v>
      </c>
      <c r="U65" s="4" t="s">
        <v>199</v>
      </c>
      <c r="V65" s="4">
        <v>5.0860000000000002E-2</v>
      </c>
      <c r="W65" s="4">
        <v>0.37991999999999998</v>
      </c>
      <c r="X65" s="4">
        <v>3.2629999999999999E-2</v>
      </c>
      <c r="Y65" s="4">
        <v>1.4148400000000001</v>
      </c>
      <c r="Z65" s="4">
        <v>37.971730000000001</v>
      </c>
      <c r="AA65" s="4">
        <v>15.77098</v>
      </c>
      <c r="AB65" s="4">
        <v>-1.22462</v>
      </c>
    </row>
    <row r="66" spans="1:28" x14ac:dyDescent="0.25">
      <c r="A66" s="36"/>
      <c r="T66" s="4">
        <v>2006111</v>
      </c>
      <c r="U66" s="4" t="s">
        <v>198</v>
      </c>
      <c r="V66" s="4">
        <v>6.2670000000000003E-2</v>
      </c>
      <c r="W66" s="4">
        <v>0.37569000000000002</v>
      </c>
      <c r="X66" s="4">
        <v>2.7980000000000001E-2</v>
      </c>
      <c r="Y66" s="4">
        <v>1.33388</v>
      </c>
      <c r="Z66" s="4">
        <v>18.09328</v>
      </c>
      <c r="AA66" s="4">
        <v>9.7240099999999998</v>
      </c>
      <c r="AB66" s="4">
        <v>-1.52386</v>
      </c>
    </row>
    <row r="67" spans="1:28" ht="51.75" x14ac:dyDescent="0.25">
      <c r="A67" s="15" t="s">
        <v>19</v>
      </c>
      <c r="B67" s="10" t="s">
        <v>443</v>
      </c>
      <c r="C67" s="14" t="s">
        <v>17</v>
      </c>
      <c r="D67" s="13" t="s">
        <v>16</v>
      </c>
      <c r="E67" s="12" t="s">
        <v>15</v>
      </c>
      <c r="F67" s="12" t="s">
        <v>14</v>
      </c>
      <c r="G67" s="12" t="s">
        <v>442</v>
      </c>
      <c r="H67" s="12" t="s">
        <v>441</v>
      </c>
      <c r="I67" s="12" t="s">
        <v>440</v>
      </c>
      <c r="J67" s="12" t="s">
        <v>439</v>
      </c>
      <c r="K67" s="12" t="s">
        <v>438</v>
      </c>
      <c r="L67" s="12" t="s">
        <v>437</v>
      </c>
      <c r="M67" s="11" t="s">
        <v>7</v>
      </c>
      <c r="N67" s="11" t="s">
        <v>6</v>
      </c>
      <c r="O67" s="11" t="s">
        <v>5</v>
      </c>
      <c r="P67" s="10" t="s">
        <v>4</v>
      </c>
      <c r="Q67" s="17" t="s">
        <v>3</v>
      </c>
      <c r="R67" s="17"/>
      <c r="T67" s="4">
        <v>2006111</v>
      </c>
      <c r="U67" s="4" t="s">
        <v>197</v>
      </c>
      <c r="V67" s="4">
        <v>6.5329999999999999E-2</v>
      </c>
      <c r="W67" s="4">
        <v>0.38741999999999999</v>
      </c>
      <c r="X67" s="4">
        <v>2.615E-2</v>
      </c>
      <c r="Y67" s="4">
        <v>1.3253200000000001</v>
      </c>
      <c r="Z67" s="4">
        <v>14.24067</v>
      </c>
      <c r="AA67" s="4">
        <v>8.8991500000000006</v>
      </c>
      <c r="AB67" s="4">
        <v>-1.4947999999999999</v>
      </c>
    </row>
    <row r="68" spans="1:28" x14ac:dyDescent="0.25">
      <c r="A68" s="56">
        <v>11</v>
      </c>
      <c r="B68" s="10"/>
      <c r="C68" s="14"/>
      <c r="D68" s="13" t="s">
        <v>436</v>
      </c>
      <c r="E68" s="12"/>
      <c r="F68" s="12"/>
      <c r="G68" s="12"/>
      <c r="H68" s="12"/>
      <c r="I68" s="12"/>
      <c r="J68" s="12"/>
      <c r="K68" s="12"/>
      <c r="L68" s="12"/>
      <c r="M68" s="11"/>
      <c r="N68" s="11"/>
      <c r="O68" s="11"/>
      <c r="P68" s="10"/>
      <c r="Q68" s="7" t="s">
        <v>2</v>
      </c>
      <c r="R68" s="7" t="s">
        <v>1</v>
      </c>
      <c r="T68" s="4">
        <v>2006111</v>
      </c>
      <c r="U68" s="4" t="s">
        <v>196</v>
      </c>
      <c r="V68" s="4">
        <v>6.225E-2</v>
      </c>
      <c r="W68" s="4">
        <v>0.38292999999999999</v>
      </c>
      <c r="X68" s="4">
        <v>2.7720000000000002E-2</v>
      </c>
      <c r="Y68" s="4">
        <v>1.3318700000000001</v>
      </c>
      <c r="Z68" s="4">
        <v>17.312639999999998</v>
      </c>
      <c r="AA68" s="4">
        <v>9.9339200000000005</v>
      </c>
      <c r="AB68" s="4">
        <v>-1.49552</v>
      </c>
    </row>
    <row r="69" spans="1:28" x14ac:dyDescent="0.25">
      <c r="A69" s="56"/>
      <c r="B69" s="4" t="s">
        <v>435</v>
      </c>
      <c r="C69" s="5">
        <v>50</v>
      </c>
      <c r="D69" s="4">
        <v>20</v>
      </c>
      <c r="E69" s="3">
        <v>25</v>
      </c>
      <c r="F69" s="3">
        <f>1.8*E69+32</f>
        <v>77</v>
      </c>
      <c r="G69" s="3">
        <v>18</v>
      </c>
      <c r="H69" s="3">
        <f>IF(F69&gt;68,G69+(F69-68)*0.2,U295-(68-F69)*0.2)</f>
        <v>19.8</v>
      </c>
      <c r="I69" s="3">
        <v>25</v>
      </c>
      <c r="J69" s="3">
        <f>1.8*I69+32</f>
        <v>77</v>
      </c>
      <c r="K69" s="3">
        <v>8</v>
      </c>
      <c r="L69" s="3">
        <f>IF(J69&gt;68,K69+(J69-68)*0.2,K69-(68-J69)*0.2)</f>
        <v>9.8000000000000007</v>
      </c>
      <c r="M69" s="3">
        <f>(C69-H69)/C69*100</f>
        <v>60.4</v>
      </c>
      <c r="N69" s="3">
        <f>100-(M69+O69)</f>
        <v>20</v>
      </c>
      <c r="O69" s="3">
        <f>L69/C69*100</f>
        <v>19.600000000000001</v>
      </c>
      <c r="P69" s="2" t="s">
        <v>429</v>
      </c>
      <c r="Q69" s="37" t="s">
        <v>505</v>
      </c>
      <c r="R69" s="37" t="s">
        <v>504</v>
      </c>
      <c r="T69" s="4">
        <v>2006111</v>
      </c>
      <c r="U69" s="4" t="s">
        <v>195</v>
      </c>
      <c r="V69" s="4">
        <v>7.3800000000000004E-2</v>
      </c>
      <c r="W69" s="4">
        <v>0.39994000000000002</v>
      </c>
      <c r="X69" s="4">
        <v>2.367E-2</v>
      </c>
      <c r="Y69" s="4">
        <v>1.3064199999999999</v>
      </c>
      <c r="Z69" s="4">
        <v>8.8895700000000009</v>
      </c>
      <c r="AA69" s="4">
        <v>7.0623199999999997</v>
      </c>
      <c r="AB69" s="4">
        <v>-1.5533999999999999</v>
      </c>
    </row>
    <row r="70" spans="1:28" x14ac:dyDescent="0.25">
      <c r="A70" s="15" t="s">
        <v>434</v>
      </c>
      <c r="B70" s="4" t="s">
        <v>433</v>
      </c>
      <c r="C70" s="5">
        <v>50</v>
      </c>
      <c r="D70" s="4">
        <v>20</v>
      </c>
      <c r="E70" s="3">
        <v>25</v>
      </c>
      <c r="F70" s="3">
        <f>1.8*E70+32</f>
        <v>77</v>
      </c>
      <c r="G70" s="3">
        <v>18</v>
      </c>
      <c r="H70" s="3">
        <f>IF(F70&gt;68,G70+(F70-68)*0.2,U296-(68-F70)*0.2)</f>
        <v>19.8</v>
      </c>
      <c r="I70" s="3">
        <v>25</v>
      </c>
      <c r="J70" s="3">
        <f>1.8*I70+32</f>
        <v>77</v>
      </c>
      <c r="K70" s="3">
        <v>10</v>
      </c>
      <c r="L70" s="3">
        <f>IF(J70&gt;68,K70+(J70-68)*0.2,K70-(68-J70)*0.2)</f>
        <v>11.8</v>
      </c>
      <c r="M70" s="3">
        <f>(C70-H70)/C70*100</f>
        <v>60.4</v>
      </c>
      <c r="N70" s="3">
        <f>100-(M70+O70)</f>
        <v>16</v>
      </c>
      <c r="O70" s="3">
        <f>L70/C70*100</f>
        <v>23.6</v>
      </c>
      <c r="P70" s="2" t="s">
        <v>427</v>
      </c>
      <c r="Q70" s="37" t="s">
        <v>505</v>
      </c>
      <c r="R70" s="37" t="s">
        <v>504</v>
      </c>
      <c r="T70" s="4">
        <v>2006111</v>
      </c>
      <c r="U70" s="4" t="s">
        <v>194</v>
      </c>
      <c r="V70" s="4">
        <v>6.615E-2</v>
      </c>
      <c r="W70" s="4">
        <v>0.39280999999999999</v>
      </c>
      <c r="X70" s="4">
        <v>2.3730000000000001E-2</v>
      </c>
      <c r="Y70" s="4">
        <v>1.3415600000000001</v>
      </c>
      <c r="Z70" s="4">
        <v>12.83935</v>
      </c>
      <c r="AA70" s="4">
        <v>8.0844100000000001</v>
      </c>
      <c r="AB70" s="4">
        <v>-1.3295699999999999</v>
      </c>
    </row>
    <row r="71" spans="1:28" x14ac:dyDescent="0.25">
      <c r="A71" s="55">
        <v>40178</v>
      </c>
      <c r="B71" s="4" t="s">
        <v>432</v>
      </c>
      <c r="C71" s="5">
        <v>50</v>
      </c>
      <c r="D71" s="4">
        <v>20</v>
      </c>
      <c r="E71" s="3">
        <v>23</v>
      </c>
      <c r="F71" s="3">
        <f>1.8*E71+32</f>
        <v>73.400000000000006</v>
      </c>
      <c r="G71" s="3">
        <v>25</v>
      </c>
      <c r="H71" s="3">
        <f>IF(F71&gt;68,G71+(F71-68)*0.2,U297-(68-F71)*0.2)</f>
        <v>26.080000000000002</v>
      </c>
      <c r="I71" s="3">
        <v>23</v>
      </c>
      <c r="J71" s="3">
        <f>1.8*I71+32</f>
        <v>73.400000000000006</v>
      </c>
      <c r="K71" s="3">
        <v>11</v>
      </c>
      <c r="L71" s="3">
        <f>IF(J71&gt;68,K71+(J71-68)*0.2,K71-(68-J71)*0.2)</f>
        <v>12.080000000000002</v>
      </c>
      <c r="M71" s="3">
        <f>(C71-H71)/C71*100</f>
        <v>47.839999999999996</v>
      </c>
      <c r="N71" s="3">
        <f>100-(M71+O71)</f>
        <v>28</v>
      </c>
      <c r="O71" s="3">
        <f>L71/C71*100</f>
        <v>24.160000000000004</v>
      </c>
      <c r="P71" s="2" t="s">
        <v>427</v>
      </c>
      <c r="Q71" s="37" t="s">
        <v>505</v>
      </c>
      <c r="R71" s="37" t="s">
        <v>504</v>
      </c>
      <c r="T71" s="4">
        <v>2006111</v>
      </c>
      <c r="U71" s="4" t="s">
        <v>193</v>
      </c>
      <c r="V71" s="4">
        <v>6.6629999999999995E-2</v>
      </c>
      <c r="W71" s="4">
        <v>0.39552999999999999</v>
      </c>
      <c r="X71" s="4">
        <v>2.2259999999999999E-2</v>
      </c>
      <c r="Y71" s="4">
        <v>1.3519000000000001</v>
      </c>
      <c r="Z71" s="4">
        <v>12.054650000000001</v>
      </c>
      <c r="AA71" s="4">
        <v>7.5460500000000001</v>
      </c>
      <c r="AB71" s="4">
        <v>-1.23289</v>
      </c>
    </row>
    <row r="72" spans="1:28" x14ac:dyDescent="0.25">
      <c r="A72" s="54"/>
      <c r="B72" s="4" t="s">
        <v>431</v>
      </c>
      <c r="C72" s="5">
        <v>50</v>
      </c>
      <c r="D72" s="4">
        <v>20</v>
      </c>
      <c r="E72" s="3">
        <v>23</v>
      </c>
      <c r="F72" s="3">
        <f>1.8*E72+32</f>
        <v>73.400000000000006</v>
      </c>
      <c r="G72" s="3">
        <v>24</v>
      </c>
      <c r="H72" s="3">
        <f>IF(F72&gt;68,G72+(F72-68)*0.2,U298-(68-F72)*0.2)</f>
        <v>25.080000000000002</v>
      </c>
      <c r="I72" s="3">
        <v>23</v>
      </c>
      <c r="J72" s="3">
        <f>1.8*I72+32</f>
        <v>73.400000000000006</v>
      </c>
      <c r="K72" s="3">
        <v>13</v>
      </c>
      <c r="L72" s="3">
        <f>IF(J72&gt;68,K72+(J72-68)*0.2,K72-(68-J72)*0.2)</f>
        <v>14.080000000000002</v>
      </c>
      <c r="M72" s="3">
        <f>(C72-H72)/C72*100</f>
        <v>49.839999999999996</v>
      </c>
      <c r="N72" s="3">
        <f>100-(M72+O72)</f>
        <v>22</v>
      </c>
      <c r="O72" s="3">
        <f>L72/C72*100</f>
        <v>28.16</v>
      </c>
      <c r="P72" s="2" t="s">
        <v>427</v>
      </c>
      <c r="Q72" s="37" t="s">
        <v>505</v>
      </c>
      <c r="R72" s="37" t="s">
        <v>504</v>
      </c>
      <c r="T72" s="4">
        <v>2006111</v>
      </c>
      <c r="U72" s="4" t="s">
        <v>192</v>
      </c>
      <c r="V72" s="4">
        <v>5.9520000000000003E-2</v>
      </c>
      <c r="W72" s="4">
        <v>0.38584000000000002</v>
      </c>
      <c r="X72" s="4">
        <v>2.6800000000000001E-2</v>
      </c>
      <c r="Y72" s="4">
        <v>1.3510599999999999</v>
      </c>
      <c r="Z72" s="4">
        <v>19.110520000000001</v>
      </c>
      <c r="AA72" s="4">
        <v>10.26821</v>
      </c>
      <c r="AB72" s="4">
        <v>-1.34581</v>
      </c>
    </row>
    <row r="73" spans="1:28" x14ac:dyDescent="0.25">
      <c r="A73" s="6"/>
      <c r="B73" s="4" t="s">
        <v>430</v>
      </c>
      <c r="C73" s="5">
        <v>50</v>
      </c>
      <c r="D73" s="4">
        <v>20</v>
      </c>
      <c r="E73" s="3">
        <v>23</v>
      </c>
      <c r="F73" s="3">
        <f>1.8*E73+32</f>
        <v>73.400000000000006</v>
      </c>
      <c r="G73" s="3">
        <v>25</v>
      </c>
      <c r="H73" s="3">
        <f>IF(F73&gt;68,G73+(F73-68)*0.2,U299-(68-F73)*0.2)</f>
        <v>26.080000000000002</v>
      </c>
      <c r="I73" s="3">
        <v>23</v>
      </c>
      <c r="J73" s="3">
        <f>1.8*I73+32</f>
        <v>73.400000000000006</v>
      </c>
      <c r="K73" s="3">
        <v>13</v>
      </c>
      <c r="L73" s="3">
        <f>IF(J73&gt;68,K73+(J73-68)*0.2,K73-(68-J73)*0.2)</f>
        <v>14.080000000000002</v>
      </c>
      <c r="M73" s="3">
        <f>(C73-H73)/C73*100</f>
        <v>47.839999999999996</v>
      </c>
      <c r="N73" s="3">
        <f>100-(M73+O73)</f>
        <v>24</v>
      </c>
      <c r="O73" s="3">
        <f>L73/C73*100</f>
        <v>28.16</v>
      </c>
      <c r="P73" s="2" t="s">
        <v>427</v>
      </c>
      <c r="Q73" s="37" t="s">
        <v>505</v>
      </c>
      <c r="R73" s="37" t="s">
        <v>504</v>
      </c>
      <c r="T73" s="4">
        <v>2006111</v>
      </c>
      <c r="U73" s="4" t="s">
        <v>191</v>
      </c>
      <c r="V73" s="4">
        <v>6.2689999999999996E-2</v>
      </c>
      <c r="W73" s="4">
        <v>0.38773999999999997</v>
      </c>
      <c r="X73" s="4">
        <v>2.5819999999999999E-2</v>
      </c>
      <c r="Y73" s="4">
        <v>1.3415999999999999</v>
      </c>
      <c r="Z73" s="4">
        <v>16.0548</v>
      </c>
      <c r="AA73" s="4">
        <v>9.3096399999999999</v>
      </c>
      <c r="AB73" s="4">
        <v>-1.38086</v>
      </c>
    </row>
    <row r="74" spans="1:28" x14ac:dyDescent="0.25">
      <c r="A74" s="6"/>
      <c r="B74" s="4" t="s">
        <v>428</v>
      </c>
      <c r="C74" s="5">
        <v>50</v>
      </c>
      <c r="D74" s="4">
        <v>20</v>
      </c>
      <c r="E74" s="3">
        <v>23</v>
      </c>
      <c r="F74" s="3">
        <f>1.8*E74+32</f>
        <v>73.400000000000006</v>
      </c>
      <c r="G74" s="3">
        <v>22</v>
      </c>
      <c r="H74" s="3">
        <f>IF(F74&gt;68,G74+(F74-68)*0.2,U300-(68-F74)*0.2)</f>
        <v>23.080000000000002</v>
      </c>
      <c r="I74" s="3">
        <v>23</v>
      </c>
      <c r="J74" s="3">
        <f>1.8*I74+32</f>
        <v>73.400000000000006</v>
      </c>
      <c r="K74" s="3">
        <v>12</v>
      </c>
      <c r="L74" s="3">
        <f>IF(J74&gt;68,K74+(J74-68)*0.2,K74-(68-J74)*0.2)</f>
        <v>13.080000000000002</v>
      </c>
      <c r="M74" s="3">
        <f>(C74-H74)/C74*100</f>
        <v>53.839999999999996</v>
      </c>
      <c r="N74" s="3">
        <f>100-(M74+O74)</f>
        <v>20</v>
      </c>
      <c r="O74" s="3">
        <f>L74/C74*100</f>
        <v>26.160000000000004</v>
      </c>
      <c r="P74" s="2" t="s">
        <v>427</v>
      </c>
      <c r="Q74" s="37" t="s">
        <v>505</v>
      </c>
      <c r="R74" s="37" t="s">
        <v>504</v>
      </c>
      <c r="T74" s="4">
        <v>2006111</v>
      </c>
      <c r="U74" s="4" t="s">
        <v>190</v>
      </c>
      <c r="V74" s="4">
        <v>5.6430000000000001E-2</v>
      </c>
      <c r="W74" s="4">
        <v>0.38074000000000002</v>
      </c>
      <c r="X74" s="4">
        <v>2.9739999999999999E-2</v>
      </c>
      <c r="Y74" s="4">
        <v>1.36249</v>
      </c>
      <c r="Z74" s="4">
        <v>24.808900000000001</v>
      </c>
      <c r="AA74" s="4">
        <v>12.17802</v>
      </c>
      <c r="AB74" s="4">
        <v>-1.3694599999999999</v>
      </c>
    </row>
    <row r="75" spans="1:28" x14ac:dyDescent="0.25">
      <c r="A75" s="36"/>
      <c r="I75" t="s">
        <v>503</v>
      </c>
      <c r="T75" s="4">
        <v>2006111</v>
      </c>
      <c r="U75" s="4" t="s">
        <v>189</v>
      </c>
      <c r="V75" s="4">
        <v>5.008E-2</v>
      </c>
      <c r="W75" s="4">
        <v>0.39026</v>
      </c>
      <c r="X75" s="4">
        <v>1.762E-2</v>
      </c>
      <c r="Y75" s="4">
        <v>1.42537</v>
      </c>
      <c r="Z75" s="4">
        <v>21.56494</v>
      </c>
      <c r="AA75" s="4">
        <v>7.5338399999999996</v>
      </c>
      <c r="AB75" s="4">
        <v>-0.70215000000000005</v>
      </c>
    </row>
    <row r="76" spans="1:28" ht="51.75" x14ac:dyDescent="0.25">
      <c r="A76" s="15" t="s">
        <v>19</v>
      </c>
      <c r="B76" s="10" t="s">
        <v>443</v>
      </c>
      <c r="C76" s="14" t="s">
        <v>17</v>
      </c>
      <c r="D76" s="13" t="s">
        <v>16</v>
      </c>
      <c r="E76" s="12" t="s">
        <v>15</v>
      </c>
      <c r="F76" s="12" t="s">
        <v>14</v>
      </c>
      <c r="G76" s="12" t="s">
        <v>442</v>
      </c>
      <c r="H76" s="12" t="s">
        <v>441</v>
      </c>
      <c r="I76" s="12" t="s">
        <v>440</v>
      </c>
      <c r="J76" s="12" t="s">
        <v>439</v>
      </c>
      <c r="K76" s="12" t="s">
        <v>438</v>
      </c>
      <c r="L76" s="12" t="s">
        <v>437</v>
      </c>
      <c r="M76" s="11" t="s">
        <v>7</v>
      </c>
      <c r="N76" s="11" t="s">
        <v>6</v>
      </c>
      <c r="O76" s="11" t="s">
        <v>5</v>
      </c>
      <c r="P76" s="10" t="s">
        <v>4</v>
      </c>
      <c r="Q76" s="17" t="s">
        <v>3</v>
      </c>
      <c r="R76" s="17"/>
      <c r="T76" s="4">
        <v>2006111</v>
      </c>
      <c r="U76" s="4" t="s">
        <v>188</v>
      </c>
      <c r="V76" s="4">
        <v>6.2210000000000001E-2</v>
      </c>
      <c r="W76" s="4">
        <v>0.38052000000000002</v>
      </c>
      <c r="X76" s="4">
        <v>2.819E-2</v>
      </c>
      <c r="Y76" s="4">
        <v>1.3300799999999999</v>
      </c>
      <c r="Z76" s="4">
        <v>17.68552</v>
      </c>
      <c r="AA76" s="4">
        <v>10.02774</v>
      </c>
      <c r="AB76" s="4">
        <v>-1.5263899999999999</v>
      </c>
    </row>
    <row r="77" spans="1:28" x14ac:dyDescent="0.25">
      <c r="A77" s="56">
        <v>12</v>
      </c>
      <c r="B77" s="10"/>
      <c r="C77" s="14"/>
      <c r="D77" s="13" t="s">
        <v>436</v>
      </c>
      <c r="E77" s="12"/>
      <c r="F77" s="12"/>
      <c r="G77" s="12"/>
      <c r="H77" s="12"/>
      <c r="I77" s="12"/>
      <c r="J77" s="12"/>
      <c r="K77" s="12"/>
      <c r="L77" s="12"/>
      <c r="M77" s="11"/>
      <c r="N77" s="11"/>
      <c r="O77" s="11"/>
      <c r="P77" s="10"/>
      <c r="Q77" s="7" t="s">
        <v>2</v>
      </c>
      <c r="R77" s="7" t="s">
        <v>1</v>
      </c>
      <c r="T77" s="4">
        <v>2006111</v>
      </c>
      <c r="U77" s="4" t="s">
        <v>187</v>
      </c>
      <c r="V77" s="4">
        <v>6.2670000000000003E-2</v>
      </c>
      <c r="W77" s="4">
        <v>0.37569000000000002</v>
      </c>
      <c r="X77" s="4">
        <v>2.7980000000000001E-2</v>
      </c>
      <c r="Y77" s="4">
        <v>1.33388</v>
      </c>
      <c r="Z77" s="4">
        <v>18.09328</v>
      </c>
      <c r="AA77" s="4">
        <v>9.7240099999999998</v>
      </c>
      <c r="AB77" s="4">
        <v>-1.52386</v>
      </c>
    </row>
    <row r="78" spans="1:28" x14ac:dyDescent="0.25">
      <c r="A78" s="56"/>
      <c r="B78" s="4" t="s">
        <v>435</v>
      </c>
      <c r="C78" s="5">
        <v>50</v>
      </c>
      <c r="D78" s="4">
        <v>20</v>
      </c>
      <c r="E78" s="3">
        <v>23</v>
      </c>
      <c r="F78" s="3">
        <f>1.8*E78+32</f>
        <v>73.400000000000006</v>
      </c>
      <c r="G78" s="3">
        <v>20</v>
      </c>
      <c r="H78" s="3">
        <f>IF(F78&gt;68,G78+(F78-68)*0.2,U304-(68-F78)*0.2)</f>
        <v>21.080000000000002</v>
      </c>
      <c r="I78" s="3">
        <v>23</v>
      </c>
      <c r="J78" s="3">
        <f>1.8*I78+32</f>
        <v>73.400000000000006</v>
      </c>
      <c r="K78" s="3">
        <v>7</v>
      </c>
      <c r="L78" s="3">
        <f>IF(J78&gt;68,K78+(J78-68)*0.2,K78-(68-J78)*0.2)</f>
        <v>8.0800000000000018</v>
      </c>
      <c r="M78" s="3">
        <f>(C78-H78)/C78*100</f>
        <v>57.839999999999989</v>
      </c>
      <c r="N78" s="3">
        <f>100-(M78+O78)</f>
        <v>26</v>
      </c>
      <c r="O78" s="3">
        <f>L78/C78*100</f>
        <v>16.160000000000004</v>
      </c>
      <c r="P78" s="2" t="s">
        <v>429</v>
      </c>
      <c r="Q78" s="37" t="s">
        <v>502</v>
      </c>
      <c r="R78" s="37" t="s">
        <v>501</v>
      </c>
      <c r="T78" s="4">
        <v>2006111</v>
      </c>
      <c r="U78" s="4" t="s">
        <v>186</v>
      </c>
      <c r="V78" s="4">
        <v>5.4050000000000001E-2</v>
      </c>
      <c r="W78" s="4">
        <v>0.37866</v>
      </c>
      <c r="X78" s="4">
        <v>3.1210000000000002E-2</v>
      </c>
      <c r="Y78" s="4">
        <v>1.3934200000000001</v>
      </c>
      <c r="Z78" s="4">
        <v>31.604410000000001</v>
      </c>
      <c r="AA78" s="4">
        <v>13.791550000000001</v>
      </c>
      <c r="AB78" s="4">
        <v>-1.28837</v>
      </c>
    </row>
    <row r="79" spans="1:28" x14ac:dyDescent="0.25">
      <c r="A79" s="15" t="s">
        <v>434</v>
      </c>
      <c r="B79" s="4" t="s">
        <v>433</v>
      </c>
      <c r="C79" s="5">
        <v>50</v>
      </c>
      <c r="D79" s="4">
        <v>20</v>
      </c>
      <c r="E79" s="3">
        <v>23</v>
      </c>
      <c r="F79" s="3">
        <f>1.8*E79+32</f>
        <v>73.400000000000006</v>
      </c>
      <c r="G79" s="3">
        <v>14</v>
      </c>
      <c r="H79" s="3">
        <f>IF(F79&gt;68,G79+(F79-68)*0.2,U305-(68-F79)*0.2)</f>
        <v>15.080000000000002</v>
      </c>
      <c r="I79" s="3">
        <v>23</v>
      </c>
      <c r="J79" s="3">
        <f>1.8*I79+32</f>
        <v>73.400000000000006</v>
      </c>
      <c r="K79" s="3">
        <v>6</v>
      </c>
      <c r="L79" s="3">
        <f>IF(J79&gt;68,K79+(J79-68)*0.2,K79-(68-J79)*0.2)</f>
        <v>7.080000000000001</v>
      </c>
      <c r="M79" s="3">
        <f>(C79-H79)/C79*100</f>
        <v>69.84</v>
      </c>
      <c r="N79" s="3">
        <f>100-(M79+O79)</f>
        <v>16</v>
      </c>
      <c r="O79" s="3">
        <f>L79/C79*100</f>
        <v>14.160000000000004</v>
      </c>
      <c r="P79" s="2" t="s">
        <v>429</v>
      </c>
      <c r="Q79" s="37" t="s">
        <v>502</v>
      </c>
      <c r="R79" s="37" t="s">
        <v>501</v>
      </c>
      <c r="T79" s="4">
        <v>2006111</v>
      </c>
      <c r="U79" s="4" t="s">
        <v>185</v>
      </c>
      <c r="V79" s="4">
        <v>5.0590000000000003E-2</v>
      </c>
      <c r="W79" s="4">
        <v>0.38045000000000001</v>
      </c>
      <c r="X79" s="4">
        <v>3.2570000000000002E-2</v>
      </c>
      <c r="Y79" s="4">
        <v>1.4091400000000001</v>
      </c>
      <c r="Z79" s="4">
        <v>37.127650000000003</v>
      </c>
      <c r="AA79" s="4">
        <v>15.72748</v>
      </c>
      <c r="AB79" s="4">
        <v>-1.23241</v>
      </c>
    </row>
    <row r="80" spans="1:28" x14ac:dyDescent="0.25">
      <c r="A80" s="55">
        <v>40206</v>
      </c>
      <c r="B80" s="4" t="s">
        <v>432</v>
      </c>
      <c r="C80" s="5">
        <v>50</v>
      </c>
      <c r="D80" s="4">
        <v>20</v>
      </c>
      <c r="E80" s="3">
        <v>23</v>
      </c>
      <c r="F80" s="3">
        <f>1.8*E80+32</f>
        <v>73.400000000000006</v>
      </c>
      <c r="G80" s="3">
        <v>14</v>
      </c>
      <c r="H80" s="3">
        <f>IF(F80&gt;68,G80+(F80-68)*0.2,U306-(68-F80)*0.2)</f>
        <v>15.080000000000002</v>
      </c>
      <c r="I80" s="3">
        <v>23</v>
      </c>
      <c r="J80" s="3">
        <f>1.8*I80+32</f>
        <v>73.400000000000006</v>
      </c>
      <c r="K80" s="3">
        <v>4</v>
      </c>
      <c r="L80" s="3">
        <f>IF(J80&gt;68,K80+(J80-68)*0.2,K80-(68-J80)*0.2)</f>
        <v>5.080000000000001</v>
      </c>
      <c r="M80" s="3">
        <f>(C80-H80)/C80*100</f>
        <v>69.84</v>
      </c>
      <c r="N80" s="3">
        <f>100-(M80+O80)</f>
        <v>20</v>
      </c>
      <c r="O80" s="3">
        <f>L80/C80*100</f>
        <v>10.160000000000002</v>
      </c>
      <c r="P80" s="2" t="s">
        <v>429</v>
      </c>
      <c r="Q80" s="37" t="s">
        <v>502</v>
      </c>
      <c r="R80" s="37" t="s">
        <v>501</v>
      </c>
      <c r="T80" s="4">
        <v>2006111</v>
      </c>
      <c r="U80" s="4" t="s">
        <v>184</v>
      </c>
      <c r="V80" s="4">
        <v>4.9610000000000001E-2</v>
      </c>
      <c r="W80" s="4">
        <v>0.3831</v>
      </c>
      <c r="X80" s="4">
        <v>3.1109999999999999E-2</v>
      </c>
      <c r="Y80" s="4">
        <v>1.3892500000000001</v>
      </c>
      <c r="Z80" s="4">
        <v>33.040260000000004</v>
      </c>
      <c r="AA80" s="4">
        <v>14.86828</v>
      </c>
      <c r="AB80" s="4">
        <v>-1.23336</v>
      </c>
    </row>
    <row r="81" spans="1:28" x14ac:dyDescent="0.25">
      <c r="A81" s="54"/>
      <c r="B81" s="4" t="s">
        <v>431</v>
      </c>
      <c r="C81" s="5">
        <v>50</v>
      </c>
      <c r="D81" s="4">
        <v>20</v>
      </c>
      <c r="E81" s="3">
        <v>23</v>
      </c>
      <c r="F81" s="3">
        <f>1.8*E81+32</f>
        <v>73.400000000000006</v>
      </c>
      <c r="G81" s="3">
        <v>16</v>
      </c>
      <c r="H81" s="3">
        <f>IF(F81&gt;68,G81+(F81-68)*0.2,U307-(68-F81)*0.2)</f>
        <v>17.080000000000002</v>
      </c>
      <c r="I81" s="3">
        <v>23</v>
      </c>
      <c r="J81" s="3">
        <f>1.8*I81+32</f>
        <v>73.400000000000006</v>
      </c>
      <c r="K81" s="3">
        <v>5</v>
      </c>
      <c r="L81" s="3">
        <f>IF(J81&gt;68,K81+(J81-68)*0.2,K81-(68-J81)*0.2)</f>
        <v>6.080000000000001</v>
      </c>
      <c r="M81" s="3">
        <f>(C81-H81)/C81*100</f>
        <v>65.84</v>
      </c>
      <c r="N81" s="3">
        <f>100-(M81+O81)</f>
        <v>22</v>
      </c>
      <c r="O81" s="3">
        <f>L81/C81*100</f>
        <v>12.160000000000002</v>
      </c>
      <c r="P81" s="2" t="s">
        <v>429</v>
      </c>
      <c r="Q81" s="37" t="s">
        <v>502</v>
      </c>
      <c r="R81" s="37" t="s">
        <v>501</v>
      </c>
      <c r="T81" s="4">
        <v>2006111</v>
      </c>
      <c r="U81" s="4" t="s">
        <v>183</v>
      </c>
      <c r="V81" s="4">
        <v>6.225E-2</v>
      </c>
      <c r="W81" s="4">
        <v>0.38292999999999999</v>
      </c>
      <c r="X81" s="4">
        <v>2.7720000000000002E-2</v>
      </c>
      <c r="Y81" s="4">
        <v>1.3318700000000001</v>
      </c>
      <c r="Z81" s="4">
        <v>17.312639999999998</v>
      </c>
      <c r="AA81" s="4">
        <v>9.9339200000000005</v>
      </c>
      <c r="AB81" s="4">
        <v>-1.49552</v>
      </c>
    </row>
    <row r="82" spans="1:28" x14ac:dyDescent="0.25">
      <c r="A82" s="6"/>
      <c r="B82" s="4" t="s">
        <v>430</v>
      </c>
      <c r="C82" s="5">
        <v>50</v>
      </c>
      <c r="D82" s="4">
        <v>20</v>
      </c>
      <c r="E82" s="3">
        <v>23</v>
      </c>
      <c r="F82" s="3">
        <f>1.8*E82+32</f>
        <v>73.400000000000006</v>
      </c>
      <c r="G82" s="3">
        <v>17</v>
      </c>
      <c r="H82" s="3">
        <f>IF(F82&gt;68,G82+(F82-68)*0.2,U308-(68-F82)*0.2)</f>
        <v>18.080000000000002</v>
      </c>
      <c r="I82" s="3">
        <v>23</v>
      </c>
      <c r="J82" s="3">
        <f>1.8*I82+32</f>
        <v>73.400000000000006</v>
      </c>
      <c r="K82" s="3">
        <v>7</v>
      </c>
      <c r="L82" s="3">
        <f>IF(J82&gt;68,K82+(J82-68)*0.2,K82-(68-J82)*0.2)</f>
        <v>8.0800000000000018</v>
      </c>
      <c r="M82" s="3">
        <f>(C82-H82)/C82*100</f>
        <v>63.839999999999996</v>
      </c>
      <c r="N82" s="3">
        <f>100-(M82+O82)</f>
        <v>20</v>
      </c>
      <c r="O82" s="3">
        <f>L82/C82*100</f>
        <v>16.160000000000004</v>
      </c>
      <c r="P82" s="2" t="s">
        <v>429</v>
      </c>
      <c r="Q82" s="37" t="s">
        <v>502</v>
      </c>
      <c r="R82" s="37" t="s">
        <v>501</v>
      </c>
      <c r="T82" s="4">
        <v>2006111</v>
      </c>
      <c r="U82" s="4" t="s">
        <v>182</v>
      </c>
      <c r="V82" s="4">
        <v>4.0390000000000002E-2</v>
      </c>
      <c r="W82" s="4">
        <v>0.38524000000000003</v>
      </c>
      <c r="X82" s="4">
        <v>3.8059999999999997E-2</v>
      </c>
      <c r="Y82" s="4">
        <v>1.4755100000000001</v>
      </c>
      <c r="Z82" s="4">
        <v>56.765509999999999</v>
      </c>
      <c r="AA82" s="4">
        <v>24.538709999999998</v>
      </c>
      <c r="AB82" s="4">
        <v>-1.0738300000000001</v>
      </c>
    </row>
    <row r="83" spans="1:28" x14ac:dyDescent="0.25">
      <c r="A83" s="6"/>
      <c r="B83" s="4" t="s">
        <v>428</v>
      </c>
      <c r="C83" s="5">
        <v>50</v>
      </c>
      <c r="D83" s="4">
        <v>20</v>
      </c>
      <c r="E83" s="3">
        <v>23</v>
      </c>
      <c r="F83" s="3">
        <f>1.8*E83+32</f>
        <v>73.400000000000006</v>
      </c>
      <c r="G83" s="3">
        <v>22</v>
      </c>
      <c r="H83" s="3">
        <f>IF(F83&gt;68,G83+(F83-68)*0.2,U309-(68-F83)*0.2)</f>
        <v>23.080000000000002</v>
      </c>
      <c r="I83" s="3">
        <v>23</v>
      </c>
      <c r="J83" s="3">
        <f>1.8*I83+32</f>
        <v>73.400000000000006</v>
      </c>
      <c r="K83" s="3">
        <v>11</v>
      </c>
      <c r="L83" s="3">
        <f>IF(J83&gt;68,K83+(J83-68)*0.2,K83-(68-J83)*0.2)</f>
        <v>12.080000000000002</v>
      </c>
      <c r="M83" s="3">
        <f>(C83-H83)/C83*100</f>
        <v>53.839999999999996</v>
      </c>
      <c r="N83" s="3">
        <f>100-(M83+O83)</f>
        <v>22</v>
      </c>
      <c r="O83" s="3">
        <f>L83/C83*100</f>
        <v>24.160000000000004</v>
      </c>
      <c r="P83" s="2" t="s">
        <v>427</v>
      </c>
      <c r="Q83" s="37" t="s">
        <v>502</v>
      </c>
      <c r="R83" s="37" t="s">
        <v>501</v>
      </c>
      <c r="T83" s="4">
        <v>2006111</v>
      </c>
      <c r="U83" s="4" t="s">
        <v>181</v>
      </c>
      <c r="V83" s="4">
        <v>5.9740000000000001E-2</v>
      </c>
      <c r="W83" s="4">
        <v>0.38774999999999998</v>
      </c>
      <c r="X83" s="4">
        <v>2.5559999999999999E-2</v>
      </c>
      <c r="Y83" s="4">
        <v>1.35636</v>
      </c>
      <c r="Z83" s="4">
        <v>18.255369999999999</v>
      </c>
      <c r="AA83" s="4">
        <v>9.7729999999999997</v>
      </c>
      <c r="AB83" s="4">
        <v>-1.28389</v>
      </c>
    </row>
    <row r="84" spans="1:28" x14ac:dyDescent="0.25">
      <c r="A84" s="36"/>
      <c r="Q84" s="22"/>
      <c r="R84" s="22"/>
      <c r="T84" s="4">
        <v>2006111</v>
      </c>
      <c r="U84" s="4" t="s">
        <v>180</v>
      </c>
      <c r="V84" s="4">
        <v>5.0189999999999999E-2</v>
      </c>
      <c r="W84" s="4">
        <v>0.38135000000000002</v>
      </c>
      <c r="X84" s="4">
        <v>3.2300000000000002E-2</v>
      </c>
      <c r="Y84" s="4">
        <v>1.40073</v>
      </c>
      <c r="Z84" s="4">
        <v>35.717739999999999</v>
      </c>
      <c r="AA84" s="4">
        <v>15.56179</v>
      </c>
      <c r="AB84" s="4">
        <v>-1.24082</v>
      </c>
    </row>
    <row r="85" spans="1:28" ht="51.75" x14ac:dyDescent="0.25">
      <c r="A85" s="15" t="s">
        <v>19</v>
      </c>
      <c r="B85" s="10" t="s">
        <v>443</v>
      </c>
      <c r="C85" s="14" t="s">
        <v>17</v>
      </c>
      <c r="D85" s="13" t="s">
        <v>16</v>
      </c>
      <c r="E85" s="12" t="s">
        <v>15</v>
      </c>
      <c r="F85" s="12" t="s">
        <v>14</v>
      </c>
      <c r="G85" s="12" t="s">
        <v>442</v>
      </c>
      <c r="H85" s="12" t="s">
        <v>441</v>
      </c>
      <c r="I85" s="12" t="s">
        <v>440</v>
      </c>
      <c r="J85" s="12" t="s">
        <v>439</v>
      </c>
      <c r="K85" s="12" t="s">
        <v>438</v>
      </c>
      <c r="L85" s="12" t="s">
        <v>437</v>
      </c>
      <c r="M85" s="11" t="s">
        <v>7</v>
      </c>
      <c r="N85" s="11" t="s">
        <v>6</v>
      </c>
      <c r="O85" s="11" t="s">
        <v>5</v>
      </c>
      <c r="P85" s="10" t="s">
        <v>4</v>
      </c>
      <c r="Q85" s="24" t="s">
        <v>3</v>
      </c>
      <c r="R85" s="23"/>
      <c r="T85" s="4">
        <v>2006111</v>
      </c>
      <c r="U85" s="4" t="s">
        <v>179</v>
      </c>
      <c r="V85" s="4">
        <v>5.0860000000000002E-2</v>
      </c>
      <c r="W85" s="4">
        <v>0.37991999999999998</v>
      </c>
      <c r="X85" s="4">
        <v>3.2629999999999999E-2</v>
      </c>
      <c r="Y85" s="4">
        <v>1.4148400000000001</v>
      </c>
      <c r="Z85" s="4">
        <v>37.971730000000001</v>
      </c>
      <c r="AA85" s="4">
        <v>15.77098</v>
      </c>
      <c r="AB85" s="4">
        <v>-1.22462</v>
      </c>
    </row>
    <row r="86" spans="1:28" x14ac:dyDescent="0.25">
      <c r="A86" s="56">
        <v>13</v>
      </c>
      <c r="B86" s="10"/>
      <c r="C86" s="14"/>
      <c r="D86" s="13" t="s">
        <v>436</v>
      </c>
      <c r="E86" s="12"/>
      <c r="F86" s="12"/>
      <c r="G86" s="12"/>
      <c r="H86" s="12"/>
      <c r="I86" s="12"/>
      <c r="J86" s="12"/>
      <c r="K86" s="12"/>
      <c r="L86" s="12"/>
      <c r="M86" s="11"/>
      <c r="N86" s="11"/>
      <c r="O86" s="11"/>
      <c r="P86" s="10"/>
      <c r="Q86" s="7" t="s">
        <v>2</v>
      </c>
      <c r="R86" s="7" t="s">
        <v>1</v>
      </c>
      <c r="T86" s="4">
        <v>2006111</v>
      </c>
      <c r="U86" s="4" t="s">
        <v>178</v>
      </c>
      <c r="V86" s="4">
        <v>4.9529999999999998E-2</v>
      </c>
      <c r="W86" s="4">
        <v>0.38800000000000001</v>
      </c>
      <c r="X86" s="4">
        <v>2.2700000000000001E-2</v>
      </c>
      <c r="Y86" s="4">
        <v>1.3987099999999999</v>
      </c>
      <c r="Z86" s="4">
        <v>25.398430000000001</v>
      </c>
      <c r="AA86" s="4">
        <v>10.24161</v>
      </c>
      <c r="AB86" s="4">
        <v>-0.95442000000000005</v>
      </c>
    </row>
    <row r="87" spans="1:28" x14ac:dyDescent="0.25">
      <c r="A87" s="56"/>
      <c r="B87" s="4" t="s">
        <v>435</v>
      </c>
      <c r="C87" s="5">
        <v>50</v>
      </c>
      <c r="D87" s="4">
        <v>20</v>
      </c>
      <c r="E87" s="3">
        <v>23</v>
      </c>
      <c r="F87" s="3">
        <f>1.8*E87+32</f>
        <v>73.400000000000006</v>
      </c>
      <c r="G87" s="3">
        <v>20</v>
      </c>
      <c r="H87" s="3">
        <f>IF(F87&gt;68,G87+(F87-68)*0.2,U313-(68-F87)*0.2)</f>
        <v>21.080000000000002</v>
      </c>
      <c r="I87" s="3">
        <v>23</v>
      </c>
      <c r="J87" s="3">
        <f>1.8*I87+32</f>
        <v>73.400000000000006</v>
      </c>
      <c r="K87" s="3">
        <v>10</v>
      </c>
      <c r="L87" s="3">
        <f>IF(J87&gt;68,K87+(J87-68)*0.2,K87-(68-J87)*0.2)</f>
        <v>11.080000000000002</v>
      </c>
      <c r="M87" s="3">
        <f>(C87-H87)/C87*100</f>
        <v>57.839999999999989</v>
      </c>
      <c r="N87" s="3">
        <f>100-(M87+O87)</f>
        <v>20</v>
      </c>
      <c r="O87" s="3">
        <f>L87/C87*100</f>
        <v>22.160000000000004</v>
      </c>
      <c r="P87" s="2" t="s">
        <v>427</v>
      </c>
      <c r="Q87" s="21" t="s">
        <v>500</v>
      </c>
      <c r="R87" s="21" t="s">
        <v>499</v>
      </c>
      <c r="T87" s="4">
        <v>2006111</v>
      </c>
      <c r="U87" s="4" t="s">
        <v>177</v>
      </c>
      <c r="V87" s="4">
        <v>6.3289999999999999E-2</v>
      </c>
      <c r="W87" s="4">
        <v>0.39167999999999997</v>
      </c>
      <c r="X87" s="4">
        <v>2.3539999999999998E-2</v>
      </c>
      <c r="Y87" s="4">
        <v>1.3549500000000001</v>
      </c>
      <c r="Z87" s="4">
        <v>14.67445</v>
      </c>
      <c r="AA87" s="4">
        <v>8.4462600000000005</v>
      </c>
      <c r="AB87" s="4">
        <v>-1.24654</v>
      </c>
    </row>
    <row r="88" spans="1:28" x14ac:dyDescent="0.25">
      <c r="A88" s="15" t="s">
        <v>434</v>
      </c>
      <c r="B88" s="4" t="s">
        <v>433</v>
      </c>
      <c r="C88" s="5">
        <v>50</v>
      </c>
      <c r="D88" s="4">
        <v>20</v>
      </c>
      <c r="E88" s="3">
        <v>23</v>
      </c>
      <c r="F88" s="3">
        <f>1.8*E88+32</f>
        <v>73.400000000000006</v>
      </c>
      <c r="G88" s="3">
        <v>16</v>
      </c>
      <c r="H88" s="3">
        <f>IF(F88&gt;68,G88+(F88-68)*0.2,U314-(68-F88)*0.2)</f>
        <v>17.080000000000002</v>
      </c>
      <c r="I88" s="3">
        <v>23</v>
      </c>
      <c r="J88" s="3">
        <f>1.8*I88+32</f>
        <v>73.400000000000006</v>
      </c>
      <c r="K88" s="3">
        <v>8</v>
      </c>
      <c r="L88" s="3">
        <f>IF(J88&gt;68,K88+(J88-68)*0.2,K88-(68-J88)*0.2)</f>
        <v>9.0800000000000018</v>
      </c>
      <c r="M88" s="3">
        <f>(C88-H88)/C88*100</f>
        <v>65.84</v>
      </c>
      <c r="N88" s="3">
        <f>100-(M88+O88)</f>
        <v>16</v>
      </c>
      <c r="O88" s="3">
        <f>L88/C88*100</f>
        <v>18.160000000000004</v>
      </c>
      <c r="P88" s="2" t="s">
        <v>429</v>
      </c>
      <c r="Q88" s="21" t="s">
        <v>500</v>
      </c>
      <c r="R88" s="21" t="s">
        <v>499</v>
      </c>
      <c r="T88" s="4">
        <v>2006111</v>
      </c>
      <c r="U88" s="4" t="s">
        <v>176</v>
      </c>
      <c r="V88" s="4">
        <v>6.7460000000000006E-2</v>
      </c>
      <c r="W88" s="4">
        <v>0.40000999999999998</v>
      </c>
      <c r="X88" s="4">
        <v>1.9640000000000001E-2</v>
      </c>
      <c r="Y88" s="4">
        <v>1.3717999999999999</v>
      </c>
      <c r="Z88" s="4">
        <v>10.747719999999999</v>
      </c>
      <c r="AA88" s="4">
        <v>6.5486399999999998</v>
      </c>
      <c r="AB88" s="4">
        <v>-1.0608</v>
      </c>
    </row>
    <row r="89" spans="1:28" x14ac:dyDescent="0.25">
      <c r="A89" s="55">
        <v>40206</v>
      </c>
      <c r="B89" s="4" t="s">
        <v>432</v>
      </c>
      <c r="C89" s="5">
        <v>50</v>
      </c>
      <c r="D89" s="4">
        <v>20</v>
      </c>
      <c r="E89" s="3">
        <v>23</v>
      </c>
      <c r="F89" s="3">
        <f>1.8*E89+32</f>
        <v>73.400000000000006</v>
      </c>
      <c r="G89" s="3">
        <v>12</v>
      </c>
      <c r="H89" s="3">
        <f>IF(F89&gt;68,G89+(F89-68)*0.2,U315-(68-F89)*0.2)</f>
        <v>13.080000000000002</v>
      </c>
      <c r="I89" s="3">
        <v>23</v>
      </c>
      <c r="J89" s="3">
        <f>1.8*I89+32</f>
        <v>73.400000000000006</v>
      </c>
      <c r="K89" s="3">
        <v>4</v>
      </c>
      <c r="L89" s="3">
        <f>IF(J89&gt;68,K89+(J89-68)*0.2,K89-(68-J89)*0.2)</f>
        <v>5.080000000000001</v>
      </c>
      <c r="M89" s="3">
        <f>(C89-H89)/C89*100</f>
        <v>73.84</v>
      </c>
      <c r="N89" s="3">
        <f>100-(M89+O89)</f>
        <v>16</v>
      </c>
      <c r="O89" s="3">
        <f>L89/C89*100</f>
        <v>10.160000000000002</v>
      </c>
      <c r="P89" s="2" t="s">
        <v>429</v>
      </c>
      <c r="Q89" s="21" t="s">
        <v>500</v>
      </c>
      <c r="R89" s="21" t="s">
        <v>499</v>
      </c>
      <c r="T89" s="4">
        <v>2006111</v>
      </c>
      <c r="U89" s="4" t="s">
        <v>175</v>
      </c>
      <c r="V89" s="4">
        <v>6.2429999999999999E-2</v>
      </c>
      <c r="W89" s="4">
        <v>0.37724000000000002</v>
      </c>
      <c r="X89" s="4">
        <v>2.8219999999999999E-2</v>
      </c>
      <c r="Y89" s="4">
        <v>1.33148</v>
      </c>
      <c r="Z89" s="4">
        <v>17.98685</v>
      </c>
      <c r="AA89" s="4">
        <v>9.8941800000000004</v>
      </c>
      <c r="AB89" s="4">
        <v>-1.5344899999999999</v>
      </c>
    </row>
    <row r="90" spans="1:28" x14ac:dyDescent="0.25">
      <c r="A90" s="54"/>
      <c r="B90" s="4" t="s">
        <v>431</v>
      </c>
      <c r="C90" s="5">
        <v>50</v>
      </c>
      <c r="D90" s="4">
        <v>20</v>
      </c>
      <c r="E90" s="3">
        <v>23</v>
      </c>
      <c r="F90" s="3">
        <f>1.8*E90+32</f>
        <v>73.400000000000006</v>
      </c>
      <c r="G90" s="3">
        <v>14</v>
      </c>
      <c r="H90" s="3">
        <f>IF(F90&gt;68,G90+(F90-68)*0.2,U316-(68-F90)*0.2)</f>
        <v>15.080000000000002</v>
      </c>
      <c r="I90" s="3">
        <v>23</v>
      </c>
      <c r="J90" s="3">
        <f>1.8*I90+32</f>
        <v>73.400000000000006</v>
      </c>
      <c r="K90" s="3">
        <v>6</v>
      </c>
      <c r="L90" s="3">
        <f>IF(J90&gt;68,K90+(J90-68)*0.2,K90-(68-J90)*0.2)</f>
        <v>7.080000000000001</v>
      </c>
      <c r="M90" s="3">
        <f>(C90-H90)/C90*100</f>
        <v>69.84</v>
      </c>
      <c r="N90" s="3">
        <f>100-(M90+O90)</f>
        <v>16</v>
      </c>
      <c r="O90" s="3">
        <f>L90/C90*100</f>
        <v>14.160000000000004</v>
      </c>
      <c r="P90" s="2" t="s">
        <v>429</v>
      </c>
      <c r="Q90" s="21" t="s">
        <v>500</v>
      </c>
      <c r="R90" s="21" t="s">
        <v>499</v>
      </c>
      <c r="T90" s="4">
        <v>2006111</v>
      </c>
      <c r="U90" s="4" t="s">
        <v>174</v>
      </c>
      <c r="V90" s="4">
        <v>5.323E-2</v>
      </c>
      <c r="W90" s="4">
        <v>0.38140000000000002</v>
      </c>
      <c r="X90" s="4">
        <v>3.0710000000000001E-2</v>
      </c>
      <c r="Y90" s="4">
        <v>1.37849</v>
      </c>
      <c r="Z90" s="4">
        <v>29.348400000000002</v>
      </c>
      <c r="AA90" s="4">
        <v>13.590619999999999</v>
      </c>
      <c r="AB90" s="4">
        <v>-1.3020400000000001</v>
      </c>
    </row>
    <row r="91" spans="1:28" x14ac:dyDescent="0.25">
      <c r="A91" s="6"/>
      <c r="B91" s="4" t="s">
        <v>430</v>
      </c>
      <c r="C91" s="5">
        <v>50</v>
      </c>
      <c r="D91" s="4">
        <v>20</v>
      </c>
      <c r="E91" s="3">
        <v>23</v>
      </c>
      <c r="F91" s="3">
        <f>1.8*E91+32</f>
        <v>73.400000000000006</v>
      </c>
      <c r="G91" s="3">
        <v>15</v>
      </c>
      <c r="H91" s="3">
        <f>IF(F91&gt;68,G91+(F91-68)*0.2,U317-(68-F91)*0.2)</f>
        <v>16.080000000000002</v>
      </c>
      <c r="I91" s="3">
        <v>23</v>
      </c>
      <c r="J91" s="3">
        <f>1.8*I91+32</f>
        <v>73.400000000000006</v>
      </c>
      <c r="K91" s="3">
        <v>6</v>
      </c>
      <c r="L91" s="3">
        <f>IF(J91&gt;68,K91+(J91-68)*0.2,K91-(68-J91)*0.2)</f>
        <v>7.080000000000001</v>
      </c>
      <c r="M91" s="3">
        <f>(C91-H91)/C91*100</f>
        <v>67.84</v>
      </c>
      <c r="N91" s="3">
        <f>100-(M91+O91)</f>
        <v>18</v>
      </c>
      <c r="O91" s="3">
        <f>L91/C91*100</f>
        <v>14.160000000000004</v>
      </c>
      <c r="P91" s="2" t="s">
        <v>429</v>
      </c>
      <c r="Q91" s="21" t="s">
        <v>500</v>
      </c>
      <c r="R91" s="21" t="s">
        <v>499</v>
      </c>
      <c r="T91" s="4">
        <v>2006111</v>
      </c>
      <c r="U91" s="4" t="s">
        <v>173</v>
      </c>
      <c r="V91" s="4">
        <v>6.2899999999999998E-2</v>
      </c>
      <c r="W91" s="4">
        <v>0.38928000000000001</v>
      </c>
      <c r="X91" s="4">
        <v>2.4989999999999998E-2</v>
      </c>
      <c r="Y91" s="4">
        <v>1.3462700000000001</v>
      </c>
      <c r="Z91" s="4">
        <v>15.53904</v>
      </c>
      <c r="AA91" s="4">
        <v>9.0044500000000003</v>
      </c>
      <c r="AB91" s="4">
        <v>-1.3320399999999999</v>
      </c>
    </row>
    <row r="92" spans="1:28" x14ac:dyDescent="0.25">
      <c r="A92" s="6"/>
      <c r="B92" s="4" t="s">
        <v>428</v>
      </c>
      <c r="C92" s="5">
        <v>50</v>
      </c>
      <c r="D92" s="4">
        <v>20</v>
      </c>
      <c r="E92" s="3">
        <v>23</v>
      </c>
      <c r="F92" s="3">
        <f>1.8*E92+32</f>
        <v>73.400000000000006</v>
      </c>
      <c r="G92" s="3">
        <v>13</v>
      </c>
      <c r="H92" s="3">
        <f>IF(F92&gt;68,G92+(F92-68)*0.2,U318-(68-F92)*0.2)</f>
        <v>14.080000000000002</v>
      </c>
      <c r="I92" s="3">
        <v>23</v>
      </c>
      <c r="J92" s="3">
        <f>1.8*I92+32</f>
        <v>73.400000000000006</v>
      </c>
      <c r="K92" s="3">
        <v>6</v>
      </c>
      <c r="L92" s="3">
        <f>IF(J92&gt;68,K92+(J92-68)*0.2,K92-(68-J92)*0.2)</f>
        <v>7.080000000000001</v>
      </c>
      <c r="M92" s="3">
        <f>(C92-H92)/C92*100</f>
        <v>71.84</v>
      </c>
      <c r="N92" s="3">
        <f>100-(M92+O92)</f>
        <v>14</v>
      </c>
      <c r="O92" s="3">
        <f>L92/C92*100</f>
        <v>14.160000000000004</v>
      </c>
      <c r="P92" s="2" t="s">
        <v>429</v>
      </c>
      <c r="Q92" s="21" t="s">
        <v>500</v>
      </c>
      <c r="R92" s="21" t="s">
        <v>499</v>
      </c>
      <c r="T92" s="4">
        <v>2006111</v>
      </c>
      <c r="U92" s="4" t="s">
        <v>172</v>
      </c>
      <c r="V92" s="4">
        <v>6.6949999999999996E-2</v>
      </c>
      <c r="W92" s="4">
        <v>0.39728000000000002</v>
      </c>
      <c r="X92" s="4">
        <v>2.1260000000000001E-2</v>
      </c>
      <c r="Y92" s="4">
        <v>1.35924</v>
      </c>
      <c r="Z92" s="4">
        <v>11.545959999999999</v>
      </c>
      <c r="AA92" s="4">
        <v>7.1695000000000002</v>
      </c>
      <c r="AB92" s="4">
        <v>-1.1674500000000001</v>
      </c>
    </row>
    <row r="93" spans="1:28" x14ac:dyDescent="0.25">
      <c r="A93" s="36"/>
      <c r="Q93" s="22"/>
      <c r="R93" s="22"/>
      <c r="T93" s="4">
        <v>2006111</v>
      </c>
      <c r="U93" s="4" t="s">
        <v>171</v>
      </c>
      <c r="V93" s="4">
        <v>7.2190000000000004E-2</v>
      </c>
      <c r="W93" s="4">
        <v>0.40155000000000002</v>
      </c>
      <c r="X93" s="4">
        <v>2.179E-2</v>
      </c>
      <c r="Y93" s="4">
        <v>1.33283</v>
      </c>
      <c r="Z93" s="4">
        <v>8.9421499999999998</v>
      </c>
      <c r="AA93" s="4">
        <v>6.7452699999999997</v>
      </c>
      <c r="AB93" s="4">
        <v>-1.3257099999999999</v>
      </c>
    </row>
    <row r="94" spans="1:28" ht="51.75" x14ac:dyDescent="0.25">
      <c r="A94" s="15" t="s">
        <v>19</v>
      </c>
      <c r="B94" s="10" t="s">
        <v>443</v>
      </c>
      <c r="C94" s="14" t="s">
        <v>17</v>
      </c>
      <c r="D94" s="13" t="s">
        <v>16</v>
      </c>
      <c r="E94" s="12" t="s">
        <v>15</v>
      </c>
      <c r="F94" s="12" t="s">
        <v>14</v>
      </c>
      <c r="G94" s="12" t="s">
        <v>442</v>
      </c>
      <c r="H94" s="12" t="s">
        <v>441</v>
      </c>
      <c r="I94" s="12" t="s">
        <v>440</v>
      </c>
      <c r="J94" s="12" t="s">
        <v>439</v>
      </c>
      <c r="K94" s="12" t="s">
        <v>438</v>
      </c>
      <c r="L94" s="12" t="s">
        <v>437</v>
      </c>
      <c r="M94" s="11" t="s">
        <v>7</v>
      </c>
      <c r="N94" s="11" t="s">
        <v>6</v>
      </c>
      <c r="O94" s="11" t="s">
        <v>5</v>
      </c>
      <c r="P94" s="10" t="s">
        <v>4</v>
      </c>
      <c r="Q94" s="24" t="s">
        <v>3</v>
      </c>
      <c r="R94" s="23"/>
      <c r="T94" s="4">
        <v>2006111</v>
      </c>
      <c r="U94" s="4" t="s">
        <v>170</v>
      </c>
      <c r="V94" s="4">
        <v>4.9320000000000003E-2</v>
      </c>
      <c r="W94" s="4">
        <v>0.38499</v>
      </c>
      <c r="X94" s="4">
        <v>2.8719999999999999E-2</v>
      </c>
      <c r="Y94" s="4">
        <v>1.38503</v>
      </c>
      <c r="Z94" s="4">
        <v>30.18337</v>
      </c>
      <c r="AA94" s="4">
        <v>13.52744</v>
      </c>
      <c r="AB94" s="4">
        <v>-1.17675</v>
      </c>
    </row>
    <row r="95" spans="1:28" x14ac:dyDescent="0.25">
      <c r="A95" s="56">
        <v>14</v>
      </c>
      <c r="B95" s="10"/>
      <c r="C95" s="14"/>
      <c r="D95" s="13" t="s">
        <v>436</v>
      </c>
      <c r="E95" s="12"/>
      <c r="F95" s="12"/>
      <c r="G95" s="12"/>
      <c r="H95" s="12"/>
      <c r="I95" s="12"/>
      <c r="J95" s="12"/>
      <c r="K95" s="12"/>
      <c r="L95" s="12"/>
      <c r="M95" s="11"/>
      <c r="N95" s="11"/>
      <c r="O95" s="11"/>
      <c r="P95" s="10"/>
      <c r="Q95" s="7" t="s">
        <v>2</v>
      </c>
      <c r="R95" s="7" t="s">
        <v>1</v>
      </c>
      <c r="T95" s="4">
        <v>2006111</v>
      </c>
      <c r="U95" s="4" t="s">
        <v>169</v>
      </c>
      <c r="V95" s="4">
        <v>6.2239999999999997E-2</v>
      </c>
      <c r="W95" s="4">
        <v>0.37964999999999999</v>
      </c>
      <c r="X95" s="4">
        <v>2.827E-2</v>
      </c>
      <c r="Y95" s="4">
        <v>1.32999</v>
      </c>
      <c r="Z95" s="4">
        <v>17.782689999999999</v>
      </c>
      <c r="AA95" s="4">
        <v>10.02229</v>
      </c>
      <c r="AB95" s="4">
        <v>-1.5324899999999999</v>
      </c>
    </row>
    <row r="96" spans="1:28" x14ac:dyDescent="0.25">
      <c r="A96" s="56"/>
      <c r="B96" s="4" t="s">
        <v>435</v>
      </c>
      <c r="C96" s="5">
        <v>50</v>
      </c>
      <c r="D96" s="4">
        <v>20</v>
      </c>
      <c r="E96" s="3">
        <v>24</v>
      </c>
      <c r="F96" s="3">
        <f>1.8*E96+32</f>
        <v>75.2</v>
      </c>
      <c r="G96" s="3">
        <v>14</v>
      </c>
      <c r="H96" s="3">
        <f>IF(F96&gt;68,G96+(F96-68)*0.2,U322-(68-F96)*0.2)</f>
        <v>15.440000000000001</v>
      </c>
      <c r="I96" s="3">
        <v>23</v>
      </c>
      <c r="J96" s="3">
        <f>1.8*I96+32</f>
        <v>73.400000000000006</v>
      </c>
      <c r="K96" s="3">
        <v>10</v>
      </c>
      <c r="L96" s="3">
        <f>IF(J96&gt;68,K96+(J96-68)*0.2,K96-(68-J96)*0.2)</f>
        <v>11.080000000000002</v>
      </c>
      <c r="M96" s="3">
        <f>(C96-H96)/C96*100</f>
        <v>69.12</v>
      </c>
      <c r="N96" s="3">
        <f>100-(M96+O96)</f>
        <v>8.7199999999999989</v>
      </c>
      <c r="O96" s="3">
        <f>L96/C96*100</f>
        <v>22.160000000000004</v>
      </c>
      <c r="P96" s="2" t="s">
        <v>427</v>
      </c>
      <c r="Q96" s="21">
        <v>409056.63051235001</v>
      </c>
      <c r="R96" s="21" t="s">
        <v>498</v>
      </c>
      <c r="T96" s="4">
        <v>2006111</v>
      </c>
      <c r="U96" s="4" t="s">
        <v>168</v>
      </c>
      <c r="V96" s="4">
        <v>5.9959999999999999E-2</v>
      </c>
      <c r="W96" s="4">
        <v>0.38923999999999997</v>
      </c>
      <c r="X96" s="4">
        <v>2.4469999999999999E-2</v>
      </c>
      <c r="Y96" s="4">
        <v>1.3616600000000001</v>
      </c>
      <c r="Z96" s="4">
        <v>17.541869999999999</v>
      </c>
      <c r="AA96" s="4">
        <v>9.3191799999999994</v>
      </c>
      <c r="AB96" s="4">
        <v>-1.2276199999999999</v>
      </c>
    </row>
    <row r="97" spans="1:28" x14ac:dyDescent="0.25">
      <c r="A97" s="15" t="s">
        <v>434</v>
      </c>
      <c r="B97" s="4" t="s">
        <v>433</v>
      </c>
      <c r="C97" s="5">
        <v>50</v>
      </c>
      <c r="D97" s="4">
        <v>20</v>
      </c>
      <c r="E97" s="3">
        <v>24</v>
      </c>
      <c r="F97" s="3">
        <f>1.8*E97+32</f>
        <v>75.2</v>
      </c>
      <c r="G97" s="3">
        <v>19</v>
      </c>
      <c r="H97" s="3">
        <f>IF(F97&gt;68,G97+(F97-68)*0.2,U323-(68-F97)*0.2)</f>
        <v>20.440000000000001</v>
      </c>
      <c r="I97" s="3">
        <v>23</v>
      </c>
      <c r="J97" s="3">
        <f>1.8*I97+32</f>
        <v>73.400000000000006</v>
      </c>
      <c r="K97" s="3">
        <v>11</v>
      </c>
      <c r="L97" s="3">
        <f>IF(J97&gt;68,K97+(J97-68)*0.2,K97-(68-J97)*0.2)</f>
        <v>12.080000000000002</v>
      </c>
      <c r="M97" s="3">
        <f>(C97-H97)/C97*100</f>
        <v>59.12</v>
      </c>
      <c r="N97" s="3">
        <f>100-(M97+O97)</f>
        <v>16.72</v>
      </c>
      <c r="O97" s="3">
        <f>L97/C97*100</f>
        <v>24.160000000000004</v>
      </c>
      <c r="P97" s="2" t="s">
        <v>427</v>
      </c>
      <c r="Q97" s="21">
        <v>409056.63051235001</v>
      </c>
      <c r="R97" s="21" t="s">
        <v>498</v>
      </c>
      <c r="T97" s="4">
        <v>2006111</v>
      </c>
      <c r="U97" s="4" t="s">
        <v>167</v>
      </c>
      <c r="V97" s="4">
        <v>6.5559999999999993E-2</v>
      </c>
      <c r="W97" s="4">
        <v>0.38913999999999999</v>
      </c>
      <c r="X97" s="4">
        <v>2.547E-2</v>
      </c>
      <c r="Y97" s="4">
        <v>1.3298399999999999</v>
      </c>
      <c r="Z97" s="4">
        <v>13.83084</v>
      </c>
      <c r="AA97" s="4">
        <v>8.6831800000000001</v>
      </c>
      <c r="AB97" s="4">
        <v>-1.4468399999999999</v>
      </c>
    </row>
    <row r="98" spans="1:28" x14ac:dyDescent="0.25">
      <c r="A98" s="55">
        <v>40199</v>
      </c>
      <c r="B98" s="4" t="s">
        <v>432</v>
      </c>
      <c r="C98" s="5">
        <v>50</v>
      </c>
      <c r="D98" s="4">
        <v>20</v>
      </c>
      <c r="E98" s="3">
        <v>24</v>
      </c>
      <c r="F98" s="3">
        <f>1.8*E98+32</f>
        <v>75.2</v>
      </c>
      <c r="G98" s="3">
        <v>17</v>
      </c>
      <c r="H98" s="3">
        <f>IF(F98&gt;68,G98+(F98-68)*0.2,U324-(68-F98)*0.2)</f>
        <v>18.440000000000001</v>
      </c>
      <c r="I98" s="3">
        <v>23</v>
      </c>
      <c r="J98" s="3">
        <f>1.8*I98+32</f>
        <v>73.400000000000006</v>
      </c>
      <c r="K98" s="3">
        <v>10</v>
      </c>
      <c r="L98" s="3">
        <f>IF(J98&gt;68,K98+(J98-68)*0.2,K98-(68-J98)*0.2)</f>
        <v>11.080000000000002</v>
      </c>
      <c r="M98" s="3">
        <f>(C98-H98)/C98*100</f>
        <v>63.12</v>
      </c>
      <c r="N98" s="3">
        <f>100-(M98+O98)</f>
        <v>14.719999999999999</v>
      </c>
      <c r="O98" s="3">
        <f>L98/C98*100</f>
        <v>22.160000000000004</v>
      </c>
      <c r="P98" s="2" t="s">
        <v>427</v>
      </c>
      <c r="Q98" s="21">
        <v>409056.63051235001</v>
      </c>
      <c r="R98" s="21" t="s">
        <v>498</v>
      </c>
      <c r="T98" s="4">
        <v>2006111</v>
      </c>
      <c r="U98" s="4" t="s">
        <v>166</v>
      </c>
      <c r="V98" s="4">
        <v>6.2780000000000002E-2</v>
      </c>
      <c r="W98" s="4">
        <v>0.38840999999999998</v>
      </c>
      <c r="X98" s="4">
        <v>2.547E-2</v>
      </c>
      <c r="Y98" s="4">
        <v>1.3435600000000001</v>
      </c>
      <c r="Z98" s="4">
        <v>15.833930000000001</v>
      </c>
      <c r="AA98" s="4">
        <v>9.1816399999999998</v>
      </c>
      <c r="AB98" s="4">
        <v>-1.3601300000000001</v>
      </c>
    </row>
    <row r="99" spans="1:28" x14ac:dyDescent="0.25">
      <c r="A99" s="54"/>
      <c r="B99" s="4" t="s">
        <v>431</v>
      </c>
      <c r="C99" s="5">
        <v>50</v>
      </c>
      <c r="D99" s="4">
        <v>20</v>
      </c>
      <c r="E99" s="3">
        <v>24</v>
      </c>
      <c r="F99" s="3">
        <f>1.8*E99+32</f>
        <v>75.2</v>
      </c>
      <c r="G99" s="3">
        <v>23</v>
      </c>
      <c r="H99" s="3">
        <f>IF(F99&gt;68,G99+(F99-68)*0.2,U325-(68-F99)*0.2)</f>
        <v>24.44</v>
      </c>
      <c r="I99" s="3">
        <v>23</v>
      </c>
      <c r="J99" s="3">
        <f>1.8*I99+32</f>
        <v>73.400000000000006</v>
      </c>
      <c r="K99" s="3">
        <v>14</v>
      </c>
      <c r="L99" s="3">
        <f>IF(J99&gt;68,K99+(J99-68)*0.2,K99-(68-J99)*0.2)</f>
        <v>15.080000000000002</v>
      </c>
      <c r="M99" s="3">
        <f>(C99-H99)/C99*100</f>
        <v>51.12</v>
      </c>
      <c r="N99" s="3">
        <f>100-(M99+O99)</f>
        <v>18.72</v>
      </c>
      <c r="O99" s="3">
        <f>L99/C99*100</f>
        <v>30.160000000000004</v>
      </c>
      <c r="P99" s="2" t="s">
        <v>427</v>
      </c>
      <c r="Q99" s="21">
        <v>409056.63051235001</v>
      </c>
      <c r="R99" s="21" t="s">
        <v>498</v>
      </c>
      <c r="T99" s="4">
        <v>2006111</v>
      </c>
      <c r="U99" s="4" t="s">
        <v>165</v>
      </c>
      <c r="V99" s="4">
        <v>6.8709999999999993E-2</v>
      </c>
      <c r="W99" s="4">
        <v>0.39377000000000001</v>
      </c>
      <c r="X99" s="4">
        <v>2.409E-2</v>
      </c>
      <c r="Y99" s="4">
        <v>1.3265400000000001</v>
      </c>
      <c r="Z99" s="4">
        <v>11.409280000000001</v>
      </c>
      <c r="AA99" s="4">
        <v>7.8175400000000002</v>
      </c>
      <c r="AB99" s="4">
        <v>-1.4313400000000001</v>
      </c>
    </row>
    <row r="100" spans="1:28" x14ac:dyDescent="0.25">
      <c r="A100" s="6"/>
      <c r="B100" s="4" t="s">
        <v>430</v>
      </c>
      <c r="C100" s="5">
        <v>50</v>
      </c>
      <c r="D100" s="4">
        <v>20</v>
      </c>
      <c r="E100" s="3">
        <v>24</v>
      </c>
      <c r="F100" s="3">
        <f>1.8*E100+32</f>
        <v>75.2</v>
      </c>
      <c r="G100" s="3">
        <v>21</v>
      </c>
      <c r="H100" s="3">
        <f>IF(F100&gt;68,G100+(F100-68)*0.2,U326-(68-F100)*0.2)</f>
        <v>22.44</v>
      </c>
      <c r="I100" s="3">
        <v>23</v>
      </c>
      <c r="J100" s="3">
        <f>1.8*I100+32</f>
        <v>73.400000000000006</v>
      </c>
      <c r="K100" s="3">
        <v>11</v>
      </c>
      <c r="L100" s="3">
        <f>IF(J100&gt;68,K100+(J100-68)*0.2,K100-(68-J100)*0.2)</f>
        <v>12.080000000000002</v>
      </c>
      <c r="M100" s="3">
        <f>(C100-H100)/C100*100</f>
        <v>55.120000000000005</v>
      </c>
      <c r="N100" s="3">
        <f>100-(M100+O100)</f>
        <v>20.72</v>
      </c>
      <c r="O100" s="3">
        <f>L100/C100*100</f>
        <v>24.160000000000004</v>
      </c>
      <c r="P100" s="2" t="s">
        <v>427</v>
      </c>
      <c r="Q100" s="21">
        <v>409056.63051235001</v>
      </c>
      <c r="R100" s="21" t="s">
        <v>498</v>
      </c>
      <c r="T100" s="4">
        <v>2006111</v>
      </c>
      <c r="U100" s="4" t="s">
        <v>164</v>
      </c>
      <c r="V100" s="4">
        <v>6.6449999999999995E-2</v>
      </c>
      <c r="W100" s="4">
        <v>0.39455000000000001</v>
      </c>
      <c r="X100" s="4">
        <v>2.2800000000000001E-2</v>
      </c>
      <c r="Y100" s="4">
        <v>1.3480099999999999</v>
      </c>
      <c r="Z100" s="4">
        <v>12.33954</v>
      </c>
      <c r="AA100" s="4">
        <v>7.7477799999999997</v>
      </c>
      <c r="AB100" s="4">
        <v>-1.2685500000000001</v>
      </c>
    </row>
    <row r="101" spans="1:28" x14ac:dyDescent="0.25">
      <c r="A101" s="6"/>
      <c r="B101" s="4" t="s">
        <v>428</v>
      </c>
      <c r="C101" s="5">
        <v>50</v>
      </c>
      <c r="D101" s="4">
        <v>20</v>
      </c>
      <c r="E101" s="3">
        <v>24</v>
      </c>
      <c r="F101" s="3">
        <f>1.8*E101+32</f>
        <v>75.2</v>
      </c>
      <c r="G101" s="3">
        <v>22</v>
      </c>
      <c r="H101" s="3">
        <f>IF(F101&gt;68,G101+(F101-68)*0.2,U327-(68-F101)*0.2)</f>
        <v>23.44</v>
      </c>
      <c r="I101" s="3">
        <v>23</v>
      </c>
      <c r="J101" s="3">
        <f>1.8*I101+32</f>
        <v>73.400000000000006</v>
      </c>
      <c r="K101" s="3">
        <v>11</v>
      </c>
      <c r="L101" s="3">
        <f>IF(J101&gt;68,K101+(J101-68)*0.2,K101-(68-J101)*0.2)</f>
        <v>12.080000000000002</v>
      </c>
      <c r="M101" s="3">
        <f>(C101-H101)/C101*100</f>
        <v>53.12</v>
      </c>
      <c r="N101" s="3">
        <f>100-(M101+O101)</f>
        <v>22.72</v>
      </c>
      <c r="O101" s="3">
        <f>L101/C101*100</f>
        <v>24.160000000000004</v>
      </c>
      <c r="P101" s="2" t="s">
        <v>427</v>
      </c>
      <c r="Q101" s="21">
        <v>409056.63051235001</v>
      </c>
      <c r="R101" s="21" t="s">
        <v>498</v>
      </c>
      <c r="T101" s="4">
        <v>2006111</v>
      </c>
      <c r="U101" s="4" t="s">
        <v>163</v>
      </c>
      <c r="V101" s="4">
        <v>6.7250000000000004E-2</v>
      </c>
      <c r="W101" s="4">
        <v>0.38044</v>
      </c>
      <c r="X101" s="4">
        <v>2.7359999999999999E-2</v>
      </c>
      <c r="Y101" s="4">
        <v>1.29826</v>
      </c>
      <c r="Z101" s="4">
        <v>14.058490000000001</v>
      </c>
      <c r="AA101" s="4">
        <v>8.5854099999999995</v>
      </c>
      <c r="AB101" s="4">
        <v>-1.7387300000000001</v>
      </c>
    </row>
    <row r="102" spans="1:28" x14ac:dyDescent="0.25">
      <c r="A102" s="36"/>
      <c r="Q102" s="22"/>
      <c r="R102" s="22"/>
      <c r="T102" s="4">
        <v>2006111</v>
      </c>
      <c r="U102" s="4" t="s">
        <v>162</v>
      </c>
      <c r="V102" s="4">
        <v>6.2899999999999998E-2</v>
      </c>
      <c r="W102" s="4">
        <v>0.38928000000000001</v>
      </c>
      <c r="X102" s="4">
        <v>2.4989999999999998E-2</v>
      </c>
      <c r="Y102" s="4">
        <v>1.3462700000000001</v>
      </c>
      <c r="Z102" s="4">
        <v>15.53904</v>
      </c>
      <c r="AA102" s="4">
        <v>9.0044500000000003</v>
      </c>
      <c r="AB102" s="4">
        <v>-1.3320399999999999</v>
      </c>
    </row>
    <row r="103" spans="1:28" ht="51.75" x14ac:dyDescent="0.25">
      <c r="A103" s="15" t="s">
        <v>19</v>
      </c>
      <c r="B103" s="10" t="s">
        <v>443</v>
      </c>
      <c r="C103" s="14" t="s">
        <v>17</v>
      </c>
      <c r="D103" s="13" t="s">
        <v>16</v>
      </c>
      <c r="E103" s="12" t="s">
        <v>15</v>
      </c>
      <c r="F103" s="12" t="s">
        <v>14</v>
      </c>
      <c r="G103" s="12" t="s">
        <v>442</v>
      </c>
      <c r="H103" s="12" t="s">
        <v>441</v>
      </c>
      <c r="I103" s="12" t="s">
        <v>440</v>
      </c>
      <c r="J103" s="12" t="s">
        <v>439</v>
      </c>
      <c r="K103" s="12" t="s">
        <v>438</v>
      </c>
      <c r="L103" s="12" t="s">
        <v>437</v>
      </c>
      <c r="M103" s="11" t="s">
        <v>7</v>
      </c>
      <c r="N103" s="11" t="s">
        <v>6</v>
      </c>
      <c r="O103" s="11" t="s">
        <v>5</v>
      </c>
      <c r="P103" s="10" t="s">
        <v>4</v>
      </c>
      <c r="Q103" s="24" t="s">
        <v>3</v>
      </c>
      <c r="R103" s="23"/>
      <c r="T103" s="4">
        <v>2006111</v>
      </c>
      <c r="U103" s="4" t="s">
        <v>161</v>
      </c>
      <c r="V103" s="4">
        <v>6.2899999999999998E-2</v>
      </c>
      <c r="W103" s="4">
        <v>0.38928000000000001</v>
      </c>
      <c r="X103" s="4">
        <v>2.4989999999999998E-2</v>
      </c>
      <c r="Y103" s="4">
        <v>1.3462700000000001</v>
      </c>
      <c r="Z103" s="4">
        <v>15.53904</v>
      </c>
      <c r="AA103" s="4">
        <v>9.0044500000000003</v>
      </c>
      <c r="AB103" s="4">
        <v>-1.3320399999999999</v>
      </c>
    </row>
    <row r="104" spans="1:28" x14ac:dyDescent="0.25">
      <c r="A104" s="56">
        <v>15</v>
      </c>
      <c r="B104" s="10"/>
      <c r="C104" s="14"/>
      <c r="D104" s="13" t="s">
        <v>436</v>
      </c>
      <c r="E104" s="12"/>
      <c r="F104" s="12"/>
      <c r="G104" s="12"/>
      <c r="H104" s="12"/>
      <c r="I104" s="12"/>
      <c r="J104" s="12"/>
      <c r="K104" s="12"/>
      <c r="L104" s="12"/>
      <c r="M104" s="11"/>
      <c r="N104" s="11"/>
      <c r="O104" s="11"/>
      <c r="P104" s="10"/>
      <c r="Q104" s="7" t="s">
        <v>2</v>
      </c>
      <c r="R104" s="7" t="s">
        <v>1</v>
      </c>
      <c r="T104" s="4">
        <v>2006111</v>
      </c>
      <c r="U104" s="4" t="s">
        <v>160</v>
      </c>
      <c r="V104" s="4">
        <v>7.417E-2</v>
      </c>
      <c r="W104" s="4">
        <v>0.40214</v>
      </c>
      <c r="X104" s="4">
        <v>2.2849999999999999E-2</v>
      </c>
      <c r="Y104" s="4">
        <v>1.31315</v>
      </c>
      <c r="Z104" s="4">
        <v>8.4280200000000001</v>
      </c>
      <c r="AA104" s="4">
        <v>6.8196300000000001</v>
      </c>
      <c r="AB104" s="4">
        <v>-1.47993</v>
      </c>
    </row>
    <row r="105" spans="1:28" x14ac:dyDescent="0.25">
      <c r="A105" s="56"/>
      <c r="B105" s="4" t="s">
        <v>435</v>
      </c>
      <c r="C105" s="5">
        <v>50</v>
      </c>
      <c r="D105" s="4">
        <v>20</v>
      </c>
      <c r="E105" s="3">
        <v>24</v>
      </c>
      <c r="F105" s="3">
        <f>1.8*E105+32</f>
        <v>75.2</v>
      </c>
      <c r="G105" s="3">
        <v>18</v>
      </c>
      <c r="H105" s="3">
        <f>IF(F105&gt;68,G105+(F105-68)*0.2,#REF!-(68-F105)*0.2)</f>
        <v>19.440000000000001</v>
      </c>
      <c r="I105" s="3">
        <v>23</v>
      </c>
      <c r="J105" s="3">
        <f>1.8*I105+32</f>
        <v>73.400000000000006</v>
      </c>
      <c r="K105" s="3">
        <v>9</v>
      </c>
      <c r="L105" s="3">
        <f>IF(J105&gt;68,K105+(J105-68)*0.2,K105-(68-J105)*0.2)</f>
        <v>10.080000000000002</v>
      </c>
      <c r="M105" s="3">
        <f>(C105-H105)/C105*100</f>
        <v>61.12</v>
      </c>
      <c r="N105" s="3">
        <f>100-(M105+O105)</f>
        <v>18.72</v>
      </c>
      <c r="O105" s="3">
        <f>L105/C105*100</f>
        <v>20.160000000000004</v>
      </c>
      <c r="P105" s="2" t="s">
        <v>427</v>
      </c>
      <c r="Q105" s="37" t="s">
        <v>497</v>
      </c>
      <c r="R105" s="37" t="s">
        <v>496</v>
      </c>
      <c r="T105" s="4">
        <v>2006111</v>
      </c>
      <c r="U105" s="4" t="s">
        <v>159</v>
      </c>
      <c r="V105" s="4">
        <v>8.3500000000000005E-2</v>
      </c>
      <c r="W105" s="4">
        <v>0.42568</v>
      </c>
      <c r="X105" s="4">
        <v>2.1129999999999999E-2</v>
      </c>
      <c r="Y105" s="4">
        <v>1.2887500000000001</v>
      </c>
      <c r="Z105" s="4">
        <v>5.8814799999999998</v>
      </c>
      <c r="AA105" s="4">
        <v>5.6194100000000002</v>
      </c>
      <c r="AB105" s="4">
        <v>-1.57233</v>
      </c>
    </row>
    <row r="106" spans="1:28" x14ac:dyDescent="0.25">
      <c r="A106" s="15" t="s">
        <v>434</v>
      </c>
      <c r="B106" s="4" t="s">
        <v>433</v>
      </c>
      <c r="C106" s="5">
        <v>50</v>
      </c>
      <c r="D106" s="4">
        <v>20</v>
      </c>
      <c r="E106" s="3">
        <v>24</v>
      </c>
      <c r="F106" s="3">
        <f>1.8*E106+32</f>
        <v>75.2</v>
      </c>
      <c r="G106" s="3">
        <v>19</v>
      </c>
      <c r="H106" s="3">
        <f>IF(F106&gt;68,G106+(F106-68)*0.2,U331-(68-F106)*0.2)</f>
        <v>20.440000000000001</v>
      </c>
      <c r="I106" s="3">
        <v>23</v>
      </c>
      <c r="J106" s="3">
        <f>1.8*I106+32</f>
        <v>73.400000000000006</v>
      </c>
      <c r="K106" s="3">
        <v>10</v>
      </c>
      <c r="L106" s="3">
        <f>IF(J106&gt;68,K106+(J106-68)*0.2,K106-(68-J106)*0.2)</f>
        <v>11.080000000000002</v>
      </c>
      <c r="M106" s="3">
        <f>(C106-H106)/C106*100</f>
        <v>59.12</v>
      </c>
      <c r="N106" s="3">
        <f>100-(M106+O106)</f>
        <v>18.72</v>
      </c>
      <c r="O106" s="3">
        <f>L106/C106*100</f>
        <v>22.160000000000004</v>
      </c>
      <c r="P106" s="2" t="s">
        <v>427</v>
      </c>
      <c r="Q106" s="37" t="s">
        <v>497</v>
      </c>
      <c r="R106" s="37" t="s">
        <v>496</v>
      </c>
      <c r="T106" s="4">
        <v>2006111</v>
      </c>
      <c r="U106" s="4" t="s">
        <v>158</v>
      </c>
      <c r="V106" s="4">
        <v>6.6449999999999995E-2</v>
      </c>
      <c r="W106" s="4">
        <v>0.39455000000000001</v>
      </c>
      <c r="X106" s="4">
        <v>2.2800000000000001E-2</v>
      </c>
      <c r="Y106" s="4">
        <v>1.3480099999999999</v>
      </c>
      <c r="Z106" s="4">
        <v>12.33954</v>
      </c>
      <c r="AA106" s="4">
        <v>7.7477799999999997</v>
      </c>
      <c r="AB106" s="4">
        <v>-1.2685500000000001</v>
      </c>
    </row>
    <row r="107" spans="1:28" x14ac:dyDescent="0.25">
      <c r="A107" s="55">
        <v>40199</v>
      </c>
      <c r="B107" s="4" t="s">
        <v>432</v>
      </c>
      <c r="C107" s="5">
        <v>50</v>
      </c>
      <c r="D107" s="4">
        <v>20</v>
      </c>
      <c r="E107" s="3">
        <v>24</v>
      </c>
      <c r="F107" s="3">
        <f>1.8*E107+32</f>
        <v>75.2</v>
      </c>
      <c r="G107" s="3">
        <v>15</v>
      </c>
      <c r="H107" s="3">
        <f>IF(F107&gt;68,G107+(F107-68)*0.2,U332-(68-F107)*0.2)</f>
        <v>16.440000000000001</v>
      </c>
      <c r="I107" s="3">
        <v>23</v>
      </c>
      <c r="J107" s="3">
        <f>1.8*I107+32</f>
        <v>73.400000000000006</v>
      </c>
      <c r="K107" s="3">
        <v>8</v>
      </c>
      <c r="L107" s="3">
        <f>IF(J107&gt;68,K107+(J107-68)*0.2,K107-(68-J107)*0.2)</f>
        <v>9.0800000000000018</v>
      </c>
      <c r="M107" s="3">
        <f>(C107-H107)/C107*100</f>
        <v>67.12</v>
      </c>
      <c r="N107" s="3">
        <f>100-(M107+O107)</f>
        <v>14.719999999999999</v>
      </c>
      <c r="O107" s="3">
        <f>L107/C107*100</f>
        <v>18.160000000000004</v>
      </c>
      <c r="P107" s="2" t="s">
        <v>429</v>
      </c>
      <c r="Q107" s="37" t="s">
        <v>497</v>
      </c>
      <c r="R107" s="37" t="s">
        <v>496</v>
      </c>
      <c r="T107" s="4">
        <v>2006111</v>
      </c>
      <c r="U107" s="4" t="s">
        <v>157</v>
      </c>
      <c r="V107" s="4">
        <v>5.7910000000000003E-2</v>
      </c>
      <c r="W107" s="4">
        <v>0.37203999999999998</v>
      </c>
      <c r="X107" s="4">
        <v>2.843E-2</v>
      </c>
      <c r="Y107" s="4">
        <v>1.4708300000000001</v>
      </c>
      <c r="Z107" s="4">
        <v>36.914740000000002</v>
      </c>
      <c r="AA107" s="4">
        <v>12.08958</v>
      </c>
      <c r="AB107" s="4">
        <v>-1.1354200000000001</v>
      </c>
    </row>
    <row r="108" spans="1:28" x14ac:dyDescent="0.25">
      <c r="A108" s="54"/>
      <c r="B108" s="4" t="s">
        <v>431</v>
      </c>
      <c r="C108" s="5">
        <v>50</v>
      </c>
      <c r="D108" s="4">
        <v>20</v>
      </c>
      <c r="E108" s="3">
        <v>24</v>
      </c>
      <c r="F108" s="3">
        <f>1.8*E108+32</f>
        <v>75.2</v>
      </c>
      <c r="G108" s="3">
        <v>22</v>
      </c>
      <c r="H108" s="3">
        <f>IF(F108&gt;68,G108+(F108-68)*0.2,U333-(68-F108)*0.2)</f>
        <v>23.44</v>
      </c>
      <c r="I108" s="3">
        <v>23</v>
      </c>
      <c r="J108" s="3">
        <f>1.8*I108+32</f>
        <v>73.400000000000006</v>
      </c>
      <c r="K108" s="3">
        <v>6</v>
      </c>
      <c r="L108" s="3">
        <f>IF(J108&gt;68,K108+(J108-68)*0.2,K108-(68-J108)*0.2)</f>
        <v>7.080000000000001</v>
      </c>
      <c r="M108" s="3">
        <f>(C108-H108)/C108*100</f>
        <v>53.12</v>
      </c>
      <c r="N108" s="3">
        <f>100-(M108+O108)</f>
        <v>32.72</v>
      </c>
      <c r="O108" s="3">
        <f>L108/C108*100</f>
        <v>14.160000000000004</v>
      </c>
      <c r="P108" s="2" t="s">
        <v>429</v>
      </c>
      <c r="Q108" s="37" t="s">
        <v>497</v>
      </c>
      <c r="R108" s="37" t="s">
        <v>496</v>
      </c>
      <c r="T108" s="4">
        <v>2006111</v>
      </c>
      <c r="U108" s="4" t="s">
        <v>156</v>
      </c>
      <c r="V108" s="4">
        <v>5.9459999999999999E-2</v>
      </c>
      <c r="W108" s="4">
        <v>0.38507999999999998</v>
      </c>
      <c r="X108" s="4">
        <v>2.7220000000000001E-2</v>
      </c>
      <c r="Y108" s="4">
        <v>1.3494600000000001</v>
      </c>
      <c r="Z108" s="4">
        <v>19.42146</v>
      </c>
      <c r="AA108" s="4">
        <v>10.43216</v>
      </c>
      <c r="AB108" s="4">
        <v>-1.3666199999999999</v>
      </c>
    </row>
    <row r="109" spans="1:28" x14ac:dyDescent="0.25">
      <c r="A109" s="6"/>
      <c r="B109" s="4" t="s">
        <v>430</v>
      </c>
      <c r="C109" s="5">
        <v>50</v>
      </c>
      <c r="D109" s="4">
        <v>20</v>
      </c>
      <c r="E109" s="3">
        <v>24</v>
      </c>
      <c r="F109" s="3">
        <f>1.8*E109+32</f>
        <v>75.2</v>
      </c>
      <c r="G109" s="3">
        <v>16</v>
      </c>
      <c r="H109" s="3">
        <f>IF(F109&gt;68,G109+(F109-68)*0.2,U334-(68-F109)*0.2)</f>
        <v>17.440000000000001</v>
      </c>
      <c r="I109" s="3">
        <v>23</v>
      </c>
      <c r="J109" s="3">
        <f>1.8*I109+32</f>
        <v>73.400000000000006</v>
      </c>
      <c r="K109" s="3">
        <v>10</v>
      </c>
      <c r="L109" s="3">
        <f>IF(J109&gt;68,K109+(J109-68)*0.2,K109-(68-J109)*0.2)</f>
        <v>11.080000000000002</v>
      </c>
      <c r="M109" s="3">
        <f>(C109-H109)/C109*100</f>
        <v>65.12</v>
      </c>
      <c r="N109" s="3">
        <f>100-(M109+O109)</f>
        <v>12.719999999999999</v>
      </c>
      <c r="O109" s="3">
        <f>L109/C109*100</f>
        <v>22.160000000000004</v>
      </c>
      <c r="P109" s="2" t="s">
        <v>427</v>
      </c>
      <c r="Q109" s="37" t="s">
        <v>497</v>
      </c>
      <c r="R109" s="37" t="s">
        <v>496</v>
      </c>
      <c r="T109" s="4">
        <v>2006111</v>
      </c>
      <c r="U109" s="4" t="s">
        <v>155</v>
      </c>
      <c r="V109" s="4">
        <v>5.4309999999999997E-2</v>
      </c>
      <c r="W109" s="4">
        <v>0.37802000000000002</v>
      </c>
      <c r="X109" s="4">
        <v>3.116E-2</v>
      </c>
      <c r="Y109" s="4">
        <v>1.3983399999999999</v>
      </c>
      <c r="Z109" s="4">
        <v>32.10145</v>
      </c>
      <c r="AA109" s="4">
        <v>13.74668</v>
      </c>
      <c r="AB109" s="4">
        <v>-1.27884</v>
      </c>
    </row>
    <row r="110" spans="1:28" x14ac:dyDescent="0.25">
      <c r="A110" s="6"/>
      <c r="B110" s="4" t="s">
        <v>428</v>
      </c>
      <c r="C110" s="5">
        <v>50</v>
      </c>
      <c r="D110" s="4">
        <v>20</v>
      </c>
      <c r="E110" s="3">
        <v>24</v>
      </c>
      <c r="F110" s="3">
        <f>1.8*E110+32</f>
        <v>75.2</v>
      </c>
      <c r="G110" s="3">
        <v>14</v>
      </c>
      <c r="H110" s="3">
        <f>IF(F110&gt;68,G110+(F110-68)*0.2,U335-(68-F110)*0.2)</f>
        <v>15.440000000000001</v>
      </c>
      <c r="I110" s="3">
        <v>23</v>
      </c>
      <c r="J110" s="3">
        <f>1.8*I110+32</f>
        <v>73.400000000000006</v>
      </c>
      <c r="K110" s="3">
        <v>10</v>
      </c>
      <c r="L110" s="3">
        <f>IF(J110&gt;68,K110+(J110-68)*0.2,K110-(68-J110)*0.2)</f>
        <v>11.080000000000002</v>
      </c>
      <c r="M110" s="3">
        <f>(C110-H110)/C110*100</f>
        <v>69.12</v>
      </c>
      <c r="N110" s="3">
        <f>100-(M110+O110)</f>
        <v>8.7199999999999989</v>
      </c>
      <c r="O110" s="3">
        <f>L110/C110*100</f>
        <v>22.160000000000004</v>
      </c>
      <c r="P110" s="2" t="s">
        <v>427</v>
      </c>
      <c r="Q110" s="37" t="s">
        <v>497</v>
      </c>
      <c r="R110" s="37" t="s">
        <v>496</v>
      </c>
      <c r="T110" s="4">
        <v>2006111</v>
      </c>
      <c r="U110" s="4" t="s">
        <v>154</v>
      </c>
      <c r="V110" s="4">
        <v>4.9360000000000001E-2</v>
      </c>
      <c r="W110" s="4">
        <v>0.37906000000000001</v>
      </c>
      <c r="X110" s="4">
        <v>3.3910000000000003E-2</v>
      </c>
      <c r="Y110" s="4">
        <v>1.48343</v>
      </c>
      <c r="Z110" s="4">
        <v>51.684220000000003</v>
      </c>
      <c r="AA110" s="4">
        <v>18.18018</v>
      </c>
      <c r="AB110" s="4">
        <v>-1.1079600000000001</v>
      </c>
    </row>
    <row r="111" spans="1:28" x14ac:dyDescent="0.25">
      <c r="A111" s="36"/>
      <c r="Q111" s="22"/>
      <c r="R111" s="22"/>
      <c r="T111" s="4">
        <v>2006111</v>
      </c>
      <c r="U111" s="4" t="s">
        <v>153</v>
      </c>
      <c r="V111" s="4">
        <v>5.0189999999999999E-2</v>
      </c>
      <c r="W111" s="4">
        <v>0.38135000000000002</v>
      </c>
      <c r="X111" s="4">
        <v>3.2300000000000002E-2</v>
      </c>
      <c r="Y111" s="4">
        <v>1.40073</v>
      </c>
      <c r="Z111" s="4">
        <v>35.717739999999999</v>
      </c>
      <c r="AA111" s="4">
        <v>15.56179</v>
      </c>
      <c r="AB111" s="4">
        <v>-1.24082</v>
      </c>
    </row>
    <row r="112" spans="1:28" ht="51.75" x14ac:dyDescent="0.25">
      <c r="A112" s="15" t="s">
        <v>19</v>
      </c>
      <c r="B112" s="10" t="s">
        <v>443</v>
      </c>
      <c r="C112" s="14" t="s">
        <v>17</v>
      </c>
      <c r="D112" s="13" t="s">
        <v>16</v>
      </c>
      <c r="E112" s="12" t="s">
        <v>15</v>
      </c>
      <c r="F112" s="12" t="s">
        <v>14</v>
      </c>
      <c r="G112" s="12" t="s">
        <v>442</v>
      </c>
      <c r="H112" s="12" t="s">
        <v>441</v>
      </c>
      <c r="I112" s="12" t="s">
        <v>440</v>
      </c>
      <c r="J112" s="12" t="s">
        <v>439</v>
      </c>
      <c r="K112" s="12" t="s">
        <v>438</v>
      </c>
      <c r="L112" s="12" t="s">
        <v>437</v>
      </c>
      <c r="M112" s="11" t="s">
        <v>7</v>
      </c>
      <c r="N112" s="11" t="s">
        <v>6</v>
      </c>
      <c r="O112" s="11" t="s">
        <v>5</v>
      </c>
      <c r="P112" s="10" t="s">
        <v>4</v>
      </c>
      <c r="Q112" s="24" t="s">
        <v>3</v>
      </c>
      <c r="R112" s="23"/>
      <c r="T112" s="4">
        <v>2006111</v>
      </c>
      <c r="U112" s="4" t="s">
        <v>152</v>
      </c>
      <c r="V112" s="4">
        <v>5.3659999999999999E-2</v>
      </c>
      <c r="W112" s="4">
        <v>0.37975999999999999</v>
      </c>
      <c r="X112" s="4">
        <v>3.116E-2</v>
      </c>
      <c r="Y112" s="4">
        <v>1.3862099999999999</v>
      </c>
      <c r="Z112" s="4">
        <v>30.721789999999999</v>
      </c>
      <c r="AA112" s="4">
        <v>13.790430000000001</v>
      </c>
      <c r="AB112" s="4">
        <v>-1.29972</v>
      </c>
    </row>
    <row r="113" spans="1:28" x14ac:dyDescent="0.25">
      <c r="A113" s="56">
        <v>16</v>
      </c>
      <c r="B113" s="10"/>
      <c r="C113" s="14"/>
      <c r="D113" s="13" t="s">
        <v>436</v>
      </c>
      <c r="E113" s="12"/>
      <c r="F113" s="12"/>
      <c r="G113" s="12"/>
      <c r="H113" s="12"/>
      <c r="I113" s="12"/>
      <c r="J113" s="12"/>
      <c r="K113" s="12"/>
      <c r="L113" s="12"/>
      <c r="M113" s="11"/>
      <c r="N113" s="11"/>
      <c r="O113" s="11"/>
      <c r="P113" s="10"/>
      <c r="Q113" s="7" t="s">
        <v>2</v>
      </c>
      <c r="R113" s="7" t="s">
        <v>1</v>
      </c>
      <c r="T113" s="4">
        <v>2006111</v>
      </c>
      <c r="U113" s="4" t="s">
        <v>151</v>
      </c>
      <c r="V113" s="4">
        <v>5.9389999999999998E-2</v>
      </c>
      <c r="W113" s="4">
        <v>0.38080999999999998</v>
      </c>
      <c r="X113" s="4">
        <v>2.8819999999999998E-2</v>
      </c>
      <c r="Y113" s="4">
        <v>1.3459700000000001</v>
      </c>
      <c r="Z113" s="4">
        <v>20.780349999999999</v>
      </c>
      <c r="AA113" s="4">
        <v>10.97963</v>
      </c>
      <c r="AB113" s="4">
        <v>-1.4410400000000001</v>
      </c>
    </row>
    <row r="114" spans="1:28" x14ac:dyDescent="0.25">
      <c r="A114" s="56"/>
      <c r="B114" s="4" t="s">
        <v>435</v>
      </c>
      <c r="C114" s="5">
        <v>50</v>
      </c>
      <c r="D114" s="4">
        <v>20</v>
      </c>
      <c r="E114" s="3">
        <v>24</v>
      </c>
      <c r="F114" s="3">
        <f>1.8*E114+32</f>
        <v>75.2</v>
      </c>
      <c r="G114" s="3">
        <v>13</v>
      </c>
      <c r="H114" s="3">
        <f>IF(F114&gt;68,G114+(F114-68)*0.2,U339-(68-F114)*0.2)</f>
        <v>14.440000000000001</v>
      </c>
      <c r="I114" s="3">
        <v>23</v>
      </c>
      <c r="J114" s="3">
        <f>1.8*I114+32</f>
        <v>73.400000000000006</v>
      </c>
      <c r="K114" s="3">
        <v>7</v>
      </c>
      <c r="L114" s="3">
        <f>IF(J114&gt;68,K114+(J114-68)*0.2,K114-(68-J114)*0.2)</f>
        <v>8.0800000000000018</v>
      </c>
      <c r="M114" s="3">
        <f>(C114-H114)/C114*100</f>
        <v>71.12</v>
      </c>
      <c r="N114" s="3">
        <f>100-(M114+O114)</f>
        <v>12.719999999999999</v>
      </c>
      <c r="O114" s="3">
        <f>L114/C114*100</f>
        <v>16.160000000000004</v>
      </c>
      <c r="P114" s="2" t="s">
        <v>429</v>
      </c>
      <c r="Q114" s="37" t="s">
        <v>495</v>
      </c>
      <c r="R114" s="37" t="s">
        <v>494</v>
      </c>
      <c r="T114" s="4">
        <v>2006111</v>
      </c>
      <c r="U114" s="4" t="s">
        <v>150</v>
      </c>
      <c r="V114" s="4">
        <v>5.3150000000000003E-2</v>
      </c>
      <c r="W114" s="4">
        <v>0.38184000000000001</v>
      </c>
      <c r="X114" s="4">
        <v>3.0499999999999999E-2</v>
      </c>
      <c r="Y114" s="4">
        <v>1.3770199999999999</v>
      </c>
      <c r="Z114" s="4">
        <v>28.966290000000001</v>
      </c>
      <c r="AA114" s="4">
        <v>13.493930000000001</v>
      </c>
      <c r="AB114" s="4">
        <v>-1.2991900000000001</v>
      </c>
    </row>
    <row r="115" spans="1:28" x14ac:dyDescent="0.25">
      <c r="A115" s="15" t="s">
        <v>434</v>
      </c>
      <c r="B115" s="4" t="s">
        <v>433</v>
      </c>
      <c r="C115" s="5">
        <v>50</v>
      </c>
      <c r="D115" s="4">
        <v>20</v>
      </c>
      <c r="E115" s="3">
        <v>24</v>
      </c>
      <c r="F115" s="3">
        <f>1.8*E115+32</f>
        <v>75.2</v>
      </c>
      <c r="G115" s="3">
        <v>13</v>
      </c>
      <c r="H115" s="3">
        <f>IF(F115&gt;68,G115+(F115-68)*0.2,U340-(68-F115)*0.2)</f>
        <v>14.440000000000001</v>
      </c>
      <c r="I115" s="3">
        <v>23</v>
      </c>
      <c r="J115" s="3">
        <f>1.8*I115+32</f>
        <v>73.400000000000006</v>
      </c>
      <c r="K115" s="3">
        <v>6</v>
      </c>
      <c r="L115" s="3">
        <f>IF(J115&gt;68,K115+(J115-68)*0.2,K115-(68-J115)*0.2)</f>
        <v>7.080000000000001</v>
      </c>
      <c r="M115" s="3">
        <f>(C115-H115)/C115*100</f>
        <v>71.12</v>
      </c>
      <c r="N115" s="3">
        <f>100-(M115+O115)</f>
        <v>14.719999999999999</v>
      </c>
      <c r="O115" s="3">
        <f>L115/C115*100</f>
        <v>14.160000000000004</v>
      </c>
      <c r="P115" s="2" t="s">
        <v>429</v>
      </c>
      <c r="Q115" s="37" t="s">
        <v>495</v>
      </c>
      <c r="R115" s="37" t="s">
        <v>494</v>
      </c>
      <c r="T115" s="4">
        <v>2006111</v>
      </c>
      <c r="U115" s="4" t="s">
        <v>149</v>
      </c>
      <c r="V115" s="4">
        <v>6.5310000000000007E-2</v>
      </c>
      <c r="W115" s="4">
        <v>0.38721</v>
      </c>
      <c r="X115" s="4">
        <v>2.623E-2</v>
      </c>
      <c r="Y115" s="4">
        <v>1.3248</v>
      </c>
      <c r="Z115" s="4">
        <v>14.28867</v>
      </c>
      <c r="AA115" s="4">
        <v>8.9228299999999994</v>
      </c>
      <c r="AB115" s="4">
        <v>-1.50041</v>
      </c>
    </row>
    <row r="116" spans="1:28" x14ac:dyDescent="0.25">
      <c r="A116" s="55">
        <v>40199</v>
      </c>
      <c r="B116" s="4" t="s">
        <v>432</v>
      </c>
      <c r="C116" s="5">
        <v>50</v>
      </c>
      <c r="D116" s="4">
        <v>20</v>
      </c>
      <c r="E116" s="3">
        <v>24</v>
      </c>
      <c r="F116" s="3">
        <f>1.8*E116+32</f>
        <v>75.2</v>
      </c>
      <c r="G116" s="3">
        <v>15</v>
      </c>
      <c r="H116" s="3">
        <f>IF(F116&gt;68,G116+(F116-68)*0.2,U341-(68-F116)*0.2)</f>
        <v>16.440000000000001</v>
      </c>
      <c r="I116" s="3">
        <v>23</v>
      </c>
      <c r="J116" s="3">
        <f>1.8*I116+32</f>
        <v>73.400000000000006</v>
      </c>
      <c r="K116" s="3">
        <v>6</v>
      </c>
      <c r="L116" s="3">
        <f>IF(J116&gt;68,K116+(J116-68)*0.2,K116-(68-J116)*0.2)</f>
        <v>7.080000000000001</v>
      </c>
      <c r="M116" s="3">
        <f>(C116-H116)/C116*100</f>
        <v>67.12</v>
      </c>
      <c r="N116" s="3">
        <f>100-(M116+O116)</f>
        <v>18.72</v>
      </c>
      <c r="O116" s="3">
        <f>L116/C116*100</f>
        <v>14.160000000000004</v>
      </c>
      <c r="P116" s="2" t="s">
        <v>429</v>
      </c>
      <c r="Q116" s="37" t="s">
        <v>495</v>
      </c>
      <c r="R116" s="37" t="s">
        <v>494</v>
      </c>
      <c r="T116" s="4">
        <v>2006111</v>
      </c>
      <c r="U116" s="4" t="s">
        <v>148</v>
      </c>
      <c r="V116" s="4">
        <v>8.2720000000000002E-2</v>
      </c>
      <c r="W116" s="4">
        <v>0.42830000000000001</v>
      </c>
      <c r="X116" s="4">
        <v>1.83E-2</v>
      </c>
      <c r="Y116" s="4">
        <v>1.32223</v>
      </c>
      <c r="Z116" s="4">
        <v>5.0708500000000001</v>
      </c>
      <c r="AA116" s="4">
        <v>4.9149200000000004</v>
      </c>
      <c r="AB116" s="4">
        <v>-1.2340599999999999</v>
      </c>
    </row>
    <row r="117" spans="1:28" x14ac:dyDescent="0.25">
      <c r="A117" s="54"/>
      <c r="B117" s="4" t="s">
        <v>431</v>
      </c>
      <c r="C117" s="5">
        <v>50</v>
      </c>
      <c r="D117" s="4">
        <v>20</v>
      </c>
      <c r="E117" s="3">
        <v>24</v>
      </c>
      <c r="F117" s="3">
        <f>1.8*E117+32</f>
        <v>75.2</v>
      </c>
      <c r="G117" s="3">
        <v>17</v>
      </c>
      <c r="H117" s="3">
        <f>IF(F117&gt;68,G117+(F117-68)*0.2,U342-(68-F117)*0.2)</f>
        <v>18.440000000000001</v>
      </c>
      <c r="I117" s="3">
        <v>23</v>
      </c>
      <c r="J117" s="3">
        <f>1.8*I117+32</f>
        <v>73.400000000000006</v>
      </c>
      <c r="K117" s="3">
        <v>10</v>
      </c>
      <c r="L117" s="3">
        <f>IF(J117&gt;68,K117+(J117-68)*0.2,K117-(68-J117)*0.2)</f>
        <v>11.080000000000002</v>
      </c>
      <c r="M117" s="3">
        <f>(C117-H117)/C117*100</f>
        <v>63.12</v>
      </c>
      <c r="N117" s="3">
        <f>100-(M117+O117)</f>
        <v>14.719999999999999</v>
      </c>
      <c r="O117" s="3">
        <f>L117/C117*100</f>
        <v>22.160000000000004</v>
      </c>
      <c r="P117" s="2" t="s">
        <v>427</v>
      </c>
      <c r="Q117" s="37" t="s">
        <v>495</v>
      </c>
      <c r="R117" s="37" t="s">
        <v>494</v>
      </c>
      <c r="T117" s="4">
        <v>2006111</v>
      </c>
      <c r="U117" s="4" t="s">
        <v>147</v>
      </c>
      <c r="V117" s="4">
        <v>7.8799999999999995E-2</v>
      </c>
      <c r="W117" s="4">
        <v>0.41111999999999999</v>
      </c>
      <c r="X117" s="4">
        <v>2.2550000000000001E-2</v>
      </c>
      <c r="Y117" s="4">
        <v>1.2955000000000001</v>
      </c>
      <c r="Z117" s="4">
        <v>7.0097399999999999</v>
      </c>
      <c r="AA117" s="4">
        <v>6.3079200000000002</v>
      </c>
      <c r="AB117" s="4">
        <v>-1.5891599999999999</v>
      </c>
    </row>
    <row r="118" spans="1:28" x14ac:dyDescent="0.25">
      <c r="A118" s="6"/>
      <c r="B118" s="4" t="s">
        <v>430</v>
      </c>
      <c r="C118" s="5">
        <v>50</v>
      </c>
      <c r="D118" s="4">
        <v>20</v>
      </c>
      <c r="E118" s="3">
        <v>21</v>
      </c>
      <c r="F118" s="3">
        <f>1.8*E118+32</f>
        <v>69.800000000000011</v>
      </c>
      <c r="G118" s="3">
        <v>13</v>
      </c>
      <c r="H118" s="3">
        <f>IF(F118&gt;68,G118+(F118-68)*0.2,U343-(68-F118)*0.2)</f>
        <v>13.360000000000003</v>
      </c>
      <c r="I118" s="3">
        <v>23</v>
      </c>
      <c r="J118" s="3">
        <f>1.8*I118+32</f>
        <v>73.400000000000006</v>
      </c>
      <c r="K118" s="3">
        <v>3</v>
      </c>
      <c r="L118" s="3">
        <f>IF(J118&gt;68,K118+(J118-68)*0.2,K118-(68-J118)*0.2)</f>
        <v>4.080000000000001</v>
      </c>
      <c r="M118" s="3">
        <f>(C118-H118)/C118*100</f>
        <v>73.28</v>
      </c>
      <c r="N118" s="3">
        <f>100-(M118+O118)</f>
        <v>18.560000000000002</v>
      </c>
      <c r="O118" s="3">
        <f>L118/C118*100</f>
        <v>8.1600000000000019</v>
      </c>
      <c r="P118" s="2" t="s">
        <v>429</v>
      </c>
      <c r="Q118" s="37" t="s">
        <v>495</v>
      </c>
      <c r="R118" s="37" t="s">
        <v>494</v>
      </c>
      <c r="T118" s="4">
        <v>2006111</v>
      </c>
      <c r="U118" s="4" t="s">
        <v>146</v>
      </c>
      <c r="V118" s="4">
        <v>6.6449999999999995E-2</v>
      </c>
      <c r="W118" s="4">
        <v>0.39455000000000001</v>
      </c>
      <c r="X118" s="4">
        <v>2.2800000000000001E-2</v>
      </c>
      <c r="Y118" s="4">
        <v>1.3480099999999999</v>
      </c>
      <c r="Z118" s="4">
        <v>12.33954</v>
      </c>
      <c r="AA118" s="4">
        <v>7.7477799999999997</v>
      </c>
      <c r="AB118" s="4">
        <v>-1.2685500000000001</v>
      </c>
    </row>
    <row r="119" spans="1:28" x14ac:dyDescent="0.25">
      <c r="A119" s="6"/>
      <c r="B119" s="4" t="s">
        <v>428</v>
      </c>
      <c r="C119" s="5">
        <v>50</v>
      </c>
      <c r="D119" s="4">
        <v>20</v>
      </c>
      <c r="E119" s="3">
        <v>21</v>
      </c>
      <c r="F119" s="3">
        <f>1.8*E119+32</f>
        <v>69.800000000000011</v>
      </c>
      <c r="G119" s="3">
        <v>20</v>
      </c>
      <c r="H119" s="3">
        <f>IF(F119&gt;68,G119+(F119-68)*0.2,U344-(68-F119)*0.2)</f>
        <v>20.360000000000003</v>
      </c>
      <c r="I119" s="3">
        <v>23</v>
      </c>
      <c r="J119" s="3">
        <f>1.8*I119+32</f>
        <v>73.400000000000006</v>
      </c>
      <c r="K119" s="3">
        <v>9</v>
      </c>
      <c r="L119" s="3">
        <f>IF(J119&gt;68,K119+(J119-68)*0.2,K119-(68-J119)*0.2)</f>
        <v>10.080000000000002</v>
      </c>
      <c r="M119" s="3">
        <f>(C119-H119)/C119*100</f>
        <v>59.28</v>
      </c>
      <c r="N119" s="3">
        <f>100-(M119+O119)</f>
        <v>20.560000000000002</v>
      </c>
      <c r="O119" s="3">
        <f>L119/C119*100</f>
        <v>20.160000000000004</v>
      </c>
      <c r="P119" s="2" t="s">
        <v>427</v>
      </c>
      <c r="Q119" s="37" t="s">
        <v>495</v>
      </c>
      <c r="R119" s="37" t="s">
        <v>494</v>
      </c>
      <c r="T119" s="4">
        <v>2006111</v>
      </c>
      <c r="U119" s="4" t="s">
        <v>145</v>
      </c>
      <c r="V119" s="4">
        <v>5.5210000000000002E-2</v>
      </c>
      <c r="W119" s="4">
        <v>0.37617</v>
      </c>
      <c r="X119" s="4">
        <v>3.0679999999999999E-2</v>
      </c>
      <c r="Y119" s="4">
        <v>1.41571</v>
      </c>
      <c r="Z119" s="4">
        <v>33.502090000000003</v>
      </c>
      <c r="AA119" s="4">
        <v>13.446339999999999</v>
      </c>
      <c r="AB119" s="4">
        <v>-1.2418199999999999</v>
      </c>
    </row>
    <row r="120" spans="1:28" x14ac:dyDescent="0.25">
      <c r="A120" s="36"/>
      <c r="Q120" s="22"/>
      <c r="R120" s="22"/>
      <c r="T120" s="4">
        <v>2006111</v>
      </c>
      <c r="U120" s="4" t="s">
        <v>144</v>
      </c>
      <c r="V120" s="4">
        <v>6.2239999999999997E-2</v>
      </c>
      <c r="W120" s="4">
        <v>0.37964999999999999</v>
      </c>
      <c r="X120" s="4">
        <v>2.827E-2</v>
      </c>
      <c r="Y120" s="4">
        <v>1.32999</v>
      </c>
      <c r="Z120" s="4">
        <v>17.782689999999999</v>
      </c>
      <c r="AA120" s="4">
        <v>10.02229</v>
      </c>
      <c r="AB120" s="4">
        <v>-1.5324899999999999</v>
      </c>
    </row>
    <row r="121" spans="1:28" ht="51.75" x14ac:dyDescent="0.25">
      <c r="A121" s="15" t="s">
        <v>19</v>
      </c>
      <c r="B121" s="10" t="s">
        <v>443</v>
      </c>
      <c r="C121" s="14" t="s">
        <v>17</v>
      </c>
      <c r="D121" s="13" t="s">
        <v>16</v>
      </c>
      <c r="E121" s="12" t="s">
        <v>15</v>
      </c>
      <c r="F121" s="12" t="s">
        <v>14</v>
      </c>
      <c r="G121" s="12" t="s">
        <v>442</v>
      </c>
      <c r="H121" s="12" t="s">
        <v>441</v>
      </c>
      <c r="I121" s="12" t="s">
        <v>440</v>
      </c>
      <c r="J121" s="12" t="s">
        <v>439</v>
      </c>
      <c r="K121" s="12" t="s">
        <v>438</v>
      </c>
      <c r="L121" s="12" t="s">
        <v>437</v>
      </c>
      <c r="M121" s="11" t="s">
        <v>7</v>
      </c>
      <c r="N121" s="11" t="s">
        <v>6</v>
      </c>
      <c r="O121" s="11" t="s">
        <v>5</v>
      </c>
      <c r="P121" s="10" t="s">
        <v>4</v>
      </c>
      <c r="Q121" s="9" t="s">
        <v>3</v>
      </c>
      <c r="R121" s="8"/>
      <c r="T121" s="4">
        <v>2006111</v>
      </c>
      <c r="U121" s="4" t="s">
        <v>143</v>
      </c>
      <c r="V121" s="4">
        <v>6.2429999999999999E-2</v>
      </c>
      <c r="W121" s="4">
        <v>0.37724000000000002</v>
      </c>
      <c r="X121" s="4">
        <v>2.8219999999999999E-2</v>
      </c>
      <c r="Y121" s="4">
        <v>1.33148</v>
      </c>
      <c r="Z121" s="4">
        <v>17.98685</v>
      </c>
      <c r="AA121" s="4">
        <v>9.8941800000000004</v>
      </c>
      <c r="AB121" s="4">
        <v>-1.5344899999999999</v>
      </c>
    </row>
    <row r="122" spans="1:28" x14ac:dyDescent="0.25">
      <c r="A122" s="56">
        <v>17</v>
      </c>
      <c r="B122" s="10"/>
      <c r="C122" s="14"/>
      <c r="D122" s="13" t="s">
        <v>436</v>
      </c>
      <c r="E122" s="12"/>
      <c r="F122" s="12"/>
      <c r="G122" s="12"/>
      <c r="H122" s="12"/>
      <c r="I122" s="12"/>
      <c r="J122" s="12"/>
      <c r="K122" s="12"/>
      <c r="L122" s="12"/>
      <c r="M122" s="11"/>
      <c r="N122" s="11"/>
      <c r="O122" s="11"/>
      <c r="P122" s="10"/>
      <c r="Q122" s="7" t="s">
        <v>2</v>
      </c>
      <c r="R122" s="7" t="s">
        <v>1</v>
      </c>
      <c r="T122" s="4">
        <v>2006111</v>
      </c>
      <c r="U122" s="4" t="s">
        <v>142</v>
      </c>
      <c r="V122" s="4">
        <v>4.9739999999999999E-2</v>
      </c>
      <c r="W122" s="4">
        <v>0.38266</v>
      </c>
      <c r="X122" s="4">
        <v>3.1510000000000003E-2</v>
      </c>
      <c r="Y122" s="4">
        <v>1.39151</v>
      </c>
      <c r="Z122" s="4">
        <v>33.713830000000002</v>
      </c>
      <c r="AA122" s="4">
        <v>15.09356</v>
      </c>
      <c r="AB122" s="4">
        <v>-1.23882</v>
      </c>
    </row>
    <row r="123" spans="1:28" x14ac:dyDescent="0.25">
      <c r="A123" s="56"/>
      <c r="B123" s="4" t="s">
        <v>435</v>
      </c>
      <c r="C123" s="5">
        <v>50</v>
      </c>
      <c r="D123" s="4">
        <v>20</v>
      </c>
      <c r="E123" s="3">
        <v>23</v>
      </c>
      <c r="F123" s="3">
        <f>1.8*E123+32</f>
        <v>73.400000000000006</v>
      </c>
      <c r="G123" s="3">
        <v>14</v>
      </c>
      <c r="H123" s="3">
        <f>IF(F123&gt;68,G123+(F123-68)*0.2,#REF!-(68-F123)*0.2)</f>
        <v>15.080000000000002</v>
      </c>
      <c r="I123" s="3">
        <v>23</v>
      </c>
      <c r="J123" s="3">
        <f>1.8*I123+32</f>
        <v>73.400000000000006</v>
      </c>
      <c r="K123" s="3">
        <v>6</v>
      </c>
      <c r="L123" s="3">
        <f>IF(J123&gt;68,K123+(J123-68)*0.2,K123-(68-J123)*0.2)</f>
        <v>7.080000000000001</v>
      </c>
      <c r="M123" s="3">
        <f>(C123-H123)/C123*100</f>
        <v>69.84</v>
      </c>
      <c r="N123" s="3">
        <f>100-(M123+O123)</f>
        <v>16</v>
      </c>
      <c r="O123" s="3">
        <f>L123/C123*100</f>
        <v>14.160000000000004</v>
      </c>
      <c r="P123" s="2" t="s">
        <v>429</v>
      </c>
      <c r="Q123" s="37" t="s">
        <v>493</v>
      </c>
      <c r="R123" s="37" t="s">
        <v>492</v>
      </c>
      <c r="T123" s="4">
        <v>2006111</v>
      </c>
      <c r="U123" s="4" t="s">
        <v>141</v>
      </c>
      <c r="V123" s="4">
        <v>5.323E-2</v>
      </c>
      <c r="W123" s="4">
        <v>0.38140000000000002</v>
      </c>
      <c r="X123" s="4">
        <v>3.0710000000000001E-2</v>
      </c>
      <c r="Y123" s="4">
        <v>1.37849</v>
      </c>
      <c r="Z123" s="4">
        <v>29.348400000000002</v>
      </c>
      <c r="AA123" s="4">
        <v>13.590619999999999</v>
      </c>
      <c r="AB123" s="4">
        <v>-1.3020400000000001</v>
      </c>
    </row>
    <row r="124" spans="1:28" x14ac:dyDescent="0.25">
      <c r="A124" s="15" t="s">
        <v>434</v>
      </c>
      <c r="B124" s="4" t="s">
        <v>433</v>
      </c>
      <c r="C124" s="5">
        <v>50</v>
      </c>
      <c r="D124" s="4">
        <v>20</v>
      </c>
      <c r="E124" s="3">
        <v>23</v>
      </c>
      <c r="F124" s="3">
        <f>1.8*E124+32</f>
        <v>73.400000000000006</v>
      </c>
      <c r="G124" s="3">
        <v>13</v>
      </c>
      <c r="H124" s="3">
        <f>IF(F124&gt;68,G124+(F124-68)*0.2,U348-(68-F124)*0.2)</f>
        <v>14.080000000000002</v>
      </c>
      <c r="I124" s="3">
        <v>23</v>
      </c>
      <c r="J124" s="3">
        <f>1.8*I124+32</f>
        <v>73.400000000000006</v>
      </c>
      <c r="K124" s="3">
        <v>6</v>
      </c>
      <c r="L124" s="3">
        <f>IF(J124&gt;68,K124+(J124-68)*0.2,K124-(68-J124)*0.2)</f>
        <v>7.080000000000001</v>
      </c>
      <c r="M124" s="3">
        <f>(C124-H124)/C124*100</f>
        <v>71.84</v>
      </c>
      <c r="N124" s="3">
        <f>100-(M124+O124)</f>
        <v>14</v>
      </c>
      <c r="O124" s="3">
        <f>L124/C124*100</f>
        <v>14.160000000000004</v>
      </c>
      <c r="P124" s="2" t="s">
        <v>429</v>
      </c>
      <c r="Q124" s="37" t="s">
        <v>493</v>
      </c>
      <c r="R124" s="37" t="s">
        <v>492</v>
      </c>
      <c r="T124" s="4">
        <v>2006111</v>
      </c>
      <c r="U124" s="4" t="s">
        <v>140</v>
      </c>
      <c r="V124" s="4">
        <v>5.0849999999999999E-2</v>
      </c>
      <c r="W124" s="4">
        <v>0.37742999999999999</v>
      </c>
      <c r="X124" s="4">
        <v>3.3029999999999997E-2</v>
      </c>
      <c r="Y124" s="4">
        <v>1.52396</v>
      </c>
      <c r="Z124" s="4">
        <v>57.190289999999997</v>
      </c>
      <c r="AA124" s="4">
        <v>17.695450000000001</v>
      </c>
      <c r="AB124" s="4">
        <v>-1.0625599999999999</v>
      </c>
    </row>
    <row r="125" spans="1:28" x14ac:dyDescent="0.25">
      <c r="A125" s="55">
        <v>40206</v>
      </c>
      <c r="B125" s="4" t="s">
        <v>432</v>
      </c>
      <c r="C125" s="5">
        <v>50</v>
      </c>
      <c r="D125" s="4">
        <v>20</v>
      </c>
      <c r="E125" s="3">
        <v>23</v>
      </c>
      <c r="F125" s="3">
        <f>1.8*E125+32</f>
        <v>73.400000000000006</v>
      </c>
      <c r="G125" s="3">
        <v>20</v>
      </c>
      <c r="H125" s="3">
        <f>IF(F125&gt;68,G125+(F125-68)*0.2,U349-(68-F125)*0.2)</f>
        <v>21.080000000000002</v>
      </c>
      <c r="I125" s="3">
        <v>23</v>
      </c>
      <c r="J125" s="3">
        <f>1.8*I125+32</f>
        <v>73.400000000000006</v>
      </c>
      <c r="K125" s="3">
        <v>6</v>
      </c>
      <c r="L125" s="3">
        <f>IF(J125&gt;68,K125+(J125-68)*0.2,K125-(68-J125)*0.2)</f>
        <v>7.080000000000001</v>
      </c>
      <c r="M125" s="3">
        <f>(C125-H125)/C125*100</f>
        <v>57.839999999999989</v>
      </c>
      <c r="N125" s="3">
        <f>100-(M125+O125)</f>
        <v>28</v>
      </c>
      <c r="O125" s="3">
        <f>L125/C125*100</f>
        <v>14.160000000000004</v>
      </c>
      <c r="P125" s="2" t="s">
        <v>429</v>
      </c>
      <c r="Q125" s="37" t="s">
        <v>493</v>
      </c>
      <c r="R125" s="37" t="s">
        <v>492</v>
      </c>
      <c r="T125" s="4">
        <v>2006111</v>
      </c>
      <c r="U125" s="4" t="s">
        <v>139</v>
      </c>
      <c r="V125" s="4">
        <v>5.4309999999999997E-2</v>
      </c>
      <c r="W125" s="4">
        <v>0.37802000000000002</v>
      </c>
      <c r="X125" s="4">
        <v>3.116E-2</v>
      </c>
      <c r="Y125" s="4">
        <v>1.3983399999999999</v>
      </c>
      <c r="Z125" s="4">
        <v>32.10145</v>
      </c>
      <c r="AA125" s="4">
        <v>13.74668</v>
      </c>
      <c r="AB125" s="4">
        <v>-1.27884</v>
      </c>
    </row>
    <row r="126" spans="1:28" x14ac:dyDescent="0.25">
      <c r="A126" s="54"/>
      <c r="B126" s="4" t="s">
        <v>431</v>
      </c>
      <c r="C126" s="5">
        <v>50</v>
      </c>
      <c r="D126" s="4">
        <v>20</v>
      </c>
      <c r="E126" s="3">
        <v>23</v>
      </c>
      <c r="F126" s="3">
        <f>1.8*E126+32</f>
        <v>73.400000000000006</v>
      </c>
      <c r="G126" s="3">
        <v>21</v>
      </c>
      <c r="H126" s="3">
        <f>IF(F126&gt;68,G126+(F126-68)*0.2,U350-(68-F126)*0.2)</f>
        <v>22.080000000000002</v>
      </c>
      <c r="I126" s="3">
        <v>23</v>
      </c>
      <c r="J126" s="3">
        <f>1.8*I126+32</f>
        <v>73.400000000000006</v>
      </c>
      <c r="K126" s="3">
        <v>10</v>
      </c>
      <c r="L126" s="3">
        <f>IF(J126&gt;68,K126+(J126-68)*0.2,K126-(68-J126)*0.2)</f>
        <v>11.080000000000002</v>
      </c>
      <c r="M126" s="3">
        <f>(C126-H126)/C126*100</f>
        <v>55.84</v>
      </c>
      <c r="N126" s="3">
        <f>100-(M126+O126)</f>
        <v>22</v>
      </c>
      <c r="O126" s="3">
        <f>L126/C126*100</f>
        <v>22.160000000000004</v>
      </c>
      <c r="P126" s="2" t="s">
        <v>427</v>
      </c>
      <c r="Q126" s="37" t="s">
        <v>493</v>
      </c>
      <c r="R126" s="37" t="s">
        <v>492</v>
      </c>
      <c r="T126" s="4">
        <v>2006111</v>
      </c>
      <c r="U126" s="4" t="s">
        <v>138</v>
      </c>
      <c r="V126" s="4">
        <v>5.3030000000000001E-2</v>
      </c>
      <c r="W126" s="4">
        <v>0.37758000000000003</v>
      </c>
      <c r="X126" s="4">
        <v>3.1809999999999998E-2</v>
      </c>
      <c r="Y126" s="4">
        <v>1.4280600000000001</v>
      </c>
      <c r="Z126" s="4">
        <v>38.000570000000003</v>
      </c>
      <c r="AA126" s="4">
        <v>14.84483</v>
      </c>
      <c r="AB126" s="4">
        <v>-1.21018</v>
      </c>
    </row>
    <row r="127" spans="1:28" x14ac:dyDescent="0.25">
      <c r="A127" s="6"/>
      <c r="B127" s="4" t="s">
        <v>430</v>
      </c>
      <c r="C127" s="5">
        <v>50</v>
      </c>
      <c r="D127" s="4">
        <v>20</v>
      </c>
      <c r="E127" s="3">
        <v>23</v>
      </c>
      <c r="F127" s="3">
        <f>1.8*E127+32</f>
        <v>73.400000000000006</v>
      </c>
      <c r="G127" s="3">
        <v>24</v>
      </c>
      <c r="H127" s="3">
        <f>IF(F127&gt;68,G127+(F127-68)*0.2,U351-(68-F127)*0.2)</f>
        <v>25.080000000000002</v>
      </c>
      <c r="I127" s="3">
        <v>23</v>
      </c>
      <c r="J127" s="3">
        <f>1.8*I127+32</f>
        <v>73.400000000000006</v>
      </c>
      <c r="K127" s="3">
        <v>11</v>
      </c>
      <c r="L127" s="3">
        <f>IF(J127&gt;68,K127+(J127-68)*0.2,K127-(68-J127)*0.2)</f>
        <v>12.080000000000002</v>
      </c>
      <c r="M127" s="3">
        <f>(C127-H127)/C127*100</f>
        <v>49.839999999999996</v>
      </c>
      <c r="N127" s="3">
        <f>100-(M127+O127)</f>
        <v>26</v>
      </c>
      <c r="O127" s="3">
        <f>L127/C127*100</f>
        <v>24.160000000000004</v>
      </c>
      <c r="P127" s="2" t="s">
        <v>471</v>
      </c>
      <c r="Q127" s="37" t="s">
        <v>493</v>
      </c>
      <c r="R127" s="37" t="s">
        <v>492</v>
      </c>
      <c r="T127" s="4">
        <v>2006111</v>
      </c>
      <c r="U127" s="4" t="s">
        <v>137</v>
      </c>
      <c r="V127" s="4">
        <v>5.246E-2</v>
      </c>
      <c r="W127" s="4">
        <v>0.37548999999999999</v>
      </c>
      <c r="X127" s="4">
        <v>3.1820000000000001E-2</v>
      </c>
      <c r="Y127" s="4">
        <v>1.6699200000000001</v>
      </c>
      <c r="Z127" s="4">
        <v>82.863280000000003</v>
      </c>
      <c r="AA127" s="4">
        <v>18.04561</v>
      </c>
      <c r="AB127" s="4">
        <v>-0.95220000000000005</v>
      </c>
    </row>
    <row r="128" spans="1:28" x14ac:dyDescent="0.25">
      <c r="A128" s="6"/>
      <c r="B128" s="4" t="s">
        <v>428</v>
      </c>
      <c r="C128" s="5">
        <v>50</v>
      </c>
      <c r="D128" s="4">
        <v>20</v>
      </c>
      <c r="E128" s="3">
        <v>23</v>
      </c>
      <c r="F128" s="3">
        <f>1.8*E128+32</f>
        <v>73.400000000000006</v>
      </c>
      <c r="G128" s="3">
        <v>15</v>
      </c>
      <c r="H128" s="3">
        <f>IF(F128&gt;68,G128+(F128-68)*0.2,U352-(68-F128)*0.2)</f>
        <v>16.080000000000002</v>
      </c>
      <c r="I128" s="3">
        <v>23</v>
      </c>
      <c r="J128" s="3">
        <f>1.8*I128+32</f>
        <v>73.400000000000006</v>
      </c>
      <c r="K128" s="3">
        <v>10</v>
      </c>
      <c r="L128" s="3">
        <f>IF(J128&gt;68,K128+(J128-68)*0.2,K128-(68-J128)*0.2)</f>
        <v>11.080000000000002</v>
      </c>
      <c r="M128" s="3">
        <f>(C128-H128)/C128*100</f>
        <v>67.84</v>
      </c>
      <c r="N128" s="3">
        <f>100-(M128+O128)</f>
        <v>10</v>
      </c>
      <c r="O128" s="3">
        <f>L128/C128*100</f>
        <v>22.160000000000004</v>
      </c>
      <c r="P128" s="2" t="s">
        <v>427</v>
      </c>
      <c r="Q128" s="37" t="s">
        <v>493</v>
      </c>
      <c r="R128" s="37" t="s">
        <v>492</v>
      </c>
      <c r="T128" s="4">
        <v>2006111</v>
      </c>
      <c r="U128" s="4" t="s">
        <v>136</v>
      </c>
      <c r="V128" s="4">
        <v>5.1020000000000003E-2</v>
      </c>
      <c r="W128" s="4">
        <v>0.38220999999999999</v>
      </c>
      <c r="X128" s="4">
        <v>3.1220000000000001E-2</v>
      </c>
      <c r="Y128" s="4">
        <v>1.3870100000000001</v>
      </c>
      <c r="Z128" s="4">
        <v>32.145989999999998</v>
      </c>
      <c r="AA128" s="4">
        <v>14.536</v>
      </c>
      <c r="AB128" s="4">
        <v>-1.2608699999999999</v>
      </c>
    </row>
    <row r="129" spans="1:28" x14ac:dyDescent="0.25">
      <c r="A129" s="36"/>
      <c r="Q129" s="22"/>
      <c r="R129" s="22"/>
      <c r="T129" s="4">
        <v>2006111</v>
      </c>
      <c r="U129" s="4" t="s">
        <v>135</v>
      </c>
      <c r="V129" s="4">
        <v>5.74E-2</v>
      </c>
      <c r="W129" s="4">
        <v>0.38349</v>
      </c>
      <c r="X129" s="4">
        <v>2.8330000000000001E-2</v>
      </c>
      <c r="Y129" s="4">
        <v>1.35589</v>
      </c>
      <c r="Z129" s="4">
        <v>22.115919999999999</v>
      </c>
      <c r="AA129" s="4">
        <v>11.331049999999999</v>
      </c>
      <c r="AB129" s="4">
        <v>-1.3569</v>
      </c>
    </row>
    <row r="130" spans="1:28" ht="51.75" x14ac:dyDescent="0.25">
      <c r="A130" s="15" t="s">
        <v>19</v>
      </c>
      <c r="B130" s="10" t="s">
        <v>443</v>
      </c>
      <c r="C130" s="14" t="s">
        <v>17</v>
      </c>
      <c r="D130" s="13" t="s">
        <v>16</v>
      </c>
      <c r="E130" s="12" t="s">
        <v>15</v>
      </c>
      <c r="F130" s="12" t="s">
        <v>14</v>
      </c>
      <c r="G130" s="12" t="s">
        <v>442</v>
      </c>
      <c r="H130" s="12" t="s">
        <v>441</v>
      </c>
      <c r="I130" s="12" t="s">
        <v>440</v>
      </c>
      <c r="J130" s="12" t="s">
        <v>439</v>
      </c>
      <c r="K130" s="12" t="s">
        <v>438</v>
      </c>
      <c r="L130" s="12" t="s">
        <v>437</v>
      </c>
      <c r="M130" s="11" t="s">
        <v>7</v>
      </c>
      <c r="N130" s="11" t="s">
        <v>6</v>
      </c>
      <c r="O130" s="11" t="s">
        <v>5</v>
      </c>
      <c r="P130" s="10" t="s">
        <v>4</v>
      </c>
      <c r="Q130" s="24" t="s">
        <v>3</v>
      </c>
      <c r="R130" s="23"/>
      <c r="T130" s="4">
        <v>2006111</v>
      </c>
      <c r="U130" s="4" t="s">
        <v>134</v>
      </c>
      <c r="V130" s="4">
        <v>4.5589999999999999E-2</v>
      </c>
      <c r="W130" s="4">
        <v>0.38752999999999999</v>
      </c>
      <c r="X130" s="4">
        <v>2.3040000000000001E-2</v>
      </c>
      <c r="Y130" s="4">
        <v>1.40442</v>
      </c>
      <c r="Z130" s="4">
        <v>29.666550000000001</v>
      </c>
      <c r="AA130" s="4">
        <v>11.1196</v>
      </c>
      <c r="AB130" s="4">
        <v>-0.90963000000000005</v>
      </c>
    </row>
    <row r="131" spans="1:28" x14ac:dyDescent="0.25">
      <c r="A131" s="56">
        <v>18</v>
      </c>
      <c r="B131" s="10"/>
      <c r="C131" s="14"/>
      <c r="D131" s="13" t="s">
        <v>436</v>
      </c>
      <c r="E131" s="12"/>
      <c r="F131" s="12"/>
      <c r="G131" s="12"/>
      <c r="H131" s="12"/>
      <c r="I131" s="12"/>
      <c r="J131" s="12"/>
      <c r="K131" s="12"/>
      <c r="L131" s="12"/>
      <c r="M131" s="11"/>
      <c r="N131" s="11"/>
      <c r="O131" s="11"/>
      <c r="P131" s="10"/>
      <c r="Q131" s="7" t="s">
        <v>2</v>
      </c>
      <c r="R131" s="7" t="s">
        <v>1</v>
      </c>
      <c r="T131" s="4">
        <v>2006111</v>
      </c>
      <c r="U131" s="4" t="s">
        <v>133</v>
      </c>
      <c r="V131" s="4">
        <v>5.9709999999999999E-2</v>
      </c>
      <c r="W131" s="4">
        <v>0.37784000000000001</v>
      </c>
      <c r="X131" s="4">
        <v>2.9049999999999999E-2</v>
      </c>
      <c r="Y131" s="4">
        <v>1.34961</v>
      </c>
      <c r="Z131" s="4">
        <v>21.281320000000001</v>
      </c>
      <c r="AA131" s="4">
        <v>10.95139</v>
      </c>
      <c r="AB131" s="4">
        <v>-1.44635</v>
      </c>
    </row>
    <row r="132" spans="1:28" x14ac:dyDescent="0.25">
      <c r="A132" s="56"/>
      <c r="B132" s="4" t="s">
        <v>435</v>
      </c>
      <c r="C132" s="5">
        <v>50</v>
      </c>
      <c r="D132" s="4">
        <v>20</v>
      </c>
      <c r="E132" s="3">
        <v>23</v>
      </c>
      <c r="F132" s="3">
        <f>1.8*E132+32</f>
        <v>73.400000000000006</v>
      </c>
      <c r="G132" s="3">
        <v>15</v>
      </c>
      <c r="H132" s="3">
        <f>IF(F132&gt;68,G132+(F132-68)*0.2,U356-(68-F132)*0.2)</f>
        <v>16.080000000000002</v>
      </c>
      <c r="I132" s="3">
        <v>23</v>
      </c>
      <c r="J132" s="3">
        <f>1.8*I132+32</f>
        <v>73.400000000000006</v>
      </c>
      <c r="K132" s="3">
        <v>7</v>
      </c>
      <c r="L132" s="3">
        <f>IF(J132&gt;68,K132+(J132-68)*0.2,K132-(68-J132)*0.2)</f>
        <v>8.0800000000000018</v>
      </c>
      <c r="M132" s="3">
        <f>(C132-H132)/C132*100</f>
        <v>67.84</v>
      </c>
      <c r="N132" s="3">
        <f>100-(M132+O132)</f>
        <v>16</v>
      </c>
      <c r="O132" s="3">
        <f>L132/C132*100</f>
        <v>16.160000000000004</v>
      </c>
      <c r="P132" s="2" t="s">
        <v>429</v>
      </c>
      <c r="Q132" s="37" t="s">
        <v>491</v>
      </c>
      <c r="R132" s="37" t="s">
        <v>490</v>
      </c>
      <c r="T132" s="4">
        <v>2006111</v>
      </c>
      <c r="U132" s="4" t="s">
        <v>132</v>
      </c>
      <c r="V132" s="4">
        <v>6.2239999999999997E-2</v>
      </c>
      <c r="W132" s="4">
        <v>0.37964999999999999</v>
      </c>
      <c r="X132" s="4">
        <v>2.827E-2</v>
      </c>
      <c r="Y132" s="4">
        <v>1.32999</v>
      </c>
      <c r="Z132" s="4">
        <v>17.782689999999999</v>
      </c>
      <c r="AA132" s="4">
        <v>10.02229</v>
      </c>
      <c r="AB132" s="4">
        <v>-1.5324899999999999</v>
      </c>
    </row>
    <row r="133" spans="1:28" x14ac:dyDescent="0.25">
      <c r="A133" s="15" t="s">
        <v>434</v>
      </c>
      <c r="B133" s="4" t="s">
        <v>433</v>
      </c>
      <c r="C133" s="5">
        <v>50</v>
      </c>
      <c r="D133" s="4">
        <v>20</v>
      </c>
      <c r="E133" s="3">
        <v>23</v>
      </c>
      <c r="F133" s="3">
        <f>1.8*E133+32</f>
        <v>73.400000000000006</v>
      </c>
      <c r="G133" s="3">
        <v>20</v>
      </c>
      <c r="H133" s="3">
        <f>IF(F133&gt;68,G133+(F133-68)*0.2,U357-(68-F133)*0.2)</f>
        <v>21.080000000000002</v>
      </c>
      <c r="I133" s="3">
        <v>23</v>
      </c>
      <c r="J133" s="3">
        <f>1.8*I133+32</f>
        <v>73.400000000000006</v>
      </c>
      <c r="K133" s="3">
        <v>10</v>
      </c>
      <c r="L133" s="3">
        <f>IF(J133&gt;68,K133+(J133-68)*0.2,K133-(68-J133)*0.2)</f>
        <v>11.080000000000002</v>
      </c>
      <c r="M133" s="3">
        <f>(C133-H133)/C133*100</f>
        <v>57.839999999999989</v>
      </c>
      <c r="N133" s="3">
        <f>100-(M133+O133)</f>
        <v>20</v>
      </c>
      <c r="O133" s="3">
        <f>L133/C133*100</f>
        <v>22.160000000000004</v>
      </c>
      <c r="P133" s="2" t="s">
        <v>427</v>
      </c>
      <c r="Q133" s="37" t="s">
        <v>491</v>
      </c>
      <c r="R133" s="37" t="s">
        <v>490</v>
      </c>
      <c r="T133" s="4">
        <v>2006111</v>
      </c>
      <c r="U133" s="4" t="s">
        <v>131</v>
      </c>
      <c r="V133" s="4">
        <v>6.5559999999999993E-2</v>
      </c>
      <c r="W133" s="4">
        <v>0.38913999999999999</v>
      </c>
      <c r="X133" s="4">
        <v>2.547E-2</v>
      </c>
      <c r="Y133" s="4">
        <v>1.3298399999999999</v>
      </c>
      <c r="Z133" s="4">
        <v>13.83084</v>
      </c>
      <c r="AA133" s="4">
        <v>8.6831800000000001</v>
      </c>
      <c r="AB133" s="4">
        <v>-1.4468399999999999</v>
      </c>
    </row>
    <row r="134" spans="1:28" x14ac:dyDescent="0.25">
      <c r="A134" s="55">
        <v>40206</v>
      </c>
      <c r="B134" s="4" t="s">
        <v>432</v>
      </c>
      <c r="C134" s="5">
        <v>50</v>
      </c>
      <c r="D134" s="4">
        <v>20</v>
      </c>
      <c r="E134" s="3">
        <v>23</v>
      </c>
      <c r="F134" s="3">
        <f>1.8*E134+32</f>
        <v>73.400000000000006</v>
      </c>
      <c r="G134" s="3">
        <v>23</v>
      </c>
      <c r="H134" s="3">
        <f>IF(F134&gt;68,G134+(F134-68)*0.2,U358-(68-F134)*0.2)</f>
        <v>24.080000000000002</v>
      </c>
      <c r="I134" s="3">
        <v>23</v>
      </c>
      <c r="J134" s="3">
        <f>1.8*I134+32</f>
        <v>73.400000000000006</v>
      </c>
      <c r="K134" s="3">
        <v>11</v>
      </c>
      <c r="L134" s="3">
        <f>IF(J134&gt;68,K134+(J134-68)*0.2,K134-(68-J134)*0.2)</f>
        <v>12.080000000000002</v>
      </c>
      <c r="M134" s="3">
        <f>(C134-H134)/C134*100</f>
        <v>51.839999999999996</v>
      </c>
      <c r="N134" s="3">
        <f>100-(M134+O134)</f>
        <v>24</v>
      </c>
      <c r="O134" s="3">
        <f>L134/C134*100</f>
        <v>24.160000000000004</v>
      </c>
      <c r="P134" s="2" t="s">
        <v>427</v>
      </c>
      <c r="Q134" s="37" t="s">
        <v>491</v>
      </c>
      <c r="R134" s="37" t="s">
        <v>490</v>
      </c>
      <c r="T134" s="4">
        <v>2006111</v>
      </c>
      <c r="U134" s="4" t="s">
        <v>130</v>
      </c>
      <c r="V134" s="4">
        <v>6.2899999999999998E-2</v>
      </c>
      <c r="W134" s="4">
        <v>0.38928000000000001</v>
      </c>
      <c r="X134" s="4">
        <v>2.4989999999999998E-2</v>
      </c>
      <c r="Y134" s="4">
        <v>1.3462700000000001</v>
      </c>
      <c r="Z134" s="4">
        <v>15.53904</v>
      </c>
      <c r="AA134" s="4">
        <v>9.0044500000000003</v>
      </c>
      <c r="AB134" s="4">
        <v>-1.3320399999999999</v>
      </c>
    </row>
    <row r="135" spans="1:28" x14ac:dyDescent="0.25">
      <c r="A135" s="54"/>
      <c r="B135" s="4" t="s">
        <v>431</v>
      </c>
      <c r="C135" s="5">
        <v>50</v>
      </c>
      <c r="D135" s="4">
        <v>20</v>
      </c>
      <c r="E135" s="3">
        <v>23</v>
      </c>
      <c r="F135" s="3">
        <f>1.8*E135+32</f>
        <v>73.400000000000006</v>
      </c>
      <c r="G135" s="3">
        <v>24</v>
      </c>
      <c r="H135" s="3">
        <f>IF(F135&gt;68,G135+(F135-68)*0.2,U359-(68-F135)*0.2)</f>
        <v>25.080000000000002</v>
      </c>
      <c r="I135" s="3">
        <v>23</v>
      </c>
      <c r="J135" s="3">
        <f>1.8*I135+32</f>
        <v>73.400000000000006</v>
      </c>
      <c r="K135" s="3">
        <v>13</v>
      </c>
      <c r="L135" s="3">
        <f>IF(J135&gt;68,K135+(J135-68)*0.2,K135-(68-J135)*0.2)</f>
        <v>14.080000000000002</v>
      </c>
      <c r="M135" s="3">
        <f>(C135-H135)/C135*100</f>
        <v>49.839999999999996</v>
      </c>
      <c r="N135" s="3">
        <f>100-(M135+O135)</f>
        <v>22</v>
      </c>
      <c r="O135" s="3">
        <f>L135/C135*100</f>
        <v>28.16</v>
      </c>
      <c r="P135" s="2" t="s">
        <v>427</v>
      </c>
      <c r="Q135" s="37" t="s">
        <v>491</v>
      </c>
      <c r="R135" s="37" t="s">
        <v>490</v>
      </c>
      <c r="T135" s="4">
        <v>2006111</v>
      </c>
      <c r="U135" s="4" t="s">
        <v>129</v>
      </c>
      <c r="V135" s="4">
        <v>7.1620000000000003E-2</v>
      </c>
      <c r="W135" s="4">
        <v>0.39828000000000002</v>
      </c>
      <c r="X135" s="4">
        <v>2.317E-2</v>
      </c>
      <c r="Y135" s="4">
        <v>1.32172</v>
      </c>
      <c r="Z135" s="4">
        <v>9.6131600000000006</v>
      </c>
      <c r="AA135" s="4">
        <v>7.19156</v>
      </c>
      <c r="AB135" s="4">
        <v>-1.4352499999999999</v>
      </c>
    </row>
    <row r="136" spans="1:28" x14ac:dyDescent="0.25">
      <c r="A136" s="6"/>
      <c r="B136" s="4" t="s">
        <v>430</v>
      </c>
      <c r="C136" s="5">
        <v>50</v>
      </c>
      <c r="D136" s="4">
        <v>20</v>
      </c>
      <c r="E136" s="3">
        <v>23</v>
      </c>
      <c r="F136" s="3">
        <f>1.8*E136+32</f>
        <v>73.400000000000006</v>
      </c>
      <c r="G136" s="3">
        <v>17</v>
      </c>
      <c r="H136" s="3">
        <f>IF(F136&gt;68,G136+(F136-68)*0.2,U360-(68-F136)*0.2)</f>
        <v>18.080000000000002</v>
      </c>
      <c r="I136" s="3">
        <v>23</v>
      </c>
      <c r="J136" s="3">
        <f>1.8*I136+32</f>
        <v>73.400000000000006</v>
      </c>
      <c r="K136" s="3">
        <v>6</v>
      </c>
      <c r="L136" s="3">
        <f>IF(J136&gt;68,K136+(J136-68)*0.2,K136-(68-J136)*0.2)</f>
        <v>7.080000000000001</v>
      </c>
      <c r="M136" s="3">
        <f>(C136-H136)/C136*100</f>
        <v>63.839999999999996</v>
      </c>
      <c r="N136" s="3">
        <f>100-(M136+O136)</f>
        <v>22</v>
      </c>
      <c r="O136" s="3">
        <f>L136/C136*100</f>
        <v>14.160000000000004</v>
      </c>
      <c r="P136" s="2" t="s">
        <v>429</v>
      </c>
      <c r="Q136" s="37" t="s">
        <v>491</v>
      </c>
      <c r="R136" s="37" t="s">
        <v>490</v>
      </c>
      <c r="T136" s="4">
        <v>2006111</v>
      </c>
      <c r="U136" s="4" t="s">
        <v>128</v>
      </c>
      <c r="V136" s="4">
        <v>6.2429999999999999E-2</v>
      </c>
      <c r="W136" s="4">
        <v>0.37724000000000002</v>
      </c>
      <c r="X136" s="4">
        <v>2.8219999999999999E-2</v>
      </c>
      <c r="Y136" s="4">
        <v>1.33148</v>
      </c>
      <c r="Z136" s="4">
        <v>17.98685</v>
      </c>
      <c r="AA136" s="4">
        <v>9.8941800000000004</v>
      </c>
      <c r="AB136" s="4">
        <v>-1.5344899999999999</v>
      </c>
    </row>
    <row r="137" spans="1:28" x14ac:dyDescent="0.25">
      <c r="A137" s="6"/>
      <c r="B137" s="4" t="s">
        <v>428</v>
      </c>
      <c r="C137" s="5">
        <v>50</v>
      </c>
      <c r="D137" s="4">
        <v>20</v>
      </c>
      <c r="E137" s="3">
        <v>23</v>
      </c>
      <c r="F137" s="3">
        <f>1.8*E137+32</f>
        <v>73.400000000000006</v>
      </c>
      <c r="G137" s="3">
        <v>16</v>
      </c>
      <c r="H137" s="3">
        <f>IF(F137&gt;68,G137+(F137-68)*0.2,U361-(68-F137)*0.2)</f>
        <v>17.080000000000002</v>
      </c>
      <c r="I137" s="3">
        <v>23</v>
      </c>
      <c r="J137" s="3">
        <f>1.8*I137+32</f>
        <v>73.400000000000006</v>
      </c>
      <c r="K137" s="3">
        <v>10</v>
      </c>
      <c r="L137" s="3">
        <f>IF(J137&gt;68,K137+(J137-68)*0.2,K137-(68-J137)*0.2)</f>
        <v>11.080000000000002</v>
      </c>
      <c r="M137" s="3">
        <f>(C137-H137)/C137*100</f>
        <v>65.84</v>
      </c>
      <c r="N137" s="3">
        <f>100-(M137+O137)</f>
        <v>12</v>
      </c>
      <c r="O137" s="3">
        <f>L137/C137*100</f>
        <v>22.160000000000004</v>
      </c>
      <c r="P137" s="2" t="s">
        <v>427</v>
      </c>
      <c r="Q137" s="37" t="s">
        <v>491</v>
      </c>
      <c r="R137" s="37" t="s">
        <v>490</v>
      </c>
      <c r="T137" s="4">
        <v>2006111</v>
      </c>
      <c r="U137" s="4" t="s">
        <v>127</v>
      </c>
      <c r="V137" s="4">
        <v>5.6390000000000003E-2</v>
      </c>
      <c r="W137" s="4">
        <v>0.37418000000000001</v>
      </c>
      <c r="X137" s="4">
        <v>2.9749999999999999E-2</v>
      </c>
      <c r="Y137" s="4">
        <v>1.4394199999999999</v>
      </c>
      <c r="Z137" s="4">
        <v>35.028730000000003</v>
      </c>
      <c r="AA137" s="4">
        <v>12.889060000000001</v>
      </c>
      <c r="AB137" s="4">
        <v>-1.1924699999999999</v>
      </c>
    </row>
    <row r="138" spans="1:28" x14ac:dyDescent="0.25">
      <c r="A138" s="36"/>
      <c r="Q138" s="22"/>
      <c r="R138" s="22"/>
      <c r="T138" s="4">
        <v>2006111</v>
      </c>
      <c r="U138" s="4" t="s">
        <v>126</v>
      </c>
      <c r="V138" s="4">
        <v>6.2579999999999997E-2</v>
      </c>
      <c r="W138" s="4">
        <v>0.38686999999999999</v>
      </c>
      <c r="X138" s="4">
        <v>2.6249999999999999E-2</v>
      </c>
      <c r="Y138" s="4">
        <v>1.3392900000000001</v>
      </c>
      <c r="Z138" s="4">
        <v>16.32574</v>
      </c>
      <c r="AA138" s="4">
        <v>9.4607700000000001</v>
      </c>
      <c r="AB138" s="4">
        <v>-1.4059999999999999</v>
      </c>
    </row>
    <row r="139" spans="1:28" ht="51.75" x14ac:dyDescent="0.25">
      <c r="A139" s="15" t="s">
        <v>19</v>
      </c>
      <c r="B139" s="10" t="s">
        <v>443</v>
      </c>
      <c r="C139" s="14" t="s">
        <v>17</v>
      </c>
      <c r="D139" s="13" t="s">
        <v>16</v>
      </c>
      <c r="E139" s="12" t="s">
        <v>15</v>
      </c>
      <c r="F139" s="12" t="s">
        <v>14</v>
      </c>
      <c r="G139" s="12" t="s">
        <v>442</v>
      </c>
      <c r="H139" s="12" t="s">
        <v>441</v>
      </c>
      <c r="I139" s="12" t="s">
        <v>440</v>
      </c>
      <c r="J139" s="12" t="s">
        <v>439</v>
      </c>
      <c r="K139" s="12" t="s">
        <v>438</v>
      </c>
      <c r="L139" s="12" t="s">
        <v>437</v>
      </c>
      <c r="M139" s="11" t="s">
        <v>7</v>
      </c>
      <c r="N139" s="11" t="s">
        <v>6</v>
      </c>
      <c r="O139" s="11" t="s">
        <v>5</v>
      </c>
      <c r="P139" s="10" t="s">
        <v>4</v>
      </c>
      <c r="Q139" s="24" t="s">
        <v>3</v>
      </c>
      <c r="R139" s="23"/>
      <c r="T139" s="4">
        <v>2006111</v>
      </c>
      <c r="U139" s="4" t="s">
        <v>125</v>
      </c>
      <c r="V139" s="4">
        <v>6.522E-2</v>
      </c>
      <c r="W139" s="4">
        <v>0.38646000000000003</v>
      </c>
      <c r="X139" s="4">
        <v>2.649E-2</v>
      </c>
      <c r="Y139" s="4">
        <v>1.3230599999999999</v>
      </c>
      <c r="Z139" s="4">
        <v>14.450670000000001</v>
      </c>
      <c r="AA139" s="4">
        <v>8.9996700000000001</v>
      </c>
      <c r="AB139" s="4">
        <v>-1.51935</v>
      </c>
    </row>
    <row r="140" spans="1:28" x14ac:dyDescent="0.25">
      <c r="A140" s="56">
        <v>21</v>
      </c>
      <c r="B140" s="10"/>
      <c r="C140" s="14"/>
      <c r="D140" s="13" t="s">
        <v>436</v>
      </c>
      <c r="E140" s="12"/>
      <c r="F140" s="12"/>
      <c r="G140" s="12"/>
      <c r="H140" s="12"/>
      <c r="I140" s="12"/>
      <c r="J140" s="12"/>
      <c r="K140" s="12"/>
      <c r="L140" s="12"/>
      <c r="M140" s="11"/>
      <c r="N140" s="11"/>
      <c r="O140" s="11"/>
      <c r="P140" s="10"/>
      <c r="Q140" s="7" t="s">
        <v>2</v>
      </c>
      <c r="R140" s="7" t="s">
        <v>1</v>
      </c>
      <c r="T140" s="4">
        <v>2006111</v>
      </c>
      <c r="U140" s="4" t="s">
        <v>124</v>
      </c>
      <c r="V140" s="4">
        <v>6.234E-2</v>
      </c>
      <c r="W140" s="4">
        <v>0.38446999999999998</v>
      </c>
      <c r="X140" s="4">
        <v>2.724E-2</v>
      </c>
      <c r="Y140" s="4">
        <v>1.3341400000000001</v>
      </c>
      <c r="Z140" s="4">
        <v>16.981680000000001</v>
      </c>
      <c r="AA140" s="4">
        <v>9.7938700000000001</v>
      </c>
      <c r="AB140" s="4">
        <v>-1.46587</v>
      </c>
    </row>
    <row r="141" spans="1:28" x14ac:dyDescent="0.25">
      <c r="A141" s="56"/>
      <c r="B141" s="4" t="s">
        <v>435</v>
      </c>
      <c r="C141" s="5">
        <v>50</v>
      </c>
      <c r="D141" s="4">
        <v>20</v>
      </c>
      <c r="E141" s="3">
        <v>23</v>
      </c>
      <c r="F141" s="3">
        <f>1.8*E141+32</f>
        <v>73.400000000000006</v>
      </c>
      <c r="G141" s="3">
        <v>20</v>
      </c>
      <c r="H141" s="3">
        <f>IF(F141&gt;68,G141+(F141-68)*0.2,U365-(68-F141)*0.2)</f>
        <v>21.080000000000002</v>
      </c>
      <c r="I141" s="3">
        <v>23</v>
      </c>
      <c r="J141" s="3">
        <f>1.8*I141+32</f>
        <v>73.400000000000006</v>
      </c>
      <c r="K141" s="3">
        <v>9</v>
      </c>
      <c r="L141" s="3">
        <f>IF(J141&gt;68,K141+(J141-68)*0.2,K141-(68-J141)*0.2)</f>
        <v>10.080000000000002</v>
      </c>
      <c r="M141" s="3">
        <f>(C141-H141)/C141*100</f>
        <v>57.839999999999989</v>
      </c>
      <c r="N141" s="3">
        <f>100-(M141+O141)</f>
        <v>22</v>
      </c>
      <c r="O141" s="3">
        <f>L141/C141*100</f>
        <v>20.160000000000004</v>
      </c>
      <c r="P141" s="2" t="s">
        <v>427</v>
      </c>
      <c r="Q141" s="37" t="s">
        <v>489</v>
      </c>
      <c r="R141" s="37" t="s">
        <v>488</v>
      </c>
      <c r="T141" s="4">
        <v>2006111</v>
      </c>
      <c r="U141" s="4" t="s">
        <v>123</v>
      </c>
      <c r="V141" s="4">
        <v>6.7970000000000003E-2</v>
      </c>
      <c r="W141" s="4">
        <v>0.38894000000000001</v>
      </c>
      <c r="X141" s="4">
        <v>2.5899999999999999E-2</v>
      </c>
      <c r="Y141" s="4">
        <v>1.3128</v>
      </c>
      <c r="Z141" s="4">
        <v>12.48822</v>
      </c>
      <c r="AA141" s="4">
        <v>8.36754</v>
      </c>
      <c r="AB141" s="4">
        <v>-1.57542</v>
      </c>
    </row>
    <row r="142" spans="1:28" x14ac:dyDescent="0.25">
      <c r="A142" s="15" t="s">
        <v>434</v>
      </c>
      <c r="B142" s="4" t="s">
        <v>433</v>
      </c>
      <c r="C142" s="5">
        <v>50</v>
      </c>
      <c r="D142" s="4">
        <v>20</v>
      </c>
      <c r="E142" s="3">
        <v>23</v>
      </c>
      <c r="F142" s="3">
        <f>1.8*E142+32</f>
        <v>73.400000000000006</v>
      </c>
      <c r="G142" s="3">
        <v>20</v>
      </c>
      <c r="H142" s="3">
        <f>IF(F142&gt;68,G142+(F142-68)*0.2,U366-(68-F142)*0.2)</f>
        <v>21.080000000000002</v>
      </c>
      <c r="I142" s="3">
        <v>23</v>
      </c>
      <c r="J142" s="3">
        <f>1.8*I142+32</f>
        <v>73.400000000000006</v>
      </c>
      <c r="K142" s="3">
        <v>11</v>
      </c>
      <c r="L142" s="3">
        <f>IF(J142&gt;68,K142+(J142-68)*0.2,K142-(68-J142)*0.2)</f>
        <v>12.080000000000002</v>
      </c>
      <c r="M142" s="3">
        <f>(C142-H142)/C142*100</f>
        <v>57.839999999999989</v>
      </c>
      <c r="N142" s="3">
        <f>100-(M142+O142)</f>
        <v>18</v>
      </c>
      <c r="O142" s="3">
        <f>L142/C142*100</f>
        <v>24.160000000000004</v>
      </c>
      <c r="P142" s="2" t="s">
        <v>427</v>
      </c>
      <c r="Q142" s="37" t="s">
        <v>489</v>
      </c>
      <c r="R142" s="37" t="s">
        <v>488</v>
      </c>
      <c r="T142" s="4">
        <v>2006111</v>
      </c>
      <c r="U142" s="4" t="s">
        <v>122</v>
      </c>
      <c r="V142" s="4">
        <v>6.2689999999999996E-2</v>
      </c>
      <c r="W142" s="4">
        <v>0.38773999999999997</v>
      </c>
      <c r="X142" s="4">
        <v>2.5819999999999999E-2</v>
      </c>
      <c r="Y142" s="4">
        <v>1.3415999999999999</v>
      </c>
      <c r="Z142" s="4">
        <v>16.0548</v>
      </c>
      <c r="AA142" s="4">
        <v>9.3096399999999999</v>
      </c>
      <c r="AB142" s="4">
        <v>-1.38086</v>
      </c>
    </row>
    <row r="143" spans="1:28" x14ac:dyDescent="0.25">
      <c r="A143" s="55">
        <v>40206</v>
      </c>
      <c r="B143" s="4" t="s">
        <v>432</v>
      </c>
      <c r="C143" s="5">
        <v>50</v>
      </c>
      <c r="D143" s="4">
        <v>20</v>
      </c>
      <c r="E143" s="3">
        <v>22</v>
      </c>
      <c r="F143" s="3">
        <f>1.8*E143+32</f>
        <v>71.599999999999994</v>
      </c>
      <c r="G143" s="3">
        <v>20</v>
      </c>
      <c r="H143" s="3">
        <f>IF(F143&gt;68,G143+(F143-68)*0.2,U367-(68-F143)*0.2)</f>
        <v>20.72</v>
      </c>
      <c r="I143" s="3">
        <v>23</v>
      </c>
      <c r="J143" s="3">
        <f>1.8*I143+32</f>
        <v>73.400000000000006</v>
      </c>
      <c r="K143" s="3">
        <v>10</v>
      </c>
      <c r="L143" s="3">
        <f>IF(J143&gt;68,K143+(J143-68)*0.2,K143-(68-J143)*0.2)</f>
        <v>11.080000000000002</v>
      </c>
      <c r="M143" s="3">
        <f>(C143-H143)/C143*100</f>
        <v>58.56</v>
      </c>
      <c r="N143" s="3">
        <f>100-(M143+O143)</f>
        <v>19.28</v>
      </c>
      <c r="O143" s="3">
        <f>L143/C143*100</f>
        <v>22.160000000000004</v>
      </c>
      <c r="P143" s="2" t="s">
        <v>427</v>
      </c>
      <c r="Q143" s="37" t="s">
        <v>489</v>
      </c>
      <c r="R143" s="37" t="s">
        <v>488</v>
      </c>
      <c r="T143" s="4">
        <v>2006111</v>
      </c>
      <c r="U143" s="4" t="s">
        <v>121</v>
      </c>
      <c r="V143" s="4">
        <v>6.2269999999999999E-2</v>
      </c>
      <c r="W143" s="4">
        <v>0.37030999999999997</v>
      </c>
      <c r="X143" s="4">
        <v>2.6450000000000001E-2</v>
      </c>
      <c r="Y143" s="4">
        <v>1.3861600000000001</v>
      </c>
      <c r="Z143" s="4">
        <v>22.414919999999999</v>
      </c>
      <c r="AA143" s="4">
        <v>9.4600399999999993</v>
      </c>
      <c r="AB143" s="4">
        <v>-1.30657</v>
      </c>
    </row>
    <row r="144" spans="1:28" x14ac:dyDescent="0.25">
      <c r="A144" s="54"/>
      <c r="B144" s="4" t="s">
        <v>431</v>
      </c>
      <c r="C144" s="5">
        <v>50</v>
      </c>
      <c r="D144" s="4">
        <v>20</v>
      </c>
      <c r="E144" s="3">
        <v>22</v>
      </c>
      <c r="F144" s="3">
        <f>1.8*E144+32</f>
        <v>71.599999999999994</v>
      </c>
      <c r="G144" s="3">
        <v>22</v>
      </c>
      <c r="H144" s="3">
        <f>IF(F144&gt;68,G144+(F144-68)*0.2,U368-(68-F144)*0.2)</f>
        <v>22.72</v>
      </c>
      <c r="I144" s="3">
        <v>23</v>
      </c>
      <c r="J144" s="3">
        <f>1.8*I144+32</f>
        <v>73.400000000000006</v>
      </c>
      <c r="K144" s="3">
        <v>12</v>
      </c>
      <c r="L144" s="3">
        <f>IF(J144&gt;68,K144+(J144-68)*0.2,K144-(68-J144)*0.2)</f>
        <v>13.080000000000002</v>
      </c>
      <c r="M144" s="3">
        <f>(C144-H144)/C144*100</f>
        <v>54.559999999999995</v>
      </c>
      <c r="N144" s="3">
        <f>100-(M144+O144)</f>
        <v>19.28</v>
      </c>
      <c r="O144" s="3">
        <f>L144/C144*100</f>
        <v>26.160000000000004</v>
      </c>
      <c r="P144" s="2" t="s">
        <v>427</v>
      </c>
      <c r="Q144" s="37" t="s">
        <v>489</v>
      </c>
      <c r="R144" s="37" t="s">
        <v>488</v>
      </c>
      <c r="T144" s="4">
        <v>2006111</v>
      </c>
      <c r="U144" s="4" t="s">
        <v>120</v>
      </c>
      <c r="V144" s="4">
        <v>6.2579999999999997E-2</v>
      </c>
      <c r="W144" s="4">
        <v>0.38686999999999999</v>
      </c>
      <c r="X144" s="4">
        <v>2.6249999999999999E-2</v>
      </c>
      <c r="Y144" s="4">
        <v>1.3392900000000001</v>
      </c>
      <c r="Z144" s="4">
        <v>16.32574</v>
      </c>
      <c r="AA144" s="4">
        <v>9.4607700000000001</v>
      </c>
      <c r="AB144" s="4">
        <v>-1.4059999999999999</v>
      </c>
    </row>
    <row r="145" spans="1:28" x14ac:dyDescent="0.25">
      <c r="A145" s="6"/>
      <c r="B145" s="4" t="s">
        <v>430</v>
      </c>
      <c r="C145" s="5">
        <v>50</v>
      </c>
      <c r="D145" s="4">
        <v>20</v>
      </c>
      <c r="E145" s="3">
        <v>23</v>
      </c>
      <c r="F145" s="3">
        <f>1.8*E145+32</f>
        <v>73.400000000000006</v>
      </c>
      <c r="G145" s="3">
        <v>22</v>
      </c>
      <c r="H145" s="3">
        <f>IF(F145&gt;68,G145+(F145-68)*0.2,U369-(68-F145)*0.2)</f>
        <v>23.080000000000002</v>
      </c>
      <c r="I145" s="3">
        <v>23</v>
      </c>
      <c r="J145" s="3">
        <f>1.8*I145+32</f>
        <v>73.400000000000006</v>
      </c>
      <c r="K145" s="3">
        <v>11</v>
      </c>
      <c r="L145" s="3">
        <f>IF(J145&gt;68,K145+(J145-68)*0.2,K145-(68-J145)*0.2)</f>
        <v>12.080000000000002</v>
      </c>
      <c r="M145" s="3">
        <f>(C145-H145)/C145*100</f>
        <v>53.839999999999996</v>
      </c>
      <c r="N145" s="3">
        <f>100-(M145+O145)</f>
        <v>22</v>
      </c>
      <c r="O145" s="3">
        <f>L145/C145*100</f>
        <v>24.160000000000004</v>
      </c>
      <c r="P145" s="2" t="s">
        <v>427</v>
      </c>
      <c r="Q145" s="37" t="s">
        <v>489</v>
      </c>
      <c r="R145" s="37" t="s">
        <v>488</v>
      </c>
      <c r="T145" s="4">
        <v>2006111</v>
      </c>
      <c r="U145" s="4" t="s">
        <v>119</v>
      </c>
      <c r="V145" s="4">
        <v>6.5979999999999997E-2</v>
      </c>
      <c r="W145" s="4">
        <v>0.39184000000000002</v>
      </c>
      <c r="X145" s="4">
        <v>2.4219999999999998E-2</v>
      </c>
      <c r="Y145" s="4">
        <v>1.33819</v>
      </c>
      <c r="Z145" s="4">
        <v>13.11374</v>
      </c>
      <c r="AA145" s="4">
        <v>8.2595700000000001</v>
      </c>
      <c r="AB145" s="4">
        <v>-1.3623799999999999</v>
      </c>
    </row>
    <row r="146" spans="1:28" x14ac:dyDescent="0.25">
      <c r="A146" s="6"/>
      <c r="B146" s="4" t="s">
        <v>428</v>
      </c>
      <c r="C146" s="5">
        <v>50</v>
      </c>
      <c r="D146" s="4">
        <v>20</v>
      </c>
      <c r="E146" s="3">
        <v>23</v>
      </c>
      <c r="F146" s="3">
        <f>1.8*E146+32</f>
        <v>73.400000000000006</v>
      </c>
      <c r="G146" s="3">
        <v>17</v>
      </c>
      <c r="H146" s="3">
        <f>IF(F146&gt;68,G146+(F146-68)*0.2,U370-(68-F146)*0.2)</f>
        <v>18.080000000000002</v>
      </c>
      <c r="I146" s="3">
        <v>23</v>
      </c>
      <c r="J146" s="3">
        <f>1.8*I146+32</f>
        <v>73.400000000000006</v>
      </c>
      <c r="K146" s="3">
        <v>12</v>
      </c>
      <c r="L146" s="3">
        <f>IF(J146&gt;68,K146+(J146-68)*0.2,K146-(68-J146)*0.2)</f>
        <v>13.080000000000002</v>
      </c>
      <c r="M146" s="3">
        <f>(C146-H146)/C146*100</f>
        <v>63.839999999999996</v>
      </c>
      <c r="N146" s="3">
        <f>100-(M146+O146)</f>
        <v>10</v>
      </c>
      <c r="O146" s="3">
        <f>L146/C146*100</f>
        <v>26.160000000000004</v>
      </c>
      <c r="P146" s="2" t="s">
        <v>427</v>
      </c>
      <c r="Q146" s="37" t="s">
        <v>489</v>
      </c>
      <c r="R146" s="37" t="s">
        <v>488</v>
      </c>
      <c r="T146" s="4">
        <v>2006111</v>
      </c>
      <c r="U146" s="4" t="s">
        <v>118</v>
      </c>
      <c r="V146" s="4">
        <v>7.5389999999999999E-2</v>
      </c>
      <c r="W146" s="4">
        <v>0.40920000000000001</v>
      </c>
      <c r="X146" s="4">
        <v>2.0039999999999999E-2</v>
      </c>
      <c r="Y146" s="4">
        <v>1.3368899999999999</v>
      </c>
      <c r="Z146" s="4">
        <v>7.14053</v>
      </c>
      <c r="AA146" s="4">
        <v>5.9297000000000004</v>
      </c>
      <c r="AB146" s="4">
        <v>-1.2432700000000001</v>
      </c>
    </row>
    <row r="147" spans="1:28" x14ac:dyDescent="0.25">
      <c r="A147" s="36"/>
      <c r="Q147" s="22"/>
      <c r="R147" s="22"/>
      <c r="T147" s="4">
        <v>2006111</v>
      </c>
      <c r="U147" s="4" t="s">
        <v>117</v>
      </c>
      <c r="V147" s="4">
        <v>8.7069999999999995E-2</v>
      </c>
      <c r="W147" s="4">
        <v>0.43739</v>
      </c>
      <c r="X147" s="4">
        <v>2.1180000000000001E-2</v>
      </c>
      <c r="Y147" s="4">
        <v>1.27115</v>
      </c>
      <c r="Z147" s="4">
        <v>6.7538900000000002</v>
      </c>
      <c r="AA147" s="4">
        <v>5.4307299999999996</v>
      </c>
      <c r="AB147" s="4">
        <v>-1.71041</v>
      </c>
    </row>
    <row r="148" spans="1:28" ht="51.75" x14ac:dyDescent="0.25">
      <c r="A148" s="15" t="s">
        <v>19</v>
      </c>
      <c r="B148" s="10" t="s">
        <v>443</v>
      </c>
      <c r="C148" s="14" t="s">
        <v>17</v>
      </c>
      <c r="D148" s="13" t="s">
        <v>16</v>
      </c>
      <c r="E148" s="12" t="s">
        <v>15</v>
      </c>
      <c r="F148" s="12" t="s">
        <v>14</v>
      </c>
      <c r="G148" s="12" t="s">
        <v>442</v>
      </c>
      <c r="H148" s="12" t="s">
        <v>441</v>
      </c>
      <c r="I148" s="12" t="s">
        <v>440</v>
      </c>
      <c r="J148" s="12" t="s">
        <v>439</v>
      </c>
      <c r="K148" s="12" t="s">
        <v>438</v>
      </c>
      <c r="L148" s="12" t="s">
        <v>437</v>
      </c>
      <c r="M148" s="11" t="s">
        <v>7</v>
      </c>
      <c r="N148" s="11" t="s">
        <v>6</v>
      </c>
      <c r="O148" s="11" t="s">
        <v>5</v>
      </c>
      <c r="P148" s="10" t="s">
        <v>4</v>
      </c>
      <c r="Q148" s="24" t="s">
        <v>3</v>
      </c>
      <c r="R148" s="23"/>
      <c r="T148" s="4">
        <v>2006111</v>
      </c>
      <c r="U148" s="4" t="s">
        <v>116</v>
      </c>
      <c r="V148" s="4">
        <v>6.7979999999999999E-2</v>
      </c>
      <c r="W148" s="4">
        <v>0.40273999999999999</v>
      </c>
      <c r="X148" s="4">
        <v>1.7999999999999999E-2</v>
      </c>
      <c r="Y148" s="4">
        <v>1.38561</v>
      </c>
      <c r="Z148" s="4">
        <v>9.92361</v>
      </c>
      <c r="AA148" s="4">
        <v>5.9102600000000001</v>
      </c>
      <c r="AB148" s="4">
        <v>-0.95</v>
      </c>
    </row>
    <row r="149" spans="1:28" x14ac:dyDescent="0.25">
      <c r="A149" s="56">
        <v>22</v>
      </c>
      <c r="B149" s="10"/>
      <c r="C149" s="14"/>
      <c r="D149" s="13" t="s">
        <v>436</v>
      </c>
      <c r="E149" s="12"/>
      <c r="F149" s="12"/>
      <c r="G149" s="12"/>
      <c r="H149" s="12"/>
      <c r="I149" s="12"/>
      <c r="J149" s="12"/>
      <c r="K149" s="12"/>
      <c r="L149" s="12"/>
      <c r="M149" s="11"/>
      <c r="N149" s="11"/>
      <c r="O149" s="11"/>
      <c r="P149" s="10"/>
      <c r="Q149" s="7" t="s">
        <v>2</v>
      </c>
      <c r="R149" s="7" t="s">
        <v>1</v>
      </c>
      <c r="T149" s="4">
        <v>2006111</v>
      </c>
      <c r="U149" s="4" t="s">
        <v>115</v>
      </c>
      <c r="V149" s="4">
        <v>6.3289999999999999E-2</v>
      </c>
      <c r="W149" s="4">
        <v>0.39167999999999997</v>
      </c>
      <c r="X149" s="4">
        <v>2.3539999999999998E-2</v>
      </c>
      <c r="Y149" s="4">
        <v>1.3549500000000001</v>
      </c>
      <c r="Z149" s="4">
        <v>14.67445</v>
      </c>
      <c r="AA149" s="4">
        <v>8.4462600000000005</v>
      </c>
      <c r="AB149" s="4">
        <v>-1.24654</v>
      </c>
    </row>
    <row r="150" spans="1:28" x14ac:dyDescent="0.25">
      <c r="A150" s="56"/>
      <c r="B150" s="4" t="s">
        <v>435</v>
      </c>
      <c r="C150" s="5">
        <v>50</v>
      </c>
      <c r="D150" s="4">
        <v>20</v>
      </c>
      <c r="E150" s="3">
        <v>23</v>
      </c>
      <c r="F150" s="3">
        <f>1.8*E150+32</f>
        <v>73.400000000000006</v>
      </c>
      <c r="G150" s="3">
        <v>20</v>
      </c>
      <c r="H150" s="3">
        <f>IF(F150&gt;68,G150+(F150-68)*0.2,U374-(68-F150)*0.2)</f>
        <v>21.080000000000002</v>
      </c>
      <c r="I150" s="3">
        <v>23</v>
      </c>
      <c r="J150" s="3">
        <f>1.8*I150+32</f>
        <v>73.400000000000006</v>
      </c>
      <c r="K150" s="3">
        <v>10</v>
      </c>
      <c r="L150" s="3">
        <f>IF(J150&gt;68,K150+(J150-68)*0.2,K150-(68-J150)*0.2)</f>
        <v>11.080000000000002</v>
      </c>
      <c r="M150" s="3">
        <f>(C150-H150)/C150*100</f>
        <v>57.839999999999989</v>
      </c>
      <c r="N150" s="3">
        <f>100-(M150+O150)</f>
        <v>20</v>
      </c>
      <c r="O150" s="3">
        <f>L150/C150*100</f>
        <v>22.160000000000004</v>
      </c>
      <c r="P150" s="2" t="s">
        <v>427</v>
      </c>
      <c r="Q150" s="37" t="s">
        <v>487</v>
      </c>
      <c r="R150" s="37" t="s">
        <v>486</v>
      </c>
      <c r="T150" s="4">
        <v>2006111</v>
      </c>
      <c r="U150" s="4" t="s">
        <v>114</v>
      </c>
      <c r="V150" s="4">
        <v>6.2579999999999997E-2</v>
      </c>
      <c r="W150" s="4">
        <v>0.38686999999999999</v>
      </c>
      <c r="X150" s="4">
        <v>2.6249999999999999E-2</v>
      </c>
      <c r="Y150" s="4">
        <v>1.3392900000000001</v>
      </c>
      <c r="Z150" s="4">
        <v>16.32574</v>
      </c>
      <c r="AA150" s="4">
        <v>9.4607700000000001</v>
      </c>
      <c r="AB150" s="4">
        <v>-1.4059999999999999</v>
      </c>
    </row>
    <row r="151" spans="1:28" x14ac:dyDescent="0.25">
      <c r="A151" s="15" t="s">
        <v>434</v>
      </c>
      <c r="B151" s="4" t="s">
        <v>433</v>
      </c>
      <c r="C151" s="5">
        <v>50</v>
      </c>
      <c r="D151" s="4">
        <v>20</v>
      </c>
      <c r="E151" s="3">
        <v>23</v>
      </c>
      <c r="F151" s="3">
        <f>1.8*E151+32</f>
        <v>73.400000000000006</v>
      </c>
      <c r="G151" s="3">
        <v>20</v>
      </c>
      <c r="H151" s="3">
        <f>IF(F151&gt;68,G151+(F151-68)*0.2,U375-(68-F151)*0.2)</f>
        <v>21.080000000000002</v>
      </c>
      <c r="I151" s="3">
        <v>23</v>
      </c>
      <c r="J151" s="3">
        <f>1.8*I151+32</f>
        <v>73.400000000000006</v>
      </c>
      <c r="K151" s="3">
        <v>10</v>
      </c>
      <c r="L151" s="3">
        <f>IF(J151&gt;68,K151+(J151-68)*0.2,K151-(68-J151)*0.2)</f>
        <v>11.080000000000002</v>
      </c>
      <c r="M151" s="3">
        <f>(C151-H151)/C151*100</f>
        <v>57.839999999999989</v>
      </c>
      <c r="N151" s="3">
        <f>100-(M151+O151)</f>
        <v>20</v>
      </c>
      <c r="O151" s="3">
        <f>L151/C151*100</f>
        <v>22.160000000000004</v>
      </c>
      <c r="P151" s="2" t="s">
        <v>427</v>
      </c>
      <c r="Q151" s="37" t="s">
        <v>487</v>
      </c>
      <c r="R151" s="37" t="s">
        <v>486</v>
      </c>
      <c r="T151" s="4">
        <v>2006111</v>
      </c>
      <c r="U151" s="4" t="s">
        <v>113</v>
      </c>
      <c r="V151" s="4">
        <v>6.5979999999999997E-2</v>
      </c>
      <c r="W151" s="4">
        <v>0.39184000000000002</v>
      </c>
      <c r="X151" s="4">
        <v>2.4219999999999998E-2</v>
      </c>
      <c r="Y151" s="4">
        <v>1.33819</v>
      </c>
      <c r="Z151" s="4">
        <v>13.11374</v>
      </c>
      <c r="AA151" s="4">
        <v>8.2595700000000001</v>
      </c>
      <c r="AB151" s="4">
        <v>-1.3623799999999999</v>
      </c>
    </row>
    <row r="152" spans="1:28" x14ac:dyDescent="0.25">
      <c r="A152" s="55">
        <v>40206</v>
      </c>
      <c r="B152" s="4" t="s">
        <v>432</v>
      </c>
      <c r="C152" s="5">
        <v>50</v>
      </c>
      <c r="D152" s="4">
        <v>20</v>
      </c>
      <c r="E152" s="3">
        <v>23</v>
      </c>
      <c r="F152" s="3">
        <f>1.8*E152+32</f>
        <v>73.400000000000006</v>
      </c>
      <c r="G152" s="3">
        <v>24</v>
      </c>
      <c r="H152" s="3">
        <f>IF(F152&gt;68,G152+(F152-68)*0.2,U376-(68-F152)*0.2)</f>
        <v>25.080000000000002</v>
      </c>
      <c r="I152" s="3">
        <v>23</v>
      </c>
      <c r="J152" s="3">
        <f>1.8*I152+32</f>
        <v>73.400000000000006</v>
      </c>
      <c r="K152" s="3">
        <v>14</v>
      </c>
      <c r="L152" s="3">
        <f>IF(J152&gt;68,K152+(J152-68)*0.2,K152-(68-J152)*0.2)</f>
        <v>15.080000000000002</v>
      </c>
      <c r="M152" s="3">
        <f>(C152-H152)/C152*100</f>
        <v>49.839999999999996</v>
      </c>
      <c r="N152" s="3">
        <f>100-(M152+O152)</f>
        <v>20</v>
      </c>
      <c r="O152" s="3">
        <f>L152/C152*100</f>
        <v>30.160000000000004</v>
      </c>
      <c r="P152" s="2" t="s">
        <v>427</v>
      </c>
      <c r="Q152" s="37" t="s">
        <v>487</v>
      </c>
      <c r="R152" s="37" t="s">
        <v>486</v>
      </c>
      <c r="T152" s="4">
        <v>2006111</v>
      </c>
      <c r="U152" s="4" t="s">
        <v>112</v>
      </c>
      <c r="V152" s="4">
        <v>7.5389999999999999E-2</v>
      </c>
      <c r="W152" s="4">
        <v>0.40920000000000001</v>
      </c>
      <c r="X152" s="4">
        <v>2.0039999999999999E-2</v>
      </c>
      <c r="Y152" s="4">
        <v>1.3368899999999999</v>
      </c>
      <c r="Z152" s="4">
        <v>7.14053</v>
      </c>
      <c r="AA152" s="4">
        <v>5.9297000000000004</v>
      </c>
      <c r="AB152" s="4">
        <v>-1.2432700000000001</v>
      </c>
    </row>
    <row r="153" spans="1:28" x14ac:dyDescent="0.25">
      <c r="A153" s="54"/>
      <c r="B153" s="4" t="s">
        <v>431</v>
      </c>
      <c r="C153" s="5">
        <v>50</v>
      </c>
      <c r="D153" s="4">
        <v>20</v>
      </c>
      <c r="E153" s="3">
        <v>23</v>
      </c>
      <c r="F153" s="3">
        <f>1.8*E153+32</f>
        <v>73.400000000000006</v>
      </c>
      <c r="G153" s="3">
        <v>29</v>
      </c>
      <c r="H153" s="3">
        <f>IF(F153&gt;68,G153+(F153-68)*0.2,U377-(68-F153)*0.2)</f>
        <v>30.080000000000002</v>
      </c>
      <c r="I153" s="3">
        <v>23</v>
      </c>
      <c r="J153" s="3">
        <f>1.8*I153+32</f>
        <v>73.400000000000006</v>
      </c>
      <c r="K153" s="3">
        <v>18</v>
      </c>
      <c r="L153" s="3">
        <f>IF(J153&gt;68,K153+(J153-68)*0.2,K153-(68-J153)*0.2)</f>
        <v>19.080000000000002</v>
      </c>
      <c r="M153" s="3">
        <f>(C153-H153)/C153*100</f>
        <v>39.839999999999996</v>
      </c>
      <c r="N153" s="3">
        <f>100-(M153+O153)</f>
        <v>22</v>
      </c>
      <c r="O153" s="3">
        <f>L153/C153*100</f>
        <v>38.160000000000004</v>
      </c>
      <c r="P153" s="2" t="s">
        <v>483</v>
      </c>
      <c r="Q153" s="37" t="s">
        <v>487</v>
      </c>
      <c r="R153" s="37" t="s">
        <v>486</v>
      </c>
      <c r="T153" s="4">
        <v>2006111</v>
      </c>
      <c r="U153" s="4" t="s">
        <v>111</v>
      </c>
      <c r="V153" s="4">
        <v>8.7069999999999995E-2</v>
      </c>
      <c r="W153" s="4">
        <v>0.43739</v>
      </c>
      <c r="X153" s="4">
        <v>2.1180000000000001E-2</v>
      </c>
      <c r="Y153" s="4">
        <v>1.27115</v>
      </c>
      <c r="Z153" s="4">
        <v>6.7538900000000002</v>
      </c>
      <c r="AA153" s="4">
        <v>5.4307299999999996</v>
      </c>
      <c r="AB153" s="4">
        <v>-1.71041</v>
      </c>
    </row>
    <row r="154" spans="1:28" x14ac:dyDescent="0.25">
      <c r="A154" s="6"/>
      <c r="B154" s="4" t="s">
        <v>430</v>
      </c>
      <c r="C154" s="5">
        <v>50</v>
      </c>
      <c r="D154" s="4">
        <v>20</v>
      </c>
      <c r="E154" s="3">
        <v>23</v>
      </c>
      <c r="F154" s="3">
        <f>1.8*E154+32</f>
        <v>73.400000000000006</v>
      </c>
      <c r="G154" s="3">
        <v>22</v>
      </c>
      <c r="H154" s="3">
        <f>IF(F154&gt;68,G154+(F154-68)*0.2,U378-(68-F154)*0.2)</f>
        <v>23.080000000000002</v>
      </c>
      <c r="I154" s="3">
        <v>23</v>
      </c>
      <c r="J154" s="3">
        <f>1.8*I154+32</f>
        <v>73.400000000000006</v>
      </c>
      <c r="K154" s="3">
        <v>11</v>
      </c>
      <c r="L154" s="3">
        <f>IF(J154&gt;68,K154+(J154-68)*0.2,K154-(68-J154)*0.2)</f>
        <v>12.080000000000002</v>
      </c>
      <c r="M154" s="3">
        <f>(C154-H154)/C154*100</f>
        <v>53.839999999999996</v>
      </c>
      <c r="N154" s="3">
        <f>100-(M154+O154)</f>
        <v>22</v>
      </c>
      <c r="O154" s="3">
        <f>L154/C154*100</f>
        <v>24.160000000000004</v>
      </c>
      <c r="P154" s="2" t="s">
        <v>427</v>
      </c>
      <c r="Q154" s="37" t="s">
        <v>487</v>
      </c>
      <c r="R154" s="37" t="s">
        <v>486</v>
      </c>
      <c r="T154" s="4">
        <v>2006111</v>
      </c>
      <c r="U154" s="4" t="s">
        <v>110</v>
      </c>
      <c r="V154" s="4">
        <v>6.7979999999999999E-2</v>
      </c>
      <c r="W154" s="4">
        <v>0.40273999999999999</v>
      </c>
      <c r="X154" s="4">
        <v>1.7999999999999999E-2</v>
      </c>
      <c r="Y154" s="4">
        <v>1.38561</v>
      </c>
      <c r="Z154" s="4">
        <v>9.92361</v>
      </c>
      <c r="AA154" s="4">
        <v>5.9102600000000001</v>
      </c>
      <c r="AB154" s="4">
        <v>-0.95</v>
      </c>
    </row>
    <row r="155" spans="1:28" x14ac:dyDescent="0.25">
      <c r="A155" s="6"/>
      <c r="B155" s="4" t="s">
        <v>428</v>
      </c>
      <c r="C155" s="5">
        <v>50</v>
      </c>
      <c r="D155" s="4">
        <v>20</v>
      </c>
      <c r="E155" s="3">
        <v>23</v>
      </c>
      <c r="F155" s="3">
        <f>1.8*E155+32</f>
        <v>73.400000000000006</v>
      </c>
      <c r="G155" s="3">
        <v>10</v>
      </c>
      <c r="H155" s="3">
        <f>IF(F155&gt;68,G155+(F155-68)*0.2,U379-(68-F155)*0.2)</f>
        <v>11.080000000000002</v>
      </c>
      <c r="I155" s="3">
        <v>23</v>
      </c>
      <c r="J155" s="3">
        <f>1.8*I155+32</f>
        <v>73.400000000000006</v>
      </c>
      <c r="K155" s="3">
        <v>7</v>
      </c>
      <c r="L155" s="3">
        <f>IF(J155&gt;68,K155+(J155-68)*0.2,K155-(68-J155)*0.2)</f>
        <v>8.0800000000000018</v>
      </c>
      <c r="M155" s="3">
        <f>(C155-H155)/C155*100</f>
        <v>77.84</v>
      </c>
      <c r="N155" s="3">
        <f>100-(M155+O155)</f>
        <v>6</v>
      </c>
      <c r="O155" s="3">
        <f>L155/C155*100</f>
        <v>16.160000000000004</v>
      </c>
      <c r="P155" s="2" t="s">
        <v>429</v>
      </c>
      <c r="Q155" s="37" t="s">
        <v>487</v>
      </c>
      <c r="R155" s="37" t="s">
        <v>486</v>
      </c>
      <c r="T155" s="4">
        <v>2006111</v>
      </c>
      <c r="U155" s="4" t="s">
        <v>109</v>
      </c>
      <c r="V155" s="4">
        <v>6.3289999999999999E-2</v>
      </c>
      <c r="W155" s="4">
        <v>0.39167999999999997</v>
      </c>
      <c r="X155" s="4">
        <v>2.3539999999999998E-2</v>
      </c>
      <c r="Y155" s="4">
        <v>1.3549500000000001</v>
      </c>
      <c r="Z155" s="4">
        <v>14.67445</v>
      </c>
      <c r="AA155" s="4">
        <v>8.4462600000000005</v>
      </c>
      <c r="AB155" s="4">
        <v>-1.24654</v>
      </c>
    </row>
    <row r="156" spans="1:28" x14ac:dyDescent="0.25">
      <c r="A156" s="36"/>
      <c r="Q156" s="22"/>
      <c r="R156" s="22"/>
      <c r="T156" s="4">
        <v>2006111</v>
      </c>
      <c r="U156" s="4" t="s">
        <v>108</v>
      </c>
      <c r="V156" s="4">
        <v>5.289E-2</v>
      </c>
      <c r="W156" s="4">
        <v>0.38444</v>
      </c>
      <c r="X156" s="4">
        <v>2.8570000000000002E-2</v>
      </c>
      <c r="Y156" s="4">
        <v>1.3738300000000001</v>
      </c>
      <c r="Z156" s="4">
        <v>26.6294</v>
      </c>
      <c r="AA156" s="4">
        <v>12.557449999999999</v>
      </c>
      <c r="AB156" s="4">
        <v>-1.2484299999999999</v>
      </c>
    </row>
    <row r="157" spans="1:28" ht="51.75" x14ac:dyDescent="0.25">
      <c r="A157" s="15" t="s">
        <v>19</v>
      </c>
      <c r="B157" s="10" t="s">
        <v>443</v>
      </c>
      <c r="C157" s="14" t="s">
        <v>17</v>
      </c>
      <c r="D157" s="13" t="s">
        <v>16</v>
      </c>
      <c r="E157" s="12" t="s">
        <v>15</v>
      </c>
      <c r="F157" s="12" t="s">
        <v>14</v>
      </c>
      <c r="G157" s="12" t="s">
        <v>442</v>
      </c>
      <c r="H157" s="12" t="s">
        <v>441</v>
      </c>
      <c r="I157" s="12" t="s">
        <v>440</v>
      </c>
      <c r="J157" s="12" t="s">
        <v>439</v>
      </c>
      <c r="K157" s="12" t="s">
        <v>438</v>
      </c>
      <c r="L157" s="12" t="s">
        <v>437</v>
      </c>
      <c r="M157" s="11" t="s">
        <v>7</v>
      </c>
      <c r="N157" s="11" t="s">
        <v>6</v>
      </c>
      <c r="O157" s="11" t="s">
        <v>5</v>
      </c>
      <c r="P157" s="10" t="s">
        <v>4</v>
      </c>
      <c r="Q157" s="24" t="s">
        <v>3</v>
      </c>
      <c r="R157" s="23"/>
      <c r="T157" s="4">
        <v>2006111</v>
      </c>
      <c r="U157" s="4" t="s">
        <v>107</v>
      </c>
      <c r="V157" s="4">
        <v>4.9320000000000003E-2</v>
      </c>
      <c r="W157" s="4">
        <v>0.38499</v>
      </c>
      <c r="X157" s="4">
        <v>2.8719999999999999E-2</v>
      </c>
      <c r="Y157" s="4">
        <v>1.38503</v>
      </c>
      <c r="Z157" s="4">
        <v>30.18337</v>
      </c>
      <c r="AA157" s="4">
        <v>13.52744</v>
      </c>
      <c r="AB157" s="4">
        <v>-1.17675</v>
      </c>
    </row>
    <row r="158" spans="1:28" x14ac:dyDescent="0.25">
      <c r="A158" s="56">
        <v>23</v>
      </c>
      <c r="B158" s="10"/>
      <c r="C158" s="14"/>
      <c r="D158" s="13" t="s">
        <v>436</v>
      </c>
      <c r="E158" s="12"/>
      <c r="F158" s="12"/>
      <c r="G158" s="12"/>
      <c r="H158" s="12"/>
      <c r="I158" s="12"/>
      <c r="J158" s="12"/>
      <c r="K158" s="12"/>
      <c r="L158" s="12"/>
      <c r="M158" s="11"/>
      <c r="N158" s="11"/>
      <c r="O158" s="11"/>
      <c r="P158" s="10"/>
      <c r="Q158" s="7" t="s">
        <v>2</v>
      </c>
      <c r="R158" s="7" t="s">
        <v>1</v>
      </c>
      <c r="T158" s="4">
        <v>2006111</v>
      </c>
      <c r="U158" s="4" t="s">
        <v>106</v>
      </c>
      <c r="V158" s="4">
        <v>5.9389999999999998E-2</v>
      </c>
      <c r="W158" s="4">
        <v>0.38080999999999998</v>
      </c>
      <c r="X158" s="4">
        <v>2.8819999999999998E-2</v>
      </c>
      <c r="Y158" s="4">
        <v>1.3459700000000001</v>
      </c>
      <c r="Z158" s="4">
        <v>20.780349999999999</v>
      </c>
      <c r="AA158" s="4">
        <v>10.97963</v>
      </c>
      <c r="AB158" s="4">
        <v>-1.4410400000000001</v>
      </c>
    </row>
    <row r="159" spans="1:28" x14ac:dyDescent="0.25">
      <c r="A159" s="56"/>
      <c r="B159" s="4" t="s">
        <v>435</v>
      </c>
      <c r="C159" s="5">
        <v>50</v>
      </c>
      <c r="D159" s="4">
        <v>20</v>
      </c>
      <c r="E159" s="3">
        <v>23</v>
      </c>
      <c r="F159" s="3">
        <f>1.8*E159+32</f>
        <v>73.400000000000006</v>
      </c>
      <c r="G159" s="3">
        <v>18</v>
      </c>
      <c r="H159" s="3">
        <f>IF(F159&gt;68,G159+(F159-68)*0.2,U383-(68-F159)*0.2)</f>
        <v>19.080000000000002</v>
      </c>
      <c r="I159" s="3">
        <v>23</v>
      </c>
      <c r="J159" s="3">
        <f>1.8*I159+32</f>
        <v>73.400000000000006</v>
      </c>
      <c r="K159" s="3">
        <v>9</v>
      </c>
      <c r="L159" s="3">
        <f>IF(J159&gt;68,K159+(J159-68)*0.2,K159-(68-J159)*0.2)</f>
        <v>10.080000000000002</v>
      </c>
      <c r="M159" s="3">
        <f>(C159-H159)/C159*100</f>
        <v>61.839999999999996</v>
      </c>
      <c r="N159" s="3">
        <f>100-(M159+O159)</f>
        <v>18</v>
      </c>
      <c r="O159" s="3">
        <f>L159/C159*100</f>
        <v>20.160000000000004</v>
      </c>
      <c r="P159" s="2" t="s">
        <v>427</v>
      </c>
      <c r="Q159" s="37" t="s">
        <v>485</v>
      </c>
      <c r="R159" s="37" t="s">
        <v>484</v>
      </c>
      <c r="T159" s="4">
        <v>2006111</v>
      </c>
      <c r="U159" s="4" t="s">
        <v>105</v>
      </c>
      <c r="V159" s="4">
        <v>7.2190000000000004E-2</v>
      </c>
      <c r="W159" s="4">
        <v>0.40155000000000002</v>
      </c>
      <c r="X159" s="4">
        <v>2.179E-2</v>
      </c>
      <c r="Y159" s="4">
        <v>1.33283</v>
      </c>
      <c r="Z159" s="4">
        <v>8.9421499999999998</v>
      </c>
      <c r="AA159" s="4">
        <v>6.7452699999999997</v>
      </c>
      <c r="AB159" s="4">
        <v>-1.3257099999999999</v>
      </c>
    </row>
    <row r="160" spans="1:28" x14ac:dyDescent="0.25">
      <c r="A160" s="15" t="s">
        <v>434</v>
      </c>
      <c r="B160" s="4" t="s">
        <v>433</v>
      </c>
      <c r="C160" s="5">
        <v>50</v>
      </c>
      <c r="D160" s="4">
        <v>20</v>
      </c>
      <c r="E160" s="3">
        <v>23</v>
      </c>
      <c r="F160" s="3">
        <f>1.8*E160+32</f>
        <v>73.400000000000006</v>
      </c>
      <c r="G160" s="3">
        <v>13</v>
      </c>
      <c r="H160" s="3">
        <f>IF(F160&gt;68,G160+(F160-68)*0.2,U384-(68-F160)*0.2)</f>
        <v>14.080000000000002</v>
      </c>
      <c r="I160" s="3">
        <v>23</v>
      </c>
      <c r="J160" s="3">
        <f>1.8*I160+32</f>
        <v>73.400000000000006</v>
      </c>
      <c r="K160" s="3">
        <v>7</v>
      </c>
      <c r="L160" s="3">
        <f>IF(J160&gt;68,K160+(J160-68)*0.2,K160-(68-J160)*0.2)</f>
        <v>8.0800000000000018</v>
      </c>
      <c r="M160" s="3">
        <f>(C160-H160)/C160*100</f>
        <v>71.84</v>
      </c>
      <c r="N160" s="3">
        <f>100-(M160+O160)</f>
        <v>12</v>
      </c>
      <c r="O160" s="3">
        <f>L160/C160*100</f>
        <v>16.160000000000004</v>
      </c>
      <c r="P160" s="2" t="s">
        <v>429</v>
      </c>
      <c r="Q160" s="37" t="s">
        <v>485</v>
      </c>
      <c r="R160" s="37" t="s">
        <v>484</v>
      </c>
      <c r="T160" s="4">
        <v>2006111</v>
      </c>
      <c r="U160" s="4" t="s">
        <v>104</v>
      </c>
      <c r="V160" s="4">
        <v>6.2219999999999998E-2</v>
      </c>
      <c r="W160" s="4">
        <v>0.38206000000000001</v>
      </c>
      <c r="X160" s="4">
        <v>2.793E-2</v>
      </c>
      <c r="Y160" s="4">
        <v>1.33097</v>
      </c>
      <c r="Z160" s="4">
        <v>17.4663</v>
      </c>
      <c r="AA160" s="4">
        <v>9.9857499999999995</v>
      </c>
      <c r="AB160" s="4">
        <v>-1.50891</v>
      </c>
    </row>
    <row r="161" spans="1:28" x14ac:dyDescent="0.25">
      <c r="A161" s="55">
        <v>40206</v>
      </c>
      <c r="B161" s="4" t="s">
        <v>432</v>
      </c>
      <c r="C161" s="5">
        <v>50</v>
      </c>
      <c r="D161" s="4">
        <v>20</v>
      </c>
      <c r="E161" s="3">
        <v>23</v>
      </c>
      <c r="F161" s="3">
        <f>1.8*E161+32</f>
        <v>73.400000000000006</v>
      </c>
      <c r="G161" s="3">
        <v>11</v>
      </c>
      <c r="H161" s="3">
        <f>IF(F161&gt;68,G161+(F161-68)*0.2,U385-(68-F161)*0.2)</f>
        <v>12.080000000000002</v>
      </c>
      <c r="I161" s="3">
        <v>23</v>
      </c>
      <c r="J161" s="3">
        <f>1.8*I161+32</f>
        <v>73.400000000000006</v>
      </c>
      <c r="K161" s="3">
        <v>5</v>
      </c>
      <c r="L161" s="3">
        <f>IF(J161&gt;68,K161+(J161-68)*0.2,K161-(68-J161)*0.2)</f>
        <v>6.080000000000001</v>
      </c>
      <c r="M161" s="3">
        <f>(C161-H161)/C161*100</f>
        <v>75.84</v>
      </c>
      <c r="N161" s="3">
        <f>100-(M161+O161)</f>
        <v>12</v>
      </c>
      <c r="O161" s="3">
        <f>L161/C161*100</f>
        <v>12.160000000000002</v>
      </c>
      <c r="P161" s="2" t="s">
        <v>429</v>
      </c>
      <c r="Q161" s="37" t="s">
        <v>485</v>
      </c>
      <c r="R161" s="37" t="s">
        <v>484</v>
      </c>
      <c r="T161" s="4">
        <v>2006111</v>
      </c>
      <c r="U161" s="4" t="s">
        <v>103</v>
      </c>
      <c r="V161" s="4">
        <v>5.8459999999999998E-2</v>
      </c>
      <c r="W161" s="4">
        <v>0.37396000000000001</v>
      </c>
      <c r="X161" s="4">
        <v>2.895E-2</v>
      </c>
      <c r="Y161" s="4">
        <v>1.3956900000000001</v>
      </c>
      <c r="Z161" s="4">
        <v>27.038350000000001</v>
      </c>
      <c r="AA161" s="4">
        <v>11.52567</v>
      </c>
      <c r="AB161" s="4">
        <v>-1.2935300000000001</v>
      </c>
    </row>
    <row r="162" spans="1:28" x14ac:dyDescent="0.25">
      <c r="A162" s="54"/>
      <c r="B162" s="4" t="s">
        <v>431</v>
      </c>
      <c r="C162" s="5">
        <v>50</v>
      </c>
      <c r="D162" s="4">
        <v>20</v>
      </c>
      <c r="E162" s="3">
        <v>23</v>
      </c>
      <c r="F162" s="3">
        <f>1.8*E162+32</f>
        <v>73.400000000000006</v>
      </c>
      <c r="G162" s="3">
        <v>14</v>
      </c>
      <c r="H162" s="3">
        <f>IF(F162&gt;68,G162+(F162-68)*0.2,U386-(68-F162)*0.2)</f>
        <v>15.080000000000002</v>
      </c>
      <c r="I162" s="3">
        <v>23</v>
      </c>
      <c r="J162" s="3">
        <f>1.8*I162+32</f>
        <v>73.400000000000006</v>
      </c>
      <c r="K162" s="3">
        <v>6</v>
      </c>
      <c r="L162" s="3">
        <f>IF(J162&gt;68,K162+(J162-68)*0.2,K162-(68-J162)*0.2)</f>
        <v>7.080000000000001</v>
      </c>
      <c r="M162" s="3">
        <f>(C162-H162)/C162*100</f>
        <v>69.84</v>
      </c>
      <c r="N162" s="3">
        <f>100-(M162+O162)</f>
        <v>16</v>
      </c>
      <c r="O162" s="3">
        <f>L162/C162*100</f>
        <v>14.160000000000004</v>
      </c>
      <c r="P162" s="2" t="s">
        <v>429</v>
      </c>
      <c r="Q162" s="37" t="s">
        <v>485</v>
      </c>
      <c r="R162" s="37" t="s">
        <v>484</v>
      </c>
      <c r="T162" s="4">
        <v>2006111</v>
      </c>
      <c r="U162" s="4" t="s">
        <v>102</v>
      </c>
      <c r="V162" s="4">
        <v>5.3519999999999998E-2</v>
      </c>
      <c r="W162" s="4">
        <v>0.38023000000000001</v>
      </c>
      <c r="X162" s="4">
        <v>3.108E-2</v>
      </c>
      <c r="Y162" s="4">
        <v>1.38364</v>
      </c>
      <c r="Z162" s="4">
        <v>30.33614</v>
      </c>
      <c r="AA162" s="4">
        <v>13.75821</v>
      </c>
      <c r="AB162" s="4">
        <v>-1.3023100000000001</v>
      </c>
    </row>
    <row r="163" spans="1:28" x14ac:dyDescent="0.25">
      <c r="A163" s="6"/>
      <c r="B163" s="4" t="s">
        <v>430</v>
      </c>
      <c r="C163" s="5">
        <v>50</v>
      </c>
      <c r="D163" s="4">
        <v>20</v>
      </c>
      <c r="E163" s="3">
        <v>23</v>
      </c>
      <c r="F163" s="3">
        <f>1.8*E163+32</f>
        <v>73.400000000000006</v>
      </c>
      <c r="G163" s="3">
        <v>14</v>
      </c>
      <c r="H163" s="3">
        <f>IF(F163&gt;68,G163+(F163-68)*0.2,U387-(68-F163)*0.2)</f>
        <v>15.080000000000002</v>
      </c>
      <c r="I163" s="3">
        <v>23</v>
      </c>
      <c r="J163" s="3">
        <f>1.8*I163+32</f>
        <v>73.400000000000006</v>
      </c>
      <c r="K163" s="3">
        <v>7</v>
      </c>
      <c r="L163" s="3">
        <f>IF(J163&gt;68,K163+(J163-68)*0.2,K163-(68-J163)*0.2)</f>
        <v>8.0800000000000018</v>
      </c>
      <c r="M163" s="3">
        <f>(C163-H163)/C163*100</f>
        <v>69.84</v>
      </c>
      <c r="N163" s="3">
        <f>100-(M163+O163)</f>
        <v>14</v>
      </c>
      <c r="O163" s="3">
        <f>L163/C163*100</f>
        <v>16.160000000000004</v>
      </c>
      <c r="P163" s="2" t="s">
        <v>429</v>
      </c>
      <c r="Q163" s="37" t="s">
        <v>485</v>
      </c>
      <c r="R163" s="37" t="s">
        <v>484</v>
      </c>
      <c r="T163" s="4">
        <v>2006111</v>
      </c>
      <c r="U163" s="4" t="s">
        <v>101</v>
      </c>
      <c r="V163" s="4">
        <v>5.4600000000000003E-2</v>
      </c>
      <c r="W163" s="4">
        <v>0.37736999999999998</v>
      </c>
      <c r="X163" s="4">
        <v>3.1040000000000002E-2</v>
      </c>
      <c r="Y163" s="4">
        <v>1.40394</v>
      </c>
      <c r="Z163" s="4">
        <v>32.60031</v>
      </c>
      <c r="AA163" s="4">
        <v>13.66844</v>
      </c>
      <c r="AB163" s="4">
        <v>-1.2672000000000001</v>
      </c>
    </row>
    <row r="164" spans="1:28" x14ac:dyDescent="0.25">
      <c r="A164" s="6"/>
      <c r="B164" s="4" t="s">
        <v>428</v>
      </c>
      <c r="C164" s="5">
        <v>50</v>
      </c>
      <c r="D164" s="4">
        <v>20</v>
      </c>
      <c r="E164" s="3">
        <v>23</v>
      </c>
      <c r="F164" s="3">
        <f>1.8*E164+32</f>
        <v>73.400000000000006</v>
      </c>
      <c r="G164" s="3">
        <v>16</v>
      </c>
      <c r="H164" s="3">
        <f>IF(F164&gt;68,G164+(F164-68)*0.2,U388-(68-F164)*0.2)</f>
        <v>17.080000000000002</v>
      </c>
      <c r="I164" s="3">
        <v>23</v>
      </c>
      <c r="J164" s="3">
        <f>1.8*I164+32</f>
        <v>73.400000000000006</v>
      </c>
      <c r="K164" s="3">
        <v>9</v>
      </c>
      <c r="L164" s="3">
        <f>IF(J164&gt;68,K164+(J164-68)*0.2,K164-(68-J164)*0.2)</f>
        <v>10.080000000000002</v>
      </c>
      <c r="M164" s="3">
        <f>(C164-H164)/C164*100</f>
        <v>65.84</v>
      </c>
      <c r="N164" s="3">
        <f>100-(M164+O164)</f>
        <v>14</v>
      </c>
      <c r="O164" s="3">
        <f>L164/C164*100</f>
        <v>20.160000000000004</v>
      </c>
      <c r="P164" s="2" t="s">
        <v>427</v>
      </c>
      <c r="Q164" s="37" t="s">
        <v>485</v>
      </c>
      <c r="R164" s="37" t="s">
        <v>484</v>
      </c>
      <c r="T164" s="4">
        <v>2006111</v>
      </c>
      <c r="U164" s="4" t="s">
        <v>100</v>
      </c>
      <c r="V164" s="4">
        <v>5.1769999999999997E-2</v>
      </c>
      <c r="W164" s="4">
        <v>0.37835999999999997</v>
      </c>
      <c r="X164" s="4">
        <v>3.2460000000000003E-2</v>
      </c>
      <c r="Y164" s="4">
        <v>1.4348099999999999</v>
      </c>
      <c r="Z164" s="4">
        <v>40.52872</v>
      </c>
      <c r="AA164" s="4">
        <v>15.69314</v>
      </c>
      <c r="AB164" s="4">
        <v>-1.19289</v>
      </c>
    </row>
    <row r="165" spans="1:28" x14ac:dyDescent="0.25">
      <c r="A165" s="36"/>
      <c r="Q165" s="22"/>
      <c r="R165" s="22"/>
      <c r="T165" s="4">
        <v>2006111</v>
      </c>
      <c r="U165" s="4" t="s">
        <v>99</v>
      </c>
      <c r="V165" s="4">
        <v>5.9589999999999997E-2</v>
      </c>
      <c r="W165" s="4">
        <v>0.37863000000000002</v>
      </c>
      <c r="X165" s="4">
        <v>2.9059999999999999E-2</v>
      </c>
      <c r="Y165" s="4">
        <v>1.3481099999999999</v>
      </c>
      <c r="Z165" s="4">
        <v>21.176950000000001</v>
      </c>
      <c r="AA165" s="4">
        <v>10.99268</v>
      </c>
      <c r="AB165" s="4">
        <v>-1.44875</v>
      </c>
    </row>
    <row r="166" spans="1:28" ht="51.75" x14ac:dyDescent="0.25">
      <c r="A166" s="15" t="s">
        <v>19</v>
      </c>
      <c r="B166" s="10" t="s">
        <v>443</v>
      </c>
      <c r="C166" s="14" t="s">
        <v>17</v>
      </c>
      <c r="D166" s="13" t="s">
        <v>16</v>
      </c>
      <c r="E166" s="12" t="s">
        <v>15</v>
      </c>
      <c r="F166" s="12" t="s">
        <v>14</v>
      </c>
      <c r="G166" s="12" t="s">
        <v>442</v>
      </c>
      <c r="H166" s="12" t="s">
        <v>441</v>
      </c>
      <c r="I166" s="12" t="s">
        <v>440</v>
      </c>
      <c r="J166" s="12" t="s">
        <v>439</v>
      </c>
      <c r="K166" s="12" t="s">
        <v>438</v>
      </c>
      <c r="L166" s="12" t="s">
        <v>437</v>
      </c>
      <c r="M166" s="11" t="s">
        <v>7</v>
      </c>
      <c r="N166" s="11" t="s">
        <v>6</v>
      </c>
      <c r="O166" s="11" t="s">
        <v>5</v>
      </c>
      <c r="P166" s="10" t="s">
        <v>4</v>
      </c>
      <c r="Q166" s="17" t="s">
        <v>3</v>
      </c>
      <c r="R166" s="17"/>
      <c r="T166" s="4">
        <v>2006111</v>
      </c>
      <c r="U166" s="4" t="s">
        <v>98</v>
      </c>
      <c r="V166" s="4">
        <v>5.1769999999999997E-2</v>
      </c>
      <c r="W166" s="4">
        <v>0.37835999999999997</v>
      </c>
      <c r="X166" s="4">
        <v>3.2460000000000003E-2</v>
      </c>
      <c r="Y166" s="4">
        <v>1.4348099999999999</v>
      </c>
      <c r="Z166" s="4">
        <v>40.52872</v>
      </c>
      <c r="AA166" s="4">
        <v>15.69314</v>
      </c>
      <c r="AB166" s="4">
        <v>-1.19289</v>
      </c>
    </row>
    <row r="167" spans="1:28" x14ac:dyDescent="0.25">
      <c r="A167" s="56">
        <v>24</v>
      </c>
      <c r="B167" s="10"/>
      <c r="C167" s="14"/>
      <c r="D167" s="13" t="s">
        <v>436</v>
      </c>
      <c r="E167" s="12"/>
      <c r="F167" s="12"/>
      <c r="G167" s="12"/>
      <c r="H167" s="12"/>
      <c r="I167" s="12"/>
      <c r="J167" s="12"/>
      <c r="K167" s="12"/>
      <c r="L167" s="12"/>
      <c r="M167" s="11"/>
      <c r="N167" s="11"/>
      <c r="O167" s="11"/>
      <c r="P167" s="10"/>
      <c r="Q167" s="7" t="s">
        <v>2</v>
      </c>
      <c r="R167" s="7" t="s">
        <v>1</v>
      </c>
      <c r="T167" s="4">
        <v>2006111</v>
      </c>
      <c r="U167" s="4" t="s">
        <v>97</v>
      </c>
      <c r="V167" s="4">
        <v>6.062E-2</v>
      </c>
      <c r="W167" s="4">
        <v>0.37415999999999999</v>
      </c>
      <c r="X167" s="4">
        <v>2.8289999999999999E-2</v>
      </c>
      <c r="Y167" s="4">
        <v>1.3621399999999999</v>
      </c>
      <c r="Z167" s="4">
        <v>21.690059999999999</v>
      </c>
      <c r="AA167" s="4">
        <v>10.449680000000001</v>
      </c>
      <c r="AB167" s="4">
        <v>-1.4011199999999999</v>
      </c>
    </row>
    <row r="168" spans="1:28" x14ac:dyDescent="0.25">
      <c r="A168" s="56"/>
      <c r="B168" s="4" t="s">
        <v>435</v>
      </c>
      <c r="C168" s="5">
        <v>50</v>
      </c>
      <c r="D168" s="4">
        <v>20</v>
      </c>
      <c r="E168" s="3">
        <v>21</v>
      </c>
      <c r="F168" s="3">
        <f>1.8*E168+32</f>
        <v>69.800000000000011</v>
      </c>
      <c r="G168" s="3">
        <v>16</v>
      </c>
      <c r="H168" s="3">
        <f>IF(F168&gt;68,G168+(F168-68)*0.2,U392-(68-F168)*0.2)</f>
        <v>16.360000000000003</v>
      </c>
      <c r="I168" s="3">
        <v>23</v>
      </c>
      <c r="J168" s="3">
        <f>1.8*I168+32</f>
        <v>73.400000000000006</v>
      </c>
      <c r="K168" s="3">
        <v>7</v>
      </c>
      <c r="L168" s="3">
        <f>IF(J168&gt;68,K168+(J168-68)*0.2,K168-(68-J168)*0.2)</f>
        <v>8.0800000000000018</v>
      </c>
      <c r="M168" s="3">
        <f>(C168-H168)/C168*100</f>
        <v>67.28</v>
      </c>
      <c r="N168" s="3">
        <f>100-(M168+O168)</f>
        <v>16.560000000000002</v>
      </c>
      <c r="O168" s="3">
        <f>L168/C168*100</f>
        <v>16.160000000000004</v>
      </c>
      <c r="P168" s="2" t="s">
        <v>429</v>
      </c>
      <c r="Q168" s="37" t="s">
        <v>482</v>
      </c>
      <c r="R168" s="37" t="s">
        <v>481</v>
      </c>
      <c r="T168" s="4">
        <v>2006111</v>
      </c>
      <c r="U168" s="4" t="s">
        <v>96</v>
      </c>
      <c r="V168" s="4">
        <v>6.062E-2</v>
      </c>
      <c r="W168" s="4">
        <v>0.37415999999999999</v>
      </c>
      <c r="X168" s="4">
        <v>2.8289999999999999E-2</v>
      </c>
      <c r="Y168" s="4">
        <v>1.3621399999999999</v>
      </c>
      <c r="Z168" s="4">
        <v>21.690059999999999</v>
      </c>
      <c r="AA168" s="4">
        <v>10.449680000000001</v>
      </c>
      <c r="AB168" s="4">
        <v>-1.4011199999999999</v>
      </c>
    </row>
    <row r="169" spans="1:28" x14ac:dyDescent="0.25">
      <c r="A169" s="15" t="s">
        <v>434</v>
      </c>
      <c r="B169" s="4" t="s">
        <v>433</v>
      </c>
      <c r="C169" s="5">
        <v>50</v>
      </c>
      <c r="D169" s="4">
        <v>20</v>
      </c>
      <c r="E169" s="3">
        <v>21</v>
      </c>
      <c r="F169" s="3">
        <f>1.8*E169+32</f>
        <v>69.800000000000011</v>
      </c>
      <c r="G169" s="3">
        <v>20</v>
      </c>
      <c r="H169" s="3">
        <f>IF(F169&gt;68,G169+(F169-68)*0.2,U393-(68-F169)*0.2)</f>
        <v>20.360000000000003</v>
      </c>
      <c r="I169" s="3">
        <v>23</v>
      </c>
      <c r="J169" s="3">
        <f>1.8*I169+32</f>
        <v>73.400000000000006</v>
      </c>
      <c r="K169" s="3">
        <v>11</v>
      </c>
      <c r="L169" s="3">
        <f>IF(J169&gt;68,K169+(J169-68)*0.2,K169-(68-J169)*0.2)</f>
        <v>12.080000000000002</v>
      </c>
      <c r="M169" s="3">
        <f>(C169-H169)/C169*100</f>
        <v>59.28</v>
      </c>
      <c r="N169" s="3">
        <f>100-(M169+O169)</f>
        <v>16.560000000000002</v>
      </c>
      <c r="O169" s="3">
        <f>L169/C169*100</f>
        <v>24.160000000000004</v>
      </c>
      <c r="P169" s="2" t="s">
        <v>427</v>
      </c>
      <c r="Q169" s="37" t="s">
        <v>482</v>
      </c>
      <c r="R169" s="37" t="s">
        <v>481</v>
      </c>
      <c r="T169" s="4">
        <v>2006111</v>
      </c>
      <c r="U169" s="4" t="s">
        <v>95</v>
      </c>
      <c r="V169" s="4">
        <v>6.4839999999999995E-2</v>
      </c>
      <c r="W169" s="4">
        <v>0.38118000000000002</v>
      </c>
      <c r="X169" s="4">
        <v>2.7650000000000001E-2</v>
      </c>
      <c r="Y169" s="4">
        <v>1.3147200000000001</v>
      </c>
      <c r="Z169" s="4">
        <v>15.338039999999999</v>
      </c>
      <c r="AA169" s="4">
        <v>9.2503499999999992</v>
      </c>
      <c r="AB169" s="4">
        <v>-1.6166700000000001</v>
      </c>
    </row>
    <row r="170" spans="1:28" x14ac:dyDescent="0.25">
      <c r="A170" s="55">
        <v>40207</v>
      </c>
      <c r="B170" s="4" t="s">
        <v>432</v>
      </c>
      <c r="C170" s="5">
        <v>50</v>
      </c>
      <c r="D170" s="4">
        <v>20</v>
      </c>
      <c r="E170" s="3">
        <v>23</v>
      </c>
      <c r="F170" s="3">
        <f>1.8*E170+32</f>
        <v>73.400000000000006</v>
      </c>
      <c r="G170" s="3">
        <v>30</v>
      </c>
      <c r="H170" s="3">
        <f>IF(F170&gt;68,G170+(F170-68)*0.2,U394-(68-F170)*0.2)</f>
        <v>31.080000000000002</v>
      </c>
      <c r="I170" s="3">
        <v>23</v>
      </c>
      <c r="J170" s="3">
        <f>1.8*I170+32</f>
        <v>73.400000000000006</v>
      </c>
      <c r="K170" s="3">
        <v>17</v>
      </c>
      <c r="L170" s="3">
        <f>IF(J170&gt;68,K170+(J170-68)*0.2,K170-(68-J170)*0.2)</f>
        <v>18.080000000000002</v>
      </c>
      <c r="M170" s="3">
        <f>(C170-H170)/C170*100</f>
        <v>37.839999999999996</v>
      </c>
      <c r="N170" s="3">
        <f>100-(M170+O170)</f>
        <v>26</v>
      </c>
      <c r="O170" s="3">
        <f>L170/C170*100</f>
        <v>36.160000000000004</v>
      </c>
      <c r="P170" s="2" t="s">
        <v>483</v>
      </c>
      <c r="Q170" s="37" t="s">
        <v>482</v>
      </c>
      <c r="R170" s="37" t="s">
        <v>481</v>
      </c>
      <c r="T170" s="4">
        <v>2006111</v>
      </c>
      <c r="U170" s="4" t="s">
        <v>93</v>
      </c>
      <c r="V170" s="4">
        <v>5.0189999999999999E-2</v>
      </c>
      <c r="W170" s="4">
        <v>0.38135000000000002</v>
      </c>
      <c r="X170" s="4">
        <v>3.2300000000000002E-2</v>
      </c>
      <c r="Y170" s="4">
        <v>1.40073</v>
      </c>
      <c r="Z170" s="4">
        <v>35.717739999999999</v>
      </c>
      <c r="AA170" s="4">
        <v>15.56179</v>
      </c>
      <c r="AB170" s="4">
        <v>-1.24082</v>
      </c>
    </row>
    <row r="171" spans="1:28" x14ac:dyDescent="0.25">
      <c r="A171" s="54"/>
      <c r="B171" s="4" t="s">
        <v>431</v>
      </c>
      <c r="C171" s="5">
        <v>50</v>
      </c>
      <c r="D171" s="4">
        <v>20</v>
      </c>
      <c r="E171" s="3">
        <v>23</v>
      </c>
      <c r="F171" s="3">
        <f>1.8*E171+32</f>
        <v>73.400000000000006</v>
      </c>
      <c r="G171" s="3">
        <v>26</v>
      </c>
      <c r="H171" s="3">
        <f>IF(F171&gt;68,G171+(F171-68)*0.2,U395-(68-F171)*0.2)</f>
        <v>27.080000000000002</v>
      </c>
      <c r="I171" s="3">
        <v>23</v>
      </c>
      <c r="J171" s="3">
        <f>1.8*I171+32</f>
        <v>73.400000000000006</v>
      </c>
      <c r="K171" s="3">
        <v>16</v>
      </c>
      <c r="L171" s="3">
        <f>IF(J171&gt;68,K171+(J171-68)*0.2,K171-(68-J171)*0.2)</f>
        <v>17.080000000000002</v>
      </c>
      <c r="M171" s="3">
        <f>(C171-H171)/C171*100</f>
        <v>45.839999999999996</v>
      </c>
      <c r="N171" s="3">
        <f>100-(M171+O171)</f>
        <v>20</v>
      </c>
      <c r="O171" s="3">
        <f>L171/C171*100</f>
        <v>34.160000000000004</v>
      </c>
      <c r="P171" s="2" t="s">
        <v>483</v>
      </c>
      <c r="Q171" s="37" t="s">
        <v>482</v>
      </c>
      <c r="R171" s="37" t="s">
        <v>481</v>
      </c>
      <c r="T171" s="4">
        <v>2006111</v>
      </c>
      <c r="U171" s="4" t="s">
        <v>92</v>
      </c>
      <c r="V171" s="4">
        <v>7.5950000000000004E-2</v>
      </c>
      <c r="W171" s="4">
        <v>0.40282000000000001</v>
      </c>
      <c r="X171" s="4">
        <v>2.393E-2</v>
      </c>
      <c r="Y171" s="4">
        <v>1.29389</v>
      </c>
      <c r="Z171" s="4">
        <v>8.3777799999999996</v>
      </c>
      <c r="AA171" s="4">
        <v>6.8893500000000003</v>
      </c>
      <c r="AB171" s="4">
        <v>-1.6551400000000001</v>
      </c>
    </row>
    <row r="172" spans="1:28" x14ac:dyDescent="0.25">
      <c r="A172" s="6"/>
      <c r="B172" s="4" t="s">
        <v>430</v>
      </c>
      <c r="C172" s="5">
        <v>50</v>
      </c>
      <c r="D172" s="4">
        <v>20</v>
      </c>
      <c r="E172" s="3">
        <v>23</v>
      </c>
      <c r="F172" s="3">
        <f>1.8*E172+32</f>
        <v>73.400000000000006</v>
      </c>
      <c r="G172" s="3">
        <v>22</v>
      </c>
      <c r="H172" s="3">
        <f>IF(F172&gt;68,G172+(F172-68)*0.2,U396-(68-F172)*0.2)</f>
        <v>23.080000000000002</v>
      </c>
      <c r="I172" s="3">
        <v>23</v>
      </c>
      <c r="J172" s="3">
        <f>1.8*I172+32</f>
        <v>73.400000000000006</v>
      </c>
      <c r="K172" s="3">
        <v>11</v>
      </c>
      <c r="L172" s="3">
        <f>IF(J172&gt;68,K172+(J172-68)*0.2,K172-(68-J172)*0.2)</f>
        <v>12.080000000000002</v>
      </c>
      <c r="M172" s="3">
        <f>(C172-H172)/C172*100</f>
        <v>53.839999999999996</v>
      </c>
      <c r="N172" s="3">
        <f>100-(M172+O172)</f>
        <v>22</v>
      </c>
      <c r="O172" s="3">
        <f>L172/C172*100</f>
        <v>24.160000000000004</v>
      </c>
      <c r="P172" s="2" t="s">
        <v>427</v>
      </c>
      <c r="Q172" s="37" t="s">
        <v>482</v>
      </c>
      <c r="R172" s="37" t="s">
        <v>481</v>
      </c>
      <c r="T172" s="4">
        <v>2006111</v>
      </c>
      <c r="U172" s="4" t="s">
        <v>91</v>
      </c>
      <c r="V172" s="4">
        <v>6.2239999999999997E-2</v>
      </c>
      <c r="W172" s="4">
        <v>0.37964999999999999</v>
      </c>
      <c r="X172" s="4">
        <v>2.827E-2</v>
      </c>
      <c r="Y172" s="4">
        <v>1.32999</v>
      </c>
      <c r="Z172" s="4">
        <v>17.782689999999999</v>
      </c>
      <c r="AA172" s="4">
        <v>10.02229</v>
      </c>
      <c r="AB172" s="4">
        <v>-1.5324899999999999</v>
      </c>
    </row>
    <row r="173" spans="1:28" x14ac:dyDescent="0.25">
      <c r="A173" s="6"/>
      <c r="B173" s="4" t="s">
        <v>428</v>
      </c>
      <c r="C173" s="5">
        <v>50</v>
      </c>
      <c r="D173" s="4">
        <v>20</v>
      </c>
      <c r="E173" s="3">
        <v>23</v>
      </c>
      <c r="F173" s="3">
        <f>1.8*E173+32</f>
        <v>73.400000000000006</v>
      </c>
      <c r="G173" s="3">
        <v>12</v>
      </c>
      <c r="H173" s="3">
        <f>IF(F173&gt;68,G173+(F173-68)*0.2,U397-(68-F173)*0.2)</f>
        <v>13.080000000000002</v>
      </c>
      <c r="I173" s="3">
        <v>23</v>
      </c>
      <c r="J173" s="3">
        <f>1.8*I173+32</f>
        <v>73.400000000000006</v>
      </c>
      <c r="K173" s="3">
        <v>7</v>
      </c>
      <c r="L173" s="3">
        <f>IF(J173&gt;68,K173+(J173-68)*0.2,K173-(68-J173)*0.2)</f>
        <v>8.0800000000000018</v>
      </c>
      <c r="M173" s="3">
        <f>(C173-H173)/C173*100</f>
        <v>73.84</v>
      </c>
      <c r="N173" s="3">
        <f>100-(M173+O173)</f>
        <v>10</v>
      </c>
      <c r="O173" s="3">
        <f>L173/C173*100</f>
        <v>16.160000000000004</v>
      </c>
      <c r="P173" s="2" t="s">
        <v>429</v>
      </c>
      <c r="Q173" s="37" t="s">
        <v>482</v>
      </c>
      <c r="R173" s="37" t="s">
        <v>481</v>
      </c>
      <c r="T173" s="4">
        <v>2006111</v>
      </c>
      <c r="U173" s="4" t="s">
        <v>90</v>
      </c>
      <c r="V173" s="4">
        <v>6.2429999999999999E-2</v>
      </c>
      <c r="W173" s="4">
        <v>0.37724000000000002</v>
      </c>
      <c r="X173" s="4">
        <v>2.8219999999999999E-2</v>
      </c>
      <c r="Y173" s="4">
        <v>1.33148</v>
      </c>
      <c r="Z173" s="4">
        <v>17.98685</v>
      </c>
      <c r="AA173" s="4">
        <v>9.8941800000000004</v>
      </c>
      <c r="AB173" s="4">
        <v>-1.5344899999999999</v>
      </c>
    </row>
    <row r="174" spans="1:28" x14ac:dyDescent="0.25">
      <c r="A174" s="36"/>
      <c r="T174" s="4">
        <v>2006111</v>
      </c>
      <c r="U174" s="4" t="s">
        <v>89</v>
      </c>
      <c r="V174" s="4">
        <v>5.2990000000000002E-2</v>
      </c>
      <c r="W174" s="4">
        <v>0.38296000000000002</v>
      </c>
      <c r="X174" s="4">
        <v>2.9819999999999999E-2</v>
      </c>
      <c r="Y174" s="4">
        <v>1.37452</v>
      </c>
      <c r="Z174" s="4">
        <v>27.988</v>
      </c>
      <c r="AA174" s="4">
        <v>13.16987</v>
      </c>
      <c r="AB174" s="4">
        <v>-1.2848299999999999</v>
      </c>
    </row>
    <row r="175" spans="1:28" ht="51.75" x14ac:dyDescent="0.25">
      <c r="A175" s="15" t="s">
        <v>19</v>
      </c>
      <c r="B175" s="10" t="s">
        <v>443</v>
      </c>
      <c r="C175" s="14" t="s">
        <v>17</v>
      </c>
      <c r="D175" s="13" t="s">
        <v>16</v>
      </c>
      <c r="E175" s="12" t="s">
        <v>15</v>
      </c>
      <c r="F175" s="12" t="s">
        <v>14</v>
      </c>
      <c r="G175" s="12" t="s">
        <v>442</v>
      </c>
      <c r="H175" s="12" t="s">
        <v>441</v>
      </c>
      <c r="I175" s="12" t="s">
        <v>440</v>
      </c>
      <c r="J175" s="12" t="s">
        <v>439</v>
      </c>
      <c r="K175" s="12" t="s">
        <v>438</v>
      </c>
      <c r="L175" s="12" t="s">
        <v>437</v>
      </c>
      <c r="M175" s="11" t="s">
        <v>7</v>
      </c>
      <c r="N175" s="11" t="s">
        <v>6</v>
      </c>
      <c r="O175" s="11" t="s">
        <v>5</v>
      </c>
      <c r="P175" s="10" t="s">
        <v>4</v>
      </c>
      <c r="Q175" s="17" t="s">
        <v>3</v>
      </c>
      <c r="R175" s="17"/>
      <c r="T175" s="4">
        <v>2006111</v>
      </c>
      <c r="U175" s="4" t="s">
        <v>88</v>
      </c>
      <c r="V175" s="4">
        <v>4.9450000000000001E-2</v>
      </c>
      <c r="W175" s="4">
        <v>0.38386999999999999</v>
      </c>
      <c r="X175" s="4">
        <v>3.0290000000000001E-2</v>
      </c>
      <c r="Y175" s="4">
        <v>1.38646</v>
      </c>
      <c r="Z175" s="4">
        <v>31.890339999999998</v>
      </c>
      <c r="AA175" s="4">
        <v>14.401960000000001</v>
      </c>
      <c r="AB175" s="4">
        <v>-1.2174</v>
      </c>
    </row>
    <row r="176" spans="1:28" x14ac:dyDescent="0.25">
      <c r="A176" s="56">
        <v>25</v>
      </c>
      <c r="B176" s="10"/>
      <c r="C176" s="14"/>
      <c r="D176" s="13" t="s">
        <v>436</v>
      </c>
      <c r="E176" s="12"/>
      <c r="F176" s="12"/>
      <c r="G176" s="12"/>
      <c r="H176" s="12"/>
      <c r="I176" s="12"/>
      <c r="J176" s="12"/>
      <c r="K176" s="12"/>
      <c r="L176" s="12"/>
      <c r="M176" s="11"/>
      <c r="N176" s="11"/>
      <c r="O176" s="11"/>
      <c r="P176" s="10"/>
      <c r="Q176" s="7" t="s">
        <v>2</v>
      </c>
      <c r="R176" s="7" t="s">
        <v>1</v>
      </c>
      <c r="T176" s="4">
        <v>2006111</v>
      </c>
      <c r="U176" s="4" t="s">
        <v>87</v>
      </c>
      <c r="V176" s="4">
        <v>4.725E-2</v>
      </c>
      <c r="W176" s="4">
        <v>0.38177</v>
      </c>
      <c r="X176" s="4">
        <v>3.4139999999999997E-2</v>
      </c>
      <c r="Y176" s="4">
        <v>1.42991</v>
      </c>
      <c r="Z176" s="4">
        <v>43.478099999999998</v>
      </c>
      <c r="AA176" s="4">
        <v>18.073460000000001</v>
      </c>
      <c r="AB176" s="4">
        <v>-1.17483</v>
      </c>
    </row>
    <row r="177" spans="1:28" x14ac:dyDescent="0.25">
      <c r="A177" s="56"/>
      <c r="B177" s="4" t="s">
        <v>435</v>
      </c>
      <c r="C177" s="5">
        <v>50</v>
      </c>
      <c r="D177" s="4">
        <v>20</v>
      </c>
      <c r="E177" s="3">
        <v>23</v>
      </c>
      <c r="F177" s="3">
        <f>1.8*E177+32</f>
        <v>73.400000000000006</v>
      </c>
      <c r="G177" s="3">
        <v>16</v>
      </c>
      <c r="H177" s="3">
        <f>IF(F177&gt;68,G177+(F177-68)*0.2,U401-(68-F177)*0.2)</f>
        <v>17.080000000000002</v>
      </c>
      <c r="I177" s="3">
        <v>23</v>
      </c>
      <c r="J177" s="3">
        <f>1.8*I177+32</f>
        <v>73.400000000000006</v>
      </c>
      <c r="K177" s="3">
        <v>10</v>
      </c>
      <c r="L177" s="3">
        <f>IF(J177&gt;68,K177+(J177-68)*0.2,K177-(68-J177)*0.2)</f>
        <v>11.080000000000002</v>
      </c>
      <c r="M177" s="3">
        <f>(C177-H177)/C177*100</f>
        <v>65.84</v>
      </c>
      <c r="N177" s="3">
        <f>100-(M177+O177)</f>
        <v>12</v>
      </c>
      <c r="O177" s="3">
        <f>L177/C177*100</f>
        <v>22.160000000000004</v>
      </c>
      <c r="P177" s="2" t="s">
        <v>427</v>
      </c>
      <c r="Q177" s="21" t="s">
        <v>480</v>
      </c>
      <c r="R177" s="21" t="s">
        <v>479</v>
      </c>
      <c r="T177" s="4">
        <v>2006111</v>
      </c>
      <c r="U177" s="4" t="s">
        <v>86</v>
      </c>
      <c r="V177" s="4">
        <v>5.323E-2</v>
      </c>
      <c r="W177" s="4">
        <v>0.38140000000000002</v>
      </c>
      <c r="X177" s="4">
        <v>3.0710000000000001E-2</v>
      </c>
      <c r="Y177" s="4">
        <v>1.37849</v>
      </c>
      <c r="Z177" s="4">
        <v>29.348400000000002</v>
      </c>
      <c r="AA177" s="4">
        <v>13.590619999999999</v>
      </c>
      <c r="AB177" s="4">
        <v>-1.3020400000000001</v>
      </c>
    </row>
    <row r="178" spans="1:28" x14ac:dyDescent="0.25">
      <c r="A178" s="15" t="s">
        <v>434</v>
      </c>
      <c r="B178" s="4" t="s">
        <v>433</v>
      </c>
      <c r="C178" s="5">
        <v>50</v>
      </c>
      <c r="D178" s="4">
        <v>20</v>
      </c>
      <c r="E178" s="3">
        <v>23</v>
      </c>
      <c r="F178" s="3">
        <f>1.8*E178+32</f>
        <v>73.400000000000006</v>
      </c>
      <c r="G178" s="3">
        <v>15</v>
      </c>
      <c r="H178" s="3">
        <f>IF(F178&gt;68,G178+(F178-68)*0.2,U402-(68-F178)*0.2)</f>
        <v>16.080000000000002</v>
      </c>
      <c r="I178" s="3">
        <v>23</v>
      </c>
      <c r="J178" s="3">
        <f>1.8*I178+32</f>
        <v>73.400000000000006</v>
      </c>
      <c r="K178" s="3">
        <v>10</v>
      </c>
      <c r="L178" s="3">
        <f>IF(J178&gt;68,K178+(J178-68)*0.2,K178-(68-J178)*0.2)</f>
        <v>11.080000000000002</v>
      </c>
      <c r="M178" s="3">
        <f>(C178-H178)/C178*100</f>
        <v>67.84</v>
      </c>
      <c r="N178" s="3">
        <f>100-(M178+O178)</f>
        <v>10</v>
      </c>
      <c r="O178" s="3">
        <f>L178/C178*100</f>
        <v>22.160000000000004</v>
      </c>
      <c r="P178" s="2" t="s">
        <v>427</v>
      </c>
      <c r="Q178" s="21" t="s">
        <v>480</v>
      </c>
      <c r="R178" s="21" t="s">
        <v>479</v>
      </c>
      <c r="T178" s="4">
        <v>2006111</v>
      </c>
      <c r="U178" s="4" t="s">
        <v>85</v>
      </c>
      <c r="V178" s="4">
        <v>4.9739999999999999E-2</v>
      </c>
      <c r="W178" s="4">
        <v>0.38266</v>
      </c>
      <c r="X178" s="4">
        <v>3.1510000000000003E-2</v>
      </c>
      <c r="Y178" s="4">
        <v>1.39151</v>
      </c>
      <c r="Z178" s="4">
        <v>33.713830000000002</v>
      </c>
      <c r="AA178" s="4">
        <v>15.09356</v>
      </c>
      <c r="AB178" s="4">
        <v>-1.23882</v>
      </c>
    </row>
    <row r="179" spans="1:28" x14ac:dyDescent="0.25">
      <c r="A179" s="55">
        <v>40207</v>
      </c>
      <c r="B179" s="4" t="s">
        <v>432</v>
      </c>
      <c r="C179" s="5">
        <v>50</v>
      </c>
      <c r="D179" s="4">
        <v>20</v>
      </c>
      <c r="E179" s="3">
        <v>23</v>
      </c>
      <c r="F179" s="3">
        <f>1.8*E179+32</f>
        <v>73.400000000000006</v>
      </c>
      <c r="G179" s="3">
        <v>15</v>
      </c>
      <c r="H179" s="3">
        <f>IF(F179&gt;68,G179+(F179-68)*0.2,U403-(68-F179)*0.2)</f>
        <v>16.080000000000002</v>
      </c>
      <c r="I179" s="3">
        <v>23</v>
      </c>
      <c r="J179" s="3">
        <f>1.8*I179+32</f>
        <v>73.400000000000006</v>
      </c>
      <c r="K179" s="3">
        <v>6</v>
      </c>
      <c r="L179" s="3">
        <f>IF(J179&gt;68,K179+(J179-68)*0.2,K179-(68-J179)*0.2)</f>
        <v>7.080000000000001</v>
      </c>
      <c r="M179" s="3">
        <f>(C179-H179)/C179*100</f>
        <v>67.84</v>
      </c>
      <c r="N179" s="3">
        <f>100-(M179+O179)</f>
        <v>18</v>
      </c>
      <c r="O179" s="3">
        <f>L179/C179*100</f>
        <v>14.160000000000004</v>
      </c>
      <c r="P179" s="2" t="s">
        <v>429</v>
      </c>
      <c r="Q179" s="21" t="s">
        <v>480</v>
      </c>
      <c r="R179" s="21" t="s">
        <v>479</v>
      </c>
      <c r="T179" s="4">
        <v>2006111</v>
      </c>
      <c r="U179" s="4" t="s">
        <v>84</v>
      </c>
      <c r="V179" s="4">
        <v>5.6309999999999999E-2</v>
      </c>
      <c r="W179" s="4">
        <v>0.38194</v>
      </c>
      <c r="X179" s="4">
        <v>2.9340000000000001E-2</v>
      </c>
      <c r="Y179" s="4">
        <v>1.36094</v>
      </c>
      <c r="Z179" s="4">
        <v>24.24015</v>
      </c>
      <c r="AA179" s="4">
        <v>12.030340000000001</v>
      </c>
      <c r="AB179" s="4">
        <v>-1.35903</v>
      </c>
    </row>
    <row r="180" spans="1:28" x14ac:dyDescent="0.25">
      <c r="A180" s="54"/>
      <c r="B180" s="4" t="s">
        <v>431</v>
      </c>
      <c r="C180" s="5">
        <v>50</v>
      </c>
      <c r="D180" s="4">
        <v>20</v>
      </c>
      <c r="E180" s="3">
        <v>23</v>
      </c>
      <c r="F180" s="3">
        <f>1.8*E180+32</f>
        <v>73.400000000000006</v>
      </c>
      <c r="G180" s="3">
        <v>15</v>
      </c>
      <c r="H180" s="3">
        <f>IF(F180&gt;68,G180+(F180-68)*0.2,U404-(68-F180)*0.2)</f>
        <v>16.080000000000002</v>
      </c>
      <c r="I180" s="3">
        <v>23</v>
      </c>
      <c r="J180" s="3">
        <f>1.8*I180+32</f>
        <v>73.400000000000006</v>
      </c>
      <c r="K180" s="3">
        <v>7</v>
      </c>
      <c r="L180" s="3">
        <f>IF(J180&gt;68,K180+(J180-68)*0.2,K180-(68-J180)*0.2)</f>
        <v>8.0800000000000018</v>
      </c>
      <c r="M180" s="3">
        <f>(C180-H180)/C180*100</f>
        <v>67.84</v>
      </c>
      <c r="N180" s="3">
        <f>100-(M180+O180)</f>
        <v>16</v>
      </c>
      <c r="O180" s="3">
        <f>L180/C180*100</f>
        <v>16.160000000000004</v>
      </c>
      <c r="P180" s="2" t="s">
        <v>429</v>
      </c>
      <c r="Q180" s="21" t="s">
        <v>480</v>
      </c>
      <c r="R180" s="21" t="s">
        <v>479</v>
      </c>
      <c r="T180" s="4">
        <v>2006111</v>
      </c>
      <c r="U180" s="4" t="s">
        <v>83</v>
      </c>
      <c r="V180" s="4">
        <v>6.1469999999999997E-2</v>
      </c>
      <c r="W180" s="4">
        <v>0.38617000000000001</v>
      </c>
      <c r="X180" s="4">
        <v>2.657E-2</v>
      </c>
      <c r="Y180" s="4">
        <v>1.3428500000000001</v>
      </c>
      <c r="Z180" s="4">
        <v>17.36469</v>
      </c>
      <c r="AA180" s="4">
        <v>9.7858900000000002</v>
      </c>
      <c r="AB180" s="4">
        <v>-1.39175</v>
      </c>
    </row>
    <row r="181" spans="1:28" x14ac:dyDescent="0.25">
      <c r="A181" s="6"/>
      <c r="B181" s="4" t="s">
        <v>430</v>
      </c>
      <c r="C181" s="5">
        <v>50</v>
      </c>
      <c r="D181" s="4">
        <v>20</v>
      </c>
      <c r="E181" s="3">
        <v>23</v>
      </c>
      <c r="F181" s="3">
        <f>1.8*E181+32</f>
        <v>73.400000000000006</v>
      </c>
      <c r="G181" s="3">
        <v>10</v>
      </c>
      <c r="H181" s="3">
        <f>IF(F181&gt;68,G181+(F181-68)*0.2,U405-(68-F181)*0.2)</f>
        <v>11.080000000000002</v>
      </c>
      <c r="I181" s="3">
        <v>23</v>
      </c>
      <c r="J181" s="3">
        <f>1.8*I181+32</f>
        <v>73.400000000000006</v>
      </c>
      <c r="K181" s="3">
        <v>5</v>
      </c>
      <c r="L181" s="3">
        <f>IF(J181&gt;68,K181+(J181-68)*0.2,K181-(68-J181)*0.2)</f>
        <v>6.080000000000001</v>
      </c>
      <c r="M181" s="3">
        <f>(C181-H181)/C181*100</f>
        <v>77.84</v>
      </c>
      <c r="N181" s="3">
        <f>100-(M181+O181)</f>
        <v>10</v>
      </c>
      <c r="O181" s="3">
        <f>L181/C181*100</f>
        <v>12.160000000000002</v>
      </c>
      <c r="P181" s="2" t="s">
        <v>429</v>
      </c>
      <c r="Q181" s="21" t="s">
        <v>480</v>
      </c>
      <c r="R181" s="21" t="s">
        <v>479</v>
      </c>
      <c r="T181" s="4">
        <v>2006111</v>
      </c>
      <c r="U181" s="4" t="s">
        <v>82</v>
      </c>
      <c r="V181" s="4">
        <v>6.4509999999999998E-2</v>
      </c>
      <c r="W181" s="4">
        <v>0.38827</v>
      </c>
      <c r="X181" s="4">
        <v>2.5729999999999999E-2</v>
      </c>
      <c r="Y181" s="4">
        <v>1.3331900000000001</v>
      </c>
      <c r="Z181" s="4">
        <v>14.666600000000001</v>
      </c>
      <c r="AA181" s="4">
        <v>8.9433100000000003</v>
      </c>
      <c r="AB181" s="4">
        <v>-1.4318599999999999</v>
      </c>
    </row>
    <row r="182" spans="1:28" x14ac:dyDescent="0.25">
      <c r="A182" s="6"/>
      <c r="B182" s="4" t="s">
        <v>428</v>
      </c>
      <c r="C182" s="5">
        <v>50</v>
      </c>
      <c r="D182" s="4">
        <v>20</v>
      </c>
      <c r="E182" s="3">
        <v>23</v>
      </c>
      <c r="F182" s="3">
        <f>1.8*E182+32</f>
        <v>73.400000000000006</v>
      </c>
      <c r="G182" s="3">
        <v>13</v>
      </c>
      <c r="H182" s="3">
        <f>IF(F182&gt;68,G182+(F182-68)*0.2,U406-(68-F182)*0.2)</f>
        <v>14.080000000000002</v>
      </c>
      <c r="I182" s="3">
        <v>23</v>
      </c>
      <c r="J182" s="3">
        <f>1.8*I182+32</f>
        <v>73.400000000000006</v>
      </c>
      <c r="K182" s="3">
        <v>7</v>
      </c>
      <c r="L182" s="3">
        <f>IF(J182&gt;68,K182+(J182-68)*0.2,K182-(68-J182)*0.2)</f>
        <v>8.0800000000000018</v>
      </c>
      <c r="M182" s="3">
        <f>(C182-H182)/C182*100</f>
        <v>71.84</v>
      </c>
      <c r="N182" s="3">
        <f>100-(M182+O182)</f>
        <v>12</v>
      </c>
      <c r="O182" s="3">
        <f>L182/C182*100</f>
        <v>16.160000000000004</v>
      </c>
      <c r="P182" s="2" t="s">
        <v>429</v>
      </c>
      <c r="Q182" s="21" t="s">
        <v>480</v>
      </c>
      <c r="R182" s="21" t="s">
        <v>479</v>
      </c>
      <c r="T182" s="4">
        <v>2006111</v>
      </c>
      <c r="U182" s="4" t="s">
        <v>81</v>
      </c>
      <c r="V182" s="4">
        <v>6.5040000000000001E-2</v>
      </c>
      <c r="W182" s="4">
        <v>0.39588000000000001</v>
      </c>
      <c r="X182" s="4">
        <v>2.1219999999999999E-2</v>
      </c>
      <c r="Y182" s="4">
        <v>1.3664099999999999</v>
      </c>
      <c r="Z182" s="4">
        <v>12.67747</v>
      </c>
      <c r="AA182" s="4">
        <v>7.3813300000000002</v>
      </c>
      <c r="AB182" s="4">
        <v>-1.12846</v>
      </c>
    </row>
    <row r="183" spans="1:28" x14ac:dyDescent="0.25">
      <c r="A183" s="30"/>
      <c r="B183" s="25"/>
      <c r="C183" s="29"/>
      <c r="D183" s="28"/>
      <c r="E183" s="27"/>
      <c r="F183" s="27"/>
      <c r="G183" s="27"/>
      <c r="H183" s="27"/>
      <c r="I183" s="27"/>
      <c r="J183" s="27"/>
      <c r="K183" s="27"/>
      <c r="L183" s="27"/>
      <c r="M183" s="26"/>
      <c r="N183" s="26"/>
      <c r="O183" s="26"/>
      <c r="P183" s="25"/>
      <c r="T183" s="4">
        <v>2006111</v>
      </c>
      <c r="U183" s="4" t="s">
        <v>80</v>
      </c>
      <c r="V183" s="4">
        <v>7.1160000000000001E-2</v>
      </c>
      <c r="W183" s="4">
        <v>0.40316000000000002</v>
      </c>
      <c r="X183" s="4">
        <v>2.0140000000000002E-2</v>
      </c>
      <c r="Y183" s="4">
        <v>1.35348</v>
      </c>
      <c r="Z183" s="4">
        <v>8.9813500000000008</v>
      </c>
      <c r="AA183" s="4">
        <v>6.3491799999999996</v>
      </c>
      <c r="AB183" s="4">
        <v>-1.1648000000000001</v>
      </c>
    </row>
    <row r="184" spans="1:28" ht="51.75" x14ac:dyDescent="0.25">
      <c r="A184" s="15" t="s">
        <v>19</v>
      </c>
      <c r="B184" s="10" t="s">
        <v>443</v>
      </c>
      <c r="C184" s="14" t="s">
        <v>17</v>
      </c>
      <c r="D184" s="13" t="s">
        <v>16</v>
      </c>
      <c r="E184" s="12" t="s">
        <v>15</v>
      </c>
      <c r="F184" s="12" t="s">
        <v>14</v>
      </c>
      <c r="G184" s="12" t="s">
        <v>442</v>
      </c>
      <c r="H184" s="12" t="s">
        <v>441</v>
      </c>
      <c r="I184" s="12" t="s">
        <v>440</v>
      </c>
      <c r="J184" s="12" t="s">
        <v>439</v>
      </c>
      <c r="K184" s="12" t="s">
        <v>438</v>
      </c>
      <c r="L184" s="12" t="s">
        <v>437</v>
      </c>
      <c r="M184" s="11" t="s">
        <v>7</v>
      </c>
      <c r="N184" s="11" t="s">
        <v>6</v>
      </c>
      <c r="O184" s="11" t="s">
        <v>5</v>
      </c>
      <c r="P184" s="10" t="s">
        <v>4</v>
      </c>
      <c r="Q184" s="17" t="s">
        <v>3</v>
      </c>
      <c r="R184" s="17"/>
      <c r="T184" s="4">
        <v>2006111</v>
      </c>
      <c r="U184" s="4" t="s">
        <v>79</v>
      </c>
      <c r="V184" s="4">
        <v>5.4269999999999999E-2</v>
      </c>
      <c r="W184" s="4">
        <v>0.38201000000000002</v>
      </c>
      <c r="X184" s="4">
        <v>2.997E-2</v>
      </c>
      <c r="Y184" s="4">
        <v>1.37073</v>
      </c>
      <c r="Z184" s="4">
        <v>27.041119999999999</v>
      </c>
      <c r="AA184" s="4">
        <v>12.89329</v>
      </c>
      <c r="AB184" s="4">
        <v>-1.3186100000000001</v>
      </c>
    </row>
    <row r="185" spans="1:28" x14ac:dyDescent="0.25">
      <c r="A185" s="56">
        <v>26</v>
      </c>
      <c r="B185" s="10"/>
      <c r="C185" s="14"/>
      <c r="D185" s="13" t="s">
        <v>436</v>
      </c>
      <c r="E185" s="12"/>
      <c r="F185" s="12"/>
      <c r="G185" s="12"/>
      <c r="H185" s="12"/>
      <c r="I185" s="12"/>
      <c r="J185" s="12"/>
      <c r="K185" s="12"/>
      <c r="L185" s="12"/>
      <c r="M185" s="11"/>
      <c r="N185" s="11"/>
      <c r="O185" s="11"/>
      <c r="P185" s="10"/>
      <c r="Q185" s="7" t="s">
        <v>2</v>
      </c>
      <c r="R185" s="7" t="s">
        <v>1</v>
      </c>
      <c r="T185" s="4">
        <v>2006111</v>
      </c>
      <c r="U185" s="4" t="s">
        <v>78</v>
      </c>
      <c r="V185" s="4">
        <v>5.7500000000000002E-2</v>
      </c>
      <c r="W185" s="4">
        <v>0.38083</v>
      </c>
      <c r="X185" s="4">
        <v>2.9360000000000001E-2</v>
      </c>
      <c r="Y185" s="4">
        <v>1.3563099999999999</v>
      </c>
      <c r="Z185" s="4">
        <v>23.223990000000001</v>
      </c>
      <c r="AA185" s="4">
        <v>11.70885</v>
      </c>
      <c r="AB185" s="4">
        <v>-1.3938600000000001</v>
      </c>
    </row>
    <row r="186" spans="1:28" x14ac:dyDescent="0.25">
      <c r="A186" s="56"/>
      <c r="B186" s="4" t="s">
        <v>435</v>
      </c>
      <c r="C186" s="5">
        <v>50</v>
      </c>
      <c r="D186" s="4">
        <v>20</v>
      </c>
      <c r="E186" s="3">
        <v>23</v>
      </c>
      <c r="F186" s="3">
        <f>1.8*E186+32</f>
        <v>73.400000000000006</v>
      </c>
      <c r="G186" s="3">
        <v>12</v>
      </c>
      <c r="H186" s="3">
        <f>IF(F186&gt;68,G186+(F186-68)*0.2,U412-(68-F186)*0.2)</f>
        <v>13.080000000000002</v>
      </c>
      <c r="I186" s="3">
        <v>24</v>
      </c>
      <c r="J186" s="3">
        <f>1.8*I186+32</f>
        <v>75.2</v>
      </c>
      <c r="K186" s="3">
        <v>6</v>
      </c>
      <c r="L186" s="3">
        <f>IF(J186&gt;68,K186+(J186-68)*0.2,K186-(68-J186)*0.2)</f>
        <v>7.44</v>
      </c>
      <c r="M186" s="3">
        <f>(C186-H186)/C186*100</f>
        <v>73.84</v>
      </c>
      <c r="N186" s="3">
        <f>100-(M186+O186)</f>
        <v>11.280000000000001</v>
      </c>
      <c r="O186" s="3">
        <f>L186/C186*100</f>
        <v>14.88</v>
      </c>
      <c r="P186" s="2" t="s">
        <v>429</v>
      </c>
      <c r="Q186" s="37" t="s">
        <v>477</v>
      </c>
      <c r="R186" s="58">
        <v>3659306.7030401002</v>
      </c>
      <c r="T186" s="4">
        <v>2006111</v>
      </c>
      <c r="U186" s="4" t="s">
        <v>77</v>
      </c>
      <c r="V186" s="4">
        <v>5.289E-2</v>
      </c>
      <c r="W186" s="4">
        <v>0.38444</v>
      </c>
      <c r="X186" s="4">
        <v>2.8570000000000002E-2</v>
      </c>
      <c r="Y186" s="4">
        <v>1.3738300000000001</v>
      </c>
      <c r="Z186" s="4">
        <v>26.6294</v>
      </c>
      <c r="AA186" s="4">
        <v>12.557449999999999</v>
      </c>
      <c r="AB186" s="4">
        <v>-1.2484299999999999</v>
      </c>
    </row>
    <row r="187" spans="1:28" x14ac:dyDescent="0.25">
      <c r="A187" s="15" t="s">
        <v>434</v>
      </c>
      <c r="B187" s="4" t="s">
        <v>433</v>
      </c>
      <c r="C187" s="5">
        <v>50</v>
      </c>
      <c r="D187" s="4">
        <v>20</v>
      </c>
      <c r="E187" s="3">
        <v>23</v>
      </c>
      <c r="F187" s="3">
        <f>1.8*E187+32</f>
        <v>73.400000000000006</v>
      </c>
      <c r="G187" s="3">
        <v>8</v>
      </c>
      <c r="H187" s="3">
        <f>IF(F187&gt;68,G187+(F187-68)*0.2,U413-(68-F187)*0.2)</f>
        <v>9.0800000000000018</v>
      </c>
      <c r="I187" s="3">
        <v>24</v>
      </c>
      <c r="J187" s="3">
        <f>1.8*I187+32</f>
        <v>75.2</v>
      </c>
      <c r="K187" s="3">
        <v>4</v>
      </c>
      <c r="L187" s="3">
        <f>IF(J187&gt;68,K187+(J187-68)*0.2,K187-(68-J187)*0.2)</f>
        <v>5.44</v>
      </c>
      <c r="M187" s="3">
        <f>(C187-H187)/C187*100</f>
        <v>81.84</v>
      </c>
      <c r="N187" s="3">
        <f>100-(M187+O187)</f>
        <v>7.2800000000000011</v>
      </c>
      <c r="O187" s="3">
        <f>L187/C187*100</f>
        <v>10.88</v>
      </c>
      <c r="P187" s="2" t="s">
        <v>478</v>
      </c>
      <c r="Q187" s="37" t="s">
        <v>477</v>
      </c>
      <c r="R187" s="58">
        <v>3659306.7030401002</v>
      </c>
      <c r="T187" s="4">
        <v>2006111</v>
      </c>
      <c r="U187" s="4" t="s">
        <v>76</v>
      </c>
      <c r="V187" s="4">
        <v>4.9450000000000001E-2</v>
      </c>
      <c r="W187" s="4">
        <v>0.38386999999999999</v>
      </c>
      <c r="X187" s="4">
        <v>3.0290000000000001E-2</v>
      </c>
      <c r="Y187" s="4">
        <v>1.38646</v>
      </c>
      <c r="Z187" s="4">
        <v>31.890339999999998</v>
      </c>
      <c r="AA187" s="4">
        <v>14.401960000000001</v>
      </c>
      <c r="AB187" s="4">
        <v>-1.2174</v>
      </c>
    </row>
    <row r="188" spans="1:28" x14ac:dyDescent="0.25">
      <c r="A188" s="55">
        <v>40207</v>
      </c>
      <c r="B188" s="4" t="s">
        <v>432</v>
      </c>
      <c r="C188" s="5">
        <v>50</v>
      </c>
      <c r="D188" s="4">
        <v>20</v>
      </c>
      <c r="E188" s="3">
        <v>23</v>
      </c>
      <c r="F188" s="3">
        <f>1.8*E188+32</f>
        <v>73.400000000000006</v>
      </c>
      <c r="G188" s="3">
        <v>15</v>
      </c>
      <c r="H188" s="3">
        <f>IF(F188&gt;68,G188+(F188-68)*0.2,U414-(68-F188)*0.2)</f>
        <v>16.080000000000002</v>
      </c>
      <c r="I188" s="3">
        <v>24</v>
      </c>
      <c r="J188" s="3">
        <f>1.8*I188+32</f>
        <v>75.2</v>
      </c>
      <c r="K188" s="3">
        <v>6</v>
      </c>
      <c r="L188" s="3">
        <f>IF(J188&gt;68,K188+(J188-68)*0.2,K188-(68-J188)*0.2)</f>
        <v>7.44</v>
      </c>
      <c r="M188" s="3">
        <f>(C188-H188)/C188*100</f>
        <v>67.84</v>
      </c>
      <c r="N188" s="3">
        <f>100-(M188+O188)</f>
        <v>17.28</v>
      </c>
      <c r="O188" s="3">
        <f>L188/C188*100</f>
        <v>14.88</v>
      </c>
      <c r="P188" s="2" t="s">
        <v>429</v>
      </c>
      <c r="Q188" s="37" t="s">
        <v>477</v>
      </c>
      <c r="R188" s="58">
        <v>3659306.7030401002</v>
      </c>
      <c r="T188" s="4">
        <v>2006111</v>
      </c>
      <c r="U188" s="4" t="s">
        <v>75</v>
      </c>
      <c r="V188" s="4">
        <v>5.289E-2</v>
      </c>
      <c r="W188" s="4">
        <v>0.38444</v>
      </c>
      <c r="X188" s="4">
        <v>2.8570000000000002E-2</v>
      </c>
      <c r="Y188" s="4">
        <v>1.3738300000000001</v>
      </c>
      <c r="Z188" s="4">
        <v>26.6294</v>
      </c>
      <c r="AA188" s="4">
        <v>12.557449999999999</v>
      </c>
      <c r="AB188" s="4">
        <v>-1.2484299999999999</v>
      </c>
    </row>
    <row r="189" spans="1:28" x14ac:dyDescent="0.25">
      <c r="A189" s="54"/>
      <c r="B189" s="4" t="s">
        <v>431</v>
      </c>
      <c r="C189" s="5">
        <v>50</v>
      </c>
      <c r="D189" s="4">
        <v>20</v>
      </c>
      <c r="E189" s="3">
        <v>23</v>
      </c>
      <c r="F189" s="3">
        <f>1.8*E189+32</f>
        <v>73.400000000000006</v>
      </c>
      <c r="G189" s="3">
        <v>17</v>
      </c>
      <c r="H189" s="3">
        <f>IF(F189&gt;68,G189+(F189-68)*0.2,U415-(68-F189)*0.2)</f>
        <v>18.080000000000002</v>
      </c>
      <c r="I189" s="3">
        <v>24</v>
      </c>
      <c r="J189" s="3">
        <f>1.8*I189+32</f>
        <v>75.2</v>
      </c>
      <c r="K189" s="3">
        <v>8</v>
      </c>
      <c r="L189" s="3">
        <f>IF(J189&gt;68,K189+(J189-68)*0.2,K189-(68-J189)*0.2)</f>
        <v>9.4400000000000013</v>
      </c>
      <c r="M189" s="3">
        <f>(C189-H189)/C189*100</f>
        <v>63.839999999999996</v>
      </c>
      <c r="N189" s="3">
        <f>100-(M189+O189)</f>
        <v>17.28</v>
      </c>
      <c r="O189" s="3">
        <f>L189/C189*100</f>
        <v>18.880000000000003</v>
      </c>
      <c r="P189" s="2" t="s">
        <v>429</v>
      </c>
      <c r="Q189" s="37" t="s">
        <v>477</v>
      </c>
      <c r="R189" s="58">
        <v>3659306.7030401002</v>
      </c>
      <c r="T189" s="4">
        <v>2006111</v>
      </c>
      <c r="U189" s="4" t="s">
        <v>74</v>
      </c>
      <c r="V189" s="4">
        <v>6.2899999999999998E-2</v>
      </c>
      <c r="W189" s="4">
        <v>0.38928000000000001</v>
      </c>
      <c r="X189" s="4">
        <v>2.4989999999999998E-2</v>
      </c>
      <c r="Y189" s="4">
        <v>1.3462700000000001</v>
      </c>
      <c r="Z189" s="4">
        <v>15.53904</v>
      </c>
      <c r="AA189" s="4">
        <v>9.0044500000000003</v>
      </c>
      <c r="AB189" s="4">
        <v>-1.3320399999999999</v>
      </c>
    </row>
    <row r="190" spans="1:28" x14ac:dyDescent="0.25">
      <c r="A190" s="6"/>
      <c r="B190" s="4" t="s">
        <v>430</v>
      </c>
      <c r="C190" s="5">
        <v>50</v>
      </c>
      <c r="D190" s="4">
        <v>20</v>
      </c>
      <c r="E190" s="3">
        <v>22</v>
      </c>
      <c r="F190" s="3">
        <f>1.8*E190+32</f>
        <v>71.599999999999994</v>
      </c>
      <c r="G190" s="3">
        <v>20</v>
      </c>
      <c r="H190" s="3">
        <f>IF(F190&gt;68,G190+(F190-68)*0.2,U416-(68-F190)*0.2)</f>
        <v>20.72</v>
      </c>
      <c r="I190" s="3">
        <v>23</v>
      </c>
      <c r="J190" s="3">
        <f>1.8*I190+32</f>
        <v>73.400000000000006</v>
      </c>
      <c r="K190" s="3">
        <v>5</v>
      </c>
      <c r="L190" s="3">
        <f>IF(J190&gt;68,K190+(J190-68)*0.2,K190-(68-J190)*0.2)</f>
        <v>6.080000000000001</v>
      </c>
      <c r="M190" s="3">
        <f>(C190-H190)/C190*100</f>
        <v>58.56</v>
      </c>
      <c r="N190" s="3">
        <f>100-(M190+O190)</f>
        <v>29.28</v>
      </c>
      <c r="O190" s="3">
        <f>L190/C190*100</f>
        <v>12.160000000000002</v>
      </c>
      <c r="P190" s="2" t="s">
        <v>429</v>
      </c>
      <c r="Q190" s="37" t="s">
        <v>477</v>
      </c>
      <c r="R190" s="58">
        <v>3659306.7030401002</v>
      </c>
      <c r="T190" s="4">
        <v>2006111</v>
      </c>
      <c r="U190" s="4" t="s">
        <v>73</v>
      </c>
      <c r="V190" s="4">
        <v>4.7120000000000002E-2</v>
      </c>
      <c r="W190" s="4">
        <v>0.38008999999999998</v>
      </c>
      <c r="X190" s="4">
        <v>3.5490000000000001E-2</v>
      </c>
      <c r="Y190" s="4">
        <v>1.54949</v>
      </c>
      <c r="Z190" s="4">
        <v>66.200530000000001</v>
      </c>
      <c r="AA190" s="4">
        <v>21.371169999999999</v>
      </c>
      <c r="AB190" s="4">
        <v>-1.0264</v>
      </c>
    </row>
    <row r="191" spans="1:28" x14ac:dyDescent="0.25">
      <c r="A191" s="6"/>
      <c r="B191" s="4" t="s">
        <v>428</v>
      </c>
      <c r="C191" s="5">
        <v>50</v>
      </c>
      <c r="D191" s="4">
        <v>20</v>
      </c>
      <c r="E191" s="3">
        <v>22</v>
      </c>
      <c r="F191" s="3">
        <f>1.8*E191+32</f>
        <v>71.599999999999994</v>
      </c>
      <c r="G191" s="3">
        <v>15</v>
      </c>
      <c r="H191" s="3">
        <f>IF(F191&gt;68,G191+(F191-68)*0.2,U417-(68-F191)*0.2)</f>
        <v>15.719999999999999</v>
      </c>
      <c r="I191" s="3">
        <v>23</v>
      </c>
      <c r="J191" s="3">
        <f>1.8*I191+32</f>
        <v>73.400000000000006</v>
      </c>
      <c r="K191" s="3">
        <v>9</v>
      </c>
      <c r="L191" s="3">
        <f>IF(J191&gt;68,K191+(J191-68)*0.2,K191-(68-J191)*0.2)</f>
        <v>10.080000000000002</v>
      </c>
      <c r="M191" s="3">
        <f>(C191-H191)/C191*100</f>
        <v>68.56</v>
      </c>
      <c r="N191" s="3">
        <f>100-(M191+O191)</f>
        <v>11.280000000000001</v>
      </c>
      <c r="O191" s="3">
        <f>L191/C191*100</f>
        <v>20.160000000000004</v>
      </c>
      <c r="P191" s="2" t="s">
        <v>427</v>
      </c>
      <c r="Q191" s="37" t="s">
        <v>477</v>
      </c>
      <c r="R191" s="58">
        <v>3659306.7030401002</v>
      </c>
      <c r="T191" s="4">
        <v>2006111</v>
      </c>
      <c r="U191" s="4" t="s">
        <v>72</v>
      </c>
      <c r="V191" s="4">
        <v>4.9739999999999999E-2</v>
      </c>
      <c r="W191" s="4">
        <v>0.38266</v>
      </c>
      <c r="X191" s="4">
        <v>3.1510000000000003E-2</v>
      </c>
      <c r="Y191" s="4">
        <v>1.39151</v>
      </c>
      <c r="Z191" s="4">
        <v>33.713830000000002</v>
      </c>
      <c r="AA191" s="4">
        <v>15.09356</v>
      </c>
      <c r="AB191" s="4">
        <v>-1.23882</v>
      </c>
    </row>
    <row r="192" spans="1:28" x14ac:dyDescent="0.25">
      <c r="A192" s="36"/>
      <c r="T192" s="4">
        <v>2006111</v>
      </c>
      <c r="U192" s="4" t="s">
        <v>71</v>
      </c>
      <c r="V192" s="4">
        <v>5.9360000000000003E-2</v>
      </c>
      <c r="W192" s="4">
        <v>0.38296000000000002</v>
      </c>
      <c r="X192" s="4">
        <v>2.819E-2</v>
      </c>
      <c r="Y192" s="4">
        <v>1.3465199999999999</v>
      </c>
      <c r="Z192" s="4">
        <v>20.189820000000001</v>
      </c>
      <c r="AA192" s="4">
        <v>10.78744</v>
      </c>
      <c r="AB192" s="4">
        <v>-1.41306</v>
      </c>
    </row>
    <row r="193" spans="1:28" ht="51.75" x14ac:dyDescent="0.25">
      <c r="A193" s="15" t="s">
        <v>19</v>
      </c>
      <c r="B193" s="10" t="s">
        <v>443</v>
      </c>
      <c r="C193" s="14" t="s">
        <v>17</v>
      </c>
      <c r="D193" s="13" t="s">
        <v>16</v>
      </c>
      <c r="E193" s="12" t="s">
        <v>15</v>
      </c>
      <c r="F193" s="12" t="s">
        <v>14</v>
      </c>
      <c r="G193" s="12" t="s">
        <v>442</v>
      </c>
      <c r="H193" s="12" t="s">
        <v>441</v>
      </c>
      <c r="I193" s="12" t="s">
        <v>440</v>
      </c>
      <c r="J193" s="12" t="s">
        <v>439</v>
      </c>
      <c r="K193" s="12" t="s">
        <v>438</v>
      </c>
      <c r="L193" s="12" t="s">
        <v>437</v>
      </c>
      <c r="M193" s="11" t="s">
        <v>7</v>
      </c>
      <c r="N193" s="11" t="s">
        <v>6</v>
      </c>
      <c r="O193" s="11" t="s">
        <v>5</v>
      </c>
      <c r="P193" s="10" t="s">
        <v>4</v>
      </c>
      <c r="Q193" s="17" t="s">
        <v>3</v>
      </c>
      <c r="R193" s="17"/>
      <c r="T193" s="4">
        <v>2006111</v>
      </c>
      <c r="U193" s="4" t="s">
        <v>70</v>
      </c>
      <c r="V193" s="4">
        <v>6.2899999999999998E-2</v>
      </c>
      <c r="W193" s="4">
        <v>0.38928000000000001</v>
      </c>
      <c r="X193" s="4">
        <v>2.4989999999999998E-2</v>
      </c>
      <c r="Y193" s="4">
        <v>1.3462700000000001</v>
      </c>
      <c r="Z193" s="4">
        <v>15.53904</v>
      </c>
      <c r="AA193" s="4">
        <v>9.0044500000000003</v>
      </c>
      <c r="AB193" s="4">
        <v>-1.3320399999999999</v>
      </c>
    </row>
    <row r="194" spans="1:28" x14ac:dyDescent="0.25">
      <c r="A194" s="56">
        <v>27</v>
      </c>
      <c r="B194" s="10"/>
      <c r="C194" s="14"/>
      <c r="D194" s="13" t="s">
        <v>436</v>
      </c>
      <c r="E194" s="12"/>
      <c r="F194" s="12"/>
      <c r="G194" s="12"/>
      <c r="H194" s="12"/>
      <c r="I194" s="12"/>
      <c r="J194" s="12"/>
      <c r="K194" s="12"/>
      <c r="L194" s="12"/>
      <c r="M194" s="11"/>
      <c r="N194" s="11"/>
      <c r="O194" s="11"/>
      <c r="P194" s="10"/>
      <c r="Q194" s="7" t="s">
        <v>2</v>
      </c>
      <c r="R194" s="7" t="s">
        <v>1</v>
      </c>
      <c r="T194" s="4">
        <v>2006111</v>
      </c>
      <c r="U194" s="4" t="s">
        <v>69</v>
      </c>
      <c r="V194" s="4">
        <v>5.6730000000000003E-2</v>
      </c>
      <c r="W194" s="4">
        <v>0.38896999999999998</v>
      </c>
      <c r="X194" s="4">
        <v>2.3890000000000002E-2</v>
      </c>
      <c r="Y194" s="4">
        <v>1.3756900000000001</v>
      </c>
      <c r="Z194" s="4">
        <v>19.849229999999999</v>
      </c>
      <c r="AA194" s="4">
        <v>9.6222899999999996</v>
      </c>
      <c r="AB194" s="4">
        <v>-1.13086</v>
      </c>
    </row>
    <row r="195" spans="1:28" x14ac:dyDescent="0.25">
      <c r="A195" s="56"/>
      <c r="B195" s="4" t="s">
        <v>435</v>
      </c>
      <c r="C195" s="5">
        <v>50</v>
      </c>
      <c r="D195" s="4">
        <v>20</v>
      </c>
      <c r="E195" s="3">
        <v>23</v>
      </c>
      <c r="F195" s="3">
        <f>1.8*E195+32</f>
        <v>73.400000000000006</v>
      </c>
      <c r="G195" s="3">
        <v>16</v>
      </c>
      <c r="H195" s="3">
        <f>IF(F195&gt;68,G195+(F195-68)*0.2,U421-(68-F195)*0.2)</f>
        <v>17.080000000000002</v>
      </c>
      <c r="I195" s="3">
        <v>23</v>
      </c>
      <c r="J195" s="3">
        <f>1.8*I195+32</f>
        <v>73.400000000000006</v>
      </c>
      <c r="K195" s="3">
        <v>10</v>
      </c>
      <c r="L195" s="3">
        <f>IF(J195&gt;68,K195+(J195-68)*0.2,K195-(68-J195)*0.2)</f>
        <v>11.080000000000002</v>
      </c>
      <c r="M195" s="3">
        <f>(C195-H195)/C195*100</f>
        <v>65.84</v>
      </c>
      <c r="N195" s="3">
        <f>100-(M195+O195)</f>
        <v>12</v>
      </c>
      <c r="O195" s="3">
        <f>L195/C195*100</f>
        <v>22.160000000000004</v>
      </c>
      <c r="P195" s="2" t="s">
        <v>427</v>
      </c>
      <c r="Q195" s="37" t="s">
        <v>476</v>
      </c>
      <c r="R195" s="58">
        <v>3659306.4583397</v>
      </c>
      <c r="T195" s="4">
        <v>2006111</v>
      </c>
      <c r="U195" s="4" t="s">
        <v>68</v>
      </c>
      <c r="V195" s="4">
        <v>6.5979999999999997E-2</v>
      </c>
      <c r="W195" s="4">
        <v>0.39184000000000002</v>
      </c>
      <c r="X195" s="4">
        <v>2.4219999999999998E-2</v>
      </c>
      <c r="Y195" s="4">
        <v>1.33819</v>
      </c>
      <c r="Z195" s="4">
        <v>13.11374</v>
      </c>
      <c r="AA195" s="4">
        <v>8.2595700000000001</v>
      </c>
      <c r="AB195" s="4">
        <v>-1.3623799999999999</v>
      </c>
    </row>
    <row r="196" spans="1:28" x14ac:dyDescent="0.25">
      <c r="A196" s="15" t="s">
        <v>434</v>
      </c>
      <c r="B196" s="4" t="s">
        <v>433</v>
      </c>
      <c r="C196" s="5">
        <v>50</v>
      </c>
      <c r="D196" s="4">
        <v>20</v>
      </c>
      <c r="E196" s="3">
        <v>23</v>
      </c>
      <c r="F196" s="3">
        <f>1.8*E196+32</f>
        <v>73.400000000000006</v>
      </c>
      <c r="G196" s="3">
        <v>20</v>
      </c>
      <c r="H196" s="3">
        <f>IF(F196&gt;68,G196+(F196-68)*0.2,U422-(68-F196)*0.2)</f>
        <v>21.080000000000002</v>
      </c>
      <c r="I196" s="3">
        <v>23</v>
      </c>
      <c r="J196" s="3">
        <f>1.8*I196+32</f>
        <v>73.400000000000006</v>
      </c>
      <c r="K196" s="3">
        <v>11</v>
      </c>
      <c r="L196" s="3">
        <f>IF(J196&gt;68,K196+(J196-68)*0.2,K196-(68-J196)*0.2)</f>
        <v>12.080000000000002</v>
      </c>
      <c r="M196" s="3">
        <f>(C196-H196)/C196*100</f>
        <v>57.839999999999989</v>
      </c>
      <c r="N196" s="3">
        <f>100-(M196+O196)</f>
        <v>18</v>
      </c>
      <c r="O196" s="3">
        <f>L196/C196*100</f>
        <v>24.160000000000004</v>
      </c>
      <c r="P196" s="2" t="s">
        <v>427</v>
      </c>
      <c r="Q196" s="37" t="s">
        <v>476</v>
      </c>
      <c r="R196" s="58">
        <v>3659306.4583397</v>
      </c>
      <c r="T196" s="4">
        <v>2006111</v>
      </c>
      <c r="U196" s="4" t="s">
        <v>67</v>
      </c>
      <c r="V196" s="4">
        <v>5.4309999999999997E-2</v>
      </c>
      <c r="W196" s="4">
        <v>0.37802000000000002</v>
      </c>
      <c r="X196" s="4">
        <v>3.116E-2</v>
      </c>
      <c r="Y196" s="4">
        <v>1.3983399999999999</v>
      </c>
      <c r="Z196" s="4">
        <v>32.10145</v>
      </c>
      <c r="AA196" s="4">
        <v>13.74668</v>
      </c>
      <c r="AB196" s="4">
        <v>-1.27884</v>
      </c>
    </row>
    <row r="197" spans="1:28" x14ac:dyDescent="0.25">
      <c r="A197" s="55">
        <v>40207</v>
      </c>
      <c r="B197" s="4" t="s">
        <v>432</v>
      </c>
      <c r="C197" s="5">
        <v>50</v>
      </c>
      <c r="D197" s="4">
        <v>20</v>
      </c>
      <c r="E197" s="3">
        <v>23</v>
      </c>
      <c r="F197" s="3">
        <f>1.8*E197+32</f>
        <v>73.400000000000006</v>
      </c>
      <c r="G197" s="3">
        <v>20</v>
      </c>
      <c r="H197" s="3">
        <f>IF(F197&gt;68,G197+(F197-68)*0.2,U423-(68-F197)*0.2)</f>
        <v>21.080000000000002</v>
      </c>
      <c r="I197" s="3">
        <v>23</v>
      </c>
      <c r="J197" s="3">
        <f>1.8*I197+32</f>
        <v>73.400000000000006</v>
      </c>
      <c r="K197" s="3">
        <v>10</v>
      </c>
      <c r="L197" s="3">
        <f>IF(J197&gt;68,K197+(J197-68)*0.2,K197-(68-J197)*0.2)</f>
        <v>11.080000000000002</v>
      </c>
      <c r="M197" s="3">
        <f>(C197-H197)/C197*100</f>
        <v>57.839999999999989</v>
      </c>
      <c r="N197" s="3">
        <f>100-(M197+O197)</f>
        <v>20</v>
      </c>
      <c r="O197" s="3">
        <f>L197/C197*100</f>
        <v>22.160000000000004</v>
      </c>
      <c r="P197" s="2" t="s">
        <v>427</v>
      </c>
      <c r="Q197" s="37" t="s">
        <v>476</v>
      </c>
      <c r="R197" s="58">
        <v>3659306.4583397</v>
      </c>
      <c r="T197" s="4">
        <v>2006111</v>
      </c>
      <c r="U197" s="4" t="s">
        <v>66</v>
      </c>
      <c r="V197" s="4">
        <v>5.6529999999999997E-2</v>
      </c>
      <c r="W197" s="4">
        <v>0.38005</v>
      </c>
      <c r="X197" s="4">
        <v>2.989E-2</v>
      </c>
      <c r="Y197" s="4">
        <v>1.36392</v>
      </c>
      <c r="Z197" s="4">
        <v>25.103490000000001</v>
      </c>
      <c r="AA197" s="4">
        <v>12.22494</v>
      </c>
      <c r="AB197" s="4">
        <v>-1.3717200000000001</v>
      </c>
    </row>
    <row r="198" spans="1:28" x14ac:dyDescent="0.25">
      <c r="A198" s="54"/>
      <c r="B198" s="4" t="s">
        <v>431</v>
      </c>
      <c r="C198" s="5">
        <v>50</v>
      </c>
      <c r="D198" s="4">
        <v>20</v>
      </c>
      <c r="E198" s="3">
        <v>23</v>
      </c>
      <c r="F198" s="3">
        <f>1.8*E198+32</f>
        <v>73.400000000000006</v>
      </c>
      <c r="G198" s="3">
        <v>23</v>
      </c>
      <c r="H198" s="3">
        <f>IF(F198&gt;68,G198+(F198-68)*0.2,U424-(68-F198)*0.2)</f>
        <v>24.080000000000002</v>
      </c>
      <c r="I198" s="3">
        <v>23</v>
      </c>
      <c r="J198" s="3">
        <f>1.8*I198+32</f>
        <v>73.400000000000006</v>
      </c>
      <c r="K198" s="3">
        <v>13</v>
      </c>
      <c r="L198" s="3">
        <f>IF(J198&gt;68,K198+(J198-68)*0.2,K198-(68-J198)*0.2)</f>
        <v>14.080000000000002</v>
      </c>
      <c r="M198" s="3">
        <f>(C198-H198)/C198*100</f>
        <v>51.839999999999996</v>
      </c>
      <c r="N198" s="3">
        <f>100-(M198+O198)</f>
        <v>20</v>
      </c>
      <c r="O198" s="3">
        <f>L198/C198*100</f>
        <v>28.16</v>
      </c>
      <c r="P198" s="2" t="s">
        <v>427</v>
      </c>
      <c r="Q198" s="37" t="s">
        <v>476</v>
      </c>
      <c r="R198" s="58">
        <v>3659306.4583397</v>
      </c>
      <c r="T198" s="4">
        <v>2006111</v>
      </c>
      <c r="U198" s="4" t="s">
        <v>65</v>
      </c>
      <c r="V198" s="4">
        <v>5.5509999999999997E-2</v>
      </c>
      <c r="W198" s="4">
        <v>0.37731999999999999</v>
      </c>
      <c r="X198" s="4">
        <v>3.0630000000000001E-2</v>
      </c>
      <c r="Y198" s="4">
        <v>1.39208</v>
      </c>
      <c r="Z198" s="4">
        <v>29.999669999999998</v>
      </c>
      <c r="AA198" s="4">
        <v>13.08154</v>
      </c>
      <c r="AB198" s="4">
        <v>-1.2994300000000001</v>
      </c>
    </row>
    <row r="199" spans="1:28" x14ac:dyDescent="0.25">
      <c r="A199" s="6"/>
      <c r="B199" s="4" t="s">
        <v>430</v>
      </c>
      <c r="C199" s="5">
        <v>50</v>
      </c>
      <c r="D199" s="4">
        <v>20</v>
      </c>
      <c r="E199" s="3">
        <v>23</v>
      </c>
      <c r="F199" s="3">
        <f>1.8*E199+32</f>
        <v>73.400000000000006</v>
      </c>
      <c r="G199" s="3">
        <v>15</v>
      </c>
      <c r="H199" s="3">
        <f>IF(F199&gt;68,G199+(F199-68)*0.2,U425-(68-F199)*0.2)</f>
        <v>16.080000000000002</v>
      </c>
      <c r="I199" s="3">
        <v>23</v>
      </c>
      <c r="J199" s="3">
        <f>1.8*I199+32</f>
        <v>73.400000000000006</v>
      </c>
      <c r="K199" s="3">
        <v>10</v>
      </c>
      <c r="L199" s="3">
        <f>IF(J199&gt;68,K199+(J199-68)*0.2,K199-(68-J199)*0.2)</f>
        <v>11.080000000000002</v>
      </c>
      <c r="M199" s="3">
        <f>(C199-H199)/C199*100</f>
        <v>67.84</v>
      </c>
      <c r="N199" s="3">
        <f>100-(M199+O199)</f>
        <v>10</v>
      </c>
      <c r="O199" s="3">
        <f>L199/C199*100</f>
        <v>22.160000000000004</v>
      </c>
      <c r="P199" s="2" t="s">
        <v>427</v>
      </c>
      <c r="Q199" s="37" t="s">
        <v>476</v>
      </c>
      <c r="R199" s="58">
        <v>3659306.4583397</v>
      </c>
      <c r="T199" s="4">
        <v>2006111</v>
      </c>
      <c r="U199" s="4" t="s">
        <v>64</v>
      </c>
      <c r="V199" s="4">
        <v>5.4449999999999998E-2</v>
      </c>
      <c r="W199" s="4">
        <v>0.38092999999999999</v>
      </c>
      <c r="X199" s="4">
        <v>3.041E-2</v>
      </c>
      <c r="Y199" s="4">
        <v>1.37341</v>
      </c>
      <c r="Z199" s="4">
        <v>27.795580000000001</v>
      </c>
      <c r="AA199" s="4">
        <v>13.08356</v>
      </c>
      <c r="AB199" s="4">
        <v>-1.3263400000000001</v>
      </c>
    </row>
    <row r="200" spans="1:28" x14ac:dyDescent="0.25">
      <c r="A200" s="6"/>
      <c r="B200" s="4" t="s">
        <v>428</v>
      </c>
      <c r="C200" s="5">
        <v>50</v>
      </c>
      <c r="D200" s="4">
        <v>20</v>
      </c>
      <c r="E200" s="3">
        <v>23</v>
      </c>
      <c r="F200" s="3">
        <f>1.8*E200+32</f>
        <v>73.400000000000006</v>
      </c>
      <c r="G200" s="3">
        <v>11</v>
      </c>
      <c r="H200" s="3">
        <f>IF(F200&gt;68,G200+(F200-68)*0.2,U426-(68-F200)*0.2)</f>
        <v>12.080000000000002</v>
      </c>
      <c r="I200" s="3">
        <v>23</v>
      </c>
      <c r="J200" s="3">
        <f>1.8*I200+32</f>
        <v>73.400000000000006</v>
      </c>
      <c r="K200" s="3">
        <v>7</v>
      </c>
      <c r="L200" s="3">
        <f>IF(J200&gt;68,K200+(J200-68)*0.2,K200-(68-J200)*0.2)</f>
        <v>8.0800000000000018</v>
      </c>
      <c r="M200" s="3">
        <f>(C200-H200)/C200*100</f>
        <v>75.84</v>
      </c>
      <c r="N200" s="3">
        <f>100-(M200+O200)</f>
        <v>8</v>
      </c>
      <c r="O200" s="3">
        <f>L200/C200*100</f>
        <v>16.160000000000004</v>
      </c>
      <c r="P200" s="2" t="s">
        <v>429</v>
      </c>
      <c r="Q200" s="37" t="s">
        <v>476</v>
      </c>
      <c r="R200" s="58">
        <v>3659306.4583397</v>
      </c>
      <c r="T200" s="4">
        <v>2006111</v>
      </c>
      <c r="U200" s="4" t="s">
        <v>63</v>
      </c>
      <c r="V200" s="4">
        <v>5.0750000000000003E-2</v>
      </c>
      <c r="W200" s="4">
        <v>0.38355</v>
      </c>
      <c r="X200" s="4">
        <v>3.0120000000000001E-2</v>
      </c>
      <c r="Y200" s="4">
        <v>1.38236</v>
      </c>
      <c r="Z200" s="4">
        <v>30.483029999999999</v>
      </c>
      <c r="AA200" s="4">
        <v>13.94689</v>
      </c>
      <c r="AB200" s="4">
        <v>-1.2409300000000001</v>
      </c>
    </row>
    <row r="201" spans="1:28" x14ac:dyDescent="0.25">
      <c r="A201" s="36"/>
      <c r="T201" s="4">
        <v>2006111</v>
      </c>
      <c r="U201" s="4" t="s">
        <v>62</v>
      </c>
      <c r="V201" s="4">
        <v>7.1309999999999998E-2</v>
      </c>
      <c r="W201" s="4">
        <v>0.39195999999999998</v>
      </c>
      <c r="X201" s="4">
        <v>2.571E-2</v>
      </c>
      <c r="Y201" s="4">
        <v>1.29671</v>
      </c>
      <c r="Z201" s="4">
        <v>10.876860000000001</v>
      </c>
      <c r="AA201" s="4">
        <v>7.8013599999999999</v>
      </c>
      <c r="AB201" s="4">
        <v>-1.6928300000000001</v>
      </c>
    </row>
    <row r="202" spans="1:28" ht="51.75" x14ac:dyDescent="0.25">
      <c r="A202" s="15" t="s">
        <v>19</v>
      </c>
      <c r="B202" s="10" t="s">
        <v>443</v>
      </c>
      <c r="C202" s="14" t="s">
        <v>17</v>
      </c>
      <c r="D202" s="13" t="s">
        <v>16</v>
      </c>
      <c r="E202" s="12" t="s">
        <v>15</v>
      </c>
      <c r="F202" s="12" t="s">
        <v>14</v>
      </c>
      <c r="G202" s="12" t="s">
        <v>442</v>
      </c>
      <c r="H202" s="12" t="s">
        <v>441</v>
      </c>
      <c r="I202" s="12" t="s">
        <v>440</v>
      </c>
      <c r="J202" s="12" t="s">
        <v>439</v>
      </c>
      <c r="K202" s="12" t="s">
        <v>438</v>
      </c>
      <c r="L202" s="12" t="s">
        <v>437</v>
      </c>
      <c r="M202" s="11" t="s">
        <v>7</v>
      </c>
      <c r="N202" s="11" t="s">
        <v>6</v>
      </c>
      <c r="O202" s="11" t="s">
        <v>5</v>
      </c>
      <c r="P202" s="10" t="s">
        <v>4</v>
      </c>
      <c r="Q202" s="17" t="s">
        <v>3</v>
      </c>
      <c r="R202" s="17"/>
      <c r="T202" s="4">
        <v>2006111</v>
      </c>
      <c r="U202" s="4" t="s">
        <v>61</v>
      </c>
      <c r="V202" s="4">
        <v>5.9589999999999997E-2</v>
      </c>
      <c r="W202" s="4">
        <v>0.37863000000000002</v>
      </c>
      <c r="X202" s="4">
        <v>2.9059999999999999E-2</v>
      </c>
      <c r="Y202" s="4">
        <v>1.3481099999999999</v>
      </c>
      <c r="Z202" s="4">
        <v>21.176950000000001</v>
      </c>
      <c r="AA202" s="4">
        <v>10.99268</v>
      </c>
      <c r="AB202" s="4">
        <v>-1.44875</v>
      </c>
    </row>
    <row r="203" spans="1:28" x14ac:dyDescent="0.25">
      <c r="A203" s="56">
        <v>28</v>
      </c>
      <c r="B203" s="10"/>
      <c r="C203" s="14"/>
      <c r="D203" s="13" t="s">
        <v>436</v>
      </c>
      <c r="E203" s="12"/>
      <c r="F203" s="12"/>
      <c r="G203" s="12"/>
      <c r="H203" s="12"/>
      <c r="I203" s="12"/>
      <c r="J203" s="12"/>
      <c r="K203" s="12"/>
      <c r="L203" s="12"/>
      <c r="M203" s="11"/>
      <c r="N203" s="11"/>
      <c r="O203" s="11"/>
      <c r="P203" s="10"/>
      <c r="Q203" s="7" t="s">
        <v>2</v>
      </c>
      <c r="R203" s="7" t="s">
        <v>1</v>
      </c>
      <c r="T203" s="4">
        <v>2006111</v>
      </c>
      <c r="U203" s="4" t="s">
        <v>60</v>
      </c>
      <c r="V203" s="4">
        <v>5.5210000000000002E-2</v>
      </c>
      <c r="W203" s="4">
        <v>0.37617</v>
      </c>
      <c r="X203" s="4">
        <v>3.0679999999999999E-2</v>
      </c>
      <c r="Y203" s="4">
        <v>1.41571</v>
      </c>
      <c r="Z203" s="4">
        <v>33.502090000000003</v>
      </c>
      <c r="AA203" s="4">
        <v>13.446339999999999</v>
      </c>
      <c r="AB203" s="4">
        <v>-1.2418199999999999</v>
      </c>
    </row>
    <row r="204" spans="1:28" x14ac:dyDescent="0.25">
      <c r="A204" s="56"/>
      <c r="B204" s="4" t="s">
        <v>435</v>
      </c>
      <c r="C204" s="5">
        <v>50</v>
      </c>
      <c r="D204" s="4">
        <v>20</v>
      </c>
      <c r="E204" s="3">
        <v>23</v>
      </c>
      <c r="F204" s="3">
        <f>1.8*E204+32</f>
        <v>73.400000000000006</v>
      </c>
      <c r="G204" s="3">
        <v>19</v>
      </c>
      <c r="H204" s="3">
        <f>IF(F204&gt;68,G204+(F204-68)*0.2,U430-(68-F204)*0.2)</f>
        <v>20.080000000000002</v>
      </c>
      <c r="I204" s="3">
        <v>23</v>
      </c>
      <c r="J204" s="3">
        <f>1.8*I204+32</f>
        <v>73.400000000000006</v>
      </c>
      <c r="K204" s="3">
        <v>10</v>
      </c>
      <c r="L204" s="3">
        <f>IF(J204&gt;68,K204+(J204-68)*0.2,K204-(68-J204)*0.2)</f>
        <v>11.080000000000002</v>
      </c>
      <c r="M204" s="3">
        <f>(C204-H204)/C204*100</f>
        <v>59.839999999999996</v>
      </c>
      <c r="N204" s="3">
        <f>100-(M204+O204)</f>
        <v>18</v>
      </c>
      <c r="O204" s="3">
        <f>L204/C204*100</f>
        <v>22.160000000000004</v>
      </c>
      <c r="P204" s="2" t="s">
        <v>427</v>
      </c>
      <c r="Q204" s="37" t="s">
        <v>475</v>
      </c>
      <c r="R204" s="37" t="s">
        <v>474</v>
      </c>
      <c r="T204" s="4">
        <v>2006111</v>
      </c>
      <c r="U204" s="4" t="s">
        <v>59</v>
      </c>
      <c r="V204" s="4">
        <v>5.6529999999999997E-2</v>
      </c>
      <c r="W204" s="4">
        <v>0.38005</v>
      </c>
      <c r="X204" s="4">
        <v>2.989E-2</v>
      </c>
      <c r="Y204" s="4">
        <v>1.36392</v>
      </c>
      <c r="Z204" s="4">
        <v>25.103490000000001</v>
      </c>
      <c r="AA204" s="4">
        <v>12.22494</v>
      </c>
      <c r="AB204" s="4">
        <v>-1.3717200000000001</v>
      </c>
    </row>
    <row r="205" spans="1:28" x14ac:dyDescent="0.25">
      <c r="A205" s="15" t="s">
        <v>434</v>
      </c>
      <c r="B205" s="4" t="s">
        <v>433</v>
      </c>
      <c r="C205" s="5">
        <v>50</v>
      </c>
      <c r="D205" s="4">
        <v>20</v>
      </c>
      <c r="E205" s="3">
        <v>23</v>
      </c>
      <c r="F205" s="3">
        <f>1.8*E205+32</f>
        <v>73.400000000000006</v>
      </c>
      <c r="G205" s="3">
        <v>19</v>
      </c>
      <c r="H205" s="3">
        <f>IF(F205&gt;68,G205+(F205-68)*0.2,U431-(68-F205)*0.2)</f>
        <v>20.080000000000002</v>
      </c>
      <c r="I205" s="3">
        <v>23</v>
      </c>
      <c r="J205" s="3">
        <f>1.8*I205+32</f>
        <v>73.400000000000006</v>
      </c>
      <c r="K205" s="3">
        <v>11</v>
      </c>
      <c r="L205" s="3">
        <f>IF(J205&gt;68,K205+(J205-68)*0.2,K205-(68-J205)*0.2)</f>
        <v>12.080000000000002</v>
      </c>
      <c r="M205" s="3">
        <f>(C205-H205)/C205*100</f>
        <v>59.839999999999996</v>
      </c>
      <c r="N205" s="3">
        <f>100-(M205+O205)</f>
        <v>16</v>
      </c>
      <c r="O205" s="3">
        <f>L205/C205*100</f>
        <v>24.160000000000004</v>
      </c>
      <c r="P205" s="2" t="s">
        <v>427</v>
      </c>
      <c r="Q205" s="37" t="s">
        <v>475</v>
      </c>
      <c r="R205" s="37" t="s">
        <v>474</v>
      </c>
      <c r="T205" s="4">
        <v>2006111</v>
      </c>
      <c r="U205" s="4" t="s">
        <v>58</v>
      </c>
      <c r="V205" s="4">
        <v>5.9589999999999997E-2</v>
      </c>
      <c r="W205" s="4">
        <v>0.37863000000000002</v>
      </c>
      <c r="X205" s="4">
        <v>2.9059999999999999E-2</v>
      </c>
      <c r="Y205" s="4">
        <v>1.3481099999999999</v>
      </c>
      <c r="Z205" s="4">
        <v>21.176950000000001</v>
      </c>
      <c r="AA205" s="4">
        <v>10.99268</v>
      </c>
      <c r="AB205" s="4">
        <v>-1.44875</v>
      </c>
    </row>
    <row r="206" spans="1:28" x14ac:dyDescent="0.25">
      <c r="A206" s="55">
        <v>40207</v>
      </c>
      <c r="B206" s="4" t="s">
        <v>432</v>
      </c>
      <c r="C206" s="5">
        <v>50</v>
      </c>
      <c r="D206" s="4">
        <v>20</v>
      </c>
      <c r="E206" s="3">
        <v>23</v>
      </c>
      <c r="F206" s="3">
        <f>1.8*E206+32</f>
        <v>73.400000000000006</v>
      </c>
      <c r="G206" s="3">
        <v>18</v>
      </c>
      <c r="H206" s="3">
        <f>IF(F206&gt;68,G206+(F206-68)*0.2,U432-(68-F206)*0.2)</f>
        <v>19.080000000000002</v>
      </c>
      <c r="I206" s="3">
        <v>23</v>
      </c>
      <c r="J206" s="3">
        <f>1.8*I206+32</f>
        <v>73.400000000000006</v>
      </c>
      <c r="K206" s="3">
        <v>10</v>
      </c>
      <c r="L206" s="3">
        <f>IF(J206&gt;68,K206+(J206-68)*0.2,K206-(68-J206)*0.2)</f>
        <v>11.080000000000002</v>
      </c>
      <c r="M206" s="3">
        <f>(C206-H206)/C206*100</f>
        <v>61.839999999999996</v>
      </c>
      <c r="N206" s="3">
        <f>100-(M206+O206)</f>
        <v>16</v>
      </c>
      <c r="O206" s="3">
        <f>L206/C206*100</f>
        <v>22.160000000000004</v>
      </c>
      <c r="P206" s="2" t="s">
        <v>427</v>
      </c>
      <c r="Q206" s="37" t="s">
        <v>475</v>
      </c>
      <c r="R206" s="37" t="s">
        <v>474</v>
      </c>
      <c r="T206" s="4">
        <v>2006111</v>
      </c>
      <c r="U206" s="4" t="s">
        <v>57</v>
      </c>
      <c r="V206" s="4">
        <v>6.0440000000000001E-2</v>
      </c>
      <c r="W206" s="4">
        <v>0.38039000000000001</v>
      </c>
      <c r="X206" s="4">
        <v>2.862E-2</v>
      </c>
      <c r="Y206" s="4">
        <v>1.3403099999999999</v>
      </c>
      <c r="Z206" s="4">
        <v>19.628019999999999</v>
      </c>
      <c r="AA206" s="4">
        <v>10.62391</v>
      </c>
      <c r="AB206" s="4">
        <v>-1.47278</v>
      </c>
    </row>
    <row r="207" spans="1:28" x14ac:dyDescent="0.25">
      <c r="A207" s="54"/>
      <c r="B207" s="4" t="s">
        <v>431</v>
      </c>
      <c r="C207" s="5">
        <v>50</v>
      </c>
      <c r="D207" s="4">
        <v>20</v>
      </c>
      <c r="E207" s="3">
        <v>23</v>
      </c>
      <c r="F207" s="3">
        <f>1.8*E207+32</f>
        <v>73.400000000000006</v>
      </c>
      <c r="G207" s="3">
        <v>20</v>
      </c>
      <c r="H207" s="3">
        <f>IF(F207&gt;68,G207+(F207-68)*0.2,U433-(68-F207)*0.2)</f>
        <v>21.080000000000002</v>
      </c>
      <c r="I207" s="3">
        <v>23</v>
      </c>
      <c r="J207" s="3">
        <f>1.8*I207+32</f>
        <v>73.400000000000006</v>
      </c>
      <c r="K207" s="3">
        <v>12</v>
      </c>
      <c r="L207" s="3">
        <f>IF(J207&gt;68,K207+(J207-68)*0.2,K207-(68-J207)*0.2)</f>
        <v>13.080000000000002</v>
      </c>
      <c r="M207" s="3">
        <f>(C207-H207)/C207*100</f>
        <v>57.839999999999989</v>
      </c>
      <c r="N207" s="3">
        <f>100-(M207+O207)</f>
        <v>16</v>
      </c>
      <c r="O207" s="3">
        <f>L207/C207*100</f>
        <v>26.160000000000004</v>
      </c>
      <c r="P207" s="2" t="s">
        <v>427</v>
      </c>
      <c r="Q207" s="37" t="s">
        <v>475</v>
      </c>
      <c r="R207" s="37" t="s">
        <v>474</v>
      </c>
      <c r="T207" s="4">
        <v>2006111</v>
      </c>
      <c r="U207" s="4" t="s">
        <v>56</v>
      </c>
      <c r="V207" s="4">
        <v>5.3030000000000001E-2</v>
      </c>
      <c r="W207" s="4">
        <v>0.37758000000000003</v>
      </c>
      <c r="X207" s="4">
        <v>3.1809999999999998E-2</v>
      </c>
      <c r="Y207" s="4">
        <v>1.4280600000000001</v>
      </c>
      <c r="Z207" s="4">
        <v>38.000570000000003</v>
      </c>
      <c r="AA207" s="4">
        <v>14.84483</v>
      </c>
      <c r="AB207" s="4">
        <v>-1.21018</v>
      </c>
    </row>
    <row r="208" spans="1:28" x14ac:dyDescent="0.25">
      <c r="A208" s="6"/>
      <c r="B208" s="4" t="s">
        <v>430</v>
      </c>
      <c r="C208" s="5">
        <v>50</v>
      </c>
      <c r="D208" s="4">
        <v>20</v>
      </c>
      <c r="E208" s="3">
        <v>24</v>
      </c>
      <c r="F208" s="3">
        <f>1.8*E208+32</f>
        <v>75.2</v>
      </c>
      <c r="G208" s="3">
        <v>19</v>
      </c>
      <c r="H208" s="3">
        <f>IF(F208&gt;68,G208+(F208-68)*0.2,U434-(68-F208)*0.2)</f>
        <v>20.440000000000001</v>
      </c>
      <c r="I208" s="3">
        <v>23</v>
      </c>
      <c r="J208" s="3">
        <f>1.8*I208+32</f>
        <v>73.400000000000006</v>
      </c>
      <c r="K208" s="3">
        <v>10</v>
      </c>
      <c r="L208" s="3">
        <f>IF(J208&gt;68,K208+(J208-68)*0.2,K208-(68-J208)*0.2)</f>
        <v>11.080000000000002</v>
      </c>
      <c r="M208" s="3">
        <f>(C208-H208)/C208*100</f>
        <v>59.12</v>
      </c>
      <c r="N208" s="3">
        <f>100-(M208+O208)</f>
        <v>18.72</v>
      </c>
      <c r="O208" s="3">
        <f>L208/C208*100</f>
        <v>22.160000000000004</v>
      </c>
      <c r="P208" s="2" t="s">
        <v>427</v>
      </c>
      <c r="Q208" s="37" t="s">
        <v>475</v>
      </c>
      <c r="R208" s="37" t="s">
        <v>474</v>
      </c>
      <c r="T208" s="4">
        <v>2006111</v>
      </c>
      <c r="U208" s="4" t="s">
        <v>55</v>
      </c>
      <c r="V208" s="4">
        <v>5.9589999999999997E-2</v>
      </c>
      <c r="W208" s="4">
        <v>0.37318000000000001</v>
      </c>
      <c r="X208" s="4">
        <v>2.8340000000000001E-2</v>
      </c>
      <c r="Y208" s="4">
        <v>1.3883399999999999</v>
      </c>
      <c r="Z208" s="4">
        <v>25.05039</v>
      </c>
      <c r="AA208" s="4">
        <v>10.908149999999999</v>
      </c>
      <c r="AB208" s="4">
        <v>-1.31287</v>
      </c>
    </row>
    <row r="209" spans="1:28" x14ac:dyDescent="0.25">
      <c r="A209" s="6"/>
      <c r="B209" s="4" t="s">
        <v>428</v>
      </c>
      <c r="C209" s="5">
        <v>50</v>
      </c>
      <c r="D209" s="4">
        <v>20</v>
      </c>
      <c r="E209" s="3">
        <v>24</v>
      </c>
      <c r="F209" s="3">
        <f>1.8*E209+32</f>
        <v>75.2</v>
      </c>
      <c r="G209" s="3">
        <v>11</v>
      </c>
      <c r="H209" s="3">
        <f>IF(F209&gt;68,G209+(F209-68)*0.2,U435-(68-F209)*0.2)</f>
        <v>12.440000000000001</v>
      </c>
      <c r="I209" s="3">
        <v>23</v>
      </c>
      <c r="J209" s="3">
        <f>1.8*I209+32</f>
        <v>73.400000000000006</v>
      </c>
      <c r="K209" s="3">
        <v>9</v>
      </c>
      <c r="L209" s="3">
        <f>IF(J209&gt;68,K209+(J209-68)*0.2,K209-(68-J209)*0.2)</f>
        <v>10.080000000000002</v>
      </c>
      <c r="M209" s="3">
        <f>(C209-H209)/C209*100</f>
        <v>75.12</v>
      </c>
      <c r="N209" s="3">
        <f>100-(M209+O209)</f>
        <v>4.7199999999999989</v>
      </c>
      <c r="O209" s="3">
        <f>L209/C209*100</f>
        <v>20.160000000000004</v>
      </c>
      <c r="P209" s="2" t="s">
        <v>427</v>
      </c>
      <c r="Q209" s="37" t="s">
        <v>475</v>
      </c>
      <c r="R209" s="37" t="s">
        <v>474</v>
      </c>
      <c r="T209" s="4">
        <v>2006111</v>
      </c>
      <c r="U209" s="4" t="s">
        <v>54</v>
      </c>
      <c r="V209" s="4">
        <v>5.806E-2</v>
      </c>
      <c r="W209" s="4">
        <v>0.37748999999999999</v>
      </c>
      <c r="X209" s="4">
        <v>2.9610000000000001E-2</v>
      </c>
      <c r="Y209" s="4">
        <v>1.3642799999999999</v>
      </c>
      <c r="Z209" s="4">
        <v>24.148510000000002</v>
      </c>
      <c r="AA209" s="4">
        <v>11.68838</v>
      </c>
      <c r="AB209" s="4">
        <v>-1.3890800000000001</v>
      </c>
    </row>
    <row r="210" spans="1:28" x14ac:dyDescent="0.25">
      <c r="A210" s="6"/>
      <c r="B210" s="4"/>
      <c r="C210" s="5"/>
      <c r="D210" s="4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2"/>
      <c r="Q210" s="37"/>
      <c r="R210" s="37"/>
      <c r="T210" s="4">
        <v>2006111</v>
      </c>
      <c r="U210" s="4" t="s">
        <v>53</v>
      </c>
      <c r="V210" s="4">
        <v>5.1769999999999997E-2</v>
      </c>
      <c r="W210" s="4">
        <v>0.37835999999999997</v>
      </c>
      <c r="X210" s="4">
        <v>3.2460000000000003E-2</v>
      </c>
      <c r="Y210" s="4">
        <v>1.4348099999999999</v>
      </c>
      <c r="Z210" s="4">
        <v>40.52872</v>
      </c>
      <c r="AA210" s="4">
        <v>15.69314</v>
      </c>
      <c r="AB210" s="4">
        <v>-1.19289</v>
      </c>
    </row>
    <row r="211" spans="1:28" ht="51.75" x14ac:dyDescent="0.25">
      <c r="A211" s="15" t="s">
        <v>19</v>
      </c>
      <c r="B211" s="10" t="s">
        <v>443</v>
      </c>
      <c r="C211" s="14" t="s">
        <v>17</v>
      </c>
      <c r="D211" s="13" t="s">
        <v>16</v>
      </c>
      <c r="E211" s="12" t="s">
        <v>15</v>
      </c>
      <c r="F211" s="12" t="s">
        <v>14</v>
      </c>
      <c r="G211" s="12" t="s">
        <v>442</v>
      </c>
      <c r="H211" s="12" t="s">
        <v>441</v>
      </c>
      <c r="I211" s="12" t="s">
        <v>440</v>
      </c>
      <c r="J211" s="12" t="s">
        <v>439</v>
      </c>
      <c r="K211" s="12" t="s">
        <v>438</v>
      </c>
      <c r="L211" s="12" t="s">
        <v>437</v>
      </c>
      <c r="M211" s="11" t="s">
        <v>7</v>
      </c>
      <c r="N211" s="11" t="s">
        <v>6</v>
      </c>
      <c r="O211" s="11" t="s">
        <v>5</v>
      </c>
      <c r="P211" s="10" t="s">
        <v>4</v>
      </c>
      <c r="Q211" s="17" t="s">
        <v>3</v>
      </c>
      <c r="R211" s="17"/>
      <c r="T211" s="4">
        <v>2006111</v>
      </c>
      <c r="U211" s="4" t="s">
        <v>52</v>
      </c>
      <c r="V211" s="4">
        <v>5.2990000000000002E-2</v>
      </c>
      <c r="W211" s="4">
        <v>0.38296000000000002</v>
      </c>
      <c r="X211" s="4">
        <v>2.9819999999999999E-2</v>
      </c>
      <c r="Y211" s="4">
        <v>1.37452</v>
      </c>
      <c r="Z211" s="4">
        <v>27.988</v>
      </c>
      <c r="AA211" s="4">
        <v>13.16987</v>
      </c>
      <c r="AB211" s="4">
        <v>-1.2848299999999999</v>
      </c>
    </row>
    <row r="212" spans="1:28" x14ac:dyDescent="0.25">
      <c r="A212" s="56">
        <v>31</v>
      </c>
      <c r="B212" s="10"/>
      <c r="C212" s="14"/>
      <c r="D212" s="13" t="s">
        <v>436</v>
      </c>
      <c r="E212" s="12"/>
      <c r="F212" s="12"/>
      <c r="G212" s="12"/>
      <c r="H212" s="12"/>
      <c r="I212" s="12"/>
      <c r="J212" s="12"/>
      <c r="K212" s="12"/>
      <c r="L212" s="12"/>
      <c r="M212" s="11"/>
      <c r="N212" s="11"/>
      <c r="O212" s="11"/>
      <c r="P212" s="10"/>
      <c r="Q212" s="7" t="s">
        <v>2</v>
      </c>
      <c r="R212" s="7" t="s">
        <v>1</v>
      </c>
      <c r="T212" s="4">
        <v>2006111</v>
      </c>
      <c r="U212" s="4" t="s">
        <v>51</v>
      </c>
      <c r="V212" s="4">
        <v>5.9959999999999999E-2</v>
      </c>
      <c r="W212" s="4">
        <v>0.38923999999999997</v>
      </c>
      <c r="X212" s="4">
        <v>2.4469999999999999E-2</v>
      </c>
      <c r="Y212" s="4">
        <v>1.3616600000000001</v>
      </c>
      <c r="Z212" s="4">
        <v>17.541869999999999</v>
      </c>
      <c r="AA212" s="4">
        <v>9.3191799999999994</v>
      </c>
      <c r="AB212" s="4">
        <v>-1.2276199999999999</v>
      </c>
    </row>
    <row r="213" spans="1:28" x14ac:dyDescent="0.25">
      <c r="A213" s="56"/>
      <c r="B213" s="4" t="s">
        <v>435</v>
      </c>
      <c r="C213" s="5">
        <v>50</v>
      </c>
      <c r="D213" s="4">
        <v>20</v>
      </c>
      <c r="E213" s="3">
        <v>23</v>
      </c>
      <c r="F213" s="3">
        <f>1.8*E213+32</f>
        <v>73.400000000000006</v>
      </c>
      <c r="G213" s="3">
        <v>19</v>
      </c>
      <c r="H213" s="3">
        <f>IF(F213&gt;68,G213+(F213-68)*0.2,U430-(68-F213)*0.2)</f>
        <v>20.080000000000002</v>
      </c>
      <c r="I213" s="3">
        <v>23</v>
      </c>
      <c r="J213" s="3">
        <f>1.8*I213+32</f>
        <v>73.400000000000006</v>
      </c>
      <c r="K213" s="3">
        <v>10</v>
      </c>
      <c r="L213" s="3">
        <f>IF(J213&gt;68,K213+(J213-68)*0.2,K213-(68-J213)*0.2)</f>
        <v>11.080000000000002</v>
      </c>
      <c r="M213" s="3">
        <f>(C213-H213)/C213*100</f>
        <v>59.839999999999996</v>
      </c>
      <c r="N213" s="3">
        <f>100-(M213+O213)</f>
        <v>18</v>
      </c>
      <c r="O213" s="3">
        <f>L213/C213*100</f>
        <v>22.160000000000004</v>
      </c>
      <c r="P213" s="2" t="s">
        <v>427</v>
      </c>
      <c r="Q213" s="37" t="s">
        <v>473</v>
      </c>
      <c r="R213" s="37" t="s">
        <v>472</v>
      </c>
      <c r="T213" s="4">
        <v>2006111</v>
      </c>
      <c r="U213" s="4" t="s">
        <v>50</v>
      </c>
      <c r="V213" s="4">
        <v>6.522E-2</v>
      </c>
      <c r="W213" s="4">
        <v>0.38646000000000003</v>
      </c>
      <c r="X213" s="4">
        <v>2.649E-2</v>
      </c>
      <c r="Y213" s="4">
        <v>1.3230599999999999</v>
      </c>
      <c r="Z213" s="4">
        <v>14.450670000000001</v>
      </c>
      <c r="AA213" s="4">
        <v>8.9996700000000001</v>
      </c>
      <c r="AB213" s="4">
        <v>-1.51935</v>
      </c>
    </row>
    <row r="214" spans="1:28" x14ac:dyDescent="0.25">
      <c r="A214" s="15" t="s">
        <v>434</v>
      </c>
      <c r="B214" s="4" t="s">
        <v>433</v>
      </c>
      <c r="C214" s="5">
        <v>50</v>
      </c>
      <c r="D214" s="4">
        <v>20</v>
      </c>
      <c r="E214" s="3">
        <v>23</v>
      </c>
      <c r="F214" s="3">
        <f>1.8*E214+32</f>
        <v>73.400000000000006</v>
      </c>
      <c r="G214" s="3">
        <v>21</v>
      </c>
      <c r="H214" s="3">
        <f>IF(F214&gt;68,G214+(F214-68)*0.2,U431-(68-F214)*0.2)</f>
        <v>22.080000000000002</v>
      </c>
      <c r="I214" s="3">
        <v>23</v>
      </c>
      <c r="J214" s="3">
        <f>1.8*I214+32</f>
        <v>73.400000000000006</v>
      </c>
      <c r="K214" s="3">
        <v>11</v>
      </c>
      <c r="L214" s="3">
        <f>IF(J214&gt;68,K214+(J214-68)*0.2,K214-(68-J214)*0.2)</f>
        <v>12.080000000000002</v>
      </c>
      <c r="M214" s="3">
        <f>(C214-H214)/C214*100</f>
        <v>55.84</v>
      </c>
      <c r="N214" s="3">
        <f>100-(M214+O214)</f>
        <v>20</v>
      </c>
      <c r="O214" s="3">
        <f>L214/C214*100</f>
        <v>24.160000000000004</v>
      </c>
      <c r="P214" s="2" t="s">
        <v>427</v>
      </c>
      <c r="Q214" s="37" t="s">
        <v>473</v>
      </c>
      <c r="R214" s="37" t="s">
        <v>472</v>
      </c>
      <c r="T214" s="4">
        <v>2006111</v>
      </c>
      <c r="U214" s="4" t="s">
        <v>49</v>
      </c>
      <c r="V214" s="4">
        <v>5.0590000000000003E-2</v>
      </c>
      <c r="W214" s="4">
        <v>0.38045000000000001</v>
      </c>
      <c r="X214" s="4">
        <v>3.2570000000000002E-2</v>
      </c>
      <c r="Y214" s="4">
        <v>1.4091400000000001</v>
      </c>
      <c r="Z214" s="4">
        <v>37.127650000000003</v>
      </c>
      <c r="AA214" s="4">
        <v>15.72748</v>
      </c>
      <c r="AB214" s="4">
        <v>-1.23241</v>
      </c>
    </row>
    <row r="215" spans="1:28" x14ac:dyDescent="0.25">
      <c r="A215" s="55"/>
      <c r="B215" s="4" t="s">
        <v>432</v>
      </c>
      <c r="C215" s="5">
        <v>50</v>
      </c>
      <c r="D215" s="4">
        <v>20</v>
      </c>
      <c r="E215" s="3">
        <v>23</v>
      </c>
      <c r="F215" s="3">
        <f>1.8*E215+32</f>
        <v>73.400000000000006</v>
      </c>
      <c r="G215" s="3">
        <v>26</v>
      </c>
      <c r="H215" s="3">
        <f>IF(F215&gt;68,G215+(F215-68)*0.2,U432-(68-F215)*0.2)</f>
        <v>27.080000000000002</v>
      </c>
      <c r="I215" s="3">
        <v>23</v>
      </c>
      <c r="J215" s="3">
        <f>1.8*I215+32</f>
        <v>73.400000000000006</v>
      </c>
      <c r="K215" s="3">
        <v>14</v>
      </c>
      <c r="L215" s="3">
        <f>IF(J215&gt;68,K215+(J215-68)*0.2,K215-(68-J215)*0.2)</f>
        <v>15.080000000000002</v>
      </c>
      <c r="M215" s="3">
        <f>(C215-H215)/C215*100</f>
        <v>45.839999999999996</v>
      </c>
      <c r="N215" s="3">
        <f>100-(M215+O215)</f>
        <v>24</v>
      </c>
      <c r="O215" s="3">
        <f>L215/C215*100</f>
        <v>30.160000000000004</v>
      </c>
      <c r="P215" s="2" t="s">
        <v>427</v>
      </c>
      <c r="Q215" s="37" t="s">
        <v>473</v>
      </c>
      <c r="R215" s="37" t="s">
        <v>472</v>
      </c>
      <c r="T215" s="4">
        <v>2006111</v>
      </c>
      <c r="U215" s="4" t="s">
        <v>48</v>
      </c>
      <c r="V215" s="4">
        <v>5.6430000000000001E-2</v>
      </c>
      <c r="W215" s="4">
        <v>0.38074000000000002</v>
      </c>
      <c r="X215" s="4">
        <v>2.9739999999999999E-2</v>
      </c>
      <c r="Y215" s="4">
        <v>1.36249</v>
      </c>
      <c r="Z215" s="4">
        <v>24.808900000000001</v>
      </c>
      <c r="AA215" s="4">
        <v>12.17802</v>
      </c>
      <c r="AB215" s="4">
        <v>-1.3694599999999999</v>
      </c>
    </row>
    <row r="216" spans="1:28" x14ac:dyDescent="0.25">
      <c r="A216" s="54"/>
      <c r="B216" s="4" t="s">
        <v>431</v>
      </c>
      <c r="C216" s="5">
        <v>50</v>
      </c>
      <c r="D216" s="4">
        <v>20</v>
      </c>
      <c r="E216" s="3">
        <v>23</v>
      </c>
      <c r="F216" s="3">
        <f>1.8*E216+32</f>
        <v>73.400000000000006</v>
      </c>
      <c r="G216" s="3">
        <v>31</v>
      </c>
      <c r="H216" s="3">
        <f>IF(F216&gt;68,G216+(F216-68)*0.2,U433-(68-F216)*0.2)</f>
        <v>32.08</v>
      </c>
      <c r="I216" s="3">
        <v>23</v>
      </c>
      <c r="J216" s="3">
        <f>1.8*I216+32</f>
        <v>73.400000000000006</v>
      </c>
      <c r="K216" s="3">
        <v>20</v>
      </c>
      <c r="L216" s="3">
        <f>IF(J216&gt;68,K216+(J216-68)*0.2,K216-(68-J216)*0.2)</f>
        <v>21.080000000000002</v>
      </c>
      <c r="M216" s="3">
        <f>(C216-H216)/C216*100</f>
        <v>35.840000000000003</v>
      </c>
      <c r="N216" s="3">
        <f>100-(M216+O216)</f>
        <v>22</v>
      </c>
      <c r="O216" s="3">
        <f>L216/C216*100</f>
        <v>42.160000000000004</v>
      </c>
      <c r="P216" s="2" t="s">
        <v>274</v>
      </c>
      <c r="Q216" s="37" t="s">
        <v>473</v>
      </c>
      <c r="R216" s="37" t="s">
        <v>472</v>
      </c>
      <c r="T216" s="4">
        <v>2006111</v>
      </c>
      <c r="U216" s="4" t="s">
        <v>47</v>
      </c>
      <c r="V216" s="4">
        <v>5.0590000000000003E-2</v>
      </c>
      <c r="W216" s="4">
        <v>0.38045000000000001</v>
      </c>
      <c r="X216" s="4">
        <v>3.2570000000000002E-2</v>
      </c>
      <c r="Y216" s="4">
        <v>1.4091400000000001</v>
      </c>
      <c r="Z216" s="4">
        <v>37.127650000000003</v>
      </c>
      <c r="AA216" s="4">
        <v>15.72748</v>
      </c>
      <c r="AB216" s="4">
        <v>-1.23241</v>
      </c>
    </row>
    <row r="217" spans="1:28" x14ac:dyDescent="0.25">
      <c r="A217" s="6"/>
      <c r="B217" s="4" t="s">
        <v>430</v>
      </c>
      <c r="C217" s="5">
        <v>50</v>
      </c>
      <c r="D217" s="4">
        <v>20</v>
      </c>
      <c r="E217" s="3">
        <v>23</v>
      </c>
      <c r="F217" s="3">
        <f>1.8*E217+32</f>
        <v>73.400000000000006</v>
      </c>
      <c r="G217" s="3">
        <v>25</v>
      </c>
      <c r="H217" s="3">
        <f>IF(F217&gt;68,G217+(F217-68)*0.2,U434-(68-F217)*0.2)</f>
        <v>26.080000000000002</v>
      </c>
      <c r="I217" s="3">
        <v>23</v>
      </c>
      <c r="J217" s="3">
        <f>1.8*I217+32</f>
        <v>73.400000000000006</v>
      </c>
      <c r="K217" s="3">
        <v>11</v>
      </c>
      <c r="L217" s="3">
        <f>IF(J217&gt;68,K217+(J217-68)*0.2,K217-(68-J217)*0.2)</f>
        <v>12.080000000000002</v>
      </c>
      <c r="M217" s="3">
        <f>(C217-H217)/C217*100</f>
        <v>47.839999999999996</v>
      </c>
      <c r="N217" s="3">
        <f>100-(M217+O217)</f>
        <v>28</v>
      </c>
      <c r="O217" s="3">
        <f>L217/C217*100</f>
        <v>24.160000000000004</v>
      </c>
      <c r="P217" s="2" t="s">
        <v>471</v>
      </c>
      <c r="Q217" s="37" t="s">
        <v>473</v>
      </c>
      <c r="R217" s="37" t="s">
        <v>472</v>
      </c>
      <c r="T217" s="4">
        <v>2006111</v>
      </c>
      <c r="U217" s="4" t="s">
        <v>46</v>
      </c>
      <c r="V217" s="4">
        <v>6.241E-2</v>
      </c>
      <c r="W217" s="4">
        <v>0.38533000000000001</v>
      </c>
      <c r="X217" s="4">
        <v>2.6919999999999999E-2</v>
      </c>
      <c r="Y217" s="4">
        <v>1.33578</v>
      </c>
      <c r="Z217" s="4">
        <v>16.763770000000001</v>
      </c>
      <c r="AA217" s="4">
        <v>9.6893600000000006</v>
      </c>
      <c r="AB217" s="4">
        <v>-1.44611</v>
      </c>
    </row>
    <row r="218" spans="1:28" x14ac:dyDescent="0.25">
      <c r="A218" s="6"/>
      <c r="B218" s="4" t="s">
        <v>428</v>
      </c>
      <c r="C218" s="5">
        <v>50</v>
      </c>
      <c r="D218" s="4">
        <v>20</v>
      </c>
      <c r="E218" s="3">
        <v>23</v>
      </c>
      <c r="F218" s="3">
        <f>1.8*E218+32</f>
        <v>73.400000000000006</v>
      </c>
      <c r="G218" s="3">
        <v>21</v>
      </c>
      <c r="H218" s="3">
        <f>IF(F218&gt;68,G218+(F218-68)*0.2,U435-(68-F218)*0.2)</f>
        <v>22.080000000000002</v>
      </c>
      <c r="I218" s="3">
        <v>23</v>
      </c>
      <c r="J218" s="3">
        <f>1.8*I218+32</f>
        <v>73.400000000000006</v>
      </c>
      <c r="K218" s="3">
        <v>10</v>
      </c>
      <c r="L218" s="3">
        <f>IF(J218&gt;68,K218+(J218-68)*0.2,K218-(68-J218)*0.2)</f>
        <v>11.080000000000002</v>
      </c>
      <c r="M218" s="3">
        <f>(C218-H218)/C218*100</f>
        <v>55.84</v>
      </c>
      <c r="N218" s="3">
        <f>100-(M218+O218)</f>
        <v>22</v>
      </c>
      <c r="O218" s="3">
        <f>L218/C218*100</f>
        <v>22.160000000000004</v>
      </c>
      <c r="P218" s="2" t="s">
        <v>427</v>
      </c>
      <c r="Q218" s="37" t="s">
        <v>473</v>
      </c>
      <c r="R218" s="37" t="s">
        <v>472</v>
      </c>
      <c r="T218" s="4">
        <v>2006111</v>
      </c>
      <c r="U218" s="4" t="s">
        <v>45</v>
      </c>
      <c r="V218" s="4">
        <v>5.3129999999999997E-2</v>
      </c>
      <c r="W218" s="4">
        <v>0.38196999999999998</v>
      </c>
      <c r="X218" s="4">
        <v>3.0429999999999999E-2</v>
      </c>
      <c r="Y218" s="4">
        <v>1.37666</v>
      </c>
      <c r="Z218" s="4">
        <v>28.857320000000001</v>
      </c>
      <c r="AA218" s="4">
        <v>13.463200000000001</v>
      </c>
      <c r="AB218" s="4">
        <v>-1.2981</v>
      </c>
    </row>
    <row r="219" spans="1:28" x14ac:dyDescent="0.25">
      <c r="A219" s="36"/>
      <c r="T219" s="4">
        <v>2006111</v>
      </c>
      <c r="U219" s="4" t="s">
        <v>44</v>
      </c>
      <c r="V219" s="4">
        <v>6.3030000000000003E-2</v>
      </c>
      <c r="W219" s="4">
        <v>0.39013999999999999</v>
      </c>
      <c r="X219" s="4">
        <v>2.4490000000000001E-2</v>
      </c>
      <c r="Y219" s="4">
        <v>1.3492</v>
      </c>
      <c r="Z219" s="4">
        <v>15.23415</v>
      </c>
      <c r="AA219" s="4">
        <v>8.8140300000000007</v>
      </c>
      <c r="AB219" s="4">
        <v>-1.30247</v>
      </c>
    </row>
    <row r="220" spans="1:28" ht="51.75" x14ac:dyDescent="0.25">
      <c r="A220" s="15" t="s">
        <v>19</v>
      </c>
      <c r="B220" s="10" t="s">
        <v>443</v>
      </c>
      <c r="C220" s="14" t="s">
        <v>17</v>
      </c>
      <c r="D220" s="13" t="s">
        <v>16</v>
      </c>
      <c r="E220" s="12" t="s">
        <v>15</v>
      </c>
      <c r="F220" s="12" t="s">
        <v>14</v>
      </c>
      <c r="G220" s="12" t="s">
        <v>442</v>
      </c>
      <c r="H220" s="12" t="s">
        <v>441</v>
      </c>
      <c r="I220" s="12" t="s">
        <v>440</v>
      </c>
      <c r="J220" s="12" t="s">
        <v>439</v>
      </c>
      <c r="K220" s="12" t="s">
        <v>438</v>
      </c>
      <c r="L220" s="12" t="s">
        <v>437</v>
      </c>
      <c r="M220" s="11" t="s">
        <v>7</v>
      </c>
      <c r="N220" s="11" t="s">
        <v>6</v>
      </c>
      <c r="O220" s="11" t="s">
        <v>5</v>
      </c>
      <c r="P220" s="10" t="s">
        <v>4</v>
      </c>
      <c r="Q220" s="17" t="s">
        <v>3</v>
      </c>
      <c r="R220" s="17"/>
      <c r="T220" s="4">
        <v>2006111</v>
      </c>
      <c r="U220" s="4" t="s">
        <v>43</v>
      </c>
      <c r="V220" s="4">
        <v>5.0009999999999999E-2</v>
      </c>
      <c r="W220" s="4">
        <v>0.38183</v>
      </c>
      <c r="X220" s="4">
        <v>3.2070000000000001E-2</v>
      </c>
      <c r="Y220" s="4">
        <v>1.39689</v>
      </c>
      <c r="Z220" s="4">
        <v>34.97101</v>
      </c>
      <c r="AA220" s="4">
        <v>15.421340000000001</v>
      </c>
      <c r="AB220" s="4">
        <v>-1.2422899999999999</v>
      </c>
    </row>
    <row r="221" spans="1:28" x14ac:dyDescent="0.25">
      <c r="A221" s="56">
        <v>32</v>
      </c>
      <c r="B221" s="10"/>
      <c r="C221" s="14"/>
      <c r="D221" s="13" t="s">
        <v>436</v>
      </c>
      <c r="E221" s="12"/>
      <c r="F221" s="12"/>
      <c r="G221" s="12"/>
      <c r="H221" s="12"/>
      <c r="I221" s="12"/>
      <c r="J221" s="12"/>
      <c r="K221" s="12"/>
      <c r="L221" s="12"/>
      <c r="M221" s="11"/>
      <c r="N221" s="11"/>
      <c r="O221" s="11"/>
      <c r="P221" s="10"/>
      <c r="Q221" s="7" t="s">
        <v>2</v>
      </c>
      <c r="R221" s="7" t="s">
        <v>1</v>
      </c>
      <c r="T221" s="4">
        <v>2006111</v>
      </c>
      <c r="U221" s="4" t="s">
        <v>42</v>
      </c>
      <c r="V221" s="4">
        <v>5.5599999999999997E-2</v>
      </c>
      <c r="W221" s="4">
        <v>0.37341999999999997</v>
      </c>
      <c r="X221" s="4">
        <v>2.9760000000000002E-2</v>
      </c>
      <c r="Y221" s="4">
        <v>1.5259799999999999</v>
      </c>
      <c r="Z221" s="4">
        <v>49.312429999999999</v>
      </c>
      <c r="AA221" s="4">
        <v>14.031689999999999</v>
      </c>
      <c r="AB221" s="4">
        <v>-1.0657300000000001</v>
      </c>
    </row>
    <row r="222" spans="1:28" x14ac:dyDescent="0.25">
      <c r="A222" s="56"/>
      <c r="B222" s="4" t="s">
        <v>435</v>
      </c>
      <c r="C222" s="5">
        <v>50</v>
      </c>
      <c r="D222" s="4">
        <v>20</v>
      </c>
      <c r="E222" s="3">
        <v>23</v>
      </c>
      <c r="F222" s="3">
        <f>1.8*E222+32</f>
        <v>73.400000000000006</v>
      </c>
      <c r="G222" s="3">
        <v>19</v>
      </c>
      <c r="H222" s="3">
        <f>IF(F222&gt;68,G222+(F222-68)*0.2,U439-(68-F222)*0.2)</f>
        <v>20.080000000000002</v>
      </c>
      <c r="I222" s="3">
        <v>23</v>
      </c>
      <c r="J222" s="3">
        <f>1.8*I222+32</f>
        <v>73.400000000000006</v>
      </c>
      <c r="K222" s="3">
        <v>10</v>
      </c>
      <c r="L222" s="3">
        <f>IF(J222&gt;68,K222+(J222-68)*0.2,K222-(68-J222)*0.2)</f>
        <v>11.080000000000002</v>
      </c>
      <c r="M222" s="3">
        <f>(C222-H222)/C222*100</f>
        <v>59.839999999999996</v>
      </c>
      <c r="N222" s="3">
        <f>100-(M222+O222)</f>
        <v>18</v>
      </c>
      <c r="O222" s="3">
        <f>L222/C222*100</f>
        <v>22.160000000000004</v>
      </c>
      <c r="P222" s="2" t="s">
        <v>427</v>
      </c>
      <c r="Q222" s="37" t="s">
        <v>470</v>
      </c>
      <c r="R222" s="37" t="s">
        <v>469</v>
      </c>
      <c r="T222" s="4">
        <v>2006111</v>
      </c>
      <c r="U222" s="4" t="s">
        <v>41</v>
      </c>
      <c r="V222" s="4">
        <v>4.8899999999999999E-2</v>
      </c>
      <c r="W222" s="4">
        <v>0.37959999999999999</v>
      </c>
      <c r="X222" s="4">
        <v>3.4110000000000001E-2</v>
      </c>
      <c r="Y222" s="4">
        <v>1.4713400000000001</v>
      </c>
      <c r="Z222" s="4">
        <v>49.95355</v>
      </c>
      <c r="AA222" s="4">
        <v>18.263839999999998</v>
      </c>
      <c r="AB222" s="4">
        <v>-1.123</v>
      </c>
    </row>
    <row r="223" spans="1:28" x14ac:dyDescent="0.25">
      <c r="A223" s="15" t="s">
        <v>434</v>
      </c>
      <c r="B223" s="4" t="s">
        <v>433</v>
      </c>
      <c r="C223" s="5">
        <v>50</v>
      </c>
      <c r="D223" s="4">
        <v>20</v>
      </c>
      <c r="E223" s="3">
        <v>23</v>
      </c>
      <c r="F223" s="3">
        <f>1.8*E223+32</f>
        <v>73.400000000000006</v>
      </c>
      <c r="G223" s="3">
        <v>21</v>
      </c>
      <c r="H223" s="3">
        <f>IF(F223&gt;68,G223+(F223-68)*0.2,U440-(68-F223)*0.2)</f>
        <v>22.080000000000002</v>
      </c>
      <c r="I223" s="3">
        <v>23</v>
      </c>
      <c r="J223" s="3">
        <f>1.8*I223+32</f>
        <v>73.400000000000006</v>
      </c>
      <c r="K223" s="3">
        <v>11</v>
      </c>
      <c r="L223" s="3">
        <f>IF(J223&gt;68,K223+(J223-68)*0.2,K223-(68-J223)*0.2)</f>
        <v>12.080000000000002</v>
      </c>
      <c r="M223" s="3">
        <f>(C223-H223)/C223*100</f>
        <v>55.84</v>
      </c>
      <c r="N223" s="3">
        <f>100-(M223+O223)</f>
        <v>20</v>
      </c>
      <c r="O223" s="3">
        <f>L223/C223*100</f>
        <v>24.160000000000004</v>
      </c>
      <c r="P223" s="2" t="s">
        <v>427</v>
      </c>
      <c r="Q223" s="37" t="s">
        <v>470</v>
      </c>
      <c r="R223" s="37" t="s">
        <v>469</v>
      </c>
      <c r="T223" s="4">
        <v>2006111</v>
      </c>
      <c r="U223" s="4" t="s">
        <v>40</v>
      </c>
      <c r="V223" s="4">
        <v>4.8899999999999999E-2</v>
      </c>
      <c r="W223" s="4">
        <v>0.37959999999999999</v>
      </c>
      <c r="X223" s="4">
        <v>3.4110000000000001E-2</v>
      </c>
      <c r="Y223" s="4">
        <v>1.4713400000000001</v>
      </c>
      <c r="Z223" s="4">
        <v>49.95355</v>
      </c>
      <c r="AA223" s="4">
        <v>18.263839999999998</v>
      </c>
      <c r="AB223" s="4">
        <v>-1.123</v>
      </c>
    </row>
    <row r="224" spans="1:28" x14ac:dyDescent="0.25">
      <c r="A224" s="55">
        <v>40210</v>
      </c>
      <c r="B224" s="4" t="s">
        <v>432</v>
      </c>
      <c r="C224" s="5">
        <v>50</v>
      </c>
      <c r="D224" s="4">
        <v>20</v>
      </c>
      <c r="E224" s="3">
        <v>23</v>
      </c>
      <c r="F224" s="3">
        <f>1.8*E224+32</f>
        <v>73.400000000000006</v>
      </c>
      <c r="G224" s="3">
        <v>26</v>
      </c>
      <c r="H224" s="3">
        <f>IF(F224&gt;68,G224+(F224-68)*0.2,U441-(68-F224)*0.2)</f>
        <v>27.080000000000002</v>
      </c>
      <c r="I224" s="3">
        <v>23</v>
      </c>
      <c r="J224" s="3">
        <f>1.8*I224+32</f>
        <v>73.400000000000006</v>
      </c>
      <c r="K224" s="3">
        <v>14</v>
      </c>
      <c r="L224" s="3">
        <f>IF(J224&gt;68,K224+(J224-68)*0.2,K224-(68-J224)*0.2)</f>
        <v>15.080000000000002</v>
      </c>
      <c r="M224" s="3">
        <f>(C224-H224)/C224*100</f>
        <v>45.839999999999996</v>
      </c>
      <c r="N224" s="3">
        <f>100-(M224+O224)</f>
        <v>24</v>
      </c>
      <c r="O224" s="3">
        <f>L224/C224*100</f>
        <v>30.160000000000004</v>
      </c>
      <c r="P224" s="2" t="s">
        <v>427</v>
      </c>
      <c r="Q224" s="37" t="s">
        <v>470</v>
      </c>
      <c r="R224" s="37" t="s">
        <v>469</v>
      </c>
      <c r="T224" s="4">
        <v>2006111</v>
      </c>
      <c r="U224" s="4" t="s">
        <v>39</v>
      </c>
      <c r="V224" s="4">
        <v>4.9390000000000003E-2</v>
      </c>
      <c r="W224" s="4">
        <v>0.38428000000000001</v>
      </c>
      <c r="X224" s="4">
        <v>2.9760000000000002E-2</v>
      </c>
      <c r="Y224" s="4">
        <v>1.3855599999999999</v>
      </c>
      <c r="Z224" s="4">
        <v>31.2652</v>
      </c>
      <c r="AA224" s="4">
        <v>14.10599</v>
      </c>
      <c r="AB224" s="4">
        <v>-1.2049399999999999</v>
      </c>
    </row>
    <row r="225" spans="1:28" x14ac:dyDescent="0.25">
      <c r="A225" s="54"/>
      <c r="B225" s="4" t="s">
        <v>431</v>
      </c>
      <c r="C225" s="5">
        <v>50</v>
      </c>
      <c r="D225" s="4">
        <v>20</v>
      </c>
      <c r="E225" s="3">
        <v>23</v>
      </c>
      <c r="F225" s="3">
        <f>1.8*E225+32</f>
        <v>73.400000000000006</v>
      </c>
      <c r="G225" s="3">
        <v>31</v>
      </c>
      <c r="H225" s="3">
        <f>IF(F225&gt;68,G225+(F225-68)*0.2,U442-(68-F225)*0.2)</f>
        <v>32.08</v>
      </c>
      <c r="I225" s="3">
        <v>23</v>
      </c>
      <c r="J225" s="3">
        <f>1.8*I225+32</f>
        <v>73.400000000000006</v>
      </c>
      <c r="K225" s="3">
        <v>20</v>
      </c>
      <c r="L225" s="3">
        <f>IF(J225&gt;68,K225+(J225-68)*0.2,K225-(68-J225)*0.2)</f>
        <v>21.080000000000002</v>
      </c>
      <c r="M225" s="3">
        <f>(C225-H225)/C225*100</f>
        <v>35.840000000000003</v>
      </c>
      <c r="N225" s="3">
        <f>100-(M225+O225)</f>
        <v>22</v>
      </c>
      <c r="O225" s="3">
        <f>L225/C225*100</f>
        <v>42.160000000000004</v>
      </c>
      <c r="P225" s="2" t="s">
        <v>274</v>
      </c>
      <c r="Q225" s="37" t="s">
        <v>470</v>
      </c>
      <c r="R225" s="37" t="s">
        <v>469</v>
      </c>
      <c r="T225" s="4">
        <v>2006111</v>
      </c>
      <c r="U225" s="4" t="s">
        <v>38</v>
      </c>
      <c r="V225" s="4">
        <v>6.241E-2</v>
      </c>
      <c r="W225" s="4">
        <v>0.38533000000000001</v>
      </c>
      <c r="X225" s="4">
        <v>2.6919999999999999E-2</v>
      </c>
      <c r="Y225" s="4">
        <v>1.33578</v>
      </c>
      <c r="Z225" s="4">
        <v>16.763770000000001</v>
      </c>
      <c r="AA225" s="4">
        <v>9.6893600000000006</v>
      </c>
      <c r="AB225" s="4">
        <v>-1.44611</v>
      </c>
    </row>
    <row r="226" spans="1:28" x14ac:dyDescent="0.25">
      <c r="A226" s="6"/>
      <c r="B226" s="4" t="s">
        <v>430</v>
      </c>
      <c r="C226" s="5">
        <v>50</v>
      </c>
      <c r="D226" s="4">
        <v>20</v>
      </c>
      <c r="E226" s="3">
        <v>23</v>
      </c>
      <c r="F226" s="3">
        <f>1.8*E226+32</f>
        <v>73.400000000000006</v>
      </c>
      <c r="G226" s="3">
        <v>25</v>
      </c>
      <c r="H226" s="3">
        <f>IF(F226&gt;68,G226+(F226-68)*0.2,U443-(68-F226)*0.2)</f>
        <v>26.080000000000002</v>
      </c>
      <c r="I226" s="3">
        <v>23</v>
      </c>
      <c r="J226" s="3">
        <f>1.8*I226+32</f>
        <v>73.400000000000006</v>
      </c>
      <c r="K226" s="3">
        <v>11</v>
      </c>
      <c r="L226" s="3">
        <f>IF(J226&gt;68,K226+(J226-68)*0.2,K226-(68-J226)*0.2)</f>
        <v>12.080000000000002</v>
      </c>
      <c r="M226" s="3">
        <f>(C226-H226)/C226*100</f>
        <v>47.839999999999996</v>
      </c>
      <c r="N226" s="3">
        <f>100-(M226+O226)</f>
        <v>28</v>
      </c>
      <c r="O226" s="3">
        <f>L226/C226*100</f>
        <v>24.160000000000004</v>
      </c>
      <c r="P226" s="2" t="s">
        <v>471</v>
      </c>
      <c r="Q226" s="37" t="s">
        <v>470</v>
      </c>
      <c r="R226" s="37" t="s">
        <v>469</v>
      </c>
      <c r="T226" s="4">
        <v>2006111</v>
      </c>
      <c r="U226" s="4" t="s">
        <v>37</v>
      </c>
      <c r="V226" s="4">
        <v>5.0410000000000003E-2</v>
      </c>
      <c r="W226" s="4">
        <v>0.38085000000000002</v>
      </c>
      <c r="X226" s="4">
        <v>3.2480000000000002E-2</v>
      </c>
      <c r="Y226" s="4">
        <v>1.4052</v>
      </c>
      <c r="Z226" s="4">
        <v>36.49709</v>
      </c>
      <c r="AA226" s="4">
        <v>15.6686</v>
      </c>
      <c r="AB226" s="4">
        <v>-1.23698</v>
      </c>
    </row>
    <row r="227" spans="1:28" x14ac:dyDescent="0.25">
      <c r="A227" s="6"/>
      <c r="B227" s="4" t="s">
        <v>428</v>
      </c>
      <c r="C227" s="5">
        <v>50</v>
      </c>
      <c r="D227" s="4">
        <v>20</v>
      </c>
      <c r="E227" s="3">
        <v>23</v>
      </c>
      <c r="F227" s="3">
        <f>1.8*E227+32</f>
        <v>73.400000000000006</v>
      </c>
      <c r="G227" s="3">
        <v>21</v>
      </c>
      <c r="H227" s="3">
        <f>IF(F227&gt;68,G227+(F227-68)*0.2,U444-(68-F227)*0.2)</f>
        <v>22.080000000000002</v>
      </c>
      <c r="I227" s="3">
        <v>23</v>
      </c>
      <c r="J227" s="3">
        <f>1.8*I227+32</f>
        <v>73.400000000000006</v>
      </c>
      <c r="K227" s="3">
        <v>10</v>
      </c>
      <c r="L227" s="3">
        <f>IF(J227&gt;68,K227+(J227-68)*0.2,K227-(68-J227)*0.2)</f>
        <v>11.080000000000002</v>
      </c>
      <c r="M227" s="3">
        <f>(C227-H227)/C227*100</f>
        <v>55.84</v>
      </c>
      <c r="N227" s="3">
        <f>100-(M227+O227)</f>
        <v>22</v>
      </c>
      <c r="O227" s="3">
        <f>L227/C227*100</f>
        <v>22.160000000000004</v>
      </c>
      <c r="P227" s="2" t="s">
        <v>427</v>
      </c>
      <c r="Q227" s="37" t="s">
        <v>470</v>
      </c>
      <c r="R227" s="37" t="s">
        <v>469</v>
      </c>
      <c r="T227" s="4">
        <v>2006111</v>
      </c>
      <c r="U227" s="4" t="s">
        <v>36</v>
      </c>
      <c r="V227" s="4">
        <v>5.1159999999999997E-2</v>
      </c>
      <c r="W227" s="4">
        <v>0.37936999999999999</v>
      </c>
      <c r="X227" s="4">
        <v>3.2629999999999999E-2</v>
      </c>
      <c r="Y227" s="4">
        <v>1.4213</v>
      </c>
      <c r="Z227" s="4">
        <v>38.855200000000004</v>
      </c>
      <c r="AA227" s="4">
        <v>15.77717</v>
      </c>
      <c r="AB227" s="4">
        <v>-1.2148000000000001</v>
      </c>
    </row>
    <row r="228" spans="1:28" x14ac:dyDescent="0.25">
      <c r="A228" s="36"/>
      <c r="T228" s="4">
        <v>2006111</v>
      </c>
      <c r="U228" s="4" t="s">
        <v>35</v>
      </c>
      <c r="V228" s="4">
        <v>5.9360000000000003E-2</v>
      </c>
      <c r="W228" s="4">
        <v>0.38218999999999997</v>
      </c>
      <c r="X228" s="4">
        <v>2.8459999999999999E-2</v>
      </c>
      <c r="Y228" s="4">
        <v>1.3460399999999999</v>
      </c>
      <c r="Z228" s="4">
        <v>20.424969999999998</v>
      </c>
      <c r="AA228" s="4">
        <v>10.87636</v>
      </c>
      <c r="AB228" s="4">
        <v>-1.42537</v>
      </c>
    </row>
    <row r="229" spans="1:28" ht="51.75" x14ac:dyDescent="0.25">
      <c r="A229" s="15" t="s">
        <v>19</v>
      </c>
      <c r="B229" s="10" t="s">
        <v>443</v>
      </c>
      <c r="C229" s="14" t="s">
        <v>17</v>
      </c>
      <c r="D229" s="13" t="s">
        <v>16</v>
      </c>
      <c r="E229" s="12" t="s">
        <v>15</v>
      </c>
      <c r="F229" s="12" t="s">
        <v>14</v>
      </c>
      <c r="G229" s="12" t="s">
        <v>442</v>
      </c>
      <c r="H229" s="12" t="s">
        <v>441</v>
      </c>
      <c r="I229" s="12" t="s">
        <v>440</v>
      </c>
      <c r="J229" s="12" t="s">
        <v>439</v>
      </c>
      <c r="K229" s="12" t="s">
        <v>438</v>
      </c>
      <c r="L229" s="12" t="s">
        <v>437</v>
      </c>
      <c r="M229" s="11" t="s">
        <v>7</v>
      </c>
      <c r="N229" s="11" t="s">
        <v>6</v>
      </c>
      <c r="O229" s="11" t="s">
        <v>5</v>
      </c>
      <c r="P229" s="10" t="s">
        <v>4</v>
      </c>
      <c r="Q229" s="17" t="s">
        <v>3</v>
      </c>
      <c r="R229" s="17"/>
      <c r="T229" s="4">
        <v>2006111</v>
      </c>
      <c r="U229" s="4" t="s">
        <v>34</v>
      </c>
      <c r="V229" s="4">
        <v>7.4560000000000001E-2</v>
      </c>
      <c r="W229" s="4">
        <v>0.40437000000000001</v>
      </c>
      <c r="X229" s="4">
        <v>2.198E-2</v>
      </c>
      <c r="Y229" s="4">
        <v>1.3203199999999999</v>
      </c>
      <c r="Z229" s="4">
        <v>7.9939999999999998</v>
      </c>
      <c r="AA229" s="4">
        <v>6.5531899999999998</v>
      </c>
      <c r="AB229" s="4">
        <v>-1.40503</v>
      </c>
    </row>
    <row r="230" spans="1:28" x14ac:dyDescent="0.25">
      <c r="A230" s="56">
        <v>33</v>
      </c>
      <c r="B230" s="10"/>
      <c r="C230" s="14"/>
      <c r="D230" s="13" t="s">
        <v>436</v>
      </c>
      <c r="E230" s="12"/>
      <c r="F230" s="12"/>
      <c r="G230" s="12"/>
      <c r="H230" s="12"/>
      <c r="I230" s="12"/>
      <c r="J230" s="12"/>
      <c r="K230" s="12"/>
      <c r="L230" s="12"/>
      <c r="M230" s="11"/>
      <c r="N230" s="11"/>
      <c r="O230" s="11"/>
      <c r="P230" s="10"/>
      <c r="Q230" s="7" t="s">
        <v>2</v>
      </c>
      <c r="R230" s="7" t="s">
        <v>1</v>
      </c>
      <c r="T230" s="4">
        <v>2006111</v>
      </c>
      <c r="U230" s="4" t="s">
        <v>33</v>
      </c>
      <c r="V230" s="4">
        <v>6.0310000000000002E-2</v>
      </c>
      <c r="W230" s="4">
        <v>0.39128000000000002</v>
      </c>
      <c r="X230" s="4">
        <v>2.281E-2</v>
      </c>
      <c r="Y230" s="4">
        <v>1.37063</v>
      </c>
      <c r="Z230" s="4">
        <v>16.512070000000001</v>
      </c>
      <c r="AA230" s="4">
        <v>8.6135099999999998</v>
      </c>
      <c r="AB230" s="4">
        <v>-1.1397999999999999</v>
      </c>
    </row>
    <row r="231" spans="1:28" x14ac:dyDescent="0.25">
      <c r="A231" s="56"/>
      <c r="B231" s="4" t="s">
        <v>435</v>
      </c>
      <c r="C231" s="5">
        <v>50</v>
      </c>
      <c r="D231" s="4">
        <v>20</v>
      </c>
      <c r="E231" s="3">
        <v>23</v>
      </c>
      <c r="F231" s="3">
        <f>1.8*E231+32</f>
        <v>73.400000000000006</v>
      </c>
      <c r="G231" s="3">
        <v>17</v>
      </c>
      <c r="H231" s="3">
        <f>IF(F231&gt;68,G231+(F231-68)*0.2,U450-(68-F231)*0.2)</f>
        <v>18.080000000000002</v>
      </c>
      <c r="I231" s="3">
        <v>23</v>
      </c>
      <c r="J231" s="3">
        <f>1.8*I231+32</f>
        <v>73.400000000000006</v>
      </c>
      <c r="K231" s="3">
        <v>7</v>
      </c>
      <c r="L231" s="3">
        <f>IF(J231&gt;68,K231+(J231-68)*0.2,K231-(68-J231)*0.2)</f>
        <v>8.0800000000000018</v>
      </c>
      <c r="M231" s="3">
        <f>(C231-H231)/C231*100</f>
        <v>63.839999999999996</v>
      </c>
      <c r="N231" s="3">
        <f>100-(M231+O231)</f>
        <v>20</v>
      </c>
      <c r="O231" s="3">
        <f>L231/C231*100</f>
        <v>16.160000000000004</v>
      </c>
      <c r="P231" s="2" t="s">
        <v>429</v>
      </c>
      <c r="Q231" s="59">
        <v>409043.63482221001</v>
      </c>
      <c r="R231" s="37" t="s">
        <v>468</v>
      </c>
      <c r="T231" s="4">
        <v>2006111</v>
      </c>
      <c r="U231" s="4" t="s">
        <v>32</v>
      </c>
      <c r="V231" s="4">
        <v>7.1620000000000003E-2</v>
      </c>
      <c r="W231" s="4">
        <v>0.39828000000000002</v>
      </c>
      <c r="X231" s="4">
        <v>2.317E-2</v>
      </c>
      <c r="Y231" s="4">
        <v>1.32172</v>
      </c>
      <c r="Z231" s="4">
        <v>9.6131600000000006</v>
      </c>
      <c r="AA231" s="4">
        <v>7.19156</v>
      </c>
      <c r="AB231" s="4">
        <v>-1.4352499999999999</v>
      </c>
    </row>
    <row r="232" spans="1:28" x14ac:dyDescent="0.25">
      <c r="A232" s="15" t="s">
        <v>434</v>
      </c>
      <c r="B232" s="4" t="s">
        <v>433</v>
      </c>
      <c r="C232" s="5">
        <v>50</v>
      </c>
      <c r="D232" s="4">
        <v>20</v>
      </c>
      <c r="E232" s="3">
        <v>23</v>
      </c>
      <c r="F232" s="3">
        <f>1.8*E232+32</f>
        <v>73.400000000000006</v>
      </c>
      <c r="G232" s="3">
        <v>17</v>
      </c>
      <c r="H232" s="3">
        <f>IF(F232&gt;68,G232+(F232-68)*0.2,U451-(68-F232)*0.2)</f>
        <v>18.080000000000002</v>
      </c>
      <c r="I232" s="3">
        <v>23</v>
      </c>
      <c r="J232" s="3">
        <f>1.8*I232+32</f>
        <v>73.400000000000006</v>
      </c>
      <c r="K232" s="3">
        <v>6</v>
      </c>
      <c r="L232" s="3">
        <f>IF(J232&gt;68,K232+(J232-68)*0.2,K232-(68-J232)*0.2)</f>
        <v>7.080000000000001</v>
      </c>
      <c r="M232" s="3">
        <f>(C232-H232)/C232*100</f>
        <v>63.839999999999996</v>
      </c>
      <c r="N232" s="3">
        <f>100-(M232+O232)</f>
        <v>22</v>
      </c>
      <c r="O232" s="3">
        <f>L232/C232*100</f>
        <v>14.160000000000004</v>
      </c>
      <c r="P232" s="2" t="s">
        <v>429</v>
      </c>
      <c r="Q232" s="59">
        <v>409043.63482221001</v>
      </c>
      <c r="R232" s="37" t="s">
        <v>468</v>
      </c>
      <c r="T232" s="4">
        <v>2006111</v>
      </c>
      <c r="U232" s="4" t="s">
        <v>31</v>
      </c>
      <c r="V232" s="4">
        <v>6.5979999999999997E-2</v>
      </c>
      <c r="W232" s="4">
        <v>0.39184000000000002</v>
      </c>
      <c r="X232" s="4">
        <v>2.4219999999999998E-2</v>
      </c>
      <c r="Y232" s="4">
        <v>1.33819</v>
      </c>
      <c r="Z232" s="4">
        <v>13.11374</v>
      </c>
      <c r="AA232" s="4">
        <v>8.2595700000000001</v>
      </c>
      <c r="AB232" s="4">
        <v>-1.3623799999999999</v>
      </c>
    </row>
    <row r="233" spans="1:28" x14ac:dyDescent="0.25">
      <c r="A233" s="55">
        <v>40210</v>
      </c>
      <c r="B233" s="4" t="s">
        <v>432</v>
      </c>
      <c r="C233" s="5">
        <v>50</v>
      </c>
      <c r="D233" s="4">
        <v>20</v>
      </c>
      <c r="E233" s="3">
        <v>23</v>
      </c>
      <c r="F233" s="3">
        <f>1.8*E233+32</f>
        <v>73.400000000000006</v>
      </c>
      <c r="G233" s="3">
        <v>16</v>
      </c>
      <c r="H233" s="3">
        <f>IF(F233&gt;68,G233+(F233-68)*0.2,U452-(68-F233)*0.2)</f>
        <v>17.080000000000002</v>
      </c>
      <c r="I233" s="3">
        <v>23</v>
      </c>
      <c r="J233" s="3">
        <f>1.8*I233+32</f>
        <v>73.400000000000006</v>
      </c>
      <c r="K233" s="3">
        <v>9</v>
      </c>
      <c r="L233" s="3">
        <f>IF(J233&gt;68,K233+(J233-68)*0.2,K233-(68-J233)*0.2)</f>
        <v>10.080000000000002</v>
      </c>
      <c r="M233" s="3">
        <f>(C233-H233)/C233*100</f>
        <v>65.84</v>
      </c>
      <c r="N233" s="3">
        <f>100-(M233+O233)</f>
        <v>14</v>
      </c>
      <c r="O233" s="3">
        <f>L233/C233*100</f>
        <v>20.160000000000004</v>
      </c>
      <c r="P233" s="2" t="s">
        <v>427</v>
      </c>
      <c r="Q233" s="59">
        <v>409043.63482221001</v>
      </c>
      <c r="R233" s="37" t="s">
        <v>468</v>
      </c>
      <c r="T233" s="4">
        <v>2006111</v>
      </c>
      <c r="U233" s="4" t="s">
        <v>30</v>
      </c>
      <c r="V233" s="4">
        <v>6.3490000000000005E-2</v>
      </c>
      <c r="W233" s="4">
        <v>0.37237999999999999</v>
      </c>
      <c r="X233" s="4">
        <v>2.691E-2</v>
      </c>
      <c r="Y233" s="4">
        <v>1.34335</v>
      </c>
      <c r="Z233" s="4">
        <v>18.348929999999999</v>
      </c>
      <c r="AA233" s="4">
        <v>9.1392399999999991</v>
      </c>
      <c r="AB233" s="4">
        <v>-1.4706600000000001</v>
      </c>
    </row>
    <row r="234" spans="1:28" x14ac:dyDescent="0.25">
      <c r="A234" s="54"/>
      <c r="B234" s="4" t="s">
        <v>431</v>
      </c>
      <c r="C234" s="5">
        <v>50</v>
      </c>
      <c r="D234" s="4">
        <v>20</v>
      </c>
      <c r="E234" s="3">
        <v>23</v>
      </c>
      <c r="F234" s="3">
        <f>1.8*E234+32</f>
        <v>73.400000000000006</v>
      </c>
      <c r="G234" s="3">
        <v>24</v>
      </c>
      <c r="H234" s="3">
        <f>IF(F234&gt;68,G234+(F234-68)*0.2,U453-(68-F234)*0.2)</f>
        <v>25.080000000000002</v>
      </c>
      <c r="I234" s="3">
        <v>23</v>
      </c>
      <c r="J234" s="3">
        <f>1.8*I234+32</f>
        <v>73.400000000000006</v>
      </c>
      <c r="K234" s="3">
        <v>13</v>
      </c>
      <c r="L234" s="3">
        <f>IF(J234&gt;68,K234+(J234-68)*0.2,K234-(68-J234)*0.2)</f>
        <v>14.080000000000002</v>
      </c>
      <c r="M234" s="3">
        <f>(C234-H234)/C234*100</f>
        <v>49.839999999999996</v>
      </c>
      <c r="N234" s="3">
        <f>100-(M234+O234)</f>
        <v>22</v>
      </c>
      <c r="O234" s="3">
        <f>L234/C234*100</f>
        <v>28.16</v>
      </c>
      <c r="P234" s="2" t="s">
        <v>427</v>
      </c>
      <c r="Q234" s="59">
        <v>409043.63482221001</v>
      </c>
      <c r="R234" s="37" t="s">
        <v>468</v>
      </c>
      <c r="T234" s="4">
        <v>2006111</v>
      </c>
      <c r="U234" s="4" t="s">
        <v>29</v>
      </c>
      <c r="V234" s="4">
        <v>5.289E-2</v>
      </c>
      <c r="W234" s="4">
        <v>0.38444</v>
      </c>
      <c r="X234" s="4">
        <v>2.8570000000000002E-2</v>
      </c>
      <c r="Y234" s="4">
        <v>1.3738300000000001</v>
      </c>
      <c r="Z234" s="4">
        <v>26.6294</v>
      </c>
      <c r="AA234" s="4">
        <v>12.557449999999999</v>
      </c>
      <c r="AB234" s="4">
        <v>-1.2484299999999999</v>
      </c>
    </row>
    <row r="235" spans="1:28" x14ac:dyDescent="0.25">
      <c r="A235" s="6"/>
      <c r="B235" s="4" t="s">
        <v>430</v>
      </c>
      <c r="C235" s="5">
        <v>50</v>
      </c>
      <c r="D235" s="4">
        <v>20</v>
      </c>
      <c r="E235" s="3">
        <v>23</v>
      </c>
      <c r="F235" s="3">
        <f>1.8*E235+32</f>
        <v>73.400000000000006</v>
      </c>
      <c r="G235" s="3">
        <v>17</v>
      </c>
      <c r="H235" s="3">
        <f>IF(F235&gt;68,G235+(F235-68)*0.2,U454-(68-F235)*0.2)</f>
        <v>18.080000000000002</v>
      </c>
      <c r="I235" s="3">
        <v>23</v>
      </c>
      <c r="J235" s="3">
        <f>1.8*I235+32</f>
        <v>73.400000000000006</v>
      </c>
      <c r="K235" s="3">
        <v>10</v>
      </c>
      <c r="L235" s="3">
        <f>IF(J235&gt;68,K235+(J235-68)*0.2,K235-(68-J235)*0.2)</f>
        <v>11.080000000000002</v>
      </c>
      <c r="M235" s="3">
        <f>(C235-H235)/C235*100</f>
        <v>63.839999999999996</v>
      </c>
      <c r="N235" s="3">
        <f>100-(M235+O235)</f>
        <v>14</v>
      </c>
      <c r="O235" s="3">
        <f>L235/C235*100</f>
        <v>22.160000000000004</v>
      </c>
      <c r="P235" s="2" t="s">
        <v>427</v>
      </c>
      <c r="Q235" s="59">
        <v>409043.63482221001</v>
      </c>
      <c r="R235" s="37" t="s">
        <v>468</v>
      </c>
      <c r="T235" s="4">
        <v>2006111</v>
      </c>
      <c r="U235" s="4" t="s">
        <v>28</v>
      </c>
      <c r="V235" s="4">
        <v>5.2920000000000002E-2</v>
      </c>
      <c r="W235" s="4">
        <v>0.38585000000000003</v>
      </c>
      <c r="X235" s="4">
        <v>2.7019999999999999E-2</v>
      </c>
      <c r="Y235" s="4">
        <v>1.3760300000000001</v>
      </c>
      <c r="Z235" s="4">
        <v>25.25348</v>
      </c>
      <c r="AA235" s="4">
        <v>11.78711</v>
      </c>
      <c r="AB235" s="4">
        <v>-1.1941900000000001</v>
      </c>
    </row>
    <row r="236" spans="1:28" x14ac:dyDescent="0.25">
      <c r="A236" s="6"/>
      <c r="B236" s="4" t="s">
        <v>428</v>
      </c>
      <c r="C236" s="5">
        <v>50</v>
      </c>
      <c r="D236" s="4">
        <v>20</v>
      </c>
      <c r="E236" s="3">
        <v>23</v>
      </c>
      <c r="F236" s="3">
        <f>1.8*E236+32</f>
        <v>73.400000000000006</v>
      </c>
      <c r="G236" s="3">
        <v>12</v>
      </c>
      <c r="H236" s="3">
        <f>IF(F236&gt;68,G236+(F236-68)*0.2,U455-(68-F236)*0.2)</f>
        <v>13.080000000000002</v>
      </c>
      <c r="I236" s="3">
        <v>23</v>
      </c>
      <c r="J236" s="3">
        <f>1.8*I236+32</f>
        <v>73.400000000000006</v>
      </c>
      <c r="K236" s="3">
        <v>8</v>
      </c>
      <c r="L236" s="3">
        <f>IF(J236&gt;68,K236+(J236-68)*0.2,K236-(68-J236)*0.2)</f>
        <v>9.0800000000000018</v>
      </c>
      <c r="M236" s="3">
        <f>(C236-H236)/C236*100</f>
        <v>73.84</v>
      </c>
      <c r="N236" s="3">
        <f>100-(M236+O236)</f>
        <v>8</v>
      </c>
      <c r="O236" s="3">
        <f>L236/C236*100</f>
        <v>18.160000000000004</v>
      </c>
      <c r="P236" s="2" t="s">
        <v>429</v>
      </c>
      <c r="Q236" s="59">
        <v>409043.63482221001</v>
      </c>
      <c r="R236" s="37" t="s">
        <v>468</v>
      </c>
      <c r="T236" s="4">
        <v>2006111</v>
      </c>
      <c r="U236" s="4" t="s">
        <v>27</v>
      </c>
      <c r="V236" s="4">
        <v>7.4770000000000003E-2</v>
      </c>
      <c r="W236" s="4">
        <v>0.40564</v>
      </c>
      <c r="X236" s="4">
        <v>2.1479999999999999E-2</v>
      </c>
      <c r="Y236" s="4">
        <v>1.32453</v>
      </c>
      <c r="Z236" s="4">
        <v>7.7596999999999996</v>
      </c>
      <c r="AA236" s="4">
        <v>6.3946199999999997</v>
      </c>
      <c r="AB236" s="4">
        <v>-1.36246</v>
      </c>
    </row>
    <row r="237" spans="1:28" x14ac:dyDescent="0.25">
      <c r="A237" s="36"/>
      <c r="T237" s="4">
        <v>2006111</v>
      </c>
      <c r="U237" s="4" t="s">
        <v>26</v>
      </c>
      <c r="V237" s="4">
        <v>7.5950000000000004E-2</v>
      </c>
      <c r="W237" s="4">
        <v>0.40282000000000001</v>
      </c>
      <c r="X237" s="4">
        <v>2.393E-2</v>
      </c>
      <c r="Y237" s="4">
        <v>1.29389</v>
      </c>
      <c r="Z237" s="4">
        <v>8.3777799999999996</v>
      </c>
      <c r="AA237" s="4">
        <v>6.8893500000000003</v>
      </c>
      <c r="AB237" s="4">
        <v>-1.6551400000000001</v>
      </c>
    </row>
    <row r="238" spans="1:28" ht="51.75" x14ac:dyDescent="0.25">
      <c r="A238" s="15" t="s">
        <v>19</v>
      </c>
      <c r="B238" s="10" t="s">
        <v>443</v>
      </c>
      <c r="C238" s="14" t="s">
        <v>17</v>
      </c>
      <c r="D238" s="13" t="s">
        <v>16</v>
      </c>
      <c r="E238" s="12" t="s">
        <v>15</v>
      </c>
      <c r="F238" s="12" t="s">
        <v>14</v>
      </c>
      <c r="G238" s="12" t="s">
        <v>442</v>
      </c>
      <c r="H238" s="12" t="s">
        <v>441</v>
      </c>
      <c r="I238" s="12" t="s">
        <v>440</v>
      </c>
      <c r="J238" s="12" t="s">
        <v>439</v>
      </c>
      <c r="K238" s="12" t="s">
        <v>438</v>
      </c>
      <c r="L238" s="12" t="s">
        <v>437</v>
      </c>
      <c r="M238" s="11" t="s">
        <v>7</v>
      </c>
      <c r="N238" s="11" t="s">
        <v>6</v>
      </c>
      <c r="O238" s="11" t="s">
        <v>5</v>
      </c>
      <c r="P238" s="10" t="s">
        <v>4</v>
      </c>
      <c r="Q238" s="17" t="s">
        <v>3</v>
      </c>
      <c r="R238" s="17"/>
      <c r="T238" s="4">
        <v>2006111</v>
      </c>
      <c r="U238" s="4" t="s">
        <v>25</v>
      </c>
      <c r="V238" s="4">
        <v>4.9450000000000001E-2</v>
      </c>
      <c r="W238" s="4">
        <v>0.38386999999999999</v>
      </c>
      <c r="X238" s="4">
        <v>3.0290000000000001E-2</v>
      </c>
      <c r="Y238" s="4">
        <v>1.38646</v>
      </c>
      <c r="Z238" s="4">
        <v>31.890339999999998</v>
      </c>
      <c r="AA238" s="4">
        <v>14.401960000000001</v>
      </c>
      <c r="AB238" s="4">
        <v>-1.2174</v>
      </c>
    </row>
    <row r="239" spans="1:28" x14ac:dyDescent="0.25">
      <c r="A239" s="56">
        <v>34</v>
      </c>
      <c r="B239" s="10"/>
      <c r="C239" s="14"/>
      <c r="D239" s="13" t="s">
        <v>436</v>
      </c>
      <c r="E239" s="12"/>
      <c r="F239" s="12"/>
      <c r="G239" s="12"/>
      <c r="H239" s="12"/>
      <c r="I239" s="12"/>
      <c r="J239" s="12"/>
      <c r="K239" s="12"/>
      <c r="L239" s="12"/>
      <c r="M239" s="11"/>
      <c r="N239" s="11"/>
      <c r="O239" s="11"/>
      <c r="P239" s="10"/>
      <c r="Q239" s="7" t="s">
        <v>2</v>
      </c>
      <c r="R239" s="7" t="s">
        <v>1</v>
      </c>
      <c r="T239" s="4">
        <v>2006111</v>
      </c>
      <c r="U239" s="4" t="s">
        <v>24</v>
      </c>
      <c r="V239" s="4">
        <v>6.2429999999999999E-2</v>
      </c>
      <c r="W239" s="4">
        <v>0.37724000000000002</v>
      </c>
      <c r="X239" s="4">
        <v>2.8219999999999999E-2</v>
      </c>
      <c r="Y239" s="4">
        <v>1.33148</v>
      </c>
      <c r="Z239" s="4">
        <v>17.98685</v>
      </c>
      <c r="AA239" s="4">
        <v>9.8941800000000004</v>
      </c>
      <c r="AB239" s="4">
        <v>-1.5344899999999999</v>
      </c>
    </row>
    <row r="240" spans="1:28" x14ac:dyDescent="0.25">
      <c r="A240" s="56"/>
      <c r="B240" s="4" t="s">
        <v>435</v>
      </c>
      <c r="C240" s="5">
        <v>50</v>
      </c>
      <c r="D240" s="4">
        <v>20</v>
      </c>
      <c r="E240" s="3">
        <v>21</v>
      </c>
      <c r="F240" s="3">
        <f>1.8*E240+32</f>
        <v>69.800000000000011</v>
      </c>
      <c r="G240" s="3">
        <v>15</v>
      </c>
      <c r="H240" s="3">
        <f>IF(F240&gt;68,G240+(F240-68)*0.2,U459-(68-F240)*0.2)</f>
        <v>15.360000000000003</v>
      </c>
      <c r="I240" s="3">
        <v>23</v>
      </c>
      <c r="J240" s="3">
        <f>1.8*I240+32</f>
        <v>73.400000000000006</v>
      </c>
      <c r="K240" s="3">
        <v>7</v>
      </c>
      <c r="L240" s="3">
        <f>IF(J240&gt;68,K240+(J240-68)*0.2,K240-(68-J240)*0.2)</f>
        <v>8.0800000000000018</v>
      </c>
      <c r="M240" s="3">
        <f>(C240-H240)/C240*100</f>
        <v>69.28</v>
      </c>
      <c r="N240" s="3">
        <f>100-(M240+O240)</f>
        <v>14.560000000000002</v>
      </c>
      <c r="O240" s="3">
        <f>L240/C240*100</f>
        <v>16.160000000000004</v>
      </c>
      <c r="P240" s="2" t="s">
        <v>429</v>
      </c>
      <c r="Q240" s="37" t="s">
        <v>467</v>
      </c>
      <c r="R240" s="37" t="s">
        <v>466</v>
      </c>
    </row>
    <row r="241" spans="1:18" x14ac:dyDescent="0.25">
      <c r="A241" s="15" t="s">
        <v>434</v>
      </c>
      <c r="B241" s="4" t="s">
        <v>433</v>
      </c>
      <c r="C241" s="5">
        <v>50</v>
      </c>
      <c r="D241" s="4">
        <v>20</v>
      </c>
      <c r="E241" s="3">
        <v>22</v>
      </c>
      <c r="F241" s="3">
        <f>1.8*E241+32</f>
        <v>71.599999999999994</v>
      </c>
      <c r="G241" s="3">
        <v>13</v>
      </c>
      <c r="H241" s="3">
        <f>IF(F241&gt;68,G241+(F241-68)*0.2,U460-(68-F241)*0.2)</f>
        <v>13.719999999999999</v>
      </c>
      <c r="I241" s="3">
        <v>23</v>
      </c>
      <c r="J241" s="3">
        <f>1.8*I241+32</f>
        <v>73.400000000000006</v>
      </c>
      <c r="K241" s="3">
        <v>7</v>
      </c>
      <c r="L241" s="3">
        <f>IF(J241&gt;68,K241+(J241-68)*0.2,K241-(68-J241)*0.2)</f>
        <v>8.0800000000000018</v>
      </c>
      <c r="M241" s="3">
        <f>(C241-H241)/C241*100</f>
        <v>72.56</v>
      </c>
      <c r="N241" s="3">
        <f>100-(M241+O241)</f>
        <v>11.280000000000001</v>
      </c>
      <c r="O241" s="3">
        <f>L241/C241*100</f>
        <v>16.160000000000004</v>
      </c>
      <c r="P241" s="2" t="s">
        <v>429</v>
      </c>
      <c r="Q241" s="37" t="s">
        <v>467</v>
      </c>
      <c r="R241" s="37" t="s">
        <v>466</v>
      </c>
    </row>
    <row r="242" spans="1:18" x14ac:dyDescent="0.25">
      <c r="A242" s="55">
        <v>40210</v>
      </c>
      <c r="B242" s="4" t="s">
        <v>432</v>
      </c>
      <c r="C242" s="5">
        <v>50</v>
      </c>
      <c r="D242" s="4">
        <v>20</v>
      </c>
      <c r="E242" s="3">
        <v>23</v>
      </c>
      <c r="F242" s="3">
        <f>1.8*E242+32</f>
        <v>73.400000000000006</v>
      </c>
      <c r="G242" s="3">
        <v>12</v>
      </c>
      <c r="H242" s="3">
        <f>IF(F242&gt;68,G242+(F242-68)*0.2,U461-(68-F242)*0.2)</f>
        <v>13.080000000000002</v>
      </c>
      <c r="I242" s="3">
        <v>23</v>
      </c>
      <c r="J242" s="3">
        <f>1.8*I242+32</f>
        <v>73.400000000000006</v>
      </c>
      <c r="K242" s="3">
        <v>6</v>
      </c>
      <c r="L242" s="3">
        <f>IF(J242&gt;68,K242+(J242-68)*0.2,K242-(68-J242)*0.2)</f>
        <v>7.080000000000001</v>
      </c>
      <c r="M242" s="3">
        <f>(C242-H242)/C242*100</f>
        <v>73.84</v>
      </c>
      <c r="N242" s="3">
        <f>100-(M242+O242)</f>
        <v>12</v>
      </c>
      <c r="O242" s="3">
        <f>L242/C242*100</f>
        <v>14.160000000000004</v>
      </c>
      <c r="P242" s="2" t="s">
        <v>429</v>
      </c>
      <c r="Q242" s="37" t="s">
        <v>467</v>
      </c>
      <c r="R242" s="37" t="s">
        <v>466</v>
      </c>
    </row>
    <row r="243" spans="1:18" x14ac:dyDescent="0.25">
      <c r="A243" s="54"/>
      <c r="B243" s="4" t="s">
        <v>431</v>
      </c>
      <c r="C243" s="5">
        <v>50</v>
      </c>
      <c r="D243" s="4">
        <v>20</v>
      </c>
      <c r="E243" s="3">
        <v>23</v>
      </c>
      <c r="F243" s="3">
        <f>1.8*E243+32</f>
        <v>73.400000000000006</v>
      </c>
      <c r="G243" s="3">
        <v>15</v>
      </c>
      <c r="H243" s="3">
        <f>IF(F243&gt;68,G243+(F243-68)*0.2,U462-(68-F243)*0.2)</f>
        <v>16.080000000000002</v>
      </c>
      <c r="I243" s="3">
        <v>23</v>
      </c>
      <c r="J243" s="3">
        <f>1.8*I243+32</f>
        <v>73.400000000000006</v>
      </c>
      <c r="K243" s="3">
        <v>9</v>
      </c>
      <c r="L243" s="3">
        <f>IF(J243&gt;68,K243+(J243-68)*0.2,K243-(68-J243)*0.2)</f>
        <v>10.080000000000002</v>
      </c>
      <c r="M243" s="3">
        <f>(C243-H243)/C243*100</f>
        <v>67.84</v>
      </c>
      <c r="N243" s="3">
        <f>100-(M243+O243)</f>
        <v>12</v>
      </c>
      <c r="O243" s="3">
        <f>L243/C243*100</f>
        <v>20.160000000000004</v>
      </c>
      <c r="P243" s="2" t="s">
        <v>427</v>
      </c>
      <c r="Q243" s="37" t="s">
        <v>467</v>
      </c>
      <c r="R243" s="37" t="s">
        <v>466</v>
      </c>
    </row>
    <row r="244" spans="1:18" x14ac:dyDescent="0.25">
      <c r="A244" s="6"/>
      <c r="B244" s="4" t="s">
        <v>430</v>
      </c>
      <c r="C244" s="5">
        <v>50</v>
      </c>
      <c r="D244" s="4">
        <v>20</v>
      </c>
      <c r="E244" s="3">
        <v>23</v>
      </c>
      <c r="F244" s="3">
        <f>1.8*E244+32</f>
        <v>73.400000000000006</v>
      </c>
      <c r="G244" s="3">
        <v>12</v>
      </c>
      <c r="H244" s="3">
        <f>IF(F244&gt;68,G244+(F244-68)*0.2,U463-(68-F244)*0.2)</f>
        <v>13.080000000000002</v>
      </c>
      <c r="I244" s="3">
        <v>23</v>
      </c>
      <c r="J244" s="3">
        <f>1.8*I244+32</f>
        <v>73.400000000000006</v>
      </c>
      <c r="K244" s="3">
        <v>6</v>
      </c>
      <c r="L244" s="3">
        <f>IF(J244&gt;68,K244+(J244-68)*0.2,K244-(68-J244)*0.2)</f>
        <v>7.080000000000001</v>
      </c>
      <c r="M244" s="3">
        <f>(C244-H244)/C244*100</f>
        <v>73.84</v>
      </c>
      <c r="N244" s="3">
        <f>100-(M244+O244)</f>
        <v>12</v>
      </c>
      <c r="O244" s="3">
        <f>L244/C244*100</f>
        <v>14.160000000000004</v>
      </c>
      <c r="P244" s="2" t="s">
        <v>429</v>
      </c>
      <c r="Q244" s="37" t="s">
        <v>467</v>
      </c>
      <c r="R244" s="37" t="s">
        <v>466</v>
      </c>
    </row>
    <row r="245" spans="1:18" x14ac:dyDescent="0.25">
      <c r="A245" s="6"/>
      <c r="B245" s="4" t="s">
        <v>428</v>
      </c>
      <c r="C245" s="5">
        <v>50</v>
      </c>
      <c r="D245" s="4">
        <v>20</v>
      </c>
      <c r="E245" s="3">
        <v>23</v>
      </c>
      <c r="F245" s="3">
        <f>1.8*E245+32</f>
        <v>73.400000000000006</v>
      </c>
      <c r="G245" s="3">
        <v>13</v>
      </c>
      <c r="H245" s="3">
        <f>IF(F245&gt;68,G245+(F245-68)*0.2,U464-(68-F245)*0.2)</f>
        <v>14.080000000000002</v>
      </c>
      <c r="I245" s="3">
        <v>23</v>
      </c>
      <c r="J245" s="3">
        <f>1.8*I245+32</f>
        <v>73.400000000000006</v>
      </c>
      <c r="K245" s="3">
        <v>9</v>
      </c>
      <c r="L245" s="3">
        <f>IF(J245&gt;68,K245+(J245-68)*0.2,K245-(68-J245)*0.2)</f>
        <v>10.080000000000002</v>
      </c>
      <c r="M245" s="3">
        <f>(C245-H245)/C245*100</f>
        <v>71.84</v>
      </c>
      <c r="N245" s="3">
        <f>100-(M245+O245)</f>
        <v>8</v>
      </c>
      <c r="O245" s="3">
        <f>L245/C245*100</f>
        <v>20.160000000000004</v>
      </c>
      <c r="P245" s="2" t="s">
        <v>427</v>
      </c>
      <c r="Q245" s="37" t="s">
        <v>467</v>
      </c>
      <c r="R245" s="37" t="s">
        <v>466</v>
      </c>
    </row>
    <row r="246" spans="1:18" x14ac:dyDescent="0.25">
      <c r="A246" s="36"/>
    </row>
    <row r="247" spans="1:18" ht="51.75" x14ac:dyDescent="0.25">
      <c r="A247" s="15" t="s">
        <v>19</v>
      </c>
      <c r="B247" s="10" t="s">
        <v>443</v>
      </c>
      <c r="C247" s="14" t="s">
        <v>17</v>
      </c>
      <c r="D247" s="13" t="s">
        <v>16</v>
      </c>
      <c r="E247" s="12" t="s">
        <v>15</v>
      </c>
      <c r="F247" s="12" t="s">
        <v>14</v>
      </c>
      <c r="G247" s="12" t="s">
        <v>442</v>
      </c>
      <c r="H247" s="12" t="s">
        <v>441</v>
      </c>
      <c r="I247" s="12" t="s">
        <v>440</v>
      </c>
      <c r="J247" s="12" t="s">
        <v>439</v>
      </c>
      <c r="K247" s="12" t="s">
        <v>438</v>
      </c>
      <c r="L247" s="12" t="s">
        <v>437</v>
      </c>
      <c r="M247" s="11" t="s">
        <v>7</v>
      </c>
      <c r="N247" s="11" t="s">
        <v>6</v>
      </c>
      <c r="O247" s="11" t="s">
        <v>5</v>
      </c>
      <c r="P247" s="10" t="s">
        <v>4</v>
      </c>
      <c r="Q247" s="17" t="s">
        <v>3</v>
      </c>
      <c r="R247" s="17"/>
    </row>
    <row r="248" spans="1:18" x14ac:dyDescent="0.25">
      <c r="A248" s="56">
        <v>35</v>
      </c>
      <c r="B248" s="10"/>
      <c r="C248" s="14"/>
      <c r="D248" s="13" t="s">
        <v>436</v>
      </c>
      <c r="E248" s="12"/>
      <c r="F248" s="12"/>
      <c r="G248" s="12"/>
      <c r="H248" s="12"/>
      <c r="I248" s="12"/>
      <c r="J248" s="12"/>
      <c r="K248" s="12"/>
      <c r="L248" s="12"/>
      <c r="M248" s="11"/>
      <c r="N248" s="11"/>
      <c r="O248" s="11"/>
      <c r="P248" s="10"/>
      <c r="Q248" s="7" t="s">
        <v>2</v>
      </c>
      <c r="R248" s="7" t="s">
        <v>1</v>
      </c>
    </row>
    <row r="249" spans="1:18" x14ac:dyDescent="0.25">
      <c r="A249" s="56"/>
      <c r="B249" s="4" t="s">
        <v>435</v>
      </c>
      <c r="C249" s="5">
        <v>50</v>
      </c>
      <c r="D249" s="4">
        <v>20</v>
      </c>
      <c r="E249" s="3">
        <v>23</v>
      </c>
      <c r="F249" s="3">
        <f>1.8*E249+32</f>
        <v>73.400000000000006</v>
      </c>
      <c r="G249" s="3">
        <v>13</v>
      </c>
      <c r="H249" s="3">
        <f>IF(F249&gt;68,G249+(F249-68)*0.2,U468-(68-F249)*0.2)</f>
        <v>14.080000000000002</v>
      </c>
      <c r="I249" s="3">
        <v>23</v>
      </c>
      <c r="J249" s="3">
        <f>1.8*I249+32</f>
        <v>73.400000000000006</v>
      </c>
      <c r="K249" s="3">
        <v>9</v>
      </c>
      <c r="L249" s="3">
        <f>IF(J249&gt;68,K249+(J249-68)*0.2,K249-(68-J249)*0.2)</f>
        <v>10.080000000000002</v>
      </c>
      <c r="M249" s="3">
        <f>(C249-H249)/C249*100</f>
        <v>71.84</v>
      </c>
      <c r="N249" s="3">
        <f>100-(M249+O249)</f>
        <v>8</v>
      </c>
      <c r="O249" s="3">
        <f>L249/C249*100</f>
        <v>20.160000000000004</v>
      </c>
      <c r="P249" s="2" t="s">
        <v>427</v>
      </c>
      <c r="Q249" s="37" t="s">
        <v>465</v>
      </c>
      <c r="R249" s="37" t="s">
        <v>464</v>
      </c>
    </row>
    <row r="250" spans="1:18" x14ac:dyDescent="0.25">
      <c r="A250" s="15" t="s">
        <v>434</v>
      </c>
      <c r="B250" s="4" t="s">
        <v>433</v>
      </c>
      <c r="C250" s="5">
        <v>50</v>
      </c>
      <c r="D250" s="4">
        <v>20</v>
      </c>
      <c r="E250" s="3">
        <v>23</v>
      </c>
      <c r="F250" s="3">
        <f>1.8*E250+32</f>
        <v>73.400000000000006</v>
      </c>
      <c r="G250" s="3">
        <v>17</v>
      </c>
      <c r="H250" s="3">
        <f>IF(F250&gt;68,G250+(F250-68)*0.2,U469-(68-F250)*0.2)</f>
        <v>18.080000000000002</v>
      </c>
      <c r="I250" s="3">
        <v>23</v>
      </c>
      <c r="J250" s="3">
        <f>1.8*I250+32</f>
        <v>73.400000000000006</v>
      </c>
      <c r="K250" s="3">
        <v>11</v>
      </c>
      <c r="L250" s="3">
        <f>IF(J250&gt;68,K250+(J250-68)*0.2,K250-(68-J250)*0.2)</f>
        <v>12.080000000000002</v>
      </c>
      <c r="M250" s="3">
        <f>(C250-H250)/C250*100</f>
        <v>63.839999999999996</v>
      </c>
      <c r="N250" s="3">
        <f>100-(M250+O250)</f>
        <v>12</v>
      </c>
      <c r="O250" s="3">
        <f>L250/C250*100</f>
        <v>24.160000000000004</v>
      </c>
      <c r="P250" s="2" t="s">
        <v>427</v>
      </c>
      <c r="Q250" s="37" t="s">
        <v>465</v>
      </c>
      <c r="R250" s="37" t="s">
        <v>464</v>
      </c>
    </row>
    <row r="251" spans="1:18" x14ac:dyDescent="0.25">
      <c r="A251" s="55">
        <v>40210</v>
      </c>
      <c r="B251" s="4" t="s">
        <v>432</v>
      </c>
      <c r="C251" s="5">
        <v>50</v>
      </c>
      <c r="D251" s="4">
        <v>20</v>
      </c>
      <c r="E251" s="3">
        <v>23</v>
      </c>
      <c r="F251" s="3">
        <f>1.8*E251+32</f>
        <v>73.400000000000006</v>
      </c>
      <c r="G251" s="3">
        <v>14</v>
      </c>
      <c r="H251" s="3">
        <f>IF(F251&gt;68,G251+(F251-68)*0.2,U470-(68-F251)*0.2)</f>
        <v>15.080000000000002</v>
      </c>
      <c r="I251" s="3">
        <v>23</v>
      </c>
      <c r="J251" s="3">
        <f>1.8*I251+32</f>
        <v>73.400000000000006</v>
      </c>
      <c r="K251" s="3">
        <v>6</v>
      </c>
      <c r="L251" s="3">
        <f>IF(J251&gt;68,K251+(J251-68)*0.2,K251-(68-J251)*0.2)</f>
        <v>7.080000000000001</v>
      </c>
      <c r="M251" s="3">
        <f>(C251-H251)/C251*100</f>
        <v>69.84</v>
      </c>
      <c r="N251" s="3">
        <f>100-(M251+O251)</f>
        <v>16</v>
      </c>
      <c r="O251" s="3">
        <f>L251/C251*100</f>
        <v>14.160000000000004</v>
      </c>
      <c r="P251" s="2" t="s">
        <v>429</v>
      </c>
      <c r="Q251" s="37" t="s">
        <v>465</v>
      </c>
      <c r="R251" s="37" t="s">
        <v>464</v>
      </c>
    </row>
    <row r="252" spans="1:18" x14ac:dyDescent="0.25">
      <c r="A252" s="54"/>
      <c r="B252" s="4" t="s">
        <v>431</v>
      </c>
      <c r="C252" s="5">
        <v>50</v>
      </c>
      <c r="D252" s="4">
        <v>20</v>
      </c>
      <c r="E252" s="3">
        <v>23</v>
      </c>
      <c r="F252" s="3">
        <f>1.8*E252+32</f>
        <v>73.400000000000006</v>
      </c>
      <c r="G252" s="3">
        <v>24</v>
      </c>
      <c r="H252" s="3">
        <f>IF(F252&gt;68,G252+(F252-68)*0.2,U471-(68-F252)*0.2)</f>
        <v>25.080000000000002</v>
      </c>
      <c r="I252" s="3">
        <v>23</v>
      </c>
      <c r="J252" s="3">
        <f>1.8*I252+32</f>
        <v>73.400000000000006</v>
      </c>
      <c r="K252" s="3">
        <v>15</v>
      </c>
      <c r="L252" s="3">
        <f>IF(J252&gt;68,K252+(J252-68)*0.2,K252-(68-J252)*0.2)</f>
        <v>16.080000000000002</v>
      </c>
      <c r="M252" s="3">
        <f>(C252-H252)/C252*100</f>
        <v>49.839999999999996</v>
      </c>
      <c r="N252" s="3">
        <f>100-(M252+O252)</f>
        <v>18</v>
      </c>
      <c r="O252" s="3">
        <f>L252/C252*100</f>
        <v>32.160000000000004</v>
      </c>
      <c r="P252" s="2" t="s">
        <v>427</v>
      </c>
      <c r="Q252" s="37" t="s">
        <v>465</v>
      </c>
      <c r="R252" s="37" t="s">
        <v>464</v>
      </c>
    </row>
    <row r="253" spans="1:18" x14ac:dyDescent="0.25">
      <c r="A253" s="6"/>
      <c r="B253" s="4" t="s">
        <v>430</v>
      </c>
      <c r="C253" s="5">
        <v>50</v>
      </c>
      <c r="D253" s="4">
        <v>20</v>
      </c>
      <c r="E253" s="3">
        <v>23</v>
      </c>
      <c r="F253" s="3">
        <f>1.8*E253+32</f>
        <v>73.400000000000006</v>
      </c>
      <c r="G253" s="3">
        <v>16</v>
      </c>
      <c r="H253" s="3">
        <f>IF(F253&gt;68,G253+(F253-68)*0.2,U472-(68-F253)*0.2)</f>
        <v>17.080000000000002</v>
      </c>
      <c r="I253" s="3">
        <v>23</v>
      </c>
      <c r="J253" s="3">
        <f>1.8*I253+32</f>
        <v>73.400000000000006</v>
      </c>
      <c r="K253" s="3">
        <v>10</v>
      </c>
      <c r="L253" s="3">
        <f>IF(J253&gt;68,K253+(J253-68)*0.2,K253-(68-J253)*0.2)</f>
        <v>11.080000000000002</v>
      </c>
      <c r="M253" s="3">
        <f>(C253-H253)/C253*100</f>
        <v>65.84</v>
      </c>
      <c r="N253" s="3">
        <f>100-(M253+O253)</f>
        <v>12</v>
      </c>
      <c r="O253" s="3">
        <f>L253/C253*100</f>
        <v>22.160000000000004</v>
      </c>
      <c r="P253" s="2" t="s">
        <v>427</v>
      </c>
      <c r="Q253" s="37" t="s">
        <v>465</v>
      </c>
      <c r="R253" s="37" t="s">
        <v>464</v>
      </c>
    </row>
    <row r="254" spans="1:18" x14ac:dyDescent="0.25">
      <c r="A254" s="6"/>
      <c r="B254" s="4" t="s">
        <v>428</v>
      </c>
      <c r="C254" s="5">
        <v>50</v>
      </c>
      <c r="D254" s="4">
        <v>20</v>
      </c>
      <c r="E254" s="3">
        <v>23</v>
      </c>
      <c r="F254" s="3">
        <f>1.8*E254+32</f>
        <v>73.400000000000006</v>
      </c>
      <c r="G254" s="3">
        <v>15</v>
      </c>
      <c r="H254" s="3">
        <f>IF(F254&gt;68,G254+(F254-68)*0.2,U473-(68-F254)*0.2)</f>
        <v>16.080000000000002</v>
      </c>
      <c r="I254" s="3">
        <v>23</v>
      </c>
      <c r="J254" s="3">
        <f>1.8*I254+32</f>
        <v>73.400000000000006</v>
      </c>
      <c r="K254" s="3">
        <v>10</v>
      </c>
      <c r="L254" s="3">
        <f>IF(J254&gt;68,K254+(J254-68)*0.2,K254-(68-J254)*0.2)</f>
        <v>11.080000000000002</v>
      </c>
      <c r="M254" s="3">
        <f>(C254-H254)/C254*100</f>
        <v>67.84</v>
      </c>
      <c r="N254" s="3">
        <f>100-(M254+O254)</f>
        <v>10</v>
      </c>
      <c r="O254" s="3">
        <f>L254/C254*100</f>
        <v>22.160000000000004</v>
      </c>
      <c r="P254" s="2" t="s">
        <v>427</v>
      </c>
      <c r="Q254" s="37" t="s">
        <v>465</v>
      </c>
      <c r="R254" s="37" t="s">
        <v>464</v>
      </c>
    </row>
    <row r="255" spans="1:18" x14ac:dyDescent="0.25">
      <c r="A255" s="36"/>
    </row>
    <row r="256" spans="1:18" ht="51.75" x14ac:dyDescent="0.25">
      <c r="A256" s="15" t="s">
        <v>19</v>
      </c>
      <c r="B256" s="10" t="s">
        <v>443</v>
      </c>
      <c r="C256" s="14" t="s">
        <v>17</v>
      </c>
      <c r="D256" s="13" t="s">
        <v>16</v>
      </c>
      <c r="E256" s="12" t="s">
        <v>15</v>
      </c>
      <c r="F256" s="12" t="s">
        <v>14</v>
      </c>
      <c r="G256" s="12" t="s">
        <v>442</v>
      </c>
      <c r="H256" s="12" t="s">
        <v>441</v>
      </c>
      <c r="I256" s="12" t="s">
        <v>440</v>
      </c>
      <c r="J256" s="12" t="s">
        <v>439</v>
      </c>
      <c r="K256" s="12" t="s">
        <v>438</v>
      </c>
      <c r="L256" s="12" t="s">
        <v>437</v>
      </c>
      <c r="M256" s="11" t="s">
        <v>7</v>
      </c>
      <c r="N256" s="11" t="s">
        <v>6</v>
      </c>
      <c r="O256" s="11" t="s">
        <v>5</v>
      </c>
      <c r="P256" s="10" t="s">
        <v>4</v>
      </c>
      <c r="Q256" s="17" t="s">
        <v>3</v>
      </c>
      <c r="R256" s="17"/>
    </row>
    <row r="257" spans="1:18" x14ac:dyDescent="0.25">
      <c r="A257" s="56">
        <v>36</v>
      </c>
      <c r="B257" s="10"/>
      <c r="C257" s="14"/>
      <c r="D257" s="13" t="s">
        <v>436</v>
      </c>
      <c r="E257" s="12"/>
      <c r="F257" s="12"/>
      <c r="G257" s="12"/>
      <c r="H257" s="12"/>
      <c r="I257" s="12"/>
      <c r="J257" s="12"/>
      <c r="K257" s="12"/>
      <c r="L257" s="12"/>
      <c r="M257" s="11"/>
      <c r="N257" s="11"/>
      <c r="O257" s="11"/>
      <c r="P257" s="10"/>
      <c r="Q257" s="7" t="s">
        <v>2</v>
      </c>
      <c r="R257" s="7" t="s">
        <v>1</v>
      </c>
    </row>
    <row r="258" spans="1:18" x14ac:dyDescent="0.25">
      <c r="A258" s="56"/>
      <c r="B258" s="4" t="s">
        <v>435</v>
      </c>
      <c r="C258" s="5">
        <v>50</v>
      </c>
      <c r="D258" s="4">
        <v>20</v>
      </c>
      <c r="E258" s="3">
        <v>23</v>
      </c>
      <c r="F258" s="3">
        <f>1.8*E258+32</f>
        <v>73.400000000000006</v>
      </c>
      <c r="G258" s="3">
        <v>16</v>
      </c>
      <c r="H258" s="3">
        <f>IF(F258&gt;68,G258+(F258-68)*0.2,U477-(68-F258)*0.2)</f>
        <v>17.080000000000002</v>
      </c>
      <c r="I258" s="3">
        <v>23</v>
      </c>
      <c r="J258" s="3">
        <f>1.8*I258+32</f>
        <v>73.400000000000006</v>
      </c>
      <c r="K258" s="3">
        <v>7</v>
      </c>
      <c r="L258" s="3">
        <f>IF(J258&gt;68,K258+(J258-68)*0.2,K258-(68-J258)*0.2)</f>
        <v>8.0800000000000018</v>
      </c>
      <c r="M258" s="3">
        <f>(C258-H258)/C258*100</f>
        <v>65.84</v>
      </c>
      <c r="N258" s="3">
        <f>100-(M258+O258)</f>
        <v>18</v>
      </c>
      <c r="O258" s="3">
        <f>L258/C258*100</f>
        <v>16.160000000000004</v>
      </c>
      <c r="P258" s="2" t="s">
        <v>429</v>
      </c>
      <c r="Q258" s="37" t="s">
        <v>463</v>
      </c>
      <c r="R258" s="37" t="s">
        <v>462</v>
      </c>
    </row>
    <row r="259" spans="1:18" x14ac:dyDescent="0.25">
      <c r="A259" s="15" t="s">
        <v>434</v>
      </c>
      <c r="B259" s="4" t="s">
        <v>433</v>
      </c>
      <c r="C259" s="5">
        <v>50</v>
      </c>
      <c r="D259" s="4">
        <v>20</v>
      </c>
      <c r="E259" s="3">
        <v>23</v>
      </c>
      <c r="F259" s="3">
        <f>1.8*E259+32</f>
        <v>73.400000000000006</v>
      </c>
      <c r="G259" s="3">
        <v>16</v>
      </c>
      <c r="H259" s="3">
        <f>IF(F259&gt;68,G259+(F259-68)*0.2,U478-(68-F259)*0.2)</f>
        <v>17.080000000000002</v>
      </c>
      <c r="I259" s="3">
        <v>23</v>
      </c>
      <c r="J259" s="3">
        <f>1.8*I259+32</f>
        <v>73.400000000000006</v>
      </c>
      <c r="K259" s="3">
        <v>6</v>
      </c>
      <c r="L259" s="3">
        <f>IF(J259&gt;68,K259+(J259-68)*0.2,K259-(68-J259)*0.2)</f>
        <v>7.080000000000001</v>
      </c>
      <c r="M259" s="3">
        <f>(C259-H259)/C259*100</f>
        <v>65.84</v>
      </c>
      <c r="N259" s="3">
        <f>100-(M259+O259)</f>
        <v>20</v>
      </c>
      <c r="O259" s="3">
        <f>L259/C259*100</f>
        <v>14.160000000000004</v>
      </c>
      <c r="P259" s="2" t="s">
        <v>429</v>
      </c>
      <c r="Q259" s="37" t="s">
        <v>463</v>
      </c>
      <c r="R259" s="37" t="s">
        <v>462</v>
      </c>
    </row>
    <row r="260" spans="1:18" x14ac:dyDescent="0.25">
      <c r="A260" s="55">
        <v>40212</v>
      </c>
      <c r="B260" s="4" t="s">
        <v>432</v>
      </c>
      <c r="C260" s="5">
        <v>50</v>
      </c>
      <c r="D260" s="4">
        <v>20</v>
      </c>
      <c r="E260" s="3">
        <v>23</v>
      </c>
      <c r="F260" s="3">
        <f>1.8*E260+32</f>
        <v>73.400000000000006</v>
      </c>
      <c r="G260" s="3">
        <v>13</v>
      </c>
      <c r="H260" s="3">
        <f>IF(F260&gt;68,G260+(F260-68)*0.2,U479-(68-F260)*0.2)</f>
        <v>14.080000000000002</v>
      </c>
      <c r="I260" s="3">
        <v>23</v>
      </c>
      <c r="J260" s="3">
        <f>1.8*I260+32</f>
        <v>73.400000000000006</v>
      </c>
      <c r="K260" s="3">
        <v>5</v>
      </c>
      <c r="L260" s="3">
        <f>IF(J260&gt;68,K260+(J260-68)*0.2,K260-(68-J260)*0.2)</f>
        <v>6.080000000000001</v>
      </c>
      <c r="M260" s="3">
        <f>(C260-H260)/C260*100</f>
        <v>71.84</v>
      </c>
      <c r="N260" s="3">
        <f>100-(M260+O260)</f>
        <v>16</v>
      </c>
      <c r="O260" s="3">
        <f>L260/C260*100</f>
        <v>12.160000000000002</v>
      </c>
      <c r="P260" s="2" t="s">
        <v>429</v>
      </c>
      <c r="Q260" s="37" t="s">
        <v>463</v>
      </c>
      <c r="R260" s="37" t="s">
        <v>462</v>
      </c>
    </row>
    <row r="261" spans="1:18" x14ac:dyDescent="0.25">
      <c r="A261" s="54"/>
      <c r="B261" s="4" t="s">
        <v>431</v>
      </c>
      <c r="C261" s="5">
        <v>50</v>
      </c>
      <c r="D261" s="4">
        <v>20</v>
      </c>
      <c r="E261" s="3">
        <v>23</v>
      </c>
      <c r="F261" s="3">
        <f>1.8*E261+32</f>
        <v>73.400000000000006</v>
      </c>
      <c r="G261" s="3">
        <v>15</v>
      </c>
      <c r="H261" s="3">
        <f>IF(F261&gt;68,G261+(F261-68)*0.2,U480-(68-F261)*0.2)</f>
        <v>16.080000000000002</v>
      </c>
      <c r="I261" s="3">
        <v>23</v>
      </c>
      <c r="J261" s="3">
        <f>1.8*I261+32</f>
        <v>73.400000000000006</v>
      </c>
      <c r="K261" s="3">
        <v>7</v>
      </c>
      <c r="L261" s="3">
        <f>IF(J261&gt;68,K261+(J261-68)*0.2,K261-(68-J261)*0.2)</f>
        <v>8.0800000000000018</v>
      </c>
      <c r="M261" s="3">
        <f>(C261-H261)/C261*100</f>
        <v>67.84</v>
      </c>
      <c r="N261" s="3">
        <f>100-(M261+O261)</f>
        <v>16</v>
      </c>
      <c r="O261" s="3">
        <f>L261/C261*100</f>
        <v>16.160000000000004</v>
      </c>
      <c r="P261" s="2" t="s">
        <v>429</v>
      </c>
      <c r="Q261" s="37" t="s">
        <v>463</v>
      </c>
      <c r="R261" s="37" t="s">
        <v>462</v>
      </c>
    </row>
    <row r="262" spans="1:18" x14ac:dyDescent="0.25">
      <c r="A262" s="6"/>
      <c r="B262" s="4" t="s">
        <v>430</v>
      </c>
      <c r="C262" s="5">
        <v>50</v>
      </c>
      <c r="D262" s="4">
        <v>20</v>
      </c>
      <c r="E262" s="3">
        <v>23</v>
      </c>
      <c r="F262" s="3">
        <f>1.8*E262+32</f>
        <v>73.400000000000006</v>
      </c>
      <c r="G262" s="3">
        <v>15</v>
      </c>
      <c r="H262" s="3">
        <f>IF(F262&gt;68,G262+(F262-68)*0.2,U481-(68-F262)*0.2)</f>
        <v>16.080000000000002</v>
      </c>
      <c r="I262" s="3">
        <v>23</v>
      </c>
      <c r="J262" s="3">
        <f>1.8*I262+32</f>
        <v>73.400000000000006</v>
      </c>
      <c r="K262" s="3">
        <v>6</v>
      </c>
      <c r="L262" s="3">
        <f>IF(J262&gt;68,K262+(J262-68)*0.2,K262-(68-J262)*0.2)</f>
        <v>7.080000000000001</v>
      </c>
      <c r="M262" s="3">
        <f>(C262-H262)/C262*100</f>
        <v>67.84</v>
      </c>
      <c r="N262" s="3">
        <f>100-(M262+O262)</f>
        <v>18</v>
      </c>
      <c r="O262" s="3">
        <f>L262/C262*100</f>
        <v>14.160000000000004</v>
      </c>
      <c r="P262" s="2" t="s">
        <v>429</v>
      </c>
      <c r="Q262" s="37" t="s">
        <v>463</v>
      </c>
      <c r="R262" s="37" t="s">
        <v>462</v>
      </c>
    </row>
    <row r="263" spans="1:18" x14ac:dyDescent="0.25">
      <c r="A263" s="6"/>
      <c r="B263" s="4" t="s">
        <v>428</v>
      </c>
      <c r="C263" s="5">
        <v>50</v>
      </c>
      <c r="D263" s="4">
        <v>20</v>
      </c>
      <c r="E263" s="3">
        <v>23</v>
      </c>
      <c r="F263" s="3">
        <f>1.8*E263+32</f>
        <v>73.400000000000006</v>
      </c>
      <c r="G263" s="3">
        <v>16</v>
      </c>
      <c r="H263" s="3">
        <f>IF(F263&gt;68,G263+(F263-68)*0.2,U482-(68-F263)*0.2)</f>
        <v>17.080000000000002</v>
      </c>
      <c r="I263" s="3">
        <v>23</v>
      </c>
      <c r="J263" s="3">
        <f>1.8*I263+32</f>
        <v>73.400000000000006</v>
      </c>
      <c r="K263" s="3">
        <v>8</v>
      </c>
      <c r="L263" s="3">
        <f>IF(J263&gt;68,K263+(J263-68)*0.2,K263-(68-J263)*0.2)</f>
        <v>9.0800000000000018</v>
      </c>
      <c r="M263" s="3">
        <f>(C263-H263)/C263*100</f>
        <v>65.84</v>
      </c>
      <c r="N263" s="3">
        <f>100-(M263+O263)</f>
        <v>16</v>
      </c>
      <c r="O263" s="3">
        <f>L263/C263*100</f>
        <v>18.160000000000004</v>
      </c>
      <c r="P263" s="2" t="s">
        <v>429</v>
      </c>
      <c r="Q263" s="37" t="s">
        <v>463</v>
      </c>
      <c r="R263" s="37" t="s">
        <v>462</v>
      </c>
    </row>
    <row r="264" spans="1:18" x14ac:dyDescent="0.25">
      <c r="A264" s="30"/>
      <c r="B264" s="25"/>
      <c r="C264" s="29"/>
      <c r="D264" s="28"/>
      <c r="E264" s="27"/>
      <c r="F264" s="27"/>
      <c r="G264" s="27"/>
      <c r="H264" s="27"/>
      <c r="I264" s="27"/>
      <c r="J264" s="27"/>
      <c r="K264" s="27"/>
      <c r="L264" s="27"/>
      <c r="M264" s="26"/>
      <c r="N264" s="26"/>
      <c r="O264" s="26"/>
      <c r="P264" s="25"/>
    </row>
    <row r="265" spans="1:18" x14ac:dyDescent="0.25">
      <c r="A265" s="36"/>
    </row>
    <row r="266" spans="1:18" x14ac:dyDescent="0.25">
      <c r="A266" s="36"/>
    </row>
    <row r="267" spans="1:18" ht="51.75" x14ac:dyDescent="0.25">
      <c r="A267" s="15" t="s">
        <v>19</v>
      </c>
      <c r="B267" s="10" t="s">
        <v>443</v>
      </c>
      <c r="C267" s="14" t="s">
        <v>17</v>
      </c>
      <c r="D267" s="13" t="s">
        <v>16</v>
      </c>
      <c r="E267" s="12" t="s">
        <v>15</v>
      </c>
      <c r="F267" s="12" t="s">
        <v>14</v>
      </c>
      <c r="G267" s="12" t="s">
        <v>442</v>
      </c>
      <c r="H267" s="12" t="s">
        <v>441</v>
      </c>
      <c r="I267" s="12" t="s">
        <v>440</v>
      </c>
      <c r="J267" s="12" t="s">
        <v>439</v>
      </c>
      <c r="K267" s="12" t="s">
        <v>438</v>
      </c>
      <c r="L267" s="12" t="s">
        <v>437</v>
      </c>
      <c r="M267" s="11" t="s">
        <v>7</v>
      </c>
      <c r="N267" s="11" t="s">
        <v>6</v>
      </c>
      <c r="O267" s="11" t="s">
        <v>5</v>
      </c>
      <c r="P267" s="10" t="s">
        <v>4</v>
      </c>
      <c r="Q267" s="17" t="s">
        <v>3</v>
      </c>
      <c r="R267" s="17"/>
    </row>
    <row r="268" spans="1:18" x14ac:dyDescent="0.25">
      <c r="A268" s="56">
        <v>37</v>
      </c>
      <c r="B268" s="10"/>
      <c r="C268" s="14"/>
      <c r="D268" s="13" t="s">
        <v>436</v>
      </c>
      <c r="E268" s="12"/>
      <c r="F268" s="12"/>
      <c r="G268" s="12"/>
      <c r="H268" s="12"/>
      <c r="I268" s="12"/>
      <c r="J268" s="12"/>
      <c r="K268" s="12"/>
      <c r="L268" s="12"/>
      <c r="M268" s="11"/>
      <c r="N268" s="11"/>
      <c r="O268" s="11"/>
      <c r="P268" s="10"/>
      <c r="Q268" s="7" t="s">
        <v>2</v>
      </c>
      <c r="R268" s="7" t="s">
        <v>1</v>
      </c>
    </row>
    <row r="269" spans="1:18" x14ac:dyDescent="0.25">
      <c r="A269" s="56"/>
      <c r="B269" s="4" t="s">
        <v>435</v>
      </c>
      <c r="C269" s="5">
        <v>50</v>
      </c>
      <c r="D269" s="4">
        <v>20</v>
      </c>
      <c r="E269" s="3">
        <v>22</v>
      </c>
      <c r="F269" s="3">
        <f>1.8*E269+32</f>
        <v>71.599999999999994</v>
      </c>
      <c r="G269" s="3">
        <v>19</v>
      </c>
      <c r="H269" s="3">
        <f>IF(F269&gt;68,G269+(F269-68)*0.2,U488-(68-F269)*0.2)</f>
        <v>19.72</v>
      </c>
      <c r="I269" s="3">
        <v>22</v>
      </c>
      <c r="J269" s="3">
        <f>1.8*I269+32</f>
        <v>71.599999999999994</v>
      </c>
      <c r="K269" s="3">
        <v>10</v>
      </c>
      <c r="L269" s="3">
        <f>IF(J269&gt;68,K269+(J269-68)*0.2,K269-(68-J269)*0.2)</f>
        <v>10.719999999999999</v>
      </c>
      <c r="M269" s="3">
        <f>(C269-H269)/C269*100</f>
        <v>60.56</v>
      </c>
      <c r="N269" s="3">
        <f>100-(M269+O269)</f>
        <v>18</v>
      </c>
      <c r="O269" s="3">
        <f>L269/C269*100</f>
        <v>21.439999999999998</v>
      </c>
      <c r="P269" s="2" t="s">
        <v>427</v>
      </c>
      <c r="Q269" s="37" t="s">
        <v>461</v>
      </c>
      <c r="R269" s="58">
        <v>3659278.9642093</v>
      </c>
    </row>
    <row r="270" spans="1:18" x14ac:dyDescent="0.25">
      <c r="A270" s="15" t="s">
        <v>434</v>
      </c>
      <c r="B270" s="4" t="s">
        <v>433</v>
      </c>
      <c r="C270" s="5">
        <v>50</v>
      </c>
      <c r="D270" s="4">
        <v>20</v>
      </c>
      <c r="E270" s="3">
        <v>22</v>
      </c>
      <c r="F270" s="3">
        <f>1.8*E270+32</f>
        <v>71.599999999999994</v>
      </c>
      <c r="G270" s="3">
        <v>20</v>
      </c>
      <c r="H270" s="3">
        <f>IF(F270&gt;68,G270+(F270-68)*0.2,U489-(68-F270)*0.2)</f>
        <v>20.72</v>
      </c>
      <c r="I270" s="3">
        <v>22</v>
      </c>
      <c r="J270" s="3">
        <f>1.8*I270+32</f>
        <v>71.599999999999994</v>
      </c>
      <c r="K270" s="3">
        <v>11</v>
      </c>
      <c r="L270" s="3">
        <f>IF(J270&gt;68,K270+(J270-68)*0.2,K270-(68-J270)*0.2)</f>
        <v>11.719999999999999</v>
      </c>
      <c r="M270" s="3">
        <f>(C270-H270)/C270*100</f>
        <v>58.56</v>
      </c>
      <c r="N270" s="3">
        <f>100-(M270+O270)</f>
        <v>18</v>
      </c>
      <c r="O270" s="3">
        <f>L270/C270*100</f>
        <v>23.439999999999998</v>
      </c>
      <c r="P270" s="2" t="s">
        <v>427</v>
      </c>
      <c r="Q270" s="37" t="s">
        <v>461</v>
      </c>
      <c r="R270" s="58">
        <v>3659278.9642093</v>
      </c>
    </row>
    <row r="271" spans="1:18" x14ac:dyDescent="0.25">
      <c r="A271" s="55">
        <v>40212</v>
      </c>
      <c r="B271" s="4" t="s">
        <v>432</v>
      </c>
      <c r="C271" s="5">
        <v>50</v>
      </c>
      <c r="D271" s="4">
        <v>20</v>
      </c>
      <c r="E271" s="3">
        <v>22</v>
      </c>
      <c r="F271" s="3">
        <f>1.8*E271+32</f>
        <v>71.599999999999994</v>
      </c>
      <c r="G271" s="3">
        <v>23</v>
      </c>
      <c r="H271" s="3">
        <f>IF(F271&gt;68,G271+(F271-68)*0.2,U490-(68-F271)*0.2)</f>
        <v>23.72</v>
      </c>
      <c r="I271" s="3">
        <v>24</v>
      </c>
      <c r="J271" s="3">
        <f>1.8*I271+32</f>
        <v>75.2</v>
      </c>
      <c r="K271" s="3">
        <v>10</v>
      </c>
      <c r="L271" s="3">
        <f>IF(J271&gt;68,K271+(J271-68)*0.2,K271-(68-J271)*0.2)</f>
        <v>11.440000000000001</v>
      </c>
      <c r="M271" s="3">
        <f>(C271-H271)/C271*100</f>
        <v>52.560000000000009</v>
      </c>
      <c r="N271" s="3">
        <f>100-(M271+O271)</f>
        <v>24.559999999999988</v>
      </c>
      <c r="O271" s="3">
        <f>L271/C271*100</f>
        <v>22.880000000000003</v>
      </c>
      <c r="P271" s="2" t="s">
        <v>427</v>
      </c>
      <c r="Q271" s="37" t="s">
        <v>461</v>
      </c>
      <c r="R271" s="58">
        <v>3659278.9642093</v>
      </c>
    </row>
    <row r="272" spans="1:18" x14ac:dyDescent="0.25">
      <c r="A272" s="54"/>
      <c r="B272" s="4" t="s">
        <v>431</v>
      </c>
      <c r="C272" s="5">
        <v>50</v>
      </c>
      <c r="D272" s="4">
        <v>20</v>
      </c>
      <c r="E272" s="3">
        <v>22</v>
      </c>
      <c r="F272" s="3">
        <f>1.8*E272+32</f>
        <v>71.599999999999994</v>
      </c>
      <c r="G272" s="3">
        <v>25</v>
      </c>
      <c r="H272" s="3">
        <f>IF(F272&gt;68,G272+(F272-68)*0.2,U491-(68-F272)*0.2)</f>
        <v>25.72</v>
      </c>
      <c r="I272" s="3">
        <v>24</v>
      </c>
      <c r="J272" s="3">
        <f>1.8*I272+32</f>
        <v>75.2</v>
      </c>
      <c r="K272" s="3">
        <v>12</v>
      </c>
      <c r="L272" s="3">
        <f>IF(J272&gt;68,K272+(J272-68)*0.2,K272-(68-J272)*0.2)</f>
        <v>13.440000000000001</v>
      </c>
      <c r="M272" s="3">
        <f>(C272-H272)/C272*100</f>
        <v>48.56</v>
      </c>
      <c r="N272" s="3">
        <f>100-(M272+O272)</f>
        <v>24.560000000000002</v>
      </c>
      <c r="O272" s="3">
        <f>L272/C272*100</f>
        <v>26.880000000000003</v>
      </c>
      <c r="P272" s="2" t="s">
        <v>427</v>
      </c>
      <c r="Q272" s="37" t="s">
        <v>461</v>
      </c>
      <c r="R272" s="58">
        <v>3659278.9642093</v>
      </c>
    </row>
    <row r="273" spans="1:18" x14ac:dyDescent="0.25">
      <c r="A273" s="6"/>
      <c r="B273" s="4" t="s">
        <v>430</v>
      </c>
      <c r="C273" s="5">
        <v>50</v>
      </c>
      <c r="D273" s="4">
        <v>20</v>
      </c>
      <c r="E273" s="3">
        <v>22</v>
      </c>
      <c r="F273" s="3">
        <f>1.8*E273+32</f>
        <v>71.599999999999994</v>
      </c>
      <c r="G273" s="3">
        <v>16</v>
      </c>
      <c r="H273" s="3">
        <f>IF(F273&gt;68,G273+(F273-68)*0.2,U492-(68-F273)*0.2)</f>
        <v>16.72</v>
      </c>
      <c r="I273" s="3">
        <v>24</v>
      </c>
      <c r="J273" s="3">
        <f>1.8*I273+32</f>
        <v>75.2</v>
      </c>
      <c r="K273" s="3">
        <v>7</v>
      </c>
      <c r="L273" s="3">
        <f>IF(J273&gt;68,K273+(J273-68)*0.2,K273-(68-J273)*0.2)</f>
        <v>8.4400000000000013</v>
      </c>
      <c r="M273" s="3">
        <f>(C273-H273)/C273*100</f>
        <v>66.56</v>
      </c>
      <c r="N273" s="3">
        <f>100-(M273+O273)</f>
        <v>16.560000000000002</v>
      </c>
      <c r="O273" s="3">
        <f>L273/C273*100</f>
        <v>16.880000000000003</v>
      </c>
      <c r="P273" s="2" t="s">
        <v>429</v>
      </c>
      <c r="Q273" s="37" t="s">
        <v>461</v>
      </c>
      <c r="R273" s="58">
        <v>3659278.9642093</v>
      </c>
    </row>
    <row r="274" spans="1:18" x14ac:dyDescent="0.25">
      <c r="A274" s="6"/>
      <c r="B274" s="4" t="s">
        <v>428</v>
      </c>
      <c r="C274" s="5">
        <v>50</v>
      </c>
      <c r="D274" s="4">
        <v>20</v>
      </c>
      <c r="E274" s="3">
        <v>22</v>
      </c>
      <c r="F274" s="3">
        <f>1.8*E274+32</f>
        <v>71.599999999999994</v>
      </c>
      <c r="G274" s="3">
        <v>16</v>
      </c>
      <c r="H274" s="3">
        <f>IF(F274&gt;68,G274+(F274-68)*0.2,U493-(68-F274)*0.2)</f>
        <v>16.72</v>
      </c>
      <c r="I274" s="3">
        <v>24</v>
      </c>
      <c r="J274" s="3">
        <f>1.8*I274+32</f>
        <v>75.2</v>
      </c>
      <c r="K274" s="3">
        <v>8</v>
      </c>
      <c r="L274" s="3">
        <f>IF(J274&gt;68,K274+(J274-68)*0.2,K274-(68-J274)*0.2)</f>
        <v>9.4400000000000013</v>
      </c>
      <c r="M274" s="3">
        <f>(C274-H274)/C274*100</f>
        <v>66.56</v>
      </c>
      <c r="N274" s="3">
        <f>100-(M274+O274)</f>
        <v>14.560000000000002</v>
      </c>
      <c r="O274" s="3">
        <f>L274/C274*100</f>
        <v>18.880000000000003</v>
      </c>
      <c r="P274" s="2" t="s">
        <v>429</v>
      </c>
      <c r="Q274" s="37" t="s">
        <v>461</v>
      </c>
      <c r="R274" s="58">
        <v>3659278.9642093</v>
      </c>
    </row>
    <row r="275" spans="1:18" x14ac:dyDescent="0.25">
      <c r="A275" s="36"/>
    </row>
    <row r="276" spans="1:18" ht="51.75" x14ac:dyDescent="0.25">
      <c r="A276" s="15" t="s">
        <v>19</v>
      </c>
      <c r="B276" s="10" t="s">
        <v>443</v>
      </c>
      <c r="C276" s="14" t="s">
        <v>17</v>
      </c>
      <c r="D276" s="13" t="s">
        <v>16</v>
      </c>
      <c r="E276" s="12" t="s">
        <v>15</v>
      </c>
      <c r="F276" s="12" t="s">
        <v>14</v>
      </c>
      <c r="G276" s="12" t="s">
        <v>442</v>
      </c>
      <c r="H276" s="12" t="s">
        <v>441</v>
      </c>
      <c r="I276" s="12" t="s">
        <v>440</v>
      </c>
      <c r="J276" s="12" t="s">
        <v>439</v>
      </c>
      <c r="K276" s="12" t="s">
        <v>438</v>
      </c>
      <c r="L276" s="12" t="s">
        <v>437</v>
      </c>
      <c r="M276" s="11" t="s">
        <v>7</v>
      </c>
      <c r="N276" s="11" t="s">
        <v>6</v>
      </c>
      <c r="O276" s="11" t="s">
        <v>5</v>
      </c>
      <c r="P276" s="10" t="s">
        <v>4</v>
      </c>
      <c r="Q276" s="17" t="s">
        <v>3</v>
      </c>
      <c r="R276" s="17"/>
    </row>
    <row r="277" spans="1:18" x14ac:dyDescent="0.25">
      <c r="A277" s="56">
        <v>38</v>
      </c>
      <c r="B277" s="10"/>
      <c r="C277" s="14"/>
      <c r="D277" s="13" t="s">
        <v>436</v>
      </c>
      <c r="E277" s="12"/>
      <c r="F277" s="12"/>
      <c r="G277" s="12"/>
      <c r="H277" s="12"/>
      <c r="I277" s="12"/>
      <c r="J277" s="12"/>
      <c r="K277" s="12"/>
      <c r="L277" s="12"/>
      <c r="M277" s="11"/>
      <c r="N277" s="11"/>
      <c r="O277" s="11"/>
      <c r="P277" s="10"/>
      <c r="Q277" s="7" t="s">
        <v>2</v>
      </c>
      <c r="R277" s="7" t="s">
        <v>1</v>
      </c>
    </row>
    <row r="278" spans="1:18" x14ac:dyDescent="0.25">
      <c r="A278" s="56"/>
      <c r="B278" s="4" t="s">
        <v>435</v>
      </c>
      <c r="C278" s="5">
        <v>50</v>
      </c>
      <c r="D278" s="4">
        <v>20</v>
      </c>
      <c r="E278" s="3">
        <v>23</v>
      </c>
      <c r="F278" s="3">
        <f>1.8*E278+32</f>
        <v>73.400000000000006</v>
      </c>
      <c r="G278" s="3">
        <v>17</v>
      </c>
      <c r="H278" s="3">
        <f>IF(F278&gt;68,G278+(F278-68)*0.2,U497-(68-F278)*0.2)</f>
        <v>18.080000000000002</v>
      </c>
      <c r="I278" s="3">
        <v>23</v>
      </c>
      <c r="J278" s="3">
        <f>1.8*I278+32</f>
        <v>73.400000000000006</v>
      </c>
      <c r="K278" s="3">
        <v>7</v>
      </c>
      <c r="L278" s="3">
        <f>IF(J278&gt;68,K278+(J278-68)*0.2,K278-(68-J278)*0.2)</f>
        <v>8.0800000000000018</v>
      </c>
      <c r="M278" s="3">
        <f>(C278-H278)/C278*100</f>
        <v>63.839999999999996</v>
      </c>
      <c r="N278" s="3">
        <f>100-(M278+O278)</f>
        <v>20</v>
      </c>
      <c r="O278" s="3">
        <f>L278/C278*100</f>
        <v>16.160000000000004</v>
      </c>
      <c r="P278" s="2" t="s">
        <v>429</v>
      </c>
      <c r="Q278" s="37" t="s">
        <v>460</v>
      </c>
      <c r="R278" s="37" t="s">
        <v>459</v>
      </c>
    </row>
    <row r="279" spans="1:18" x14ac:dyDescent="0.25">
      <c r="A279" s="57" t="s">
        <v>434</v>
      </c>
      <c r="B279" s="4" t="s">
        <v>433</v>
      </c>
      <c r="C279" s="5">
        <v>50</v>
      </c>
      <c r="D279" s="4">
        <v>20</v>
      </c>
      <c r="E279" s="3">
        <v>23</v>
      </c>
      <c r="F279" s="3">
        <f>1.8*E279+32</f>
        <v>73.400000000000006</v>
      </c>
      <c r="G279" s="3">
        <v>16</v>
      </c>
      <c r="H279" s="3">
        <f>IF(F279&gt;68,G279+(F279-68)*0.2,U498-(68-F279)*0.2)</f>
        <v>17.080000000000002</v>
      </c>
      <c r="I279" s="3">
        <v>23</v>
      </c>
      <c r="J279" s="3">
        <f>1.8*I279+32</f>
        <v>73.400000000000006</v>
      </c>
      <c r="K279" s="3">
        <v>6</v>
      </c>
      <c r="L279" s="3">
        <f>IF(J279&gt;68,K279+(J279-68)*0.2,K279-(68-J279)*0.2)</f>
        <v>7.080000000000001</v>
      </c>
      <c r="M279" s="3">
        <f>(C279-H279)/C279*100</f>
        <v>65.84</v>
      </c>
      <c r="N279" s="3">
        <f>100-(M279+O279)</f>
        <v>20</v>
      </c>
      <c r="O279" s="3">
        <f>L279/C279*100</f>
        <v>14.160000000000004</v>
      </c>
      <c r="P279" s="2" t="s">
        <v>429</v>
      </c>
      <c r="Q279" s="37" t="s">
        <v>460</v>
      </c>
      <c r="R279" s="37" t="s">
        <v>459</v>
      </c>
    </row>
    <row r="280" spans="1:18" x14ac:dyDescent="0.25">
      <c r="A280" s="55">
        <v>40212</v>
      </c>
      <c r="B280" s="4" t="s">
        <v>432</v>
      </c>
      <c r="C280" s="5">
        <v>50</v>
      </c>
      <c r="D280" s="4">
        <v>20</v>
      </c>
      <c r="E280" s="3">
        <v>23</v>
      </c>
      <c r="F280" s="3">
        <f>1.8*E280+32</f>
        <v>73.400000000000006</v>
      </c>
      <c r="G280" s="3">
        <v>17</v>
      </c>
      <c r="H280" s="3">
        <f>IF(F280&gt;68,G280+(F280-68)*0.2,U499-(68-F280)*0.2)</f>
        <v>18.080000000000002</v>
      </c>
      <c r="I280" s="3">
        <v>23</v>
      </c>
      <c r="J280" s="3">
        <f>1.8*I280+32</f>
        <v>73.400000000000006</v>
      </c>
      <c r="K280" s="3">
        <v>7</v>
      </c>
      <c r="L280" s="3">
        <f>IF(J280&gt;68,K280+(J280-68)*0.2,K280-(68-J280)*0.2)</f>
        <v>8.0800000000000018</v>
      </c>
      <c r="M280" s="3">
        <f>(C280-H280)/C280*100</f>
        <v>63.839999999999996</v>
      </c>
      <c r="N280" s="3">
        <f>100-(M280+O280)</f>
        <v>20</v>
      </c>
      <c r="O280" s="3">
        <f>L280/C280*100</f>
        <v>16.160000000000004</v>
      </c>
      <c r="P280" s="2" t="s">
        <v>429</v>
      </c>
      <c r="Q280" s="37" t="s">
        <v>460</v>
      </c>
      <c r="R280" s="37" t="s">
        <v>459</v>
      </c>
    </row>
    <row r="281" spans="1:18" x14ac:dyDescent="0.25">
      <c r="A281" s="54"/>
      <c r="B281" s="4" t="s">
        <v>431</v>
      </c>
      <c r="C281" s="5">
        <v>50</v>
      </c>
      <c r="D281" s="4">
        <v>20</v>
      </c>
      <c r="E281" s="3">
        <v>23</v>
      </c>
      <c r="F281" s="3">
        <f>1.8*E281+32</f>
        <v>73.400000000000006</v>
      </c>
      <c r="G281" s="3">
        <v>20</v>
      </c>
      <c r="H281" s="3">
        <f>IF(F281&gt;68,G281+(F281-68)*0.2,U500-(68-F281)*0.2)</f>
        <v>21.080000000000002</v>
      </c>
      <c r="I281" s="3">
        <v>23</v>
      </c>
      <c r="J281" s="3">
        <f>1.8*I281+32</f>
        <v>73.400000000000006</v>
      </c>
      <c r="K281" s="3">
        <v>10</v>
      </c>
      <c r="L281" s="3">
        <f>IF(J281&gt;68,K281+(J281-68)*0.2,K281-(68-J281)*0.2)</f>
        <v>11.080000000000002</v>
      </c>
      <c r="M281" s="3">
        <f>(C281-H281)/C281*100</f>
        <v>57.839999999999989</v>
      </c>
      <c r="N281" s="3">
        <f>100-(M281+O281)</f>
        <v>20</v>
      </c>
      <c r="O281" s="3">
        <f>L281/C281*100</f>
        <v>22.160000000000004</v>
      </c>
      <c r="P281" s="2" t="s">
        <v>427</v>
      </c>
      <c r="Q281" s="37" t="s">
        <v>460</v>
      </c>
      <c r="R281" s="37" t="s">
        <v>459</v>
      </c>
    </row>
    <row r="282" spans="1:18" x14ac:dyDescent="0.25">
      <c r="A282" s="6"/>
      <c r="B282" s="4" t="s">
        <v>430</v>
      </c>
      <c r="C282" s="5">
        <v>50</v>
      </c>
      <c r="D282" s="4">
        <v>20</v>
      </c>
      <c r="E282" s="3">
        <v>23</v>
      </c>
      <c r="F282" s="3">
        <f>1.8*E282+32</f>
        <v>73.400000000000006</v>
      </c>
      <c r="G282" s="3">
        <v>10</v>
      </c>
      <c r="H282" s="3">
        <f>IF(F282&gt;68,G282+(F282-68)*0.2,U501-(68-F282)*0.2)</f>
        <v>11.080000000000002</v>
      </c>
      <c r="I282" s="3">
        <v>23</v>
      </c>
      <c r="J282" s="3">
        <f>1.8*I282+32</f>
        <v>73.400000000000006</v>
      </c>
      <c r="K282" s="3">
        <v>4</v>
      </c>
      <c r="L282" s="3">
        <f>IF(J282&gt;68,K282+(J282-68)*0.2,K282-(68-J282)*0.2)</f>
        <v>5.080000000000001</v>
      </c>
      <c r="M282" s="3">
        <f>(C282-H282)/C282*100</f>
        <v>77.84</v>
      </c>
      <c r="N282" s="3">
        <f>100-(M282+O282)</f>
        <v>12</v>
      </c>
      <c r="O282" s="3">
        <f>L282/C282*100</f>
        <v>10.160000000000002</v>
      </c>
      <c r="P282" s="2" t="s">
        <v>429</v>
      </c>
      <c r="Q282" s="37" t="s">
        <v>460</v>
      </c>
      <c r="R282" s="37" t="s">
        <v>459</v>
      </c>
    </row>
    <row r="283" spans="1:18" x14ac:dyDescent="0.25">
      <c r="A283" s="6"/>
      <c r="B283" s="4" t="s">
        <v>428</v>
      </c>
      <c r="C283" s="5">
        <v>50</v>
      </c>
      <c r="D283" s="4">
        <v>20</v>
      </c>
      <c r="E283" s="3">
        <v>23</v>
      </c>
      <c r="F283" s="3">
        <f>1.8*E283+32</f>
        <v>73.400000000000006</v>
      </c>
      <c r="G283" s="3">
        <v>15</v>
      </c>
      <c r="H283" s="3">
        <f>IF(F283&gt;68,G283+(F283-68)*0.2,U502-(68-F283)*0.2)</f>
        <v>16.080000000000002</v>
      </c>
      <c r="I283" s="3">
        <v>23</v>
      </c>
      <c r="J283" s="3">
        <f>1.8*I283+32</f>
        <v>73.400000000000006</v>
      </c>
      <c r="K283" s="3">
        <v>6</v>
      </c>
      <c r="L283" s="3">
        <f>IF(J283&gt;68,K283+(J283-68)*0.2,K283-(68-J283)*0.2)</f>
        <v>7.080000000000001</v>
      </c>
      <c r="M283" s="3">
        <f>(C283-H283)/C283*100</f>
        <v>67.84</v>
      </c>
      <c r="N283" s="3">
        <f>100-(M283+O283)</f>
        <v>18</v>
      </c>
      <c r="O283" s="3">
        <f>L283/C283*100</f>
        <v>14.160000000000004</v>
      </c>
      <c r="P283" s="2" t="s">
        <v>429</v>
      </c>
      <c r="Q283" s="37" t="s">
        <v>460</v>
      </c>
      <c r="R283" s="37" t="s">
        <v>459</v>
      </c>
    </row>
    <row r="284" spans="1:18" x14ac:dyDescent="0.25">
      <c r="A284" s="36"/>
    </row>
    <row r="285" spans="1:18" ht="51.75" x14ac:dyDescent="0.25">
      <c r="A285" s="15" t="s">
        <v>19</v>
      </c>
      <c r="B285" s="10" t="s">
        <v>443</v>
      </c>
      <c r="C285" s="14" t="s">
        <v>17</v>
      </c>
      <c r="D285" s="13" t="s">
        <v>16</v>
      </c>
      <c r="E285" s="12" t="s">
        <v>15</v>
      </c>
      <c r="F285" s="12" t="s">
        <v>14</v>
      </c>
      <c r="G285" s="12" t="s">
        <v>442</v>
      </c>
      <c r="H285" s="12" t="s">
        <v>441</v>
      </c>
      <c r="I285" s="12" t="s">
        <v>440</v>
      </c>
      <c r="J285" s="12" t="s">
        <v>439</v>
      </c>
      <c r="K285" s="12" t="s">
        <v>438</v>
      </c>
      <c r="L285" s="12" t="s">
        <v>437</v>
      </c>
      <c r="M285" s="11" t="s">
        <v>7</v>
      </c>
      <c r="N285" s="11" t="s">
        <v>6</v>
      </c>
      <c r="O285" s="11" t="s">
        <v>5</v>
      </c>
      <c r="P285" s="10" t="s">
        <v>4</v>
      </c>
      <c r="Q285" s="17" t="s">
        <v>3</v>
      </c>
      <c r="R285" s="17"/>
    </row>
    <row r="286" spans="1:18" x14ac:dyDescent="0.25">
      <c r="A286" s="56">
        <v>41</v>
      </c>
      <c r="B286" s="10"/>
      <c r="C286" s="14"/>
      <c r="D286" s="13" t="s">
        <v>436</v>
      </c>
      <c r="E286" s="12"/>
      <c r="F286" s="12"/>
      <c r="G286" s="12"/>
      <c r="H286" s="12"/>
      <c r="I286" s="12"/>
      <c r="J286" s="12"/>
      <c r="K286" s="12"/>
      <c r="L286" s="12"/>
      <c r="M286" s="11"/>
      <c r="N286" s="11"/>
      <c r="O286" s="11"/>
      <c r="P286" s="10"/>
      <c r="Q286" s="7" t="s">
        <v>2</v>
      </c>
      <c r="R286" s="7" t="s">
        <v>1</v>
      </c>
    </row>
    <row r="287" spans="1:18" x14ac:dyDescent="0.25">
      <c r="A287" s="56"/>
      <c r="B287" s="4" t="s">
        <v>435</v>
      </c>
      <c r="C287" s="5">
        <v>50</v>
      </c>
      <c r="D287" s="4">
        <v>20</v>
      </c>
      <c r="E287" s="3">
        <v>23</v>
      </c>
      <c r="F287" s="3">
        <f>1.8*E287+32</f>
        <v>73.400000000000006</v>
      </c>
      <c r="G287" s="3">
        <v>17</v>
      </c>
      <c r="H287" s="3">
        <f>IF(F287&gt;68,G287+(F287-68)*0.2,U506-(68-F287)*0.2)</f>
        <v>18.080000000000002</v>
      </c>
      <c r="I287" s="3">
        <v>23</v>
      </c>
      <c r="J287" s="3">
        <f>1.8*I287+32</f>
        <v>73.400000000000006</v>
      </c>
      <c r="K287" s="3">
        <v>9</v>
      </c>
      <c r="L287" s="3">
        <f>IF(J287&gt;68,K287+(J287-68)*0.2,K287-(68-J287)*0.2)</f>
        <v>10.080000000000002</v>
      </c>
      <c r="M287" s="3">
        <f>(C287-H287)/C287*100</f>
        <v>63.839999999999996</v>
      </c>
      <c r="N287" s="3">
        <f>100-(M287+O287)</f>
        <v>16</v>
      </c>
      <c r="O287" s="3">
        <f>L287/C287*100</f>
        <v>20.160000000000004</v>
      </c>
      <c r="P287" s="2" t="s">
        <v>427</v>
      </c>
      <c r="Q287" s="37" t="s">
        <v>458</v>
      </c>
      <c r="R287" s="37" t="s">
        <v>457</v>
      </c>
    </row>
    <row r="288" spans="1:18" x14ac:dyDescent="0.25">
      <c r="A288" s="15" t="s">
        <v>434</v>
      </c>
      <c r="B288" s="4" t="s">
        <v>433</v>
      </c>
      <c r="C288" s="5">
        <v>50</v>
      </c>
      <c r="D288" s="4">
        <v>20</v>
      </c>
      <c r="E288" s="3">
        <v>23</v>
      </c>
      <c r="F288" s="3">
        <f>1.8*E288+32</f>
        <v>73.400000000000006</v>
      </c>
      <c r="G288" s="3">
        <v>20</v>
      </c>
      <c r="H288" s="3">
        <f>IF(F288&gt;68,G288+(F288-68)*0.2,U507-(68-F288)*0.2)</f>
        <v>21.080000000000002</v>
      </c>
      <c r="I288" s="3">
        <v>23</v>
      </c>
      <c r="J288" s="3">
        <f>1.8*I288+32</f>
        <v>73.400000000000006</v>
      </c>
      <c r="K288" s="3">
        <v>10</v>
      </c>
      <c r="L288" s="3">
        <f>IF(J288&gt;68,K288+(J288-68)*0.2,K288-(68-J288)*0.2)</f>
        <v>11.080000000000002</v>
      </c>
      <c r="M288" s="3">
        <f>(C288-H288)/C288*100</f>
        <v>57.839999999999989</v>
      </c>
      <c r="N288" s="3">
        <f>100-(M288+O288)</f>
        <v>20</v>
      </c>
      <c r="O288" s="3">
        <f>L288/C288*100</f>
        <v>22.160000000000004</v>
      </c>
      <c r="P288" s="2" t="s">
        <v>427</v>
      </c>
      <c r="Q288" s="37" t="s">
        <v>458</v>
      </c>
      <c r="R288" s="37" t="s">
        <v>457</v>
      </c>
    </row>
    <row r="289" spans="1:18" x14ac:dyDescent="0.25">
      <c r="A289" s="55">
        <v>40212</v>
      </c>
      <c r="B289" s="4" t="s">
        <v>432</v>
      </c>
      <c r="C289" s="5">
        <v>50</v>
      </c>
      <c r="D289" s="4">
        <v>20</v>
      </c>
      <c r="E289" s="3">
        <v>23</v>
      </c>
      <c r="F289" s="3">
        <f>1.8*E289+32</f>
        <v>73.400000000000006</v>
      </c>
      <c r="G289" s="3">
        <v>20</v>
      </c>
      <c r="H289" s="3">
        <f>IF(F289&gt;68,G289+(F289-68)*0.2,U508-(68-F289)*0.2)</f>
        <v>21.080000000000002</v>
      </c>
      <c r="I289" s="3">
        <v>23</v>
      </c>
      <c r="J289" s="3">
        <f>1.8*I289+32</f>
        <v>73.400000000000006</v>
      </c>
      <c r="K289" s="3">
        <v>8</v>
      </c>
      <c r="L289" s="3">
        <f>IF(J289&gt;68,K289+(J289-68)*0.2,K289-(68-J289)*0.2)</f>
        <v>9.0800000000000018</v>
      </c>
      <c r="M289" s="3">
        <f>(C289-H289)/C289*100</f>
        <v>57.839999999999989</v>
      </c>
      <c r="N289" s="3">
        <f>100-(M289+O289)</f>
        <v>24</v>
      </c>
      <c r="O289" s="3">
        <f>L289/C289*100</f>
        <v>18.160000000000004</v>
      </c>
      <c r="P289" s="2" t="s">
        <v>429</v>
      </c>
      <c r="Q289" s="37" t="s">
        <v>458</v>
      </c>
      <c r="R289" s="37" t="s">
        <v>457</v>
      </c>
    </row>
    <row r="290" spans="1:18" x14ac:dyDescent="0.25">
      <c r="A290" s="54"/>
      <c r="B290" s="4" t="s">
        <v>431</v>
      </c>
      <c r="C290" s="5">
        <v>50</v>
      </c>
      <c r="D290" s="4">
        <v>20</v>
      </c>
      <c r="E290" s="3">
        <v>23</v>
      </c>
      <c r="F290" s="3">
        <f>1.8*E290+32</f>
        <v>73.400000000000006</v>
      </c>
      <c r="G290" s="3">
        <v>21</v>
      </c>
      <c r="H290" s="3">
        <f>IF(F290&gt;68,G290+(F290-68)*0.2,U509-(68-F290)*0.2)</f>
        <v>22.080000000000002</v>
      </c>
      <c r="I290" s="3">
        <v>23</v>
      </c>
      <c r="J290" s="3">
        <f>1.8*I290+32</f>
        <v>73.400000000000006</v>
      </c>
      <c r="K290" s="3">
        <v>11</v>
      </c>
      <c r="L290" s="3">
        <f>IF(J290&gt;68,K290+(J290-68)*0.2,K290-(68-J290)*0.2)</f>
        <v>12.080000000000002</v>
      </c>
      <c r="M290" s="3">
        <f>(C290-H290)/C290*100</f>
        <v>55.84</v>
      </c>
      <c r="N290" s="3">
        <f>100-(M290+O290)</f>
        <v>20</v>
      </c>
      <c r="O290" s="3">
        <f>L290/C290*100</f>
        <v>24.160000000000004</v>
      </c>
      <c r="P290" s="2" t="s">
        <v>427</v>
      </c>
      <c r="Q290" s="37" t="s">
        <v>458</v>
      </c>
      <c r="R290" s="37" t="s">
        <v>457</v>
      </c>
    </row>
    <row r="291" spans="1:18" x14ac:dyDescent="0.25">
      <c r="A291" s="6"/>
      <c r="B291" s="4" t="s">
        <v>430</v>
      </c>
      <c r="C291" s="5">
        <v>50</v>
      </c>
      <c r="D291" s="4">
        <v>20</v>
      </c>
      <c r="E291" s="3">
        <v>23</v>
      </c>
      <c r="F291" s="3">
        <f>1.8*E291+32</f>
        <v>73.400000000000006</v>
      </c>
      <c r="G291" s="3">
        <v>13</v>
      </c>
      <c r="H291" s="3">
        <f>IF(F291&gt;68,G291+(F291-68)*0.2,U510-(68-F291)*0.2)</f>
        <v>14.080000000000002</v>
      </c>
      <c r="I291" s="3">
        <v>23</v>
      </c>
      <c r="J291" s="3">
        <f>1.8*I291+32</f>
        <v>73.400000000000006</v>
      </c>
      <c r="K291" s="3">
        <v>7</v>
      </c>
      <c r="L291" s="3">
        <f>IF(J291&gt;68,K291+(J291-68)*0.2,K291-(68-J291)*0.2)</f>
        <v>8.0800000000000018</v>
      </c>
      <c r="M291" s="3">
        <f>(C291-H291)/C291*100</f>
        <v>71.84</v>
      </c>
      <c r="N291" s="3">
        <f>100-(M291+O291)</f>
        <v>12</v>
      </c>
      <c r="O291" s="3">
        <f>L291/C291*100</f>
        <v>16.160000000000004</v>
      </c>
      <c r="P291" s="2" t="s">
        <v>429</v>
      </c>
      <c r="Q291" s="37" t="s">
        <v>458</v>
      </c>
      <c r="R291" s="37" t="s">
        <v>457</v>
      </c>
    </row>
    <row r="292" spans="1:18" x14ac:dyDescent="0.25">
      <c r="A292" s="6"/>
      <c r="B292" s="4" t="s">
        <v>428</v>
      </c>
      <c r="C292" s="5">
        <v>50</v>
      </c>
      <c r="D292" s="4">
        <v>20</v>
      </c>
      <c r="E292" s="3">
        <v>23</v>
      </c>
      <c r="F292" s="3">
        <f>1.8*E292+32</f>
        <v>73.400000000000006</v>
      </c>
      <c r="G292" s="3">
        <v>15</v>
      </c>
      <c r="H292" s="3">
        <f>IF(F292&gt;68,G292+(F292-68)*0.2,U511-(68-F292)*0.2)</f>
        <v>16.080000000000002</v>
      </c>
      <c r="I292" s="3">
        <v>23</v>
      </c>
      <c r="J292" s="3">
        <f>1.8*I292+32</f>
        <v>73.400000000000006</v>
      </c>
      <c r="K292" s="3">
        <v>8</v>
      </c>
      <c r="L292" s="3">
        <f>IF(J292&gt;68,K292+(J292-68)*0.2,K292-(68-J292)*0.2)</f>
        <v>9.0800000000000018</v>
      </c>
      <c r="M292" s="3">
        <f>(C292-H292)/C292*100</f>
        <v>67.84</v>
      </c>
      <c r="N292" s="3">
        <f>100-(M292+O292)</f>
        <v>14</v>
      </c>
      <c r="O292" s="3">
        <f>L292/C292*100</f>
        <v>18.160000000000004</v>
      </c>
      <c r="P292" s="2" t="s">
        <v>429</v>
      </c>
      <c r="Q292" s="37" t="s">
        <v>458</v>
      </c>
      <c r="R292" s="37" t="s">
        <v>457</v>
      </c>
    </row>
    <row r="293" spans="1:18" x14ac:dyDescent="0.25">
      <c r="A293" s="36"/>
    </row>
    <row r="294" spans="1:18" ht="51.75" x14ac:dyDescent="0.25">
      <c r="A294" s="15" t="s">
        <v>19</v>
      </c>
      <c r="B294" s="10" t="s">
        <v>443</v>
      </c>
      <c r="C294" s="14" t="s">
        <v>17</v>
      </c>
      <c r="D294" s="13" t="s">
        <v>16</v>
      </c>
      <c r="E294" s="12" t="s">
        <v>15</v>
      </c>
      <c r="F294" s="12" t="s">
        <v>14</v>
      </c>
      <c r="G294" s="12" t="s">
        <v>442</v>
      </c>
      <c r="H294" s="12" t="s">
        <v>441</v>
      </c>
      <c r="I294" s="12" t="s">
        <v>440</v>
      </c>
      <c r="J294" s="12" t="s">
        <v>439</v>
      </c>
      <c r="K294" s="12" t="s">
        <v>438</v>
      </c>
      <c r="L294" s="12" t="s">
        <v>437</v>
      </c>
      <c r="M294" s="11" t="s">
        <v>7</v>
      </c>
      <c r="N294" s="11" t="s">
        <v>6</v>
      </c>
      <c r="O294" s="11" t="s">
        <v>5</v>
      </c>
      <c r="P294" s="10" t="s">
        <v>4</v>
      </c>
      <c r="Q294" s="17" t="s">
        <v>3</v>
      </c>
      <c r="R294" s="17"/>
    </row>
    <row r="295" spans="1:18" x14ac:dyDescent="0.25">
      <c r="A295" s="56">
        <v>42</v>
      </c>
      <c r="B295" s="10"/>
      <c r="C295" s="14"/>
      <c r="D295" s="13" t="s">
        <v>436</v>
      </c>
      <c r="E295" s="12"/>
      <c r="F295" s="12"/>
      <c r="G295" s="12"/>
      <c r="H295" s="12"/>
      <c r="I295" s="12"/>
      <c r="J295" s="12"/>
      <c r="K295" s="12"/>
      <c r="L295" s="12"/>
      <c r="M295" s="11"/>
      <c r="N295" s="11"/>
      <c r="O295" s="11"/>
      <c r="P295" s="10"/>
      <c r="Q295" s="7" t="s">
        <v>2</v>
      </c>
      <c r="R295" s="7" t="s">
        <v>1</v>
      </c>
    </row>
    <row r="296" spans="1:18" x14ac:dyDescent="0.25">
      <c r="A296" s="56"/>
      <c r="B296" s="4" t="s">
        <v>435</v>
      </c>
      <c r="C296" s="5">
        <v>50</v>
      </c>
      <c r="D296" s="4">
        <v>20</v>
      </c>
      <c r="E296" s="3">
        <v>23</v>
      </c>
      <c r="F296" s="3">
        <f>1.8*E296+32</f>
        <v>73.400000000000006</v>
      </c>
      <c r="G296" s="3">
        <v>13</v>
      </c>
      <c r="H296" s="3">
        <f>IF(F296&gt;68,G296+(F296-68)*0.2,U515-(68-F296)*0.2)</f>
        <v>14.080000000000002</v>
      </c>
      <c r="I296" s="3">
        <v>24</v>
      </c>
      <c r="J296" s="3">
        <f>1.8*I296+32</f>
        <v>75.2</v>
      </c>
      <c r="K296" s="3">
        <v>7</v>
      </c>
      <c r="L296" s="3">
        <f>IF(J296&gt;68,K296+(J296-68)*0.2,K296-(68-J296)*0.2)</f>
        <v>8.4400000000000013</v>
      </c>
      <c r="M296" s="3">
        <f>(C296-H296)/C296*100</f>
        <v>71.84</v>
      </c>
      <c r="N296" s="3">
        <f>100-(M296+O296)</f>
        <v>11.280000000000001</v>
      </c>
      <c r="O296" s="3">
        <f>L296/C296*100</f>
        <v>16.880000000000003</v>
      </c>
      <c r="P296" s="2" t="s">
        <v>429</v>
      </c>
      <c r="Q296" s="37" t="s">
        <v>456</v>
      </c>
      <c r="R296" s="37" t="s">
        <v>455</v>
      </c>
    </row>
    <row r="297" spans="1:18" x14ac:dyDescent="0.25">
      <c r="A297" s="15" t="s">
        <v>434</v>
      </c>
      <c r="B297" s="4" t="s">
        <v>433</v>
      </c>
      <c r="C297" s="5">
        <v>50</v>
      </c>
      <c r="D297" s="4">
        <v>20</v>
      </c>
      <c r="E297" s="3">
        <v>23</v>
      </c>
      <c r="F297" s="3">
        <f>1.8*E297+32</f>
        <v>73.400000000000006</v>
      </c>
      <c r="G297" s="3">
        <v>15</v>
      </c>
      <c r="H297" s="3">
        <f>IF(F297&gt;68,G297+(F297-68)*0.2,U516-(68-F297)*0.2)</f>
        <v>16.080000000000002</v>
      </c>
      <c r="I297" s="3">
        <v>24</v>
      </c>
      <c r="J297" s="3">
        <f>1.8*I297+32</f>
        <v>75.2</v>
      </c>
      <c r="K297" s="3">
        <v>7</v>
      </c>
      <c r="L297" s="3">
        <f>IF(J297&gt;68,K297+(J297-68)*0.2,K297-(68-J297)*0.2)</f>
        <v>8.4400000000000013</v>
      </c>
      <c r="M297" s="3">
        <f>(C297-H297)/C297*100</f>
        <v>67.84</v>
      </c>
      <c r="N297" s="3">
        <f>100-(M297+O297)</f>
        <v>15.280000000000001</v>
      </c>
      <c r="O297" s="3">
        <f>L297/C297*100</f>
        <v>16.880000000000003</v>
      </c>
      <c r="P297" s="2" t="s">
        <v>429</v>
      </c>
      <c r="Q297" s="37" t="s">
        <v>456</v>
      </c>
      <c r="R297" s="37" t="s">
        <v>455</v>
      </c>
    </row>
    <row r="298" spans="1:18" x14ac:dyDescent="0.25">
      <c r="A298" s="55">
        <v>40212</v>
      </c>
      <c r="B298" s="4" t="s">
        <v>432</v>
      </c>
      <c r="C298" s="5">
        <v>50</v>
      </c>
      <c r="D298" s="4">
        <v>20</v>
      </c>
      <c r="E298" s="3">
        <v>23</v>
      </c>
      <c r="F298" s="3">
        <f>1.8*E298+32</f>
        <v>73.400000000000006</v>
      </c>
      <c r="G298" s="3">
        <v>16</v>
      </c>
      <c r="H298" s="3">
        <f>IF(F298&gt;68,G298+(F298-68)*0.2,U517-(68-F298)*0.2)</f>
        <v>17.080000000000002</v>
      </c>
      <c r="I298" s="3">
        <v>24</v>
      </c>
      <c r="J298" s="3">
        <f>1.8*I298+32</f>
        <v>75.2</v>
      </c>
      <c r="K298" s="3">
        <v>6</v>
      </c>
      <c r="L298" s="3">
        <f>IF(J298&gt;68,K298+(J298-68)*0.2,K298-(68-J298)*0.2)</f>
        <v>7.44</v>
      </c>
      <c r="M298" s="3">
        <f>(C298-H298)/C298*100</f>
        <v>65.84</v>
      </c>
      <c r="N298" s="3">
        <f>100-(M298+O298)</f>
        <v>19.28</v>
      </c>
      <c r="O298" s="3">
        <f>L298/C298*100</f>
        <v>14.88</v>
      </c>
      <c r="P298" s="2" t="s">
        <v>429</v>
      </c>
      <c r="Q298" s="37" t="s">
        <v>456</v>
      </c>
      <c r="R298" s="37" t="s">
        <v>455</v>
      </c>
    </row>
    <row r="299" spans="1:18" x14ac:dyDescent="0.25">
      <c r="A299" s="54"/>
      <c r="B299" s="4" t="s">
        <v>431</v>
      </c>
      <c r="C299" s="5">
        <v>50</v>
      </c>
      <c r="D299" s="4">
        <v>20</v>
      </c>
      <c r="E299" s="3">
        <v>23</v>
      </c>
      <c r="F299" s="3">
        <f>1.8*E299+32</f>
        <v>73.400000000000006</v>
      </c>
      <c r="G299" s="3">
        <v>21</v>
      </c>
      <c r="H299" s="3">
        <f>IF(F299&gt;68,G299+(F299-68)*0.2,U518-(68-F299)*0.2)</f>
        <v>22.080000000000002</v>
      </c>
      <c r="I299" s="3">
        <v>24</v>
      </c>
      <c r="J299" s="3">
        <f>1.8*I299+32</f>
        <v>75.2</v>
      </c>
      <c r="K299" s="3">
        <v>13</v>
      </c>
      <c r="L299" s="3">
        <f>IF(J299&gt;68,K299+(J299-68)*0.2,K299-(68-J299)*0.2)</f>
        <v>14.440000000000001</v>
      </c>
      <c r="M299" s="3">
        <f>(C299-H299)/C299*100</f>
        <v>55.84</v>
      </c>
      <c r="N299" s="3">
        <f>100-(M299+O299)</f>
        <v>15.280000000000001</v>
      </c>
      <c r="O299" s="3">
        <f>L299/C299*100</f>
        <v>28.88</v>
      </c>
      <c r="P299" s="2" t="s">
        <v>427</v>
      </c>
      <c r="Q299" s="37" t="s">
        <v>456</v>
      </c>
      <c r="R299" s="37" t="s">
        <v>455</v>
      </c>
    </row>
    <row r="300" spans="1:18" x14ac:dyDescent="0.25">
      <c r="A300" s="6"/>
      <c r="B300" s="4" t="s">
        <v>430</v>
      </c>
      <c r="C300" s="5">
        <v>50</v>
      </c>
      <c r="D300" s="4">
        <v>20</v>
      </c>
      <c r="E300" s="3">
        <v>23</v>
      </c>
      <c r="F300" s="3">
        <f>1.8*E300+32</f>
        <v>73.400000000000006</v>
      </c>
      <c r="G300" s="3">
        <v>15</v>
      </c>
      <c r="H300" s="3">
        <f>IF(F300&gt;68,G300+(F300-68)*0.2,U519-(68-F300)*0.2)</f>
        <v>16.080000000000002</v>
      </c>
      <c r="I300" s="3">
        <v>23</v>
      </c>
      <c r="J300" s="3">
        <f>1.8*I300+32</f>
        <v>73.400000000000006</v>
      </c>
      <c r="K300" s="3">
        <v>9</v>
      </c>
      <c r="L300" s="3">
        <f>IF(J300&gt;68,K300+(J300-68)*0.2,K300-(68-J300)*0.2)</f>
        <v>10.080000000000002</v>
      </c>
      <c r="M300" s="3">
        <f>(C300-H300)/C300*100</f>
        <v>67.84</v>
      </c>
      <c r="N300" s="3">
        <f>100-(M300+O300)</f>
        <v>12</v>
      </c>
      <c r="O300" s="3">
        <f>L300/C300*100</f>
        <v>20.160000000000004</v>
      </c>
      <c r="P300" s="2" t="s">
        <v>427</v>
      </c>
      <c r="Q300" s="37" t="s">
        <v>456</v>
      </c>
      <c r="R300" s="37" t="s">
        <v>455</v>
      </c>
    </row>
    <row r="301" spans="1:18" x14ac:dyDescent="0.25">
      <c r="A301" s="6"/>
      <c r="B301" s="4" t="s">
        <v>428</v>
      </c>
      <c r="C301" s="5">
        <v>50</v>
      </c>
      <c r="D301" s="4">
        <v>20</v>
      </c>
      <c r="E301" s="3">
        <v>23</v>
      </c>
      <c r="F301" s="3">
        <f>1.8*E301+32</f>
        <v>73.400000000000006</v>
      </c>
      <c r="G301" s="3">
        <v>12</v>
      </c>
      <c r="H301" s="3">
        <f>IF(F301&gt;68,G301+(F301-68)*0.2,U520-(68-F301)*0.2)</f>
        <v>13.080000000000002</v>
      </c>
      <c r="I301" s="3">
        <v>23</v>
      </c>
      <c r="J301" s="3">
        <f>1.8*I301+32</f>
        <v>73.400000000000006</v>
      </c>
      <c r="K301" s="3">
        <v>7</v>
      </c>
      <c r="L301" s="3">
        <f>IF(J301&gt;68,K301+(J301-68)*0.2,K301-(68-J301)*0.2)</f>
        <v>8.0800000000000018</v>
      </c>
      <c r="M301" s="3">
        <f>(C301-H301)/C301*100</f>
        <v>73.84</v>
      </c>
      <c r="N301" s="3">
        <f>100-(M301+O301)</f>
        <v>10</v>
      </c>
      <c r="O301" s="3">
        <f>L301/C301*100</f>
        <v>16.160000000000004</v>
      </c>
      <c r="P301" s="2" t="s">
        <v>429</v>
      </c>
      <c r="Q301" s="37" t="s">
        <v>456</v>
      </c>
      <c r="R301" s="37" t="s">
        <v>455</v>
      </c>
    </row>
    <row r="302" spans="1:18" x14ac:dyDescent="0.25">
      <c r="A302" s="30"/>
      <c r="B302" s="25"/>
      <c r="C302" s="29"/>
      <c r="D302" s="28"/>
      <c r="E302" s="27"/>
      <c r="F302" s="27"/>
      <c r="G302" s="27"/>
      <c r="H302" s="27"/>
      <c r="I302" s="27"/>
      <c r="J302" s="27"/>
      <c r="K302" s="27"/>
      <c r="L302" s="27"/>
      <c r="M302" s="26"/>
      <c r="N302" s="26"/>
      <c r="O302" s="26"/>
      <c r="P302" s="25"/>
    </row>
    <row r="303" spans="1:18" ht="51.75" x14ac:dyDescent="0.25">
      <c r="A303" s="15" t="s">
        <v>19</v>
      </c>
      <c r="B303" s="10" t="s">
        <v>443</v>
      </c>
      <c r="C303" s="14" t="s">
        <v>17</v>
      </c>
      <c r="D303" s="13" t="s">
        <v>16</v>
      </c>
      <c r="E303" s="12" t="s">
        <v>15</v>
      </c>
      <c r="F303" s="12" t="s">
        <v>14</v>
      </c>
      <c r="G303" s="12" t="s">
        <v>442</v>
      </c>
      <c r="H303" s="12" t="s">
        <v>441</v>
      </c>
      <c r="I303" s="12" t="s">
        <v>440</v>
      </c>
      <c r="J303" s="12" t="s">
        <v>439</v>
      </c>
      <c r="K303" s="12" t="s">
        <v>438</v>
      </c>
      <c r="L303" s="12" t="s">
        <v>437</v>
      </c>
      <c r="M303" s="11" t="s">
        <v>7</v>
      </c>
      <c r="N303" s="11" t="s">
        <v>6</v>
      </c>
      <c r="O303" s="11" t="s">
        <v>5</v>
      </c>
      <c r="P303" s="10" t="s">
        <v>4</v>
      </c>
      <c r="Q303" s="17" t="s">
        <v>3</v>
      </c>
      <c r="R303" s="17"/>
    </row>
    <row r="304" spans="1:18" x14ac:dyDescent="0.25">
      <c r="A304" s="56">
        <v>43</v>
      </c>
      <c r="B304" s="10"/>
      <c r="C304" s="14"/>
      <c r="D304" s="13" t="s">
        <v>436</v>
      </c>
      <c r="E304" s="12"/>
      <c r="F304" s="12"/>
      <c r="G304" s="12"/>
      <c r="H304" s="12"/>
      <c r="I304" s="12"/>
      <c r="J304" s="12"/>
      <c r="K304" s="12"/>
      <c r="L304" s="12"/>
      <c r="M304" s="11"/>
      <c r="N304" s="11"/>
      <c r="O304" s="11"/>
      <c r="P304" s="10"/>
      <c r="Q304" s="7" t="s">
        <v>2</v>
      </c>
      <c r="R304" s="7" t="s">
        <v>1</v>
      </c>
    </row>
    <row r="305" spans="1:18" x14ac:dyDescent="0.25">
      <c r="A305" s="56"/>
      <c r="B305" s="4" t="s">
        <v>435</v>
      </c>
      <c r="C305" s="5">
        <v>50</v>
      </c>
      <c r="D305" s="4">
        <v>20</v>
      </c>
      <c r="E305" s="3">
        <v>23</v>
      </c>
      <c r="F305" s="3">
        <f>1.8*E305+32</f>
        <v>73.400000000000006</v>
      </c>
      <c r="G305" s="3">
        <v>15</v>
      </c>
      <c r="H305" s="3">
        <f>IF(F305&gt;68,G305+(F305-68)*0.2,U525-(68-F305)*0.2)</f>
        <v>16.080000000000002</v>
      </c>
      <c r="I305" s="3">
        <v>23</v>
      </c>
      <c r="J305" s="3">
        <f>1.8*I305+32</f>
        <v>73.400000000000006</v>
      </c>
      <c r="K305" s="3">
        <v>8</v>
      </c>
      <c r="L305" s="3">
        <f>IF(J305&gt;68,K305+(J305-68)*0.2,K305-(68-J305)*0.2)</f>
        <v>9.0800000000000018</v>
      </c>
      <c r="M305" s="3">
        <f>(C305-H305)/C305*100</f>
        <v>67.84</v>
      </c>
      <c r="N305" s="3">
        <f>100-(M305+O305)</f>
        <v>14</v>
      </c>
      <c r="O305" s="3">
        <f>L305/C305*100</f>
        <v>18.160000000000004</v>
      </c>
      <c r="P305" s="2" t="s">
        <v>429</v>
      </c>
      <c r="Q305" s="37" t="s">
        <v>454</v>
      </c>
      <c r="R305" s="1">
        <v>3659260.9715649998</v>
      </c>
    </row>
    <row r="306" spans="1:18" x14ac:dyDescent="0.25">
      <c r="A306" s="15" t="s">
        <v>434</v>
      </c>
      <c r="B306" s="4" t="s">
        <v>433</v>
      </c>
      <c r="C306" s="5">
        <v>50</v>
      </c>
      <c r="D306" s="4">
        <v>20</v>
      </c>
      <c r="E306" s="3">
        <v>23</v>
      </c>
      <c r="F306" s="3">
        <f>1.8*E306+32</f>
        <v>73.400000000000006</v>
      </c>
      <c r="G306" s="3">
        <v>15</v>
      </c>
      <c r="H306" s="3">
        <f>IF(F306&gt;68,G306+(F306-68)*0.2,U526-(68-F306)*0.2)</f>
        <v>16.080000000000002</v>
      </c>
      <c r="I306" s="3">
        <v>23</v>
      </c>
      <c r="J306" s="3">
        <f>1.8*I306+32</f>
        <v>73.400000000000006</v>
      </c>
      <c r="K306" s="3">
        <v>9</v>
      </c>
      <c r="L306" s="3">
        <f>IF(J306&gt;68,K306+(J306-68)*0.2,K306-(68-J306)*0.2)</f>
        <v>10.080000000000002</v>
      </c>
      <c r="M306" s="3">
        <f>(C306-H306)/C306*100</f>
        <v>67.84</v>
      </c>
      <c r="N306" s="3">
        <f>100-(M306+O306)</f>
        <v>12</v>
      </c>
      <c r="O306" s="3">
        <f>L306/C306*100</f>
        <v>20.160000000000004</v>
      </c>
      <c r="P306" s="2" t="s">
        <v>427</v>
      </c>
      <c r="Q306" s="37" t="s">
        <v>454</v>
      </c>
      <c r="R306" s="1">
        <v>3659260.9715649998</v>
      </c>
    </row>
    <row r="307" spans="1:18" x14ac:dyDescent="0.25">
      <c r="A307" s="55">
        <v>40212</v>
      </c>
      <c r="B307" s="4" t="s">
        <v>432</v>
      </c>
      <c r="C307" s="5">
        <v>50</v>
      </c>
      <c r="D307" s="4">
        <v>20</v>
      </c>
      <c r="E307" s="3">
        <v>23</v>
      </c>
      <c r="F307" s="3">
        <f>1.8*E307+32</f>
        <v>73.400000000000006</v>
      </c>
      <c r="G307" s="3">
        <v>16</v>
      </c>
      <c r="H307" s="3">
        <f>IF(F307&gt;68,G307+(F307-68)*0.2,U527-(68-F307)*0.2)</f>
        <v>17.080000000000002</v>
      </c>
      <c r="I307" s="3">
        <v>24</v>
      </c>
      <c r="J307" s="3">
        <f>1.8*I307+32</f>
        <v>75.2</v>
      </c>
      <c r="K307" s="3">
        <v>9</v>
      </c>
      <c r="L307" s="3">
        <f>IF(J307&gt;68,K307+(J307-68)*0.2,K307-(68-J307)*0.2)</f>
        <v>10.440000000000001</v>
      </c>
      <c r="M307" s="3">
        <f>(C307-H307)/C307*100</f>
        <v>65.84</v>
      </c>
      <c r="N307" s="3">
        <f>100-(M307+O307)</f>
        <v>13.280000000000001</v>
      </c>
      <c r="O307" s="3">
        <f>L307/C307*100</f>
        <v>20.880000000000003</v>
      </c>
      <c r="P307" s="2" t="s">
        <v>427</v>
      </c>
      <c r="Q307" s="37" t="s">
        <v>454</v>
      </c>
      <c r="R307" s="1">
        <v>3659260.9715649998</v>
      </c>
    </row>
    <row r="308" spans="1:18" x14ac:dyDescent="0.25">
      <c r="A308" s="54"/>
      <c r="B308" s="4" t="s">
        <v>431</v>
      </c>
      <c r="C308" s="5">
        <v>50</v>
      </c>
      <c r="D308" s="4">
        <v>20</v>
      </c>
      <c r="E308" s="3">
        <v>23</v>
      </c>
      <c r="F308" s="3">
        <f>1.8*E308+32</f>
        <v>73.400000000000006</v>
      </c>
      <c r="G308" s="3">
        <v>12</v>
      </c>
      <c r="H308" s="3">
        <f>IF(F308&gt;68,G308+(F308-68)*0.2,U528-(68-F308)*0.2)</f>
        <v>13.080000000000002</v>
      </c>
      <c r="I308" s="3">
        <v>24</v>
      </c>
      <c r="J308" s="3">
        <f>1.8*I308+32</f>
        <v>75.2</v>
      </c>
      <c r="K308" s="3">
        <v>6</v>
      </c>
      <c r="L308" s="3">
        <f>IF(J308&gt;68,K308+(J308-68)*0.2,K308-(68-J308)*0.2)</f>
        <v>7.44</v>
      </c>
      <c r="M308" s="3">
        <f>(C308-H308)/C308*100</f>
        <v>73.84</v>
      </c>
      <c r="N308" s="3">
        <f>100-(M308+O308)</f>
        <v>11.280000000000001</v>
      </c>
      <c r="O308" s="3">
        <f>L308/C308*100</f>
        <v>14.88</v>
      </c>
      <c r="P308" s="2" t="s">
        <v>429</v>
      </c>
      <c r="Q308" s="37" t="s">
        <v>454</v>
      </c>
      <c r="R308" s="1">
        <v>3659260.9715649998</v>
      </c>
    </row>
    <row r="309" spans="1:18" x14ac:dyDescent="0.25">
      <c r="A309" s="6"/>
      <c r="B309" s="4" t="s">
        <v>430</v>
      </c>
      <c r="C309" s="5">
        <v>50</v>
      </c>
      <c r="D309" s="4">
        <v>20</v>
      </c>
      <c r="E309" s="3">
        <v>23</v>
      </c>
      <c r="F309" s="3">
        <f>1.8*E309+32</f>
        <v>73.400000000000006</v>
      </c>
      <c r="G309" s="3">
        <v>12</v>
      </c>
      <c r="H309" s="3">
        <f>IF(F309&gt;68,G309+(F309-68)*0.2,U529-(68-F309)*0.2)</f>
        <v>13.080000000000002</v>
      </c>
      <c r="I309" s="3">
        <v>24</v>
      </c>
      <c r="J309" s="3">
        <f>1.8*I309+32</f>
        <v>75.2</v>
      </c>
      <c r="K309" s="3">
        <v>8</v>
      </c>
      <c r="L309" s="3">
        <f>IF(J309&gt;68,K309+(J309-68)*0.2,K309-(68-J309)*0.2)</f>
        <v>9.4400000000000013</v>
      </c>
      <c r="M309" s="3">
        <f>(C309-H309)/C309*100</f>
        <v>73.84</v>
      </c>
      <c r="N309" s="3">
        <f>100-(M309+O309)</f>
        <v>7.2800000000000011</v>
      </c>
      <c r="O309" s="3">
        <f>L309/C309*100</f>
        <v>18.880000000000003</v>
      </c>
      <c r="P309" s="2" t="s">
        <v>429</v>
      </c>
      <c r="Q309" s="37" t="s">
        <v>454</v>
      </c>
      <c r="R309" s="1">
        <v>3659260.9715649998</v>
      </c>
    </row>
    <row r="310" spans="1:18" x14ac:dyDescent="0.25">
      <c r="A310" s="6"/>
      <c r="B310" s="4" t="s">
        <v>428</v>
      </c>
      <c r="C310" s="5">
        <v>50</v>
      </c>
      <c r="D310" s="4">
        <v>20</v>
      </c>
      <c r="E310" s="3">
        <v>23</v>
      </c>
      <c r="F310" s="3">
        <f>1.8*E310+32</f>
        <v>73.400000000000006</v>
      </c>
      <c r="G310" s="3">
        <v>14</v>
      </c>
      <c r="H310" s="3">
        <f>IF(F310&gt;68,G310+(F310-68)*0.2,U530-(68-F310)*0.2)</f>
        <v>15.080000000000002</v>
      </c>
      <c r="I310" s="3">
        <v>24</v>
      </c>
      <c r="J310" s="3">
        <f>1.8*I310+32</f>
        <v>75.2</v>
      </c>
      <c r="K310" s="3">
        <v>8</v>
      </c>
      <c r="L310" s="3">
        <f>IF(J310&gt;68,K310+(J310-68)*0.2,K310-(68-J310)*0.2)</f>
        <v>9.4400000000000013</v>
      </c>
      <c r="M310" s="3">
        <f>(C310-H310)/C310*100</f>
        <v>69.84</v>
      </c>
      <c r="N310" s="3">
        <f>100-(M310+O310)</f>
        <v>11.280000000000001</v>
      </c>
      <c r="O310" s="3">
        <f>L310/C310*100</f>
        <v>18.880000000000003</v>
      </c>
      <c r="P310" s="2" t="s">
        <v>429</v>
      </c>
      <c r="Q310" s="37" t="s">
        <v>454</v>
      </c>
      <c r="R310" s="1">
        <v>3659260.9715649998</v>
      </c>
    </row>
    <row r="311" spans="1:18" x14ac:dyDescent="0.25">
      <c r="A311" s="36"/>
    </row>
    <row r="312" spans="1:18" ht="51.75" x14ac:dyDescent="0.25">
      <c r="A312" s="15" t="s">
        <v>19</v>
      </c>
      <c r="B312" s="10" t="s">
        <v>443</v>
      </c>
      <c r="C312" s="14" t="s">
        <v>17</v>
      </c>
      <c r="D312" s="13" t="s">
        <v>16</v>
      </c>
      <c r="E312" s="12" t="s">
        <v>15</v>
      </c>
      <c r="F312" s="12" t="s">
        <v>14</v>
      </c>
      <c r="G312" s="12" t="s">
        <v>442</v>
      </c>
      <c r="H312" s="12" t="s">
        <v>441</v>
      </c>
      <c r="I312" s="12" t="s">
        <v>440</v>
      </c>
      <c r="J312" s="12" t="s">
        <v>439</v>
      </c>
      <c r="K312" s="12" t="s">
        <v>438</v>
      </c>
      <c r="L312" s="12" t="s">
        <v>437</v>
      </c>
      <c r="M312" s="11" t="s">
        <v>7</v>
      </c>
      <c r="N312" s="11" t="s">
        <v>6</v>
      </c>
      <c r="O312" s="11" t="s">
        <v>5</v>
      </c>
      <c r="P312" s="10" t="s">
        <v>4</v>
      </c>
      <c r="Q312" s="17" t="s">
        <v>3</v>
      </c>
      <c r="R312" s="17"/>
    </row>
    <row r="313" spans="1:18" x14ac:dyDescent="0.25">
      <c r="A313" s="56">
        <v>44</v>
      </c>
      <c r="B313" s="10"/>
      <c r="C313" s="14"/>
      <c r="D313" s="13" t="s">
        <v>436</v>
      </c>
      <c r="E313" s="12"/>
      <c r="F313" s="12"/>
      <c r="G313" s="12"/>
      <c r="H313" s="12"/>
      <c r="I313" s="12"/>
      <c r="J313" s="12"/>
      <c r="K313" s="12"/>
      <c r="L313" s="12"/>
      <c r="M313" s="11"/>
      <c r="N313" s="11"/>
      <c r="O313" s="11"/>
      <c r="P313" s="10"/>
      <c r="Q313" s="7" t="s">
        <v>2</v>
      </c>
      <c r="R313" s="7" t="s">
        <v>1</v>
      </c>
    </row>
    <row r="314" spans="1:18" x14ac:dyDescent="0.25">
      <c r="A314" s="56"/>
      <c r="B314" s="4" t="s">
        <v>435</v>
      </c>
      <c r="C314" s="5">
        <v>50</v>
      </c>
      <c r="D314" s="4">
        <v>20</v>
      </c>
      <c r="E314" s="3">
        <v>23</v>
      </c>
      <c r="F314" s="3">
        <f>1.8*E314+32</f>
        <v>73.400000000000006</v>
      </c>
      <c r="G314" s="3">
        <v>12</v>
      </c>
      <c r="H314" s="3">
        <f>IF(F314&gt;68,G314+(F314-68)*0.2,U534-(68-F314)*0.2)</f>
        <v>13.080000000000002</v>
      </c>
      <c r="I314" s="3">
        <v>23</v>
      </c>
      <c r="J314" s="3">
        <f>1.8*I314+32</f>
        <v>73.400000000000006</v>
      </c>
      <c r="K314" s="3">
        <v>6</v>
      </c>
      <c r="L314" s="3">
        <f>IF(J314&gt;68,K314+(J314-68)*0.2,K314-(68-J314)*0.2)</f>
        <v>7.080000000000001</v>
      </c>
      <c r="M314" s="3">
        <f>(C314-H314)/C314*100</f>
        <v>73.84</v>
      </c>
      <c r="N314" s="3">
        <f>100-(M314+O314)</f>
        <v>12</v>
      </c>
      <c r="O314" s="3">
        <f>L314/C314*100</f>
        <v>14.160000000000004</v>
      </c>
      <c r="P314" s="2" t="s">
        <v>429</v>
      </c>
      <c r="Q314" s="37" t="s">
        <v>452</v>
      </c>
      <c r="R314" s="37" t="s">
        <v>451</v>
      </c>
    </row>
    <row r="315" spans="1:18" x14ac:dyDescent="0.25">
      <c r="A315" s="15" t="s">
        <v>434</v>
      </c>
      <c r="B315" s="4" t="s">
        <v>433</v>
      </c>
      <c r="C315" s="5">
        <v>50</v>
      </c>
      <c r="D315" s="4">
        <v>20</v>
      </c>
      <c r="E315" s="3">
        <v>23</v>
      </c>
      <c r="F315" s="3">
        <f>1.8*E315+32</f>
        <v>73.400000000000006</v>
      </c>
      <c r="G315" s="3">
        <v>16</v>
      </c>
      <c r="H315" s="3">
        <f>IF(F315&gt;68,G315+(F315-68)*0.2,U535-(68-F315)*0.2)</f>
        <v>17.080000000000002</v>
      </c>
      <c r="I315" s="3">
        <v>23</v>
      </c>
      <c r="J315" s="3">
        <f>1.8*I315+32</f>
        <v>73.400000000000006</v>
      </c>
      <c r="K315" s="3">
        <v>7</v>
      </c>
      <c r="L315" s="3">
        <f>IF(J315&gt;68,K315+(J315-68)*0.2,K315-(68-J315)*0.2)</f>
        <v>8.0800000000000018</v>
      </c>
      <c r="M315" s="3">
        <f>(C315-H315)/C315*100</f>
        <v>65.84</v>
      </c>
      <c r="N315" s="3">
        <f>100-(M315+O315)</f>
        <v>18</v>
      </c>
      <c r="O315" s="3">
        <f>L315/C315*100</f>
        <v>16.160000000000004</v>
      </c>
      <c r="P315" s="2" t="s">
        <v>429</v>
      </c>
      <c r="Q315" s="37" t="s">
        <v>452</v>
      </c>
      <c r="R315" s="37" t="s">
        <v>451</v>
      </c>
    </row>
    <row r="316" spans="1:18" x14ac:dyDescent="0.25">
      <c r="A316" s="55">
        <v>40212</v>
      </c>
      <c r="B316" s="4" t="s">
        <v>432</v>
      </c>
      <c r="C316" s="5">
        <v>50</v>
      </c>
      <c r="D316" s="4">
        <v>20</v>
      </c>
      <c r="E316" s="3">
        <v>23</v>
      </c>
      <c r="F316" s="3">
        <f>1.8*E316+32</f>
        <v>73.400000000000006</v>
      </c>
      <c r="G316" s="3">
        <v>20</v>
      </c>
      <c r="H316" s="3">
        <f>IF(F316&gt;68,G316+(F316-68)*0.2,U536-(68-F316)*0.2)</f>
        <v>21.080000000000002</v>
      </c>
      <c r="I316" s="3">
        <v>23</v>
      </c>
      <c r="J316" s="3">
        <f>1.8*I316+32</f>
        <v>73.400000000000006</v>
      </c>
      <c r="K316" s="3">
        <v>9</v>
      </c>
      <c r="L316" s="3">
        <f>IF(J316&gt;68,K316+(J316-68)*0.2,K316-(68-J316)*0.2)</f>
        <v>10.080000000000002</v>
      </c>
      <c r="M316" s="3">
        <f>(C316-H316)/C316*100</f>
        <v>57.839999999999989</v>
      </c>
      <c r="N316" s="3">
        <f>100-(M316+O316)</f>
        <v>22</v>
      </c>
      <c r="O316" s="3">
        <f>L316/C316*100</f>
        <v>20.160000000000004</v>
      </c>
      <c r="P316" s="2" t="s">
        <v>453</v>
      </c>
      <c r="Q316" s="37" t="s">
        <v>452</v>
      </c>
      <c r="R316" s="37" t="s">
        <v>451</v>
      </c>
    </row>
    <row r="317" spans="1:18" x14ac:dyDescent="0.25">
      <c r="A317" s="54"/>
      <c r="B317" s="4" t="s">
        <v>431</v>
      </c>
      <c r="C317" s="5">
        <v>50</v>
      </c>
      <c r="D317" s="4">
        <v>20</v>
      </c>
      <c r="E317" s="3">
        <v>23</v>
      </c>
      <c r="F317" s="3">
        <f>1.8*E317+32</f>
        <v>73.400000000000006</v>
      </c>
      <c r="G317" s="3">
        <v>19</v>
      </c>
      <c r="H317" s="3">
        <f>IF(F317&gt;68,G317+(F317-68)*0.2,U537-(68-F317)*0.2)</f>
        <v>20.080000000000002</v>
      </c>
      <c r="I317" s="3">
        <v>23</v>
      </c>
      <c r="J317" s="3">
        <f>1.8*I317+32</f>
        <v>73.400000000000006</v>
      </c>
      <c r="K317" s="3">
        <v>11</v>
      </c>
      <c r="L317" s="3">
        <f>IF(J317&gt;68,K317+(J317-68)*0.2,K317-(68-J317)*0.2)</f>
        <v>12.080000000000002</v>
      </c>
      <c r="M317" s="3">
        <f>(C317-H317)/C317*100</f>
        <v>59.839999999999996</v>
      </c>
      <c r="N317" s="3">
        <f>100-(M317+O317)</f>
        <v>16</v>
      </c>
      <c r="O317" s="3">
        <f>L317/C317*100</f>
        <v>24.160000000000004</v>
      </c>
      <c r="P317" s="2" t="s">
        <v>453</v>
      </c>
      <c r="Q317" s="37" t="s">
        <v>452</v>
      </c>
      <c r="R317" s="37" t="s">
        <v>451</v>
      </c>
    </row>
    <row r="318" spans="1:18" x14ac:dyDescent="0.25">
      <c r="A318" s="6"/>
      <c r="B318" s="4" t="s">
        <v>430</v>
      </c>
      <c r="C318" s="5">
        <v>50</v>
      </c>
      <c r="D318" s="4">
        <v>20</v>
      </c>
      <c r="E318" s="3">
        <v>24</v>
      </c>
      <c r="F318" s="3">
        <f>1.8*E318+32</f>
        <v>75.2</v>
      </c>
      <c r="G318" s="3">
        <v>13</v>
      </c>
      <c r="H318" s="3">
        <f>IF(F318&gt;68,G318+(F318-68)*0.2,U538-(68-F318)*0.2)</f>
        <v>14.440000000000001</v>
      </c>
      <c r="I318" s="3">
        <v>23</v>
      </c>
      <c r="J318" s="3">
        <f>1.8*I318+32</f>
        <v>73.400000000000006</v>
      </c>
      <c r="K318" s="3">
        <v>6</v>
      </c>
      <c r="L318" s="3">
        <f>IF(J318&gt;68,K318+(J318-68)*0.2,K318-(68-J318)*0.2)</f>
        <v>7.080000000000001</v>
      </c>
      <c r="M318" s="3">
        <f>(C318-H318)/C318*100</f>
        <v>71.12</v>
      </c>
      <c r="N318" s="3">
        <f>100-(M318+O318)</f>
        <v>14.719999999999999</v>
      </c>
      <c r="O318" s="3">
        <f>L318/C318*100</f>
        <v>14.160000000000004</v>
      </c>
      <c r="P318" s="2" t="s">
        <v>429</v>
      </c>
      <c r="Q318" s="37" t="s">
        <v>452</v>
      </c>
      <c r="R318" s="37" t="s">
        <v>451</v>
      </c>
    </row>
    <row r="319" spans="1:18" x14ac:dyDescent="0.25">
      <c r="A319" s="6"/>
      <c r="B319" s="4" t="s">
        <v>428</v>
      </c>
      <c r="C319" s="5">
        <v>50</v>
      </c>
      <c r="D319" s="4">
        <v>20</v>
      </c>
      <c r="E319" s="3">
        <v>24</v>
      </c>
      <c r="F319" s="3">
        <f>1.8*E319+32</f>
        <v>75.2</v>
      </c>
      <c r="G319" s="3">
        <v>15</v>
      </c>
      <c r="H319" s="3">
        <f>IF(F319&gt;68,G319+(F319-68)*0.2,U539-(68-F319)*0.2)</f>
        <v>16.440000000000001</v>
      </c>
      <c r="I319" s="3">
        <v>23</v>
      </c>
      <c r="J319" s="3">
        <f>1.8*I319+32</f>
        <v>73.400000000000006</v>
      </c>
      <c r="K319" s="3">
        <v>8</v>
      </c>
      <c r="L319" s="3">
        <f>IF(J319&gt;68,K319+(J319-68)*0.2,K319-(68-J319)*0.2)</f>
        <v>9.0800000000000018</v>
      </c>
      <c r="M319" s="3">
        <f>(C319-H319)/C319*100</f>
        <v>67.12</v>
      </c>
      <c r="N319" s="3">
        <f>100-(M319+O319)</f>
        <v>14.719999999999999</v>
      </c>
      <c r="O319" s="3">
        <f>L319/C319*100</f>
        <v>18.160000000000004</v>
      </c>
      <c r="P319" s="2" t="s">
        <v>429</v>
      </c>
      <c r="Q319" s="37" t="s">
        <v>452</v>
      </c>
      <c r="R319" s="37" t="s">
        <v>451</v>
      </c>
    </row>
    <row r="320" spans="1:18" x14ac:dyDescent="0.25">
      <c r="A320" s="36"/>
    </row>
    <row r="321" spans="1:18" ht="51.75" x14ac:dyDescent="0.25">
      <c r="A321" s="15" t="s">
        <v>19</v>
      </c>
      <c r="B321" s="10" t="s">
        <v>443</v>
      </c>
      <c r="C321" s="14" t="s">
        <v>17</v>
      </c>
      <c r="D321" s="13" t="s">
        <v>16</v>
      </c>
      <c r="E321" s="12" t="s">
        <v>15</v>
      </c>
      <c r="F321" s="12" t="s">
        <v>14</v>
      </c>
      <c r="G321" s="12" t="s">
        <v>442</v>
      </c>
      <c r="H321" s="12" t="s">
        <v>441</v>
      </c>
      <c r="I321" s="12" t="s">
        <v>440</v>
      </c>
      <c r="J321" s="12" t="s">
        <v>439</v>
      </c>
      <c r="K321" s="12" t="s">
        <v>438</v>
      </c>
      <c r="L321" s="12" t="s">
        <v>437</v>
      </c>
      <c r="M321" s="11" t="s">
        <v>7</v>
      </c>
      <c r="N321" s="11" t="s">
        <v>6</v>
      </c>
      <c r="O321" s="11" t="s">
        <v>5</v>
      </c>
      <c r="P321" s="10" t="s">
        <v>4</v>
      </c>
      <c r="Q321" s="17" t="s">
        <v>3</v>
      </c>
      <c r="R321" s="17"/>
    </row>
    <row r="322" spans="1:18" x14ac:dyDescent="0.25">
      <c r="A322" s="56">
        <v>45</v>
      </c>
      <c r="B322" s="10"/>
      <c r="C322" s="14"/>
      <c r="D322" s="13" t="s">
        <v>436</v>
      </c>
      <c r="E322" s="12"/>
      <c r="F322" s="12"/>
      <c r="G322" s="12"/>
      <c r="H322" s="12"/>
      <c r="I322" s="12"/>
      <c r="J322" s="12"/>
      <c r="K322" s="12"/>
      <c r="L322" s="12"/>
      <c r="M322" s="11"/>
      <c r="N322" s="11"/>
      <c r="O322" s="11"/>
      <c r="P322" s="10"/>
      <c r="Q322" s="7" t="s">
        <v>2</v>
      </c>
      <c r="R322" s="7" t="s">
        <v>1</v>
      </c>
    </row>
    <row r="323" spans="1:18" x14ac:dyDescent="0.25">
      <c r="A323" s="56"/>
      <c r="B323" s="4" t="s">
        <v>435</v>
      </c>
      <c r="C323" s="5">
        <v>50</v>
      </c>
      <c r="D323" s="4">
        <v>20</v>
      </c>
      <c r="E323" s="3">
        <v>24</v>
      </c>
      <c r="F323" s="3">
        <f>1.8*E323+32</f>
        <v>75.2</v>
      </c>
      <c r="G323" s="3">
        <v>13</v>
      </c>
      <c r="H323" s="3">
        <f>IF(F323&gt;68,G323+(F323-68)*0.2,U543-(68-F323)*0.2)</f>
        <v>14.440000000000001</v>
      </c>
      <c r="I323" s="3">
        <v>23</v>
      </c>
      <c r="J323" s="3">
        <f>1.8*I323+32</f>
        <v>73.400000000000006</v>
      </c>
      <c r="K323" s="3">
        <v>6</v>
      </c>
      <c r="L323" s="3">
        <f>IF(J323&gt;68,K323+(J323-68)*0.2,K323-(68-J323)*0.2)</f>
        <v>7.080000000000001</v>
      </c>
      <c r="M323" s="3">
        <f>(C323-H323)/C323*100</f>
        <v>71.12</v>
      </c>
      <c r="N323" s="3">
        <f>100-(M323+O323)</f>
        <v>14.719999999999999</v>
      </c>
      <c r="O323" s="3">
        <f>L323/C323*100</f>
        <v>14.160000000000004</v>
      </c>
      <c r="P323" s="2" t="s">
        <v>429</v>
      </c>
      <c r="Q323" s="37" t="s">
        <v>449</v>
      </c>
      <c r="R323" s="37" t="s">
        <v>448</v>
      </c>
    </row>
    <row r="324" spans="1:18" x14ac:dyDescent="0.25">
      <c r="A324" s="15" t="s">
        <v>434</v>
      </c>
      <c r="B324" s="4" t="s">
        <v>433</v>
      </c>
      <c r="C324" s="5">
        <v>50</v>
      </c>
      <c r="D324" s="4">
        <v>20</v>
      </c>
      <c r="E324" s="3">
        <v>24</v>
      </c>
      <c r="F324" s="3">
        <f>1.8*E324+32</f>
        <v>75.2</v>
      </c>
      <c r="G324" s="3">
        <v>18</v>
      </c>
      <c r="H324" s="3">
        <f>IF(F324&gt;68,G324+(F324-68)*0.2,U544-(68-F324)*0.2)</f>
        <v>19.440000000000001</v>
      </c>
      <c r="I324" s="3">
        <v>23</v>
      </c>
      <c r="J324" s="3">
        <f>1.8*I324+32</f>
        <v>73.400000000000006</v>
      </c>
      <c r="K324" s="3">
        <v>10</v>
      </c>
      <c r="L324" s="3">
        <f>IF(J324&gt;68,K324+(J324-68)*0.2,K324-(68-J324)*0.2)</f>
        <v>11.080000000000002</v>
      </c>
      <c r="M324" s="3">
        <f>(C324-H324)/C324*100</f>
        <v>61.12</v>
      </c>
      <c r="N324" s="3">
        <f>100-(M324+O324)</f>
        <v>16.72</v>
      </c>
      <c r="O324" s="3">
        <f>L324/C324*100</f>
        <v>22.160000000000004</v>
      </c>
      <c r="P324" s="2" t="s">
        <v>450</v>
      </c>
      <c r="Q324" s="37" t="s">
        <v>449</v>
      </c>
      <c r="R324" s="37" t="s">
        <v>448</v>
      </c>
    </row>
    <row r="325" spans="1:18" x14ac:dyDescent="0.25">
      <c r="A325" s="55">
        <v>40212</v>
      </c>
      <c r="B325" s="4" t="s">
        <v>432</v>
      </c>
      <c r="C325" s="5">
        <v>50</v>
      </c>
      <c r="D325" s="4">
        <v>20</v>
      </c>
      <c r="E325" s="3">
        <v>24</v>
      </c>
      <c r="F325" s="3">
        <f>1.8*E325+32</f>
        <v>75.2</v>
      </c>
      <c r="G325" s="3">
        <v>15</v>
      </c>
      <c r="H325" s="3">
        <f>IF(F325&gt;68,G325+(F325-68)*0.2,U545-(68-F325)*0.2)</f>
        <v>16.440000000000001</v>
      </c>
      <c r="I325" s="3">
        <v>23</v>
      </c>
      <c r="J325" s="3">
        <f>1.8*I325+32</f>
        <v>73.400000000000006</v>
      </c>
      <c r="K325" s="3">
        <v>7</v>
      </c>
      <c r="L325" s="3">
        <f>IF(J325&gt;68,K325+(J325-68)*0.2,K325-(68-J325)*0.2)</f>
        <v>8.0800000000000018</v>
      </c>
      <c r="M325" s="3">
        <f>(C325-H325)/C325*100</f>
        <v>67.12</v>
      </c>
      <c r="N325" s="3">
        <f>100-(M325+O325)</f>
        <v>16.72</v>
      </c>
      <c r="O325" s="3">
        <f>L325/C325*100</f>
        <v>16.160000000000004</v>
      </c>
      <c r="P325" s="2" t="s">
        <v>429</v>
      </c>
      <c r="Q325" s="37" t="s">
        <v>449</v>
      </c>
      <c r="R325" s="37" t="s">
        <v>448</v>
      </c>
    </row>
    <row r="326" spans="1:18" x14ac:dyDescent="0.25">
      <c r="A326" s="54"/>
      <c r="B326" s="4" t="s">
        <v>431</v>
      </c>
      <c r="C326" s="5">
        <v>50</v>
      </c>
      <c r="D326" s="4">
        <v>20</v>
      </c>
      <c r="E326" s="3">
        <v>24</v>
      </c>
      <c r="F326" s="3">
        <f>1.8*E326+32</f>
        <v>75.2</v>
      </c>
      <c r="G326" s="3">
        <v>20</v>
      </c>
      <c r="H326" s="3">
        <f>IF(F326&gt;68,G326+(F326-68)*0.2,U546-(68-F326)*0.2)</f>
        <v>21.44</v>
      </c>
      <c r="I326" s="3">
        <v>23</v>
      </c>
      <c r="J326" s="3">
        <f>1.8*I326+32</f>
        <v>73.400000000000006</v>
      </c>
      <c r="K326" s="3">
        <v>10</v>
      </c>
      <c r="L326" s="3">
        <f>IF(J326&gt;68,K326+(J326-68)*0.2,K326-(68-J326)*0.2)</f>
        <v>11.080000000000002</v>
      </c>
      <c r="M326" s="3">
        <f>(C326-H326)/C326*100</f>
        <v>57.11999999999999</v>
      </c>
      <c r="N326" s="3">
        <f>100-(M326+O326)</f>
        <v>20.72</v>
      </c>
      <c r="O326" s="3">
        <f>L326/C326*100</f>
        <v>22.160000000000004</v>
      </c>
      <c r="P326" s="2" t="s">
        <v>427</v>
      </c>
      <c r="Q326" s="37" t="s">
        <v>449</v>
      </c>
      <c r="R326" s="37" t="s">
        <v>448</v>
      </c>
    </row>
    <row r="327" spans="1:18" x14ac:dyDescent="0.25">
      <c r="A327" s="6"/>
      <c r="B327" s="4" t="s">
        <v>430</v>
      </c>
      <c r="C327" s="5">
        <v>50</v>
      </c>
      <c r="D327" s="4">
        <v>20</v>
      </c>
      <c r="E327" s="3">
        <v>24</v>
      </c>
      <c r="F327" s="3">
        <f>1.8*E327+32</f>
        <v>75.2</v>
      </c>
      <c r="G327" s="3">
        <v>14</v>
      </c>
      <c r="H327" s="3">
        <f>IF(F327&gt;68,G327+(F327-68)*0.2,U547-(68-F327)*0.2)</f>
        <v>15.440000000000001</v>
      </c>
      <c r="I327" s="3">
        <v>23</v>
      </c>
      <c r="J327" s="3">
        <f>1.8*I327+32</f>
        <v>73.400000000000006</v>
      </c>
      <c r="K327" s="3">
        <v>6</v>
      </c>
      <c r="L327" s="3">
        <f>IF(J327&gt;68,K327+(J327-68)*0.2,K327-(68-J327)*0.2)</f>
        <v>7.080000000000001</v>
      </c>
      <c r="M327" s="3">
        <f>(C327-H327)/C327*100</f>
        <v>69.12</v>
      </c>
      <c r="N327" s="3">
        <f>100-(M327+O327)</f>
        <v>16.72</v>
      </c>
      <c r="O327" s="3">
        <f>L327/C327*100</f>
        <v>14.160000000000004</v>
      </c>
      <c r="P327" s="2" t="s">
        <v>429</v>
      </c>
      <c r="Q327" s="37" t="s">
        <v>449</v>
      </c>
      <c r="R327" s="37" t="s">
        <v>448</v>
      </c>
    </row>
    <row r="328" spans="1:18" x14ac:dyDescent="0.25">
      <c r="A328" s="6"/>
      <c r="B328" s="4" t="s">
        <v>428</v>
      </c>
      <c r="C328" s="5">
        <v>50</v>
      </c>
      <c r="D328" s="4">
        <v>20</v>
      </c>
      <c r="E328" s="3">
        <v>24</v>
      </c>
      <c r="F328" s="3">
        <f>1.8*E328+32</f>
        <v>75.2</v>
      </c>
      <c r="G328" s="3">
        <v>9</v>
      </c>
      <c r="H328" s="3">
        <f>IF(F328&gt;68,G328+(F328-68)*0.2,U548-(68-F328)*0.2)</f>
        <v>10.440000000000001</v>
      </c>
      <c r="I328" s="3">
        <v>23</v>
      </c>
      <c r="J328" s="3">
        <f>1.8*I328+32</f>
        <v>73.400000000000006</v>
      </c>
      <c r="K328" s="3">
        <v>6</v>
      </c>
      <c r="L328" s="3">
        <f>IF(J328&gt;68,K328+(J328-68)*0.2,K328-(68-J328)*0.2)</f>
        <v>7.080000000000001</v>
      </c>
      <c r="M328" s="3">
        <f>(C328-H328)/C328*100</f>
        <v>79.12</v>
      </c>
      <c r="N328" s="3">
        <f>100-(M328+O328)</f>
        <v>6.7199999999999989</v>
      </c>
      <c r="O328" s="3">
        <f>L328/C328*100</f>
        <v>14.160000000000004</v>
      </c>
      <c r="P328" s="2" t="s">
        <v>429</v>
      </c>
      <c r="Q328" s="37" t="s">
        <v>449</v>
      </c>
      <c r="R328" s="37" t="s">
        <v>448</v>
      </c>
    </row>
    <row r="329" spans="1:18" x14ac:dyDescent="0.25">
      <c r="A329" s="36"/>
    </row>
    <row r="330" spans="1:18" ht="51.75" x14ac:dyDescent="0.25">
      <c r="A330" s="15" t="s">
        <v>19</v>
      </c>
      <c r="B330" s="10" t="s">
        <v>443</v>
      </c>
      <c r="C330" s="14" t="s">
        <v>17</v>
      </c>
      <c r="D330" s="13" t="s">
        <v>16</v>
      </c>
      <c r="E330" s="12" t="s">
        <v>15</v>
      </c>
      <c r="F330" s="12" t="s">
        <v>14</v>
      </c>
      <c r="G330" s="12" t="s">
        <v>442</v>
      </c>
      <c r="H330" s="12" t="s">
        <v>441</v>
      </c>
      <c r="I330" s="12" t="s">
        <v>440</v>
      </c>
      <c r="J330" s="12" t="s">
        <v>439</v>
      </c>
      <c r="K330" s="12" t="s">
        <v>438</v>
      </c>
      <c r="L330" s="12" t="s">
        <v>437</v>
      </c>
      <c r="M330" s="11" t="s">
        <v>7</v>
      </c>
      <c r="N330" s="11" t="s">
        <v>6</v>
      </c>
      <c r="O330" s="11" t="s">
        <v>5</v>
      </c>
      <c r="P330" s="10" t="s">
        <v>4</v>
      </c>
      <c r="Q330" s="17" t="s">
        <v>3</v>
      </c>
      <c r="R330" s="17"/>
    </row>
    <row r="331" spans="1:18" x14ac:dyDescent="0.25">
      <c r="A331" s="56">
        <v>46</v>
      </c>
      <c r="B331" s="10"/>
      <c r="C331" s="14"/>
      <c r="D331" s="13" t="s">
        <v>436</v>
      </c>
      <c r="E331" s="12"/>
      <c r="F331" s="12"/>
      <c r="G331" s="12"/>
      <c r="H331" s="12"/>
      <c r="I331" s="12"/>
      <c r="J331" s="12"/>
      <c r="K331" s="12"/>
      <c r="L331" s="12"/>
      <c r="M331" s="11"/>
      <c r="N331" s="11"/>
      <c r="O331" s="11"/>
      <c r="P331" s="10"/>
      <c r="Q331" s="7" t="s">
        <v>2</v>
      </c>
      <c r="R331" s="7" t="s">
        <v>1</v>
      </c>
    </row>
    <row r="332" spans="1:18" x14ac:dyDescent="0.25">
      <c r="A332" s="56"/>
      <c r="B332" s="4" t="s">
        <v>435</v>
      </c>
      <c r="C332" s="5">
        <v>50</v>
      </c>
      <c r="D332" s="4">
        <v>20</v>
      </c>
      <c r="E332" s="3">
        <v>24</v>
      </c>
      <c r="F332" s="3">
        <f>1.8*E332+32</f>
        <v>75.2</v>
      </c>
      <c r="G332" s="3">
        <v>11</v>
      </c>
      <c r="H332" s="3">
        <f>IF(F332&gt;68,G332+(F332-68)*0.2,U552-(68-F332)*0.2)</f>
        <v>12.440000000000001</v>
      </c>
      <c r="I332" s="3">
        <v>23</v>
      </c>
      <c r="J332" s="3">
        <f>1.8*I332+32</f>
        <v>73.400000000000006</v>
      </c>
      <c r="K332" s="3">
        <v>5</v>
      </c>
      <c r="L332" s="3">
        <f>IF(J332&gt;68,K332+(J332-68)*0.2,K332-(68-J332)*0.2)</f>
        <v>6.080000000000001</v>
      </c>
      <c r="M332" s="3">
        <f>(C332-H332)/C332*100</f>
        <v>75.12</v>
      </c>
      <c r="N332" s="3">
        <f>100-(M332+O332)</f>
        <v>12.719999999999999</v>
      </c>
      <c r="O332" s="3">
        <f>L332/C332*100</f>
        <v>12.160000000000002</v>
      </c>
      <c r="P332" s="2" t="s">
        <v>429</v>
      </c>
      <c r="Q332" s="37" t="s">
        <v>447</v>
      </c>
      <c r="R332" s="37" t="s">
        <v>446</v>
      </c>
    </row>
    <row r="333" spans="1:18" x14ac:dyDescent="0.25">
      <c r="A333" s="15" t="s">
        <v>434</v>
      </c>
      <c r="B333" s="4" t="s">
        <v>433</v>
      </c>
      <c r="C333" s="5">
        <v>50</v>
      </c>
      <c r="D333" s="4">
        <v>20</v>
      </c>
      <c r="E333" s="3">
        <v>24</v>
      </c>
      <c r="F333" s="3">
        <f>1.8*E333+32</f>
        <v>75.2</v>
      </c>
      <c r="G333" s="3">
        <v>11</v>
      </c>
      <c r="H333" s="3">
        <f>IF(F333&gt;68,G333+(F333-68)*0.2,U553-(68-F333)*0.2)</f>
        <v>12.440000000000001</v>
      </c>
      <c r="I333" s="3">
        <v>23</v>
      </c>
      <c r="J333" s="3">
        <f>1.8*I333+32</f>
        <v>73.400000000000006</v>
      </c>
      <c r="K333" s="3">
        <v>5</v>
      </c>
      <c r="L333" s="3">
        <f>IF(J333&gt;68,K333+(J333-68)*0.2,K333-(68-J333)*0.2)</f>
        <v>6.080000000000001</v>
      </c>
      <c r="M333" s="3">
        <f>(C333-H333)/C333*100</f>
        <v>75.12</v>
      </c>
      <c r="N333" s="3">
        <f>100-(M333+O333)</f>
        <v>12.719999999999999</v>
      </c>
      <c r="O333" s="3">
        <f>L333/C333*100</f>
        <v>12.160000000000002</v>
      </c>
      <c r="P333" s="2" t="s">
        <v>429</v>
      </c>
      <c r="Q333" s="37" t="s">
        <v>447</v>
      </c>
      <c r="R333" s="37" t="s">
        <v>446</v>
      </c>
    </row>
    <row r="334" spans="1:18" x14ac:dyDescent="0.25">
      <c r="A334" s="55">
        <v>40213</v>
      </c>
      <c r="B334" s="4" t="s">
        <v>432</v>
      </c>
      <c r="C334" s="5">
        <v>50</v>
      </c>
      <c r="D334" s="4">
        <v>20</v>
      </c>
      <c r="E334" s="3">
        <v>24</v>
      </c>
      <c r="F334" s="3">
        <f>1.8*E334+32</f>
        <v>75.2</v>
      </c>
      <c r="G334" s="3">
        <v>16</v>
      </c>
      <c r="H334" s="3">
        <f>IF(F334&gt;68,G334+(F334-68)*0.2,U554-(68-F334)*0.2)</f>
        <v>17.440000000000001</v>
      </c>
      <c r="I334" s="3">
        <v>23</v>
      </c>
      <c r="J334" s="3">
        <f>1.8*I334+32</f>
        <v>73.400000000000006</v>
      </c>
      <c r="K334" s="3">
        <v>6</v>
      </c>
      <c r="L334" s="3">
        <f>IF(J334&gt;68,K334+(J334-68)*0.2,K334-(68-J334)*0.2)</f>
        <v>7.080000000000001</v>
      </c>
      <c r="M334" s="3">
        <f>(C334-H334)/C334*100</f>
        <v>65.12</v>
      </c>
      <c r="N334" s="3">
        <f>100-(M334+O334)</f>
        <v>20.72</v>
      </c>
      <c r="O334" s="3">
        <f>L334/C334*100</f>
        <v>14.160000000000004</v>
      </c>
      <c r="P334" s="2" t="s">
        <v>429</v>
      </c>
      <c r="Q334" s="37" t="s">
        <v>447</v>
      </c>
      <c r="R334" s="37" t="s">
        <v>446</v>
      </c>
    </row>
    <row r="335" spans="1:18" x14ac:dyDescent="0.25">
      <c r="A335" s="54"/>
      <c r="B335" s="4" t="s">
        <v>431</v>
      </c>
      <c r="C335" s="5">
        <v>50</v>
      </c>
      <c r="D335" s="4">
        <v>20</v>
      </c>
      <c r="E335" s="3">
        <v>24</v>
      </c>
      <c r="F335" s="3">
        <f>1.8*E335+32</f>
        <v>75.2</v>
      </c>
      <c r="G335" s="3">
        <v>18</v>
      </c>
      <c r="H335" s="3">
        <f>IF(F335&gt;68,G335+(F335-68)*0.2,U555-(68-F335)*0.2)</f>
        <v>19.440000000000001</v>
      </c>
      <c r="I335" s="3">
        <v>23</v>
      </c>
      <c r="J335" s="3">
        <f>1.8*I335+32</f>
        <v>73.400000000000006</v>
      </c>
      <c r="K335" s="3">
        <v>10</v>
      </c>
      <c r="L335" s="3">
        <f>IF(J335&gt;68,K335+(J335-68)*0.2,K335-(68-J335)*0.2)</f>
        <v>11.080000000000002</v>
      </c>
      <c r="M335" s="3">
        <f>(C335-H335)/C335*100</f>
        <v>61.12</v>
      </c>
      <c r="N335" s="3">
        <f>100-(M335+O335)</f>
        <v>16.72</v>
      </c>
      <c r="O335" s="3">
        <f>L335/C335*100</f>
        <v>22.160000000000004</v>
      </c>
      <c r="P335" s="2" t="s">
        <v>427</v>
      </c>
      <c r="Q335" s="37" t="s">
        <v>447</v>
      </c>
      <c r="R335" s="37" t="s">
        <v>446</v>
      </c>
    </row>
    <row r="336" spans="1:18" x14ac:dyDescent="0.25">
      <c r="A336" s="6"/>
      <c r="B336" s="4" t="s">
        <v>430</v>
      </c>
      <c r="C336" s="5">
        <v>50</v>
      </c>
      <c r="D336" s="4">
        <v>20</v>
      </c>
      <c r="E336" s="3">
        <v>22</v>
      </c>
      <c r="F336" s="3">
        <f>1.8*E336+32</f>
        <v>71.599999999999994</v>
      </c>
      <c r="G336" s="3">
        <v>14</v>
      </c>
      <c r="H336" s="3">
        <f>IF(F336&gt;68,G336+(F336-68)*0.2,U556-(68-F336)*0.2)</f>
        <v>14.719999999999999</v>
      </c>
      <c r="I336" s="3">
        <v>23</v>
      </c>
      <c r="J336" s="3">
        <f>1.8*I336+32</f>
        <v>73.400000000000006</v>
      </c>
      <c r="K336" s="3">
        <v>6</v>
      </c>
      <c r="L336" s="3">
        <f>IF(J336&gt;68,K336+(J336-68)*0.2,K336-(68-J336)*0.2)</f>
        <v>7.080000000000001</v>
      </c>
      <c r="M336" s="3">
        <f>(C336-H336)/C336*100</f>
        <v>70.56</v>
      </c>
      <c r="N336" s="3">
        <f>100-(M336+O336)</f>
        <v>15.280000000000001</v>
      </c>
      <c r="O336" s="3">
        <f>L336/C336*100</f>
        <v>14.160000000000004</v>
      </c>
      <c r="P336" s="2" t="s">
        <v>429</v>
      </c>
      <c r="Q336" s="37" t="s">
        <v>447</v>
      </c>
      <c r="R336" s="37" t="s">
        <v>446</v>
      </c>
    </row>
    <row r="337" spans="1:18" x14ac:dyDescent="0.25">
      <c r="A337" s="6"/>
      <c r="B337" s="4" t="s">
        <v>428</v>
      </c>
      <c r="C337" s="5">
        <v>50</v>
      </c>
      <c r="D337" s="4">
        <v>20</v>
      </c>
      <c r="E337" s="3">
        <v>22</v>
      </c>
      <c r="F337" s="3">
        <f>1.8*E337+32</f>
        <v>71.599999999999994</v>
      </c>
      <c r="G337" s="3">
        <v>13</v>
      </c>
      <c r="H337" s="3">
        <f>IF(F337&gt;68,G337+(F337-68)*0.2,U557-(68-F337)*0.2)</f>
        <v>13.719999999999999</v>
      </c>
      <c r="I337" s="3">
        <v>23</v>
      </c>
      <c r="J337" s="3">
        <f>1.8*I337+32</f>
        <v>73.400000000000006</v>
      </c>
      <c r="K337" s="3">
        <v>6</v>
      </c>
      <c r="L337" s="3">
        <f>IF(J337&gt;68,K337+(J337-68)*0.2,K337-(68-J337)*0.2)</f>
        <v>7.080000000000001</v>
      </c>
      <c r="M337" s="3">
        <f>(C337-H337)/C337*100</f>
        <v>72.56</v>
      </c>
      <c r="N337" s="3">
        <f>100-(M337+O337)</f>
        <v>13.280000000000001</v>
      </c>
      <c r="O337" s="3">
        <f>L337/C337*100</f>
        <v>14.160000000000004</v>
      </c>
      <c r="P337" s="2" t="s">
        <v>429</v>
      </c>
      <c r="Q337" s="37" t="s">
        <v>447</v>
      </c>
      <c r="R337" s="37" t="s">
        <v>446</v>
      </c>
    </row>
    <row r="338" spans="1:18" x14ac:dyDescent="0.25">
      <c r="A338" s="30"/>
      <c r="B338" s="25"/>
      <c r="C338" s="29"/>
      <c r="D338" s="28"/>
      <c r="E338" s="27"/>
      <c r="F338" s="27"/>
      <c r="G338" s="27"/>
      <c r="H338" s="27"/>
      <c r="I338" s="27"/>
      <c r="J338" s="27"/>
      <c r="K338" s="27"/>
      <c r="L338" s="27"/>
      <c r="M338" s="26"/>
      <c r="N338" s="26"/>
      <c r="O338" s="26"/>
      <c r="P338" s="25"/>
    </row>
    <row r="339" spans="1:18" ht="51.75" x14ac:dyDescent="0.25">
      <c r="A339" s="15" t="s">
        <v>19</v>
      </c>
      <c r="B339" s="10" t="s">
        <v>443</v>
      </c>
      <c r="C339" s="14" t="s">
        <v>17</v>
      </c>
      <c r="D339" s="13" t="s">
        <v>16</v>
      </c>
      <c r="E339" s="12" t="s">
        <v>15</v>
      </c>
      <c r="F339" s="12" t="s">
        <v>14</v>
      </c>
      <c r="G339" s="12" t="s">
        <v>442</v>
      </c>
      <c r="H339" s="12" t="s">
        <v>441</v>
      </c>
      <c r="I339" s="12" t="s">
        <v>440</v>
      </c>
      <c r="J339" s="12" t="s">
        <v>439</v>
      </c>
      <c r="K339" s="12" t="s">
        <v>438</v>
      </c>
      <c r="L339" s="12" t="s">
        <v>437</v>
      </c>
      <c r="M339" s="11" t="s">
        <v>7</v>
      </c>
      <c r="N339" s="11" t="s">
        <v>6</v>
      </c>
      <c r="O339" s="11" t="s">
        <v>5</v>
      </c>
      <c r="P339" s="10" t="s">
        <v>4</v>
      </c>
      <c r="Q339" s="17" t="s">
        <v>3</v>
      </c>
      <c r="R339" s="17"/>
    </row>
    <row r="340" spans="1:18" x14ac:dyDescent="0.25">
      <c r="A340" s="56">
        <v>47</v>
      </c>
      <c r="B340" s="10"/>
      <c r="C340" s="14"/>
      <c r="D340" s="13" t="s">
        <v>436</v>
      </c>
      <c r="E340" s="12"/>
      <c r="F340" s="12"/>
      <c r="G340" s="12"/>
      <c r="H340" s="12"/>
      <c r="I340" s="12"/>
      <c r="J340" s="12"/>
      <c r="K340" s="12"/>
      <c r="L340" s="12"/>
      <c r="M340" s="11"/>
      <c r="N340" s="11"/>
      <c r="O340" s="11"/>
      <c r="P340" s="10"/>
      <c r="Q340" s="7" t="s">
        <v>2</v>
      </c>
      <c r="R340" s="7" t="s">
        <v>1</v>
      </c>
    </row>
    <row r="341" spans="1:18" x14ac:dyDescent="0.25">
      <c r="A341" s="56"/>
      <c r="B341" s="4" t="s">
        <v>435</v>
      </c>
      <c r="C341" s="5">
        <v>50</v>
      </c>
      <c r="D341" s="4">
        <v>20</v>
      </c>
      <c r="E341" s="3">
        <v>22</v>
      </c>
      <c r="F341" s="3">
        <f>1.8*E341+32</f>
        <v>71.599999999999994</v>
      </c>
      <c r="G341" s="3">
        <v>17</v>
      </c>
      <c r="H341" s="3">
        <f>IF(F341&gt;68,G341+(F341-68)*0.2,U562-(68-F341)*0.2)</f>
        <v>17.72</v>
      </c>
      <c r="I341" s="3">
        <v>23</v>
      </c>
      <c r="J341" s="3">
        <f>1.8*I341+32</f>
        <v>73.400000000000006</v>
      </c>
      <c r="K341" s="3">
        <v>9</v>
      </c>
      <c r="L341" s="3">
        <f>IF(J341&gt;68,K341+(J341-68)*0.2,K341-(68-J341)*0.2)</f>
        <v>10.080000000000002</v>
      </c>
      <c r="M341" s="3">
        <f>(C341-H341)/C341*100</f>
        <v>64.56</v>
      </c>
      <c r="N341" s="3">
        <f>100-(M341+O341)</f>
        <v>15.280000000000001</v>
      </c>
      <c r="O341" s="3">
        <f>L341/C341*100</f>
        <v>20.160000000000004</v>
      </c>
      <c r="P341" s="2" t="s">
        <v>427</v>
      </c>
      <c r="Q341" s="37" t="s">
        <v>445</v>
      </c>
      <c r="R341" s="37" t="s">
        <v>444</v>
      </c>
    </row>
    <row r="342" spans="1:18" x14ac:dyDescent="0.25">
      <c r="A342" s="15" t="s">
        <v>434</v>
      </c>
      <c r="B342" s="4" t="s">
        <v>433</v>
      </c>
      <c r="C342" s="5">
        <v>50</v>
      </c>
      <c r="D342" s="4">
        <v>20</v>
      </c>
      <c r="E342" s="3">
        <v>22</v>
      </c>
      <c r="F342" s="3">
        <f>1.8*E342+32</f>
        <v>71.599999999999994</v>
      </c>
      <c r="G342" s="3">
        <v>25</v>
      </c>
      <c r="H342" s="3">
        <f>IF(F342&gt;68,G342+(F342-68)*0.2,U563-(68-F342)*0.2)</f>
        <v>25.72</v>
      </c>
      <c r="I342" s="3">
        <v>23</v>
      </c>
      <c r="J342" s="3">
        <f>1.8*I342+32</f>
        <v>73.400000000000006</v>
      </c>
      <c r="K342" s="3">
        <v>14</v>
      </c>
      <c r="L342" s="3">
        <f>IF(J342&gt;68,K342+(J342-68)*0.2,K342-(68-J342)*0.2)</f>
        <v>15.080000000000002</v>
      </c>
      <c r="M342" s="3">
        <f>(C342-H342)/C342*100</f>
        <v>48.56</v>
      </c>
      <c r="N342" s="3">
        <f>100-(M342+O342)</f>
        <v>21.28</v>
      </c>
      <c r="O342" s="3">
        <f>L342/C342*100</f>
        <v>30.160000000000004</v>
      </c>
      <c r="P342" s="2" t="s">
        <v>427</v>
      </c>
      <c r="Q342" s="37" t="s">
        <v>445</v>
      </c>
      <c r="R342" s="37" t="s">
        <v>444</v>
      </c>
    </row>
    <row r="343" spans="1:18" x14ac:dyDescent="0.25">
      <c r="A343" s="55">
        <v>40213</v>
      </c>
      <c r="B343" s="4" t="s">
        <v>432</v>
      </c>
      <c r="C343" s="5">
        <v>50</v>
      </c>
      <c r="D343" s="4">
        <v>20</v>
      </c>
      <c r="E343" s="3">
        <v>23</v>
      </c>
      <c r="F343" s="3">
        <f>1.8*E343+32</f>
        <v>73.400000000000006</v>
      </c>
      <c r="G343" s="3">
        <v>21</v>
      </c>
      <c r="H343" s="3">
        <f>IF(F343&gt;68,G343+(F343-68)*0.2,U564-(68-F343)*0.2)</f>
        <v>22.080000000000002</v>
      </c>
      <c r="I343" s="3">
        <v>23</v>
      </c>
      <c r="J343" s="3">
        <f>1.8*I343+32</f>
        <v>73.400000000000006</v>
      </c>
      <c r="K343" s="3">
        <v>9</v>
      </c>
      <c r="L343" s="3">
        <f>IF(J343&gt;68,K343+(J343-68)*0.2,K343-(68-J343)*0.2)</f>
        <v>10.080000000000002</v>
      </c>
      <c r="M343" s="3">
        <f>(C343-H343)/C343*100</f>
        <v>55.84</v>
      </c>
      <c r="N343" s="3">
        <f>100-(M343+O343)</f>
        <v>24</v>
      </c>
      <c r="O343" s="3">
        <f>L343/C343*100</f>
        <v>20.160000000000004</v>
      </c>
      <c r="P343" s="2" t="s">
        <v>427</v>
      </c>
      <c r="Q343" s="37" t="s">
        <v>445</v>
      </c>
      <c r="R343" s="37" t="s">
        <v>444</v>
      </c>
    </row>
    <row r="344" spans="1:18" x14ac:dyDescent="0.25">
      <c r="A344" s="54"/>
      <c r="B344" s="4" t="s">
        <v>431</v>
      </c>
      <c r="C344" s="5">
        <v>50</v>
      </c>
      <c r="D344" s="4">
        <v>20</v>
      </c>
      <c r="E344" s="3">
        <v>23</v>
      </c>
      <c r="F344" s="3">
        <f>1.8*E344+32</f>
        <v>73.400000000000006</v>
      </c>
      <c r="G344" s="3">
        <v>23</v>
      </c>
      <c r="H344" s="3">
        <f>IF(F344&gt;68,G344+(F344-68)*0.2,U565-(68-F344)*0.2)</f>
        <v>24.080000000000002</v>
      </c>
      <c r="I344" s="3">
        <v>23</v>
      </c>
      <c r="J344" s="3">
        <f>1.8*I344+32</f>
        <v>73.400000000000006</v>
      </c>
      <c r="K344" s="3">
        <v>13</v>
      </c>
      <c r="L344" s="3">
        <f>IF(J344&gt;68,K344+(J344-68)*0.2,K344-(68-J344)*0.2)</f>
        <v>14.080000000000002</v>
      </c>
      <c r="M344" s="3">
        <f>(C344-H344)/C344*100</f>
        <v>51.839999999999996</v>
      </c>
      <c r="N344" s="3">
        <f>100-(M344+O344)</f>
        <v>20</v>
      </c>
      <c r="O344" s="3">
        <f>L344/C344*100</f>
        <v>28.16</v>
      </c>
      <c r="P344" s="2" t="s">
        <v>427</v>
      </c>
      <c r="Q344" s="37" t="s">
        <v>445</v>
      </c>
      <c r="R344" s="37" t="s">
        <v>444</v>
      </c>
    </row>
    <row r="345" spans="1:18" x14ac:dyDescent="0.25">
      <c r="A345" s="6"/>
      <c r="B345" s="4" t="s">
        <v>430</v>
      </c>
      <c r="C345" s="5">
        <v>50</v>
      </c>
      <c r="D345" s="4">
        <v>20</v>
      </c>
      <c r="E345" s="3">
        <v>23</v>
      </c>
      <c r="F345" s="3">
        <f>1.8*E345+32</f>
        <v>73.400000000000006</v>
      </c>
      <c r="G345" s="3">
        <v>21</v>
      </c>
      <c r="H345" s="3">
        <f>IF(F345&gt;68,G345+(F345-68)*0.2,U566-(68-F345)*0.2)</f>
        <v>22.080000000000002</v>
      </c>
      <c r="I345" s="3">
        <v>23</v>
      </c>
      <c r="J345" s="3">
        <f>1.8*I345+32</f>
        <v>73.400000000000006</v>
      </c>
      <c r="K345" s="3">
        <v>11</v>
      </c>
      <c r="L345" s="3">
        <f>IF(J345&gt;68,K345+(J345-68)*0.2,K345-(68-J345)*0.2)</f>
        <v>12.080000000000002</v>
      </c>
      <c r="M345" s="3">
        <f>(C345-H345)/C345*100</f>
        <v>55.84</v>
      </c>
      <c r="N345" s="3">
        <f>100-(M345+O345)</f>
        <v>20</v>
      </c>
      <c r="O345" s="3">
        <f>L345/C345*100</f>
        <v>24.160000000000004</v>
      </c>
      <c r="P345" s="2" t="s">
        <v>427</v>
      </c>
      <c r="Q345" s="37" t="s">
        <v>445</v>
      </c>
      <c r="R345" s="37" t="s">
        <v>444</v>
      </c>
    </row>
    <row r="346" spans="1:18" x14ac:dyDescent="0.25">
      <c r="A346" s="6"/>
      <c r="B346" s="4" t="s">
        <v>428</v>
      </c>
      <c r="C346" s="5">
        <v>50</v>
      </c>
      <c r="D346" s="4">
        <v>20</v>
      </c>
      <c r="E346" s="3">
        <v>23</v>
      </c>
      <c r="F346" s="3">
        <f>1.8*E346+32</f>
        <v>73.400000000000006</v>
      </c>
      <c r="G346" s="3">
        <v>13</v>
      </c>
      <c r="H346" s="3">
        <f>IF(F346&gt;68,G346+(F346-68)*0.2,U567-(68-F346)*0.2)</f>
        <v>14.080000000000002</v>
      </c>
      <c r="I346" s="3">
        <v>23</v>
      </c>
      <c r="J346" s="3">
        <f>1.8*I346+32</f>
        <v>73.400000000000006</v>
      </c>
      <c r="K346" s="3">
        <v>10</v>
      </c>
      <c r="L346" s="3">
        <f>IF(J346&gt;68,K346+(J346-68)*0.2,K346-(68-J346)*0.2)</f>
        <v>11.080000000000002</v>
      </c>
      <c r="M346" s="3">
        <f>(C346-H346)/C346*100</f>
        <v>71.84</v>
      </c>
      <c r="N346" s="3">
        <f>100-(M346+O346)</f>
        <v>6</v>
      </c>
      <c r="O346" s="3">
        <f>L346/C346*100</f>
        <v>22.160000000000004</v>
      </c>
      <c r="P346" s="2" t="s">
        <v>427</v>
      </c>
      <c r="Q346" s="37" t="s">
        <v>445</v>
      </c>
      <c r="R346" s="37" t="s">
        <v>444</v>
      </c>
    </row>
    <row r="347" spans="1:18" x14ac:dyDescent="0.25">
      <c r="A347" s="36"/>
    </row>
    <row r="348" spans="1:18" ht="51.75" x14ac:dyDescent="0.25">
      <c r="A348" s="15" t="s">
        <v>19</v>
      </c>
      <c r="B348" s="10" t="s">
        <v>443</v>
      </c>
      <c r="C348" s="14" t="s">
        <v>17</v>
      </c>
      <c r="D348" s="13" t="s">
        <v>16</v>
      </c>
      <c r="E348" s="12" t="s">
        <v>15</v>
      </c>
      <c r="F348" s="12" t="s">
        <v>14</v>
      </c>
      <c r="G348" s="12" t="s">
        <v>442</v>
      </c>
      <c r="H348" s="12" t="s">
        <v>441</v>
      </c>
      <c r="I348" s="12" t="s">
        <v>440</v>
      </c>
      <c r="J348" s="12" t="s">
        <v>439</v>
      </c>
      <c r="K348" s="12" t="s">
        <v>438</v>
      </c>
      <c r="L348" s="12" t="s">
        <v>437</v>
      </c>
      <c r="M348" s="11" t="s">
        <v>7</v>
      </c>
      <c r="N348" s="11" t="s">
        <v>6</v>
      </c>
      <c r="O348" s="11" t="s">
        <v>5</v>
      </c>
      <c r="P348" s="10" t="s">
        <v>4</v>
      </c>
      <c r="Q348" s="17" t="s">
        <v>3</v>
      </c>
      <c r="R348" s="17"/>
    </row>
    <row r="349" spans="1:18" x14ac:dyDescent="0.25">
      <c r="A349" s="56">
        <v>48</v>
      </c>
      <c r="B349" s="10"/>
      <c r="C349" s="14"/>
      <c r="D349" s="13" t="s">
        <v>436</v>
      </c>
      <c r="E349" s="12"/>
      <c r="F349" s="12"/>
      <c r="G349" s="12"/>
      <c r="H349" s="12"/>
      <c r="I349" s="12"/>
      <c r="J349" s="12"/>
      <c r="K349" s="12"/>
      <c r="L349" s="12"/>
      <c r="M349" s="11"/>
      <c r="N349" s="11"/>
      <c r="O349" s="11"/>
      <c r="P349" s="10"/>
      <c r="Q349" s="7" t="s">
        <v>2</v>
      </c>
      <c r="R349" s="7" t="s">
        <v>1</v>
      </c>
    </row>
    <row r="350" spans="1:18" x14ac:dyDescent="0.25">
      <c r="A350" s="56"/>
      <c r="B350" s="4" t="s">
        <v>435</v>
      </c>
      <c r="C350" s="5">
        <v>50</v>
      </c>
      <c r="D350" s="4">
        <v>20</v>
      </c>
      <c r="E350" s="3">
        <v>23</v>
      </c>
      <c r="F350" s="3">
        <f>1.8*E350+32</f>
        <v>73.400000000000006</v>
      </c>
      <c r="G350" s="3">
        <v>17</v>
      </c>
      <c r="H350" s="3">
        <f>IF(F350&gt;68,G350+(F350-68)*0.2,U571-(68-F350)*0.2)</f>
        <v>18.080000000000002</v>
      </c>
      <c r="I350" s="3">
        <v>23</v>
      </c>
      <c r="J350" s="3">
        <f>1.8*I350+32</f>
        <v>73.400000000000006</v>
      </c>
      <c r="K350" s="3">
        <v>7</v>
      </c>
      <c r="L350" s="3">
        <f>IF(J350&gt;68,K350+(J350-68)*0.2,K350-(68-J350)*0.2)</f>
        <v>8.0800000000000018</v>
      </c>
      <c r="M350" s="3">
        <f>(C350-H350)/C350*100</f>
        <v>63.839999999999996</v>
      </c>
      <c r="N350" s="3">
        <f>100-(M350+O350)</f>
        <v>20</v>
      </c>
      <c r="O350" s="3">
        <f>L350/C350*100</f>
        <v>16.160000000000004</v>
      </c>
      <c r="P350" s="2" t="s">
        <v>429</v>
      </c>
      <c r="Q350" s="37" t="s">
        <v>426</v>
      </c>
      <c r="R350" s="37" t="s">
        <v>425</v>
      </c>
    </row>
    <row r="351" spans="1:18" x14ac:dyDescent="0.25">
      <c r="A351" s="15" t="s">
        <v>434</v>
      </c>
      <c r="B351" s="4" t="s">
        <v>433</v>
      </c>
      <c r="C351" s="5">
        <v>50</v>
      </c>
      <c r="D351" s="4">
        <v>20</v>
      </c>
      <c r="E351" s="3">
        <v>23</v>
      </c>
      <c r="F351" s="3">
        <f>1.8*E351+32</f>
        <v>73.400000000000006</v>
      </c>
      <c r="G351" s="3">
        <v>18</v>
      </c>
      <c r="H351" s="3">
        <f>IF(F351&gt;68,G351+(F351-68)*0.2,U572-(68-F351)*0.2)</f>
        <v>19.080000000000002</v>
      </c>
      <c r="I351" s="3">
        <v>23</v>
      </c>
      <c r="J351" s="3">
        <f>1.8*I351+32</f>
        <v>73.400000000000006</v>
      </c>
      <c r="K351" s="3">
        <v>7</v>
      </c>
      <c r="L351" s="3">
        <f>IF(J351&gt;68,K351+(J351-68)*0.2,K351-(68-J351)*0.2)</f>
        <v>8.0800000000000018</v>
      </c>
      <c r="M351" s="3">
        <f>(C351-H351)/C351*100</f>
        <v>61.839999999999996</v>
      </c>
      <c r="N351" s="3">
        <f>100-(M351+O351)</f>
        <v>22</v>
      </c>
      <c r="O351" s="3">
        <f>L351/C351*100</f>
        <v>16.160000000000004</v>
      </c>
      <c r="P351" s="2" t="s">
        <v>429</v>
      </c>
      <c r="Q351" s="37" t="s">
        <v>426</v>
      </c>
      <c r="R351" s="37" t="s">
        <v>425</v>
      </c>
    </row>
    <row r="352" spans="1:18" x14ac:dyDescent="0.25">
      <c r="A352" s="55">
        <v>40213</v>
      </c>
      <c r="B352" s="4" t="s">
        <v>432</v>
      </c>
      <c r="C352" s="5">
        <v>50</v>
      </c>
      <c r="D352" s="4">
        <v>20</v>
      </c>
      <c r="E352" s="3">
        <v>23</v>
      </c>
      <c r="F352" s="3">
        <f>1.8*E352+32</f>
        <v>73.400000000000006</v>
      </c>
      <c r="G352" s="3">
        <v>25</v>
      </c>
      <c r="H352" s="3">
        <f>IF(F352&gt;68,G352+(F352-68)*0.2,U573-(68-F352)*0.2)</f>
        <v>26.080000000000002</v>
      </c>
      <c r="I352" s="3">
        <v>23</v>
      </c>
      <c r="J352" s="3">
        <f>1.8*I352+32</f>
        <v>73.400000000000006</v>
      </c>
      <c r="K352" s="3">
        <v>14</v>
      </c>
      <c r="L352" s="3">
        <f>IF(J352&gt;68,K352+(J352-68)*0.2,K352-(68-J352)*0.2)</f>
        <v>15.080000000000002</v>
      </c>
      <c r="M352" s="3">
        <f>(C352-H352)/C352*100</f>
        <v>47.839999999999996</v>
      </c>
      <c r="N352" s="3">
        <f>100-(M352+O352)</f>
        <v>22</v>
      </c>
      <c r="O352" s="3">
        <f>L352/C352*100</f>
        <v>30.160000000000004</v>
      </c>
      <c r="P352" s="2" t="s">
        <v>427</v>
      </c>
      <c r="Q352" s="37" t="s">
        <v>426</v>
      </c>
      <c r="R352" s="37" t="s">
        <v>425</v>
      </c>
    </row>
    <row r="353" spans="1:18" x14ac:dyDescent="0.25">
      <c r="A353" s="54"/>
      <c r="B353" s="4" t="s">
        <v>431</v>
      </c>
      <c r="C353" s="5">
        <v>50</v>
      </c>
      <c r="D353" s="4">
        <v>20</v>
      </c>
      <c r="E353" s="3">
        <v>23</v>
      </c>
      <c r="F353" s="3">
        <f>1.8*E353+32</f>
        <v>73.400000000000006</v>
      </c>
      <c r="G353" s="3">
        <v>24</v>
      </c>
      <c r="H353" s="3">
        <f>IF(F353&gt;68,G353+(F353-68)*0.2,U574-(68-F353)*0.2)</f>
        <v>25.080000000000002</v>
      </c>
      <c r="I353" s="3">
        <v>23</v>
      </c>
      <c r="J353" s="3">
        <f>1.8*I353+32</f>
        <v>73.400000000000006</v>
      </c>
      <c r="K353" s="3">
        <v>15</v>
      </c>
      <c r="L353" s="3">
        <f>IF(J353&gt;68,K353+(J353-68)*0.2,K353-(68-J353)*0.2)</f>
        <v>16.080000000000002</v>
      </c>
      <c r="M353" s="3">
        <f>(C353-H353)/C353*100</f>
        <v>49.839999999999996</v>
      </c>
      <c r="N353" s="3">
        <f>100-(M353+O353)</f>
        <v>18</v>
      </c>
      <c r="O353" s="3">
        <f>L353/C353*100</f>
        <v>32.160000000000004</v>
      </c>
      <c r="P353" s="2" t="s">
        <v>427</v>
      </c>
      <c r="Q353" s="37" t="s">
        <v>426</v>
      </c>
      <c r="R353" s="37" t="s">
        <v>425</v>
      </c>
    </row>
    <row r="354" spans="1:18" x14ac:dyDescent="0.25">
      <c r="A354" s="6"/>
      <c r="B354" s="4" t="s">
        <v>430</v>
      </c>
      <c r="C354" s="5">
        <v>50</v>
      </c>
      <c r="D354" s="4">
        <v>20</v>
      </c>
      <c r="E354" s="3">
        <v>23</v>
      </c>
      <c r="F354" s="3">
        <f>1.8*E354+32</f>
        <v>73.400000000000006</v>
      </c>
      <c r="G354" s="3">
        <v>16</v>
      </c>
      <c r="H354" s="3">
        <f>IF(F354&gt;68,G354+(F354-68)*0.2,U575-(68-F354)*0.2)</f>
        <v>17.080000000000002</v>
      </c>
      <c r="I354" s="3">
        <v>23</v>
      </c>
      <c r="J354" s="3">
        <f>1.8*I354+32</f>
        <v>73.400000000000006</v>
      </c>
      <c r="K354" s="3">
        <v>6</v>
      </c>
      <c r="L354" s="3">
        <f>IF(J354&gt;68,K354+(J354-68)*0.2,K354-(68-J354)*0.2)</f>
        <v>7.080000000000001</v>
      </c>
      <c r="M354" s="3">
        <f>(C354-H354)/C354*100</f>
        <v>65.84</v>
      </c>
      <c r="N354" s="3">
        <f>100-(M354+O354)</f>
        <v>20</v>
      </c>
      <c r="O354" s="3">
        <f>L354/C354*100</f>
        <v>14.160000000000004</v>
      </c>
      <c r="P354" s="2" t="s">
        <v>429</v>
      </c>
      <c r="Q354" s="37" t="s">
        <v>426</v>
      </c>
      <c r="R354" s="37" t="s">
        <v>425</v>
      </c>
    </row>
    <row r="355" spans="1:18" x14ac:dyDescent="0.25">
      <c r="A355" s="6"/>
      <c r="B355" s="4" t="s">
        <v>428</v>
      </c>
      <c r="C355" s="5">
        <v>50</v>
      </c>
      <c r="D355" s="4">
        <v>20</v>
      </c>
      <c r="E355" s="3">
        <v>23</v>
      </c>
      <c r="F355" s="3">
        <f>1.8*E355+32</f>
        <v>73.400000000000006</v>
      </c>
      <c r="G355" s="3">
        <v>15</v>
      </c>
      <c r="H355" s="3">
        <f>IF(F355&gt;68,G355+(F355-68)*0.2,U576-(68-F355)*0.2)</f>
        <v>16.080000000000002</v>
      </c>
      <c r="I355" s="3">
        <v>23</v>
      </c>
      <c r="J355" s="3">
        <f>1.8*I355+32</f>
        <v>73.400000000000006</v>
      </c>
      <c r="K355" s="3">
        <v>10</v>
      </c>
      <c r="L355" s="3">
        <f>IF(J355&gt;68,K355+(J355-68)*0.2,K355-(68-J355)*0.2)</f>
        <v>11.080000000000002</v>
      </c>
      <c r="M355" s="3">
        <f>(C355-H355)/C355*100</f>
        <v>67.84</v>
      </c>
      <c r="N355" s="3">
        <f>100-(M355+O355)</f>
        <v>10</v>
      </c>
      <c r="O355" s="3">
        <f>L355/C355*100</f>
        <v>22.160000000000004</v>
      </c>
      <c r="P355" s="2" t="s">
        <v>427</v>
      </c>
      <c r="Q355" s="37" t="s">
        <v>426</v>
      </c>
      <c r="R355" s="37" t="s">
        <v>425</v>
      </c>
    </row>
    <row r="356" spans="1:18" x14ac:dyDescent="0.25">
      <c r="A356" s="36"/>
    </row>
  </sheetData>
  <mergeCells count="117">
    <mergeCell ref="Q247:R247"/>
    <mergeCell ref="Q256:R256"/>
    <mergeCell ref="Q267:R267"/>
    <mergeCell ref="Q211:R211"/>
    <mergeCell ref="Q184:R184"/>
    <mergeCell ref="Q193:R193"/>
    <mergeCell ref="Q202:R202"/>
    <mergeCell ref="Q220:R220"/>
    <mergeCell ref="Q229:R229"/>
    <mergeCell ref="Q238:R238"/>
    <mergeCell ref="A340:A341"/>
    <mergeCell ref="A343:A344"/>
    <mergeCell ref="A349:A350"/>
    <mergeCell ref="A352:A353"/>
    <mergeCell ref="A313:A314"/>
    <mergeCell ref="A316:A317"/>
    <mergeCell ref="A322:A323"/>
    <mergeCell ref="A325:A326"/>
    <mergeCell ref="A331:A332"/>
    <mergeCell ref="A334:A335"/>
    <mergeCell ref="A280:A281"/>
    <mergeCell ref="A286:A287"/>
    <mergeCell ref="A289:A290"/>
    <mergeCell ref="A295:A296"/>
    <mergeCell ref="A298:A299"/>
    <mergeCell ref="A304:A305"/>
    <mergeCell ref="A242:A243"/>
    <mergeCell ref="A248:A249"/>
    <mergeCell ref="A212:A213"/>
    <mergeCell ref="A215:A216"/>
    <mergeCell ref="A307:A308"/>
    <mergeCell ref="A257:A258"/>
    <mergeCell ref="A260:A261"/>
    <mergeCell ref="A268:A269"/>
    <mergeCell ref="A271:A272"/>
    <mergeCell ref="A277:A278"/>
    <mergeCell ref="A251:A252"/>
    <mergeCell ref="A194:A195"/>
    <mergeCell ref="A197:A198"/>
    <mergeCell ref="A203:A204"/>
    <mergeCell ref="A206:A207"/>
    <mergeCell ref="A221:A222"/>
    <mergeCell ref="A224:A225"/>
    <mergeCell ref="A230:A231"/>
    <mergeCell ref="A233:A234"/>
    <mergeCell ref="A239:A240"/>
    <mergeCell ref="A161:A162"/>
    <mergeCell ref="A167:A168"/>
    <mergeCell ref="A170:A171"/>
    <mergeCell ref="A176:A177"/>
    <mergeCell ref="A179:A180"/>
    <mergeCell ref="A185:A186"/>
    <mergeCell ref="A116:A117"/>
    <mergeCell ref="A122:A123"/>
    <mergeCell ref="A125:A126"/>
    <mergeCell ref="A131:A132"/>
    <mergeCell ref="A188:A189"/>
    <mergeCell ref="A140:A141"/>
    <mergeCell ref="A143:A144"/>
    <mergeCell ref="A149:A150"/>
    <mergeCell ref="A152:A153"/>
    <mergeCell ref="A158:A159"/>
    <mergeCell ref="A71:A72"/>
    <mergeCell ref="A77:A78"/>
    <mergeCell ref="A134:A135"/>
    <mergeCell ref="A86:A87"/>
    <mergeCell ref="A89:A90"/>
    <mergeCell ref="A95:A96"/>
    <mergeCell ref="A98:A99"/>
    <mergeCell ref="A104:A105"/>
    <mergeCell ref="A107:A108"/>
    <mergeCell ref="A113:A114"/>
    <mergeCell ref="A80:A81"/>
    <mergeCell ref="A32:A33"/>
    <mergeCell ref="A35:A36"/>
    <mergeCell ref="A41:A42"/>
    <mergeCell ref="A44:A45"/>
    <mergeCell ref="A50:A51"/>
    <mergeCell ref="A53:A54"/>
    <mergeCell ref="A59:A60"/>
    <mergeCell ref="A62:A63"/>
    <mergeCell ref="A68:A69"/>
    <mergeCell ref="A26:A27"/>
    <mergeCell ref="Q4:R4"/>
    <mergeCell ref="Q13:R13"/>
    <mergeCell ref="Q22:R22"/>
    <mergeCell ref="Q31:R31"/>
    <mergeCell ref="A5:A6"/>
    <mergeCell ref="A8:A9"/>
    <mergeCell ref="A14:A15"/>
    <mergeCell ref="A17:A18"/>
    <mergeCell ref="A23:A24"/>
    <mergeCell ref="Q130:R130"/>
    <mergeCell ref="Q139:R139"/>
    <mergeCell ref="Q148:R148"/>
    <mergeCell ref="Q157:R157"/>
    <mergeCell ref="Q40:R40"/>
    <mergeCell ref="Q49:R49"/>
    <mergeCell ref="Q58:R58"/>
    <mergeCell ref="Q67:R67"/>
    <mergeCell ref="Q76:R76"/>
    <mergeCell ref="Q330:R330"/>
    <mergeCell ref="Q339:R339"/>
    <mergeCell ref="Q348:R348"/>
    <mergeCell ref="Q166:R166"/>
    <mergeCell ref="Q175:R175"/>
    <mergeCell ref="Q85:R85"/>
    <mergeCell ref="Q94:R94"/>
    <mergeCell ref="Q103:R103"/>
    <mergeCell ref="Q112:R112"/>
    <mergeCell ref="Q121:R121"/>
    <mergeCell ref="Q276:R276"/>
    <mergeCell ref="Q285:R285"/>
    <mergeCell ref="Q294:R294"/>
    <mergeCell ref="Q303:R303"/>
    <mergeCell ref="Q312:R312"/>
    <mergeCell ref="Q321:R3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SoilDF</vt:lpstr>
      <vt:lpstr>F111-2006-2007-Camelina</vt:lpstr>
      <vt:lpstr>F111-2007-Cotton</vt:lpstr>
      <vt:lpstr>F111-2009-Wheat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2025-06-23T21:43:42Z</dcterms:created>
  <dcterms:modified xsi:type="dcterms:W3CDTF">2025-06-23T21:49:08Z</dcterms:modified>
</cp:coreProperties>
</file>