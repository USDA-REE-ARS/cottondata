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22_F013B4_CO_IRATE\"/>
    </mc:Choice>
  </mc:AlternateContent>
  <xr:revisionPtr revIDLastSave="0" documentId="13_ncr:1_{69CBFF28-D239-4009-BDC0-FCF3DEB49661}" xr6:coauthVersionLast="47" xr6:coauthVersionMax="47" xr10:uidLastSave="{00000000-0000-0000-0000-000000000000}"/>
  <bookViews>
    <workbookView xWindow="-4590" yWindow="-28920" windowWidth="18240" windowHeight="29040" xr2:uid="{A0C8E5E1-3BB8-481A-9E5C-615F618DEDC4}"/>
  </bookViews>
  <sheets>
    <sheet name="Raw Scale" sheetId="1" r:id="rId1"/>
    <sheet name="Plot Sc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96" i="1" l="1"/>
  <c r="AT96" i="1"/>
  <c r="AU94" i="1"/>
  <c r="AT94" i="1"/>
  <c r="AU92" i="1"/>
  <c r="AT92" i="1"/>
  <c r="AU90" i="1"/>
  <c r="AT90" i="1"/>
  <c r="AU88" i="1"/>
  <c r="AT88" i="1"/>
  <c r="AU86" i="1"/>
  <c r="AT86" i="1"/>
  <c r="AU84" i="1"/>
  <c r="AT84" i="1"/>
  <c r="AU82" i="1"/>
  <c r="AT82" i="1"/>
  <c r="AU80" i="1"/>
  <c r="AT80" i="1"/>
  <c r="AU78" i="1"/>
  <c r="AT78" i="1"/>
  <c r="AU76" i="1"/>
  <c r="AT76" i="1"/>
  <c r="AU74" i="1"/>
  <c r="AT74" i="1"/>
  <c r="AU72" i="1"/>
  <c r="AT72" i="1"/>
  <c r="AU70" i="1"/>
  <c r="AT70" i="1"/>
  <c r="AU68" i="1"/>
  <c r="AT68" i="1"/>
  <c r="AU66" i="1"/>
  <c r="AT66" i="1"/>
  <c r="BI66" i="1" l="1"/>
  <c r="BH66" i="1"/>
  <c r="BG66" i="1"/>
  <c r="BC66" i="1"/>
  <c r="AV66" i="1"/>
  <c r="AW66" i="1" s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X73" i="1" s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X81" i="1" s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X89" i="1" s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X97" i="1" s="1"/>
  <c r="W97" i="1"/>
  <c r="W66" i="1"/>
  <c r="V66" i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I70" i="1"/>
  <c r="I66" i="1"/>
  <c r="CE96" i="1"/>
  <c r="CD96" i="1"/>
  <c r="CC96" i="1"/>
  <c r="CA96" i="1"/>
  <c r="BZ96" i="1"/>
  <c r="BY96" i="1"/>
  <c r="BX96" i="1"/>
  <c r="BW96" i="1"/>
  <c r="BV96" i="1"/>
  <c r="BU96" i="1"/>
  <c r="BT96" i="1"/>
  <c r="BI96" i="1"/>
  <c r="BH96" i="1"/>
  <c r="BG96" i="1"/>
  <c r="BC96" i="1"/>
  <c r="BA96" i="1"/>
  <c r="AZ96" i="1"/>
  <c r="AV96" i="1"/>
  <c r="AW96" i="1" s="1"/>
  <c r="CE94" i="1"/>
  <c r="CD94" i="1"/>
  <c r="CC94" i="1"/>
  <c r="CA94" i="1"/>
  <c r="BZ94" i="1"/>
  <c r="BY94" i="1"/>
  <c r="BX94" i="1"/>
  <c r="BW94" i="1"/>
  <c r="BV94" i="1"/>
  <c r="BU94" i="1"/>
  <c r="BT94" i="1"/>
  <c r="BI94" i="1"/>
  <c r="BH94" i="1"/>
  <c r="BG94" i="1"/>
  <c r="BC94" i="1"/>
  <c r="BA94" i="1"/>
  <c r="AZ94" i="1"/>
  <c r="AV94" i="1"/>
  <c r="AW94" i="1" s="1"/>
  <c r="CE92" i="1"/>
  <c r="CD92" i="1"/>
  <c r="CC92" i="1"/>
  <c r="CA92" i="1"/>
  <c r="BZ92" i="1"/>
  <c r="BY92" i="1"/>
  <c r="BX92" i="1"/>
  <c r="BW92" i="1"/>
  <c r="BV92" i="1"/>
  <c r="BU92" i="1"/>
  <c r="BT92" i="1"/>
  <c r="BI92" i="1"/>
  <c r="BH92" i="1"/>
  <c r="BG92" i="1"/>
  <c r="BC92" i="1"/>
  <c r="BA92" i="1"/>
  <c r="AZ92" i="1"/>
  <c r="AV92" i="1"/>
  <c r="AW92" i="1" s="1"/>
  <c r="CE90" i="1"/>
  <c r="CD90" i="1"/>
  <c r="CC90" i="1"/>
  <c r="CA90" i="1"/>
  <c r="BZ90" i="1"/>
  <c r="BY90" i="1"/>
  <c r="BX90" i="1"/>
  <c r="BW90" i="1"/>
  <c r="BV90" i="1"/>
  <c r="BU90" i="1"/>
  <c r="BT90" i="1"/>
  <c r="BI90" i="1"/>
  <c r="BH90" i="1"/>
  <c r="BG90" i="1"/>
  <c r="BC90" i="1"/>
  <c r="BA90" i="1"/>
  <c r="AZ90" i="1"/>
  <c r="AV90" i="1"/>
  <c r="AW90" i="1" s="1"/>
  <c r="CE88" i="1"/>
  <c r="CD88" i="1"/>
  <c r="CC88" i="1"/>
  <c r="CA88" i="1"/>
  <c r="BZ88" i="1"/>
  <c r="BY88" i="1"/>
  <c r="BX88" i="1"/>
  <c r="BW88" i="1"/>
  <c r="BV88" i="1"/>
  <c r="BU88" i="1"/>
  <c r="BT88" i="1"/>
  <c r="BI88" i="1"/>
  <c r="BH88" i="1"/>
  <c r="BG88" i="1"/>
  <c r="BC88" i="1"/>
  <c r="BA88" i="1"/>
  <c r="AZ88" i="1"/>
  <c r="AV88" i="1"/>
  <c r="AW88" i="1" s="1"/>
  <c r="CE86" i="1"/>
  <c r="CD86" i="1"/>
  <c r="CC86" i="1"/>
  <c r="CA86" i="1"/>
  <c r="BZ86" i="1"/>
  <c r="BY86" i="1"/>
  <c r="BX86" i="1"/>
  <c r="BW86" i="1"/>
  <c r="BV86" i="1"/>
  <c r="BU86" i="1"/>
  <c r="BT86" i="1"/>
  <c r="BI86" i="1"/>
  <c r="BH86" i="1"/>
  <c r="BG86" i="1"/>
  <c r="BC86" i="1"/>
  <c r="BA86" i="1"/>
  <c r="AZ86" i="1"/>
  <c r="AV86" i="1"/>
  <c r="AW86" i="1" s="1"/>
  <c r="CE84" i="1"/>
  <c r="CD84" i="1"/>
  <c r="CC84" i="1"/>
  <c r="CA84" i="1"/>
  <c r="BZ84" i="1"/>
  <c r="BY84" i="1"/>
  <c r="BX84" i="1"/>
  <c r="BW84" i="1"/>
  <c r="BV84" i="1"/>
  <c r="BU84" i="1"/>
  <c r="BT84" i="1"/>
  <c r="BI84" i="1"/>
  <c r="BH84" i="1"/>
  <c r="BG84" i="1"/>
  <c r="BC84" i="1"/>
  <c r="BA84" i="1"/>
  <c r="AZ84" i="1"/>
  <c r="AV84" i="1"/>
  <c r="AW84" i="1" s="1"/>
  <c r="CE82" i="1"/>
  <c r="CD82" i="1"/>
  <c r="CC82" i="1"/>
  <c r="CA82" i="1"/>
  <c r="BZ82" i="1"/>
  <c r="BY82" i="1"/>
  <c r="BX82" i="1"/>
  <c r="BW82" i="1"/>
  <c r="BV82" i="1"/>
  <c r="BU82" i="1"/>
  <c r="BT82" i="1"/>
  <c r="BI82" i="1"/>
  <c r="BH82" i="1"/>
  <c r="BG82" i="1"/>
  <c r="BC82" i="1"/>
  <c r="BA82" i="1"/>
  <c r="AZ82" i="1"/>
  <c r="AV82" i="1"/>
  <c r="AW82" i="1" s="1"/>
  <c r="CE80" i="1"/>
  <c r="CD80" i="1"/>
  <c r="CC80" i="1"/>
  <c r="CA80" i="1"/>
  <c r="BZ80" i="1"/>
  <c r="BY80" i="1"/>
  <c r="BX80" i="1"/>
  <c r="BW80" i="1"/>
  <c r="BV80" i="1"/>
  <c r="BU80" i="1"/>
  <c r="BT80" i="1"/>
  <c r="BI80" i="1"/>
  <c r="BH80" i="1"/>
  <c r="BG80" i="1"/>
  <c r="BC80" i="1"/>
  <c r="BA80" i="1"/>
  <c r="AZ80" i="1"/>
  <c r="AV80" i="1"/>
  <c r="AW80" i="1" s="1"/>
  <c r="CE78" i="1"/>
  <c r="CD78" i="1"/>
  <c r="CC78" i="1"/>
  <c r="CA78" i="1"/>
  <c r="BZ78" i="1"/>
  <c r="BY78" i="1"/>
  <c r="BX78" i="1"/>
  <c r="BW78" i="1"/>
  <c r="BV78" i="1"/>
  <c r="BU78" i="1"/>
  <c r="BT78" i="1"/>
  <c r="BI78" i="1"/>
  <c r="BH78" i="1"/>
  <c r="BG78" i="1"/>
  <c r="BC78" i="1"/>
  <c r="BA78" i="1"/>
  <c r="AZ78" i="1"/>
  <c r="AV78" i="1"/>
  <c r="AW78" i="1" s="1"/>
  <c r="CE76" i="1"/>
  <c r="CD76" i="1"/>
  <c r="CC76" i="1"/>
  <c r="CA76" i="1"/>
  <c r="BZ76" i="1"/>
  <c r="BY76" i="1"/>
  <c r="BX76" i="1"/>
  <c r="BW76" i="1"/>
  <c r="BV76" i="1"/>
  <c r="BU76" i="1"/>
  <c r="BT76" i="1"/>
  <c r="BI76" i="1"/>
  <c r="BH76" i="1"/>
  <c r="BG76" i="1"/>
  <c r="BC76" i="1"/>
  <c r="BA76" i="1"/>
  <c r="AZ76" i="1"/>
  <c r="AV76" i="1"/>
  <c r="AW76" i="1" s="1"/>
  <c r="CE74" i="1"/>
  <c r="CD74" i="1"/>
  <c r="CC74" i="1"/>
  <c r="CA74" i="1"/>
  <c r="BZ74" i="1"/>
  <c r="BY74" i="1"/>
  <c r="BX74" i="1"/>
  <c r="BW74" i="1"/>
  <c r="BV74" i="1"/>
  <c r="BU74" i="1"/>
  <c r="BT74" i="1"/>
  <c r="BI74" i="1"/>
  <c r="BH74" i="1"/>
  <c r="BG74" i="1"/>
  <c r="BC74" i="1"/>
  <c r="BA74" i="1"/>
  <c r="AZ74" i="1"/>
  <c r="AV74" i="1"/>
  <c r="AW74" i="1" s="1"/>
  <c r="CE72" i="1"/>
  <c r="CD72" i="1"/>
  <c r="CC72" i="1"/>
  <c r="CA72" i="1"/>
  <c r="BZ72" i="1"/>
  <c r="BY72" i="1"/>
  <c r="BX72" i="1"/>
  <c r="BW72" i="1"/>
  <c r="BV72" i="1"/>
  <c r="BU72" i="1"/>
  <c r="BT72" i="1"/>
  <c r="BI72" i="1"/>
  <c r="BH72" i="1"/>
  <c r="BG72" i="1"/>
  <c r="BC72" i="1"/>
  <c r="BA72" i="1"/>
  <c r="AZ72" i="1"/>
  <c r="AV72" i="1"/>
  <c r="AW72" i="1" s="1"/>
  <c r="CE70" i="1"/>
  <c r="CD70" i="1"/>
  <c r="CC70" i="1"/>
  <c r="CA70" i="1"/>
  <c r="BZ70" i="1"/>
  <c r="BY70" i="1"/>
  <c r="BX70" i="1"/>
  <c r="BW70" i="1"/>
  <c r="BV70" i="1"/>
  <c r="BU70" i="1"/>
  <c r="BT70" i="1"/>
  <c r="BI70" i="1"/>
  <c r="BH70" i="1"/>
  <c r="BG70" i="1"/>
  <c r="BC70" i="1"/>
  <c r="BA70" i="1"/>
  <c r="AZ70" i="1"/>
  <c r="AV70" i="1"/>
  <c r="AW70" i="1" s="1"/>
  <c r="CE68" i="1"/>
  <c r="CD68" i="1"/>
  <c r="CC68" i="1"/>
  <c r="CA68" i="1"/>
  <c r="BZ68" i="1"/>
  <c r="BY68" i="1"/>
  <c r="BX68" i="1"/>
  <c r="BW68" i="1"/>
  <c r="BV68" i="1"/>
  <c r="BU68" i="1"/>
  <c r="BT68" i="1"/>
  <c r="BI68" i="1"/>
  <c r="BH68" i="1"/>
  <c r="BG68" i="1"/>
  <c r="BC68" i="1"/>
  <c r="BA68" i="1"/>
  <c r="AZ68" i="1"/>
  <c r="AV68" i="1"/>
  <c r="AW68" i="1" s="1"/>
  <c r="BV66" i="1"/>
  <c r="BW66" i="1"/>
  <c r="BX66" i="1"/>
  <c r="BY66" i="1"/>
  <c r="BZ66" i="1"/>
  <c r="CA66" i="1"/>
  <c r="CC66" i="1"/>
  <c r="CD66" i="1"/>
  <c r="CE66" i="1"/>
  <c r="BU66" i="1"/>
  <c r="BA66" i="1"/>
  <c r="AZ66" i="1"/>
  <c r="X83" i="1" l="1"/>
  <c r="BK66" i="1"/>
  <c r="X66" i="1"/>
  <c r="BJ92" i="1"/>
  <c r="BL92" i="1" s="1"/>
  <c r="BK92" i="1"/>
  <c r="BK84" i="1"/>
  <c r="BK76" i="1"/>
  <c r="BB84" i="1"/>
  <c r="BD84" i="1" s="1"/>
  <c r="BB92" i="1"/>
  <c r="BD92" i="1" s="1"/>
  <c r="X75" i="1"/>
  <c r="BB94" i="1"/>
  <c r="BD94" i="1" s="1"/>
  <c r="BB66" i="1"/>
  <c r="BD66" i="1" s="1"/>
  <c r="X70" i="1"/>
  <c r="BJ96" i="1"/>
  <c r="X96" i="1"/>
  <c r="X92" i="1"/>
  <c r="X88" i="1"/>
  <c r="X84" i="1"/>
  <c r="X72" i="1"/>
  <c r="BK88" i="1"/>
  <c r="BJ74" i="1"/>
  <c r="BJ90" i="1"/>
  <c r="BK96" i="1"/>
  <c r="BL96" i="1" s="1"/>
  <c r="BB70" i="1"/>
  <c r="BD70" i="1" s="1"/>
  <c r="BK74" i="1"/>
  <c r="BB86" i="1"/>
  <c r="BD86" i="1" s="1"/>
  <c r="BK90" i="1"/>
  <c r="BB88" i="1"/>
  <c r="BD88" i="1" s="1"/>
  <c r="X90" i="1"/>
  <c r="BK70" i="1"/>
  <c r="BK78" i="1"/>
  <c r="BK86" i="1"/>
  <c r="BB90" i="1"/>
  <c r="BD90" i="1" s="1"/>
  <c r="BJ94" i="1"/>
  <c r="BJ70" i="1"/>
  <c r="X74" i="1"/>
  <c r="BJ80" i="1"/>
  <c r="BK94" i="1"/>
  <c r="X67" i="1"/>
  <c r="BK80" i="1"/>
  <c r="X94" i="1"/>
  <c r="X78" i="1"/>
  <c r="X76" i="1"/>
  <c r="BJ66" i="1"/>
  <c r="BL66" i="1" s="1"/>
  <c r="X86" i="1"/>
  <c r="X82" i="1"/>
  <c r="BJ84" i="1"/>
  <c r="BL84" i="1" s="1"/>
  <c r="X95" i="1"/>
  <c r="X87" i="1"/>
  <c r="BJ68" i="1"/>
  <c r="BJ72" i="1"/>
  <c r="BB74" i="1"/>
  <c r="BD74" i="1" s="1"/>
  <c r="BJ82" i="1"/>
  <c r="X68" i="1"/>
  <c r="BK68" i="1"/>
  <c r="BK72" i="1"/>
  <c r="BJ78" i="1"/>
  <c r="BB80" i="1"/>
  <c r="BD80" i="1" s="1"/>
  <c r="BK82" i="1"/>
  <c r="BJ86" i="1"/>
  <c r="BB76" i="1"/>
  <c r="BD76" i="1" s="1"/>
  <c r="BB96" i="1"/>
  <c r="BD96" i="1" s="1"/>
  <c r="BB68" i="1"/>
  <c r="BD68" i="1" s="1"/>
  <c r="BB72" i="1"/>
  <c r="BD72" i="1" s="1"/>
  <c r="BB82" i="1"/>
  <c r="BD82" i="1" s="1"/>
  <c r="BJ76" i="1"/>
  <c r="BB78" i="1"/>
  <c r="BD78" i="1" s="1"/>
  <c r="BJ88" i="1"/>
  <c r="X91" i="1"/>
  <c r="X80" i="1"/>
  <c r="X79" i="1"/>
  <c r="X71" i="1"/>
  <c r="X93" i="1"/>
  <c r="X85" i="1"/>
  <c r="X77" i="1"/>
  <c r="X69" i="1"/>
  <c r="BL88" i="1" l="1"/>
  <c r="BL76" i="1"/>
  <c r="BL94" i="1"/>
  <c r="BL90" i="1"/>
  <c r="BL74" i="1"/>
  <c r="BL72" i="1"/>
  <c r="BL70" i="1"/>
  <c r="BL78" i="1"/>
  <c r="BL80" i="1"/>
  <c r="BL86" i="1"/>
  <c r="BL82" i="1"/>
  <c r="BL68" i="1"/>
  <c r="I91" i="1" l="1"/>
  <c r="I67" i="1"/>
  <c r="I68" i="1"/>
  <c r="I69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BT66" i="1" l="1"/>
  <c r="A49" i="1" l="1"/>
  <c r="A55" i="1" l="1"/>
  <c r="J67" i="1" l="1"/>
  <c r="K67" i="1" s="1"/>
  <c r="J66" i="1"/>
  <c r="J68" i="1"/>
  <c r="J97" i="1"/>
  <c r="K97" i="1" s="1"/>
  <c r="J69" i="1"/>
  <c r="K69" i="1" s="1"/>
  <c r="J83" i="1"/>
  <c r="K83" i="1" s="1"/>
  <c r="J82" i="1"/>
  <c r="J87" i="1"/>
  <c r="K87" i="1" s="1"/>
  <c r="J81" i="1"/>
  <c r="K81" i="1" s="1"/>
  <c r="J96" i="1"/>
  <c r="J80" i="1"/>
  <c r="J95" i="1"/>
  <c r="K95" i="1" s="1"/>
  <c r="J79" i="1"/>
  <c r="K79" i="1" s="1"/>
  <c r="J94" i="1"/>
  <c r="J78" i="1"/>
  <c r="J71" i="1"/>
  <c r="K71" i="1" s="1"/>
  <c r="J84" i="1"/>
  <c r="J93" i="1"/>
  <c r="K93" i="1" s="1"/>
  <c r="J77" i="1"/>
  <c r="K77" i="1" s="1"/>
  <c r="J92" i="1"/>
  <c r="J76" i="1"/>
  <c r="J86" i="1"/>
  <c r="J91" i="1"/>
  <c r="K91" i="1" s="1"/>
  <c r="J75" i="1"/>
  <c r="K75" i="1" s="1"/>
  <c r="J90" i="1"/>
  <c r="J74" i="1"/>
  <c r="J89" i="1"/>
  <c r="K89" i="1" s="1"/>
  <c r="J73" i="1"/>
  <c r="K73" i="1" s="1"/>
  <c r="J88" i="1"/>
  <c r="J72" i="1"/>
  <c r="J70" i="1"/>
  <c r="J85" i="1"/>
  <c r="K85" i="1" s="1"/>
  <c r="AX84" i="1" l="1"/>
  <c r="AY84" i="1" s="1"/>
  <c r="K84" i="1"/>
  <c r="Y87" i="1"/>
  <c r="Q87" i="1"/>
  <c r="Z87" i="1"/>
  <c r="AX70" i="1"/>
  <c r="AY70" i="1" s="1"/>
  <c r="K70" i="1"/>
  <c r="AX78" i="1"/>
  <c r="AY78" i="1" s="1"/>
  <c r="K78" i="1"/>
  <c r="AX82" i="1"/>
  <c r="AY82" i="1" s="1"/>
  <c r="K82" i="1"/>
  <c r="AX72" i="1"/>
  <c r="AY72" i="1" s="1"/>
  <c r="K72" i="1"/>
  <c r="AX86" i="1"/>
  <c r="AY86" i="1" s="1"/>
  <c r="K86" i="1"/>
  <c r="AX94" i="1"/>
  <c r="AY94" i="1" s="1"/>
  <c r="K94" i="1"/>
  <c r="Q83" i="1"/>
  <c r="Z83" i="1"/>
  <c r="Y83" i="1"/>
  <c r="AA83" i="1" s="1"/>
  <c r="Q75" i="1"/>
  <c r="Y75" i="1"/>
  <c r="Z75" i="1"/>
  <c r="Z69" i="1"/>
  <c r="Q69" i="1"/>
  <c r="Y69" i="1"/>
  <c r="Q71" i="1"/>
  <c r="Y71" i="1"/>
  <c r="Z71" i="1"/>
  <c r="Q79" i="1"/>
  <c r="Y79" i="1"/>
  <c r="Z79" i="1"/>
  <c r="Q73" i="1"/>
  <c r="Y73" i="1"/>
  <c r="Z73" i="1"/>
  <c r="AX92" i="1"/>
  <c r="AY92" i="1" s="1"/>
  <c r="K92" i="1"/>
  <c r="Q95" i="1"/>
  <c r="Y95" i="1"/>
  <c r="Z95" i="1"/>
  <c r="Y97" i="1"/>
  <c r="Q97" i="1"/>
  <c r="Z97" i="1"/>
  <c r="Q81" i="1"/>
  <c r="Y81" i="1"/>
  <c r="Z81" i="1"/>
  <c r="AX90" i="1"/>
  <c r="AY90" i="1" s="1"/>
  <c r="K90" i="1"/>
  <c r="Q85" i="1"/>
  <c r="Z85" i="1"/>
  <c r="Y85" i="1"/>
  <c r="Q91" i="1"/>
  <c r="Y91" i="1"/>
  <c r="Z91" i="1"/>
  <c r="AA91" i="1" s="1"/>
  <c r="AX88" i="1"/>
  <c r="AY88" i="1" s="1"/>
  <c r="K88" i="1"/>
  <c r="AX76" i="1"/>
  <c r="AY76" i="1" s="1"/>
  <c r="K76" i="1"/>
  <c r="Y89" i="1"/>
  <c r="Q89" i="1"/>
  <c r="Z89" i="1"/>
  <c r="Z77" i="1"/>
  <c r="Q77" i="1"/>
  <c r="Y77" i="1"/>
  <c r="AX80" i="1"/>
  <c r="AY80" i="1" s="1"/>
  <c r="K80" i="1"/>
  <c r="AX68" i="1"/>
  <c r="AY68" i="1" s="1"/>
  <c r="K68" i="1"/>
  <c r="AX74" i="1"/>
  <c r="AY74" i="1" s="1"/>
  <c r="K74" i="1"/>
  <c r="Q93" i="1"/>
  <c r="Y93" i="1"/>
  <c r="Z93" i="1"/>
  <c r="AX96" i="1"/>
  <c r="AY96" i="1" s="1"/>
  <c r="K96" i="1"/>
  <c r="AX66" i="1"/>
  <c r="AY66" i="1" s="1"/>
  <c r="K66" i="1"/>
  <c r="Q67" i="1"/>
  <c r="Y67" i="1"/>
  <c r="Z67" i="1"/>
  <c r="AA73" i="1" l="1"/>
  <c r="AA97" i="1"/>
  <c r="AA75" i="1"/>
  <c r="AA93" i="1"/>
  <c r="AA77" i="1"/>
  <c r="AA71" i="1"/>
  <c r="Q88" i="1"/>
  <c r="Z88" i="1"/>
  <c r="Y88" i="1"/>
  <c r="Q90" i="1"/>
  <c r="Y90" i="1"/>
  <c r="Z90" i="1"/>
  <c r="BM94" i="1"/>
  <c r="BN94" i="1"/>
  <c r="BE94" i="1"/>
  <c r="BM78" i="1"/>
  <c r="BE78" i="1"/>
  <c r="BN78" i="1"/>
  <c r="AA67" i="1"/>
  <c r="AC93" i="1"/>
  <c r="AB93" i="1"/>
  <c r="AC77" i="1"/>
  <c r="AB77" i="1"/>
  <c r="BE88" i="1"/>
  <c r="BM88" i="1"/>
  <c r="BN88" i="1"/>
  <c r="BM90" i="1"/>
  <c r="BE90" i="1"/>
  <c r="BN90" i="1"/>
  <c r="AA95" i="1"/>
  <c r="AA79" i="1"/>
  <c r="Q86" i="1"/>
  <c r="Z86" i="1"/>
  <c r="Y86" i="1"/>
  <c r="Y70" i="1"/>
  <c r="Q70" i="1"/>
  <c r="Z70" i="1"/>
  <c r="BE70" i="1"/>
  <c r="BM70" i="1"/>
  <c r="BN70" i="1"/>
  <c r="Z66" i="1"/>
  <c r="Y66" i="1"/>
  <c r="Q66" i="1"/>
  <c r="BE74" i="1"/>
  <c r="BN74" i="1"/>
  <c r="BM74" i="1"/>
  <c r="BO74" i="1" s="1"/>
  <c r="AA81" i="1"/>
  <c r="Q92" i="1"/>
  <c r="Z92" i="1"/>
  <c r="Y92" i="1"/>
  <c r="AC75" i="1"/>
  <c r="AB75" i="1"/>
  <c r="Q72" i="1"/>
  <c r="Z72" i="1"/>
  <c r="Y72" i="1"/>
  <c r="BM86" i="1"/>
  <c r="BN86" i="1"/>
  <c r="BE86" i="1"/>
  <c r="BN66" i="1"/>
  <c r="BE66" i="1"/>
  <c r="BM66" i="1"/>
  <c r="Q68" i="1"/>
  <c r="Y68" i="1"/>
  <c r="Z68" i="1"/>
  <c r="AB89" i="1"/>
  <c r="AC89" i="1"/>
  <c r="AC91" i="1"/>
  <c r="AB91" i="1"/>
  <c r="AB81" i="1"/>
  <c r="AC81" i="1"/>
  <c r="AD81" i="1" s="1"/>
  <c r="BM92" i="1"/>
  <c r="BE92" i="1"/>
  <c r="BN92" i="1"/>
  <c r="BM72" i="1"/>
  <c r="BE72" i="1"/>
  <c r="BN72" i="1"/>
  <c r="AB87" i="1"/>
  <c r="AC87" i="1"/>
  <c r="AD87" i="1" s="1"/>
  <c r="Q96" i="1"/>
  <c r="Z96" i="1"/>
  <c r="Y96" i="1"/>
  <c r="BE68" i="1"/>
  <c r="BN68" i="1"/>
  <c r="BM68" i="1"/>
  <c r="AA89" i="1"/>
  <c r="AA85" i="1"/>
  <c r="AB71" i="1"/>
  <c r="AC71" i="1"/>
  <c r="Q82" i="1"/>
  <c r="Z82" i="1"/>
  <c r="Y82" i="1"/>
  <c r="AA87" i="1"/>
  <c r="Q74" i="1"/>
  <c r="Z74" i="1"/>
  <c r="Y74" i="1"/>
  <c r="AB79" i="1"/>
  <c r="AC79" i="1"/>
  <c r="BM96" i="1"/>
  <c r="BE96" i="1"/>
  <c r="BN96" i="1"/>
  <c r="Q80" i="1"/>
  <c r="Z80" i="1"/>
  <c r="Y80" i="1"/>
  <c r="Q76" i="1"/>
  <c r="Z76" i="1"/>
  <c r="Y76" i="1"/>
  <c r="AB97" i="1"/>
  <c r="AC97" i="1"/>
  <c r="AA69" i="1"/>
  <c r="AC83" i="1"/>
  <c r="AB83" i="1"/>
  <c r="BM82" i="1"/>
  <c r="BN82" i="1"/>
  <c r="BE82" i="1"/>
  <c r="Q84" i="1"/>
  <c r="Y84" i="1"/>
  <c r="Z84" i="1"/>
  <c r="AC67" i="1"/>
  <c r="AB67" i="1"/>
  <c r="AB95" i="1"/>
  <c r="AC95" i="1"/>
  <c r="BM80" i="1"/>
  <c r="BE80" i="1"/>
  <c r="BN80" i="1"/>
  <c r="BN76" i="1"/>
  <c r="BM76" i="1"/>
  <c r="BO76" i="1" s="1"/>
  <c r="BE76" i="1"/>
  <c r="AC85" i="1"/>
  <c r="AB85" i="1"/>
  <c r="AC73" i="1"/>
  <c r="AB73" i="1"/>
  <c r="AC69" i="1"/>
  <c r="AB69" i="1"/>
  <c r="Q94" i="1"/>
  <c r="Z94" i="1"/>
  <c r="Y94" i="1"/>
  <c r="AA94" i="1" s="1"/>
  <c r="Q78" i="1"/>
  <c r="Y78" i="1"/>
  <c r="Z78" i="1"/>
  <c r="BN84" i="1"/>
  <c r="BE84" i="1"/>
  <c r="BM84" i="1"/>
  <c r="AA84" i="1" l="1"/>
  <c r="AA78" i="1"/>
  <c r="AD73" i="1"/>
  <c r="AA82" i="1"/>
  <c r="BO90" i="1"/>
  <c r="AA76" i="1"/>
  <c r="AD89" i="1"/>
  <c r="AA92" i="1"/>
  <c r="AA66" i="1"/>
  <c r="AA86" i="1"/>
  <c r="AD95" i="1"/>
  <c r="BO82" i="1"/>
  <c r="BO86" i="1"/>
  <c r="BO78" i="1"/>
  <c r="BO92" i="1"/>
  <c r="AA68" i="1"/>
  <c r="BO70" i="1"/>
  <c r="AD97" i="1"/>
  <c r="BO68" i="1"/>
  <c r="AD91" i="1"/>
  <c r="AD75" i="1"/>
  <c r="AB70" i="1"/>
  <c r="AC70" i="1"/>
  <c r="BO84" i="1"/>
  <c r="AB94" i="1"/>
  <c r="AC94" i="1"/>
  <c r="AB68" i="1"/>
  <c r="AC68" i="1"/>
  <c r="BQ70" i="1"/>
  <c r="BP70" i="1"/>
  <c r="BQ84" i="1"/>
  <c r="BP84" i="1"/>
  <c r="BR84" i="1" s="1"/>
  <c r="AD69" i="1"/>
  <c r="AC80" i="1"/>
  <c r="AB80" i="1"/>
  <c r="AB74" i="1"/>
  <c r="AC74" i="1"/>
  <c r="BO66" i="1"/>
  <c r="AC72" i="1"/>
  <c r="AB72" i="1"/>
  <c r="AD72" i="1" s="1"/>
  <c r="AA70" i="1"/>
  <c r="AD93" i="1"/>
  <c r="BO94" i="1"/>
  <c r="BP74" i="1"/>
  <c r="BQ74" i="1"/>
  <c r="AB84" i="1"/>
  <c r="AC84" i="1"/>
  <c r="BP96" i="1"/>
  <c r="BQ96" i="1"/>
  <c r="BO80" i="1"/>
  <c r="BQ82" i="1"/>
  <c r="BP82" i="1"/>
  <c r="BO96" i="1"/>
  <c r="BQ68" i="1"/>
  <c r="BP68" i="1"/>
  <c r="BO72" i="1"/>
  <c r="BP86" i="1"/>
  <c r="BQ86" i="1"/>
  <c r="AC90" i="1"/>
  <c r="AB90" i="1"/>
  <c r="BP90" i="1"/>
  <c r="BQ90" i="1"/>
  <c r="BQ80" i="1"/>
  <c r="BP80" i="1"/>
  <c r="BR80" i="1" s="1"/>
  <c r="BQ72" i="1"/>
  <c r="BP72" i="1"/>
  <c r="AC66" i="1"/>
  <c r="AB66" i="1"/>
  <c r="AA90" i="1"/>
  <c r="AB78" i="1"/>
  <c r="AC78" i="1"/>
  <c r="AD85" i="1"/>
  <c r="AD79" i="1"/>
  <c r="AC82" i="1"/>
  <c r="AB82" i="1"/>
  <c r="AA96" i="1"/>
  <c r="BO88" i="1"/>
  <c r="BP78" i="1"/>
  <c r="BQ78" i="1"/>
  <c r="AA88" i="1"/>
  <c r="AB76" i="1"/>
  <c r="AC76" i="1"/>
  <c r="AD71" i="1"/>
  <c r="BQ92" i="1"/>
  <c r="BP92" i="1"/>
  <c r="AB92" i="1"/>
  <c r="AC92" i="1"/>
  <c r="AB86" i="1"/>
  <c r="AC86" i="1"/>
  <c r="BP88" i="1"/>
  <c r="BQ88" i="1"/>
  <c r="BQ66" i="1"/>
  <c r="BP66" i="1"/>
  <c r="BP76" i="1"/>
  <c r="BQ76" i="1"/>
  <c r="AD67" i="1"/>
  <c r="AD83" i="1"/>
  <c r="AA80" i="1"/>
  <c r="AA74" i="1"/>
  <c r="AC96" i="1"/>
  <c r="AB96" i="1"/>
  <c r="AD96" i="1" s="1"/>
  <c r="AA72" i="1"/>
  <c r="AD77" i="1"/>
  <c r="BQ94" i="1"/>
  <c r="BP94" i="1"/>
  <c r="AC88" i="1"/>
  <c r="AB88" i="1"/>
  <c r="BR94" i="1" l="1"/>
  <c r="AD88" i="1"/>
  <c r="BR66" i="1"/>
  <c r="BR72" i="1"/>
  <c r="BR92" i="1"/>
  <c r="BR90" i="1"/>
  <c r="AD66" i="1"/>
  <c r="AD90" i="1"/>
  <c r="BR82" i="1"/>
  <c r="BR88" i="1"/>
  <c r="BR76" i="1"/>
  <c r="AD92" i="1"/>
  <c r="BR78" i="1"/>
  <c r="AD78" i="1"/>
  <c r="AD84" i="1"/>
  <c r="AD70" i="1"/>
  <c r="AD82" i="1"/>
  <c r="AD80" i="1"/>
  <c r="AD68" i="1"/>
  <c r="AD76" i="1"/>
  <c r="BR86" i="1"/>
  <c r="AD94" i="1"/>
  <c r="AD74" i="1"/>
  <c r="AD86" i="1"/>
  <c r="BR96" i="1"/>
  <c r="BR68" i="1"/>
  <c r="BR74" i="1"/>
  <c r="BR70" i="1"/>
</calcChain>
</file>

<file path=xl/sharedStrings.xml><?xml version="1.0" encoding="utf-8"?>
<sst xmlns="http://schemas.openxmlformats.org/spreadsheetml/2006/main" count="747" uniqueCount="188">
  <si>
    <t>Range</t>
  </si>
  <si>
    <t>Column</t>
  </si>
  <si>
    <t>Harvest</t>
  </si>
  <si>
    <t>Area</t>
  </si>
  <si>
    <t>Field wt</t>
  </si>
  <si>
    <t>in bag</t>
  </si>
  <si>
    <t>(lbs)</t>
  </si>
  <si>
    <t>Picker pass</t>
  </si>
  <si>
    <t>number</t>
  </si>
  <si>
    <t>Gleaning weight over the full pass #01 length from a second pass of the picker (lbs)</t>
  </si>
  <si>
    <t>Gleaning weight over the full pass #02 length from a second pass of the picker (lbs)</t>
  </si>
  <si>
    <t>Gleaning weight over the full pass #03 length from a second pass of the picker (lbs)</t>
  </si>
  <si>
    <t>Gleaning weight over the full pass #04 length from a second pass of the picker (lbs)</t>
  </si>
  <si>
    <t>Column C - Harvest area label (6 harvest areas per plot)</t>
  </si>
  <si>
    <t>Parameters</t>
  </si>
  <si>
    <t>less bag</t>
  </si>
  <si>
    <t>kg per lb</t>
  </si>
  <si>
    <t>m2 per ha</t>
  </si>
  <si>
    <t>Fraction of gleaning weight per harvest area</t>
  </si>
  <si>
    <t>WBWAH</t>
  </si>
  <si>
    <t>(kg/ha)</t>
  </si>
  <si>
    <t>BWCAH</t>
  </si>
  <si>
    <t>DBWAH</t>
  </si>
  <si>
    <t>(%)</t>
  </si>
  <si>
    <t>FFRAC</t>
  </si>
  <si>
    <t>SFRAC</t>
  </si>
  <si>
    <t>TFRAC</t>
  </si>
  <si>
    <t>Moisture</t>
  </si>
  <si>
    <t>Ginning</t>
  </si>
  <si>
    <t>Bulk wt</t>
  </si>
  <si>
    <t>(kg)</t>
  </si>
  <si>
    <t>Seed wt</t>
  </si>
  <si>
    <t>Fiber wt</t>
  </si>
  <si>
    <t>(g/g)</t>
  </si>
  <si>
    <t>Weight of a single mesh harvest bag with tags (based on the average weight of 10 bags) (lbs)</t>
  </si>
  <si>
    <t>(g)</t>
  </si>
  <si>
    <t>Sample wt</t>
  </si>
  <si>
    <t>Sample</t>
  </si>
  <si>
    <t>weight</t>
  </si>
  <si>
    <t>Wet</t>
  </si>
  <si>
    <t>Dry</t>
  </si>
  <si>
    <t>Weight</t>
  </si>
  <si>
    <t>Bag</t>
  </si>
  <si>
    <t>WFWAH</t>
  </si>
  <si>
    <t>WSWAH</t>
  </si>
  <si>
    <t>WSCWAH</t>
  </si>
  <si>
    <t>Compute</t>
  </si>
  <si>
    <t>DFWAH</t>
  </si>
  <si>
    <t>DSWAH</t>
  </si>
  <si>
    <t>DSCWAH</t>
  </si>
  <si>
    <t>PID</t>
  </si>
  <si>
    <t>Column A - Column number from plot layout</t>
  </si>
  <si>
    <t>Column B - Range number from plot layout</t>
  </si>
  <si>
    <t>Size of harvest area (2 40-inch rows by 10 m) (m2)</t>
  </si>
  <si>
    <t>Plot-scale calculations</t>
  </si>
  <si>
    <t>FBMIC</t>
  </si>
  <si>
    <t>FBLTH</t>
  </si>
  <si>
    <t>FBUNI</t>
  </si>
  <si>
    <t>FBSTR</t>
  </si>
  <si>
    <t>FBELO</t>
  </si>
  <si>
    <t>FBCRD</t>
  </si>
  <si>
    <t>FBCLB</t>
  </si>
  <si>
    <t>FBTCT</t>
  </si>
  <si>
    <t>FBTAR</t>
  </si>
  <si>
    <t>FBSFI</t>
  </si>
  <si>
    <t>21-2</t>
  </si>
  <si>
    <t>FBCGR</t>
  </si>
  <si>
    <t>(g/tex)</t>
  </si>
  <si>
    <t>(% ref)</t>
  </si>
  <si>
    <t>Quality</t>
  </si>
  <si>
    <t>HVI Sample ID</t>
  </si>
  <si>
    <t>(inches)</t>
  </si>
  <si>
    <t>Glean wt</t>
  </si>
  <si>
    <t>GNDAT</t>
  </si>
  <si>
    <t>Date</t>
  </si>
  <si>
    <t>QLDAT</t>
  </si>
  <si>
    <t>Weight of white mesh bag for fiber (kg)</t>
  </si>
  <si>
    <t>in bin</t>
  </si>
  <si>
    <t>Weight of seed bin at MAC gin (kg)</t>
  </si>
  <si>
    <t>21-3</t>
  </si>
  <si>
    <t>21-4</t>
  </si>
  <si>
    <t>22-1</t>
  </si>
  <si>
    <t>11-4</t>
  </si>
  <si>
    <t>12-2</t>
  </si>
  <si>
    <t>p1-1-W</t>
  </si>
  <si>
    <t>p1-1-E</t>
  </si>
  <si>
    <t>p1-2-W</t>
  </si>
  <si>
    <t>p1-2-E</t>
  </si>
  <si>
    <t>p1-3-W</t>
  </si>
  <si>
    <t>p1-3-E</t>
  </si>
  <si>
    <t>p1-4-W</t>
  </si>
  <si>
    <t>p1-4-E</t>
  </si>
  <si>
    <t>p1-5-W</t>
  </si>
  <si>
    <t>p1-5-E</t>
  </si>
  <si>
    <t>p1-6-W</t>
  </si>
  <si>
    <t>p1-6-E</t>
  </si>
  <si>
    <t>p1-7-W</t>
  </si>
  <si>
    <t>p1-7-E</t>
  </si>
  <si>
    <t>p1-8-W</t>
  </si>
  <si>
    <t>p1-8-E</t>
  </si>
  <si>
    <t>p2-1-W</t>
  </si>
  <si>
    <t>p2-1-E</t>
  </si>
  <si>
    <t>p2-2-W</t>
  </si>
  <si>
    <t>p2-2-E</t>
  </si>
  <si>
    <t>p2-3-W</t>
  </si>
  <si>
    <t>p2-3-E</t>
  </si>
  <si>
    <t>p2-4-W</t>
  </si>
  <si>
    <t>p2-4-E</t>
  </si>
  <si>
    <t>p2-5-W</t>
  </si>
  <si>
    <t>p2-5-E</t>
  </si>
  <si>
    <t>p2-6-W</t>
  </si>
  <si>
    <t>p2-6-E</t>
  </si>
  <si>
    <t>p2-7-W</t>
  </si>
  <si>
    <t>p2-7-E</t>
  </si>
  <si>
    <t>p2-8-W</t>
  </si>
  <si>
    <t>p2-8-E</t>
  </si>
  <si>
    <t>HID</t>
  </si>
  <si>
    <t>1</t>
  </si>
  <si>
    <t>2</t>
  </si>
  <si>
    <t>3</t>
  </si>
  <si>
    <t>4</t>
  </si>
  <si>
    <t>5</t>
  </si>
  <si>
    <t>6</t>
  </si>
  <si>
    <t>7</t>
  </si>
  <si>
    <t>8</t>
  </si>
  <si>
    <t>W</t>
  </si>
  <si>
    <t>E</t>
  </si>
  <si>
    <t>32-1</t>
  </si>
  <si>
    <t>22-2</t>
  </si>
  <si>
    <t>p1-1</t>
  </si>
  <si>
    <t>p1-2</t>
  </si>
  <si>
    <t>p1-3</t>
  </si>
  <si>
    <t>p1-4</t>
  </si>
  <si>
    <t>p1-5</t>
  </si>
  <si>
    <t>p1-6</t>
  </si>
  <si>
    <t>p1-7</t>
  </si>
  <si>
    <t>p1-8</t>
  </si>
  <si>
    <t>p2-1</t>
  </si>
  <si>
    <t>p2-2</t>
  </si>
  <si>
    <t>p2-3</t>
  </si>
  <si>
    <t>p2-4</t>
  </si>
  <si>
    <t>p2-5</t>
  </si>
  <si>
    <t>p2-6</t>
  </si>
  <si>
    <t>p2-7</t>
  </si>
  <si>
    <t>p2-8</t>
  </si>
  <si>
    <t>Column D - Harvest Area ID (HID)</t>
  </si>
  <si>
    <t>HARM</t>
  </si>
  <si>
    <t>HADAT</t>
  </si>
  <si>
    <t>Machine</t>
  </si>
  <si>
    <t>Column E - Harvest method (HARM)</t>
  </si>
  <si>
    <t>Column F - Harvest date (HADAT, mm/dd/yyyy)</t>
  </si>
  <si>
    <t>Column G - Count of picker passes across the field</t>
  </si>
  <si>
    <t>Column H - Field weight of bulk cotton in bag (lbs). Machine harvest 2 rows by 10 m into mesh bags. Weigh in field using IQ plus 300-DC scale.</t>
  </si>
  <si>
    <t>Column I - Field weight of bulk cotton minus bag weight (lbs)</t>
  </si>
  <si>
    <t>Column J - Gleaning weight (lbs) obtained from a second picker pass.</t>
  </si>
  <si>
    <t>Column K - Wet bulk weight at harvest (fiber + seed + trash) (WBWAH, kg/ha)</t>
  </si>
  <si>
    <t>Column L - Weight of Zip-lock plastic bag(s) for subsampling harvest bags for moisture content, only middle (M) harvest area bags were subsampled (g)</t>
  </si>
  <si>
    <t>Column M - Weight of bulk subsample for moisture content in plastic bag (g)</t>
  </si>
  <si>
    <t>Column N - Wet weight of bulk subsample prior to oven drying (g)</t>
  </si>
  <si>
    <t>Column O - Dry weight of bulk subsample after oven drying (g)</t>
  </si>
  <si>
    <t>Column P - Bulk water content at harvest (BWCAH, %)</t>
  </si>
  <si>
    <t>Column Q - Dry bulk weight at harvest (fiber + seed + trash) (0% water content) (DBWAH, kg/ha)</t>
  </si>
  <si>
    <t>Column R - Ginning Date (GNDAT, mm/dd/yyyy). Ginned using the MAC large gin with cleaners.</t>
  </si>
  <si>
    <t>Column S - Weight of bulk cotton in harvest bags prior to ginning, only middle (M) harvest areas were ginned (kg). Weigh using ALARC scale.</t>
  </si>
  <si>
    <t>Column T - Weight of fiber in bag after ginning (kg). Weigh using scale at MAC gin.</t>
  </si>
  <si>
    <t>Column U - Weight of fuzzy seed in tub after ginning (kg). Weigh using scale at MAC gin.</t>
  </si>
  <si>
    <t>Column V - Fiber fraction of bulk harvest after ginning (FFRAC, g/g)</t>
  </si>
  <si>
    <t>Column W - Seed fraction of bulk harvest after ginning (SFRAC, g/g)</t>
  </si>
  <si>
    <t>Column X - Trash fraction of bulk harvest after ginning (TFRAC, g/g)</t>
  </si>
  <si>
    <t>Column Y - Wet fiber weight at harvest (WFWAH, kg/ha)</t>
  </si>
  <si>
    <t>Column AA - Wet seed cotton weight at harvest (fiber + seed) (WSCWAH, kg/ha)</t>
  </si>
  <si>
    <t>Column AB - Dry fiber weight at harvest (DFWAH, kg/ha)</t>
  </si>
  <si>
    <t>Column AC - Dry seed weight at harvest (DSWAH, kg/ha)</t>
  </si>
  <si>
    <t>Column AD - Dry seed cotton weight at harvest (fiber + seed) (DSCWAH, kg/ha)</t>
  </si>
  <si>
    <t>Column AE - Sample ID for fiber samples sent to Cotton Incorporated HVI, only middle (M) harvest areas were tested.</t>
  </si>
  <si>
    <t>Column AF - Quality measurement date (QLDAT, mm/dd/yyyy)</t>
  </si>
  <si>
    <t>Column AG - Micronaire (FBMIC)</t>
  </si>
  <si>
    <t>Column AH - Upper half mean fiber length (FBLTH, inches)</t>
  </si>
  <si>
    <t>Column AI - Fiber uniformity (FBUNI, %)</t>
  </si>
  <si>
    <t>Column AJ - Fiber strength (FBSTR, g/tex)</t>
  </si>
  <si>
    <t>Column AK - Fiber elongation (FBELO, %)</t>
  </si>
  <si>
    <t>Column AL - Fiber Color Reflectance (FBCRD, % reflectance)</t>
  </si>
  <si>
    <t>Column AM - Fiber Color +b (FBCLB)</t>
  </si>
  <si>
    <t>Column AN - Fiber Color Grade (FBCGR)</t>
  </si>
  <si>
    <t>Column AO - Trash Area (FBTCT, number of particles)</t>
  </si>
  <si>
    <t>Column AP - Trash Area (FBTAR, % of surface covered by trash)</t>
  </si>
  <si>
    <t>Column AQ - Short Fiber Index (FBSFI, %)</t>
  </si>
  <si>
    <t>Column Z - Wet seed weight at harvest (WSWAH, 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</si>
</sst>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mm/dd/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8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6" fontId="0" fillId="2" borderId="0" xfId="0" applyNumberFormat="1" applyFill="1"/>
    <xf numFmtId="1" fontId="0" fillId="2" borderId="0" xfId="0" applyNumberFormat="1" applyFill="1"/>
    <xf numFmtId="166" fontId="0" fillId="0" borderId="0" xfId="0" applyNumberFormat="1"/>
    <xf numFmtId="167" fontId="0" fillId="2" borderId="0" xfId="0" applyNumberFormat="1" applyFill="1"/>
    <xf numFmtId="167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</cellXfs>
  <cellStyles count="3">
    <cellStyle name="Normal" xfId="0" builtinId="0"/>
    <cellStyle name="Normal 2" xfId="2" xr:uid="{9975BD0D-8745-4147-A5EC-15B99D8AB865}"/>
    <cellStyle name="Normal 3" xfId="1" xr:uid="{E9664043-597C-49BE-B574-A4C570FE3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81E-168C-4CB2-BE56-FDC05C3116BF}">
  <dimension ref="A1:CE269"/>
  <sheetViews>
    <sheetView tabSelected="1" workbookViewId="0"/>
  </sheetViews>
  <sheetFormatPr defaultRowHeight="14.4" x14ac:dyDescent="0.3"/>
  <cols>
    <col min="4" max="4" width="9.88671875" bestFit="1" customWidth="1"/>
    <col min="5" max="5" width="9.88671875" customWidth="1"/>
    <col min="6" max="6" width="10.5546875" bestFit="1" customWidth="1"/>
    <col min="16" max="16" width="8.88671875" customWidth="1"/>
    <col min="18" max="18" width="10.5546875" bestFit="1" customWidth="1"/>
    <col min="28" max="28" width="9" customWidth="1"/>
    <col min="29" max="30" width="8.88671875" customWidth="1"/>
    <col min="31" max="31" width="13.21875" bestFit="1" customWidth="1"/>
    <col min="32" max="32" width="10.5546875" bestFit="1" customWidth="1"/>
    <col min="47" max="47" width="10.5546875" bestFit="1" customWidth="1"/>
    <col min="54" max="54" width="10.5546875" bestFit="1" customWidth="1"/>
    <col min="58" max="58" width="10.5546875" bestFit="1" customWidth="1"/>
    <col min="68" max="68" width="10.5546875" bestFit="1" customWidth="1"/>
    <col min="72" max="72" width="10.5546875" bestFit="1" customWidth="1"/>
  </cols>
  <sheetData>
    <row r="1" spans="1:1" x14ac:dyDescent="0.3">
      <c r="A1" t="s">
        <v>51</v>
      </c>
    </row>
    <row r="2" spans="1:1" x14ac:dyDescent="0.3">
      <c r="A2" t="s">
        <v>52</v>
      </c>
    </row>
    <row r="3" spans="1:1" x14ac:dyDescent="0.3">
      <c r="A3" t="s">
        <v>13</v>
      </c>
    </row>
    <row r="4" spans="1:1" x14ac:dyDescent="0.3">
      <c r="A4" t="s">
        <v>145</v>
      </c>
    </row>
    <row r="5" spans="1:1" x14ac:dyDescent="0.3">
      <c r="A5" t="s">
        <v>149</v>
      </c>
    </row>
    <row r="6" spans="1:1" x14ac:dyDescent="0.3">
      <c r="A6" t="s">
        <v>150</v>
      </c>
    </row>
    <row r="7" spans="1:1" x14ac:dyDescent="0.3">
      <c r="A7" t="s">
        <v>151</v>
      </c>
    </row>
    <row r="8" spans="1:1" x14ac:dyDescent="0.3">
      <c r="A8" t="s">
        <v>152</v>
      </c>
    </row>
    <row r="9" spans="1:1" x14ac:dyDescent="0.3">
      <c r="A9" t="s">
        <v>153</v>
      </c>
    </row>
    <row r="10" spans="1:1" x14ac:dyDescent="0.3">
      <c r="A10" t="s">
        <v>154</v>
      </c>
    </row>
    <row r="11" spans="1:1" x14ac:dyDescent="0.3">
      <c r="A11" t="s">
        <v>155</v>
      </c>
    </row>
    <row r="12" spans="1:1" x14ac:dyDescent="0.3">
      <c r="A12" t="s">
        <v>156</v>
      </c>
    </row>
    <row r="13" spans="1:1" x14ac:dyDescent="0.3">
      <c r="A13" t="s">
        <v>157</v>
      </c>
    </row>
    <row r="14" spans="1:1" x14ac:dyDescent="0.3">
      <c r="A14" t="s">
        <v>158</v>
      </c>
    </row>
    <row r="15" spans="1:1" x14ac:dyDescent="0.3">
      <c r="A15" t="s">
        <v>159</v>
      </c>
    </row>
    <row r="16" spans="1:1" x14ac:dyDescent="0.3">
      <c r="A16" t="s">
        <v>160</v>
      </c>
    </row>
    <row r="17" spans="1:1" x14ac:dyDescent="0.3">
      <c r="A17" t="s">
        <v>161</v>
      </c>
    </row>
    <row r="18" spans="1:1" x14ac:dyDescent="0.3">
      <c r="A18" t="s">
        <v>162</v>
      </c>
    </row>
    <row r="19" spans="1:1" x14ac:dyDescent="0.3">
      <c r="A19" t="s">
        <v>163</v>
      </c>
    </row>
    <row r="20" spans="1:1" x14ac:dyDescent="0.3">
      <c r="A20" t="s">
        <v>164</v>
      </c>
    </row>
    <row r="21" spans="1:1" x14ac:dyDescent="0.3">
      <c r="A21" t="s">
        <v>165</v>
      </c>
    </row>
    <row r="22" spans="1:1" x14ac:dyDescent="0.3">
      <c r="A22" t="s">
        <v>166</v>
      </c>
    </row>
    <row r="23" spans="1:1" x14ac:dyDescent="0.3">
      <c r="A23" t="s">
        <v>167</v>
      </c>
    </row>
    <row r="24" spans="1:1" x14ac:dyDescent="0.3">
      <c r="A24" t="s">
        <v>168</v>
      </c>
    </row>
    <row r="25" spans="1:1" x14ac:dyDescent="0.3">
      <c r="A25" t="s">
        <v>169</v>
      </c>
    </row>
    <row r="26" spans="1:1" x14ac:dyDescent="0.3">
      <c r="A26" t="s">
        <v>187</v>
      </c>
    </row>
    <row r="27" spans="1:1" x14ac:dyDescent="0.3">
      <c r="A27" t="s">
        <v>170</v>
      </c>
    </row>
    <row r="28" spans="1:1" x14ac:dyDescent="0.3">
      <c r="A28" t="s">
        <v>171</v>
      </c>
    </row>
    <row r="29" spans="1:1" x14ac:dyDescent="0.3">
      <c r="A29" t="s">
        <v>172</v>
      </c>
    </row>
    <row r="30" spans="1:1" x14ac:dyDescent="0.3">
      <c r="A30" t="s">
        <v>173</v>
      </c>
    </row>
    <row r="31" spans="1:1" x14ac:dyDescent="0.3">
      <c r="A31" t="s">
        <v>174</v>
      </c>
    </row>
    <row r="32" spans="1:1" x14ac:dyDescent="0.3">
      <c r="A32" t="s">
        <v>175</v>
      </c>
    </row>
    <row r="33" spans="1:2" x14ac:dyDescent="0.3">
      <c r="A33" t="s">
        <v>176</v>
      </c>
    </row>
    <row r="34" spans="1:2" x14ac:dyDescent="0.3">
      <c r="A34" t="s">
        <v>177</v>
      </c>
    </row>
    <row r="35" spans="1:2" x14ac:dyDescent="0.3">
      <c r="A35" t="s">
        <v>178</v>
      </c>
    </row>
    <row r="36" spans="1:2" x14ac:dyDescent="0.3">
      <c r="A36" t="s">
        <v>179</v>
      </c>
    </row>
    <row r="37" spans="1:2" x14ac:dyDescent="0.3">
      <c r="A37" t="s">
        <v>180</v>
      </c>
    </row>
    <row r="38" spans="1:2" x14ac:dyDescent="0.3">
      <c r="A38" t="s">
        <v>181</v>
      </c>
    </row>
    <row r="39" spans="1:2" x14ac:dyDescent="0.3">
      <c r="A39" t="s">
        <v>182</v>
      </c>
    </row>
    <row r="40" spans="1:2" x14ac:dyDescent="0.3">
      <c r="A40" t="s">
        <v>183</v>
      </c>
    </row>
    <row r="41" spans="1:2" x14ac:dyDescent="0.3">
      <c r="A41" t="s">
        <v>184</v>
      </c>
    </row>
    <row r="42" spans="1:2" x14ac:dyDescent="0.3">
      <c r="A42" t="s">
        <v>185</v>
      </c>
    </row>
    <row r="43" spans="1:2" x14ac:dyDescent="0.3">
      <c r="A43" t="s">
        <v>186</v>
      </c>
    </row>
    <row r="46" spans="1:2" x14ac:dyDescent="0.3">
      <c r="A46" t="s">
        <v>14</v>
      </c>
    </row>
    <row r="47" spans="1:2" x14ac:dyDescent="0.3">
      <c r="A47">
        <v>0.46</v>
      </c>
      <c r="B47" t="s">
        <v>34</v>
      </c>
    </row>
    <row r="48" spans="1:2" x14ac:dyDescent="0.3">
      <c r="A48">
        <v>0.453592</v>
      </c>
      <c r="B48" t="s">
        <v>16</v>
      </c>
    </row>
    <row r="49" spans="1:83" x14ac:dyDescent="0.3">
      <c r="A49">
        <f>10*1.016*2</f>
        <v>20.32</v>
      </c>
      <c r="B49" t="s">
        <v>53</v>
      </c>
    </row>
    <row r="50" spans="1:83" x14ac:dyDescent="0.3">
      <c r="A50">
        <v>10000</v>
      </c>
      <c r="B50" t="s">
        <v>17</v>
      </c>
    </row>
    <row r="51" spans="1:83" x14ac:dyDescent="0.3">
      <c r="A51" s="3">
        <v>13.4</v>
      </c>
      <c r="B51" t="s">
        <v>9</v>
      </c>
    </row>
    <row r="52" spans="1:83" x14ac:dyDescent="0.3">
      <c r="A52" s="3">
        <v>15.2</v>
      </c>
      <c r="B52" t="s">
        <v>10</v>
      </c>
    </row>
    <row r="53" spans="1:83" x14ac:dyDescent="0.3">
      <c r="A53" s="3">
        <v>15.2</v>
      </c>
      <c r="B53" t="s">
        <v>11</v>
      </c>
    </row>
    <row r="54" spans="1:83" x14ac:dyDescent="0.3">
      <c r="A54" s="3">
        <v>14.5</v>
      </c>
      <c r="B54" t="s">
        <v>12</v>
      </c>
    </row>
    <row r="55" spans="1:83" x14ac:dyDescent="0.3">
      <c r="A55">
        <f>1/16</f>
        <v>6.25E-2</v>
      </c>
      <c r="B55" t="s">
        <v>18</v>
      </c>
    </row>
    <row r="56" spans="1:83" x14ac:dyDescent="0.3">
      <c r="A56">
        <v>0.18</v>
      </c>
      <c r="B56" t="s">
        <v>76</v>
      </c>
      <c r="M56" s="4"/>
    </row>
    <row r="57" spans="1:83" x14ac:dyDescent="0.3">
      <c r="A57">
        <v>1.7</v>
      </c>
      <c r="B57" t="s">
        <v>78</v>
      </c>
    </row>
    <row r="58" spans="1:83" x14ac:dyDescent="0.3">
      <c r="AS58" t="s">
        <v>54</v>
      </c>
    </row>
    <row r="60" spans="1:83" x14ac:dyDescent="0.3">
      <c r="D60" s="5"/>
      <c r="E60" s="5" t="s">
        <v>2</v>
      </c>
      <c r="F60" s="5" t="s">
        <v>2</v>
      </c>
      <c r="G60" t="s">
        <v>2</v>
      </c>
      <c r="H60" t="s">
        <v>2</v>
      </c>
      <c r="I60" t="s">
        <v>2</v>
      </c>
      <c r="J60" t="s">
        <v>2</v>
      </c>
      <c r="K60" s="5" t="s">
        <v>2</v>
      </c>
      <c r="L60" t="s">
        <v>27</v>
      </c>
      <c r="M60" t="s">
        <v>27</v>
      </c>
      <c r="N60" t="s">
        <v>27</v>
      </c>
      <c r="O60" t="s">
        <v>27</v>
      </c>
      <c r="P60" s="5" t="s">
        <v>27</v>
      </c>
      <c r="Q60" s="5" t="s">
        <v>27</v>
      </c>
      <c r="R60" s="5" t="s">
        <v>28</v>
      </c>
      <c r="S60" t="s">
        <v>28</v>
      </c>
      <c r="T60" t="s">
        <v>28</v>
      </c>
      <c r="U60" t="s">
        <v>28</v>
      </c>
      <c r="V60" s="5" t="s">
        <v>28</v>
      </c>
      <c r="W60" s="5" t="s">
        <v>28</v>
      </c>
      <c r="X60" s="5" t="s">
        <v>28</v>
      </c>
      <c r="Y60" s="5" t="s">
        <v>46</v>
      </c>
      <c r="Z60" s="5" t="s">
        <v>46</v>
      </c>
      <c r="AA60" s="5" t="s">
        <v>46</v>
      </c>
      <c r="AB60" s="5" t="s">
        <v>46</v>
      </c>
      <c r="AC60" s="5" t="s">
        <v>46</v>
      </c>
      <c r="AD60" s="5" t="s">
        <v>46</v>
      </c>
      <c r="AF60" s="5" t="s">
        <v>69</v>
      </c>
      <c r="AG60" s="5" t="s">
        <v>69</v>
      </c>
      <c r="AH60" s="5" t="s">
        <v>69</v>
      </c>
      <c r="AI60" s="5" t="s">
        <v>69</v>
      </c>
      <c r="AJ60" s="5" t="s">
        <v>69</v>
      </c>
      <c r="AK60" s="5" t="s">
        <v>69</v>
      </c>
      <c r="AL60" s="5" t="s">
        <v>69</v>
      </c>
      <c r="AM60" s="5" t="s">
        <v>69</v>
      </c>
      <c r="AN60" s="5" t="s">
        <v>69</v>
      </c>
      <c r="AO60" s="5" t="s">
        <v>69</v>
      </c>
      <c r="AP60" s="5" t="s">
        <v>69</v>
      </c>
      <c r="AQ60" s="5" t="s">
        <v>69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27</v>
      </c>
      <c r="BA60" t="s">
        <v>27</v>
      </c>
      <c r="BB60" t="s">
        <v>27</v>
      </c>
      <c r="BC60" t="s">
        <v>27</v>
      </c>
      <c r="BD60" t="s">
        <v>27</v>
      </c>
      <c r="BE60" t="s">
        <v>27</v>
      </c>
      <c r="BF60" t="s">
        <v>28</v>
      </c>
      <c r="BG60" t="s">
        <v>28</v>
      </c>
      <c r="BH60" t="s">
        <v>28</v>
      </c>
      <c r="BI60" t="s">
        <v>28</v>
      </c>
      <c r="BJ60" t="s">
        <v>28</v>
      </c>
      <c r="BK60" t="s">
        <v>28</v>
      </c>
      <c r="BL60" t="s">
        <v>28</v>
      </c>
      <c r="BM60" t="s">
        <v>46</v>
      </c>
      <c r="BN60" t="s">
        <v>46</v>
      </c>
      <c r="BO60" t="s">
        <v>46</v>
      </c>
      <c r="BP60" t="s">
        <v>46</v>
      </c>
      <c r="BQ60" t="s">
        <v>46</v>
      </c>
      <c r="BR60" t="s">
        <v>46</v>
      </c>
      <c r="BT60" t="s">
        <v>69</v>
      </c>
      <c r="BU60" t="s">
        <v>69</v>
      </c>
      <c r="BV60" t="s">
        <v>69</v>
      </c>
      <c r="BW60" t="s">
        <v>69</v>
      </c>
      <c r="BX60" t="s">
        <v>69</v>
      </c>
      <c r="BY60" t="s">
        <v>69</v>
      </c>
      <c r="BZ60" t="s">
        <v>69</v>
      </c>
      <c r="CA60" t="s">
        <v>69</v>
      </c>
      <c r="CB60" t="s">
        <v>69</v>
      </c>
      <c r="CC60" t="s">
        <v>69</v>
      </c>
      <c r="CD60" t="s">
        <v>69</v>
      </c>
      <c r="CE60" t="s">
        <v>69</v>
      </c>
    </row>
    <row r="61" spans="1:83" x14ac:dyDescent="0.3">
      <c r="D61" s="5"/>
      <c r="E61" s="5"/>
      <c r="F61" s="5"/>
      <c r="K61" s="5"/>
      <c r="M61" t="s">
        <v>36</v>
      </c>
      <c r="N61" t="s">
        <v>39</v>
      </c>
      <c r="O61" t="s">
        <v>40</v>
      </c>
      <c r="P61" s="5"/>
      <c r="Q61" s="5"/>
      <c r="R61" s="5"/>
      <c r="V61" s="5"/>
      <c r="W61" s="5"/>
      <c r="X61" s="5"/>
      <c r="Y61" s="5"/>
      <c r="Z61" s="5"/>
      <c r="AA61" s="5"/>
      <c r="AB61" s="5"/>
      <c r="AC61" s="5"/>
      <c r="AD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BA61" t="s">
        <v>36</v>
      </c>
      <c r="BB61" t="s">
        <v>39</v>
      </c>
      <c r="BC61" t="s">
        <v>40</v>
      </c>
    </row>
    <row r="62" spans="1:83" x14ac:dyDescent="0.3">
      <c r="C62" t="s">
        <v>2</v>
      </c>
      <c r="D62" s="5"/>
      <c r="E62" s="5"/>
      <c r="F62" s="5"/>
      <c r="G62" t="s">
        <v>7</v>
      </c>
      <c r="H62" t="s">
        <v>4</v>
      </c>
      <c r="I62" t="s">
        <v>4</v>
      </c>
      <c r="J62" t="s">
        <v>72</v>
      </c>
      <c r="K62" s="5"/>
      <c r="L62" t="s">
        <v>42</v>
      </c>
      <c r="M62" t="s">
        <v>38</v>
      </c>
      <c r="N62" t="s">
        <v>37</v>
      </c>
      <c r="O62" t="s">
        <v>37</v>
      </c>
      <c r="P62" s="5"/>
      <c r="Q62" s="5"/>
      <c r="R62" s="5" t="s">
        <v>74</v>
      </c>
      <c r="S62" t="s">
        <v>29</v>
      </c>
      <c r="T62" t="s">
        <v>32</v>
      </c>
      <c r="U62" t="s">
        <v>31</v>
      </c>
      <c r="V62" s="5"/>
      <c r="W62" s="5"/>
      <c r="X62" s="5"/>
      <c r="Y62" s="5"/>
      <c r="Z62" s="5"/>
      <c r="AA62" s="5"/>
      <c r="AB62" s="5"/>
      <c r="AC62" s="5"/>
      <c r="AD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V62" t="s">
        <v>4</v>
      </c>
      <c r="AW62" t="s">
        <v>4</v>
      </c>
      <c r="AX62" t="s">
        <v>72</v>
      </c>
      <c r="AZ62" t="s">
        <v>42</v>
      </c>
      <c r="BA62" t="s">
        <v>38</v>
      </c>
      <c r="BB62" t="s">
        <v>37</v>
      </c>
      <c r="BC62" t="s">
        <v>37</v>
      </c>
      <c r="BF62" t="s">
        <v>74</v>
      </c>
      <c r="BG62" t="s">
        <v>29</v>
      </c>
      <c r="BH62" t="s">
        <v>32</v>
      </c>
      <c r="BI62" t="s">
        <v>31</v>
      </c>
    </row>
    <row r="63" spans="1:83" x14ac:dyDescent="0.3">
      <c r="A63" t="s">
        <v>1</v>
      </c>
      <c r="B63" t="s">
        <v>0</v>
      </c>
      <c r="C63" t="s">
        <v>3</v>
      </c>
      <c r="D63" s="5" t="s">
        <v>116</v>
      </c>
      <c r="E63" s="5" t="s">
        <v>146</v>
      </c>
      <c r="F63" s="5" t="s">
        <v>147</v>
      </c>
      <c r="G63" t="s">
        <v>8</v>
      </c>
      <c r="H63" t="s">
        <v>5</v>
      </c>
      <c r="I63" t="s">
        <v>15</v>
      </c>
      <c r="J63" t="s">
        <v>15</v>
      </c>
      <c r="K63" s="5" t="s">
        <v>19</v>
      </c>
      <c r="L63" t="s">
        <v>38</v>
      </c>
      <c r="M63" t="s">
        <v>5</v>
      </c>
      <c r="N63" t="s">
        <v>41</v>
      </c>
      <c r="O63" t="s">
        <v>41</v>
      </c>
      <c r="P63" s="5" t="s">
        <v>21</v>
      </c>
      <c r="Q63" s="5" t="s">
        <v>22</v>
      </c>
      <c r="R63" s="5" t="s">
        <v>73</v>
      </c>
      <c r="S63" t="s">
        <v>5</v>
      </c>
      <c r="T63" t="s">
        <v>5</v>
      </c>
      <c r="U63" t="s">
        <v>77</v>
      </c>
      <c r="V63" s="5" t="s">
        <v>24</v>
      </c>
      <c r="W63" s="5" t="s">
        <v>25</v>
      </c>
      <c r="X63" s="5" t="s">
        <v>26</v>
      </c>
      <c r="Y63" s="5" t="s">
        <v>43</v>
      </c>
      <c r="Z63" s="5" t="s">
        <v>44</v>
      </c>
      <c r="AA63" s="5" t="s">
        <v>45</v>
      </c>
      <c r="AB63" s="5" t="s">
        <v>47</v>
      </c>
      <c r="AC63" s="5" t="s">
        <v>48</v>
      </c>
      <c r="AD63" s="5" t="s">
        <v>49</v>
      </c>
      <c r="AE63" t="s">
        <v>70</v>
      </c>
      <c r="AF63" s="5" t="s">
        <v>75</v>
      </c>
      <c r="AG63" s="5" t="s">
        <v>55</v>
      </c>
      <c r="AH63" s="5" t="s">
        <v>56</v>
      </c>
      <c r="AI63" s="5" t="s">
        <v>57</v>
      </c>
      <c r="AJ63" s="5" t="s">
        <v>58</v>
      </c>
      <c r="AK63" s="5" t="s">
        <v>59</v>
      </c>
      <c r="AL63" s="5" t="s">
        <v>60</v>
      </c>
      <c r="AM63" s="5" t="s">
        <v>61</v>
      </c>
      <c r="AN63" s="5" t="s">
        <v>66</v>
      </c>
      <c r="AO63" s="5" t="s">
        <v>62</v>
      </c>
      <c r="AP63" s="5" t="s">
        <v>63</v>
      </c>
      <c r="AQ63" s="5" t="s">
        <v>64</v>
      </c>
      <c r="AS63" t="s">
        <v>50</v>
      </c>
      <c r="AT63" t="s">
        <v>146</v>
      </c>
      <c r="AU63" t="s">
        <v>147</v>
      </c>
      <c r="AV63" t="s">
        <v>5</v>
      </c>
      <c r="AW63" t="s">
        <v>15</v>
      </c>
      <c r="AX63" t="s">
        <v>15</v>
      </c>
      <c r="AY63" t="s">
        <v>19</v>
      </c>
      <c r="AZ63" t="s">
        <v>38</v>
      </c>
      <c r="BA63" t="s">
        <v>5</v>
      </c>
      <c r="BB63" t="s">
        <v>41</v>
      </c>
      <c r="BC63" t="s">
        <v>41</v>
      </c>
      <c r="BD63" t="s">
        <v>21</v>
      </c>
      <c r="BE63" t="s">
        <v>22</v>
      </c>
      <c r="BF63" t="s">
        <v>73</v>
      </c>
      <c r="BG63" t="s">
        <v>5</v>
      </c>
      <c r="BH63" t="s">
        <v>5</v>
      </c>
      <c r="BI63" t="s">
        <v>77</v>
      </c>
      <c r="BJ63" t="s">
        <v>24</v>
      </c>
      <c r="BK63" t="s">
        <v>25</v>
      </c>
      <c r="BL63" t="s">
        <v>26</v>
      </c>
      <c r="BM63" t="s">
        <v>43</v>
      </c>
      <c r="BN63" t="s">
        <v>44</v>
      </c>
      <c r="BO63" t="s">
        <v>45</v>
      </c>
      <c r="BP63" t="s">
        <v>47</v>
      </c>
      <c r="BQ63" t="s">
        <v>48</v>
      </c>
      <c r="BR63" t="s">
        <v>49</v>
      </c>
      <c r="BS63" t="s">
        <v>70</v>
      </c>
      <c r="BT63" t="s">
        <v>75</v>
      </c>
      <c r="BU63" t="s">
        <v>55</v>
      </c>
      <c r="BV63" t="s">
        <v>56</v>
      </c>
      <c r="BW63" t="s">
        <v>57</v>
      </c>
      <c r="BX63" t="s">
        <v>58</v>
      </c>
      <c r="BY63" t="s">
        <v>59</v>
      </c>
      <c r="BZ63" t="s">
        <v>60</v>
      </c>
      <c r="CA63" t="s">
        <v>61</v>
      </c>
      <c r="CB63" t="s">
        <v>66</v>
      </c>
      <c r="CC63" t="s">
        <v>62</v>
      </c>
      <c r="CD63" t="s">
        <v>63</v>
      </c>
      <c r="CE63" t="s">
        <v>64</v>
      </c>
    </row>
    <row r="64" spans="1:83" x14ac:dyDescent="0.3">
      <c r="D64" s="5"/>
      <c r="E64" s="5"/>
      <c r="F64" s="5"/>
      <c r="H64" t="s">
        <v>6</v>
      </c>
      <c r="I64" t="s">
        <v>6</v>
      </c>
      <c r="J64" t="s">
        <v>6</v>
      </c>
      <c r="K64" s="5" t="s">
        <v>20</v>
      </c>
      <c r="L64" t="s">
        <v>35</v>
      </c>
      <c r="M64" t="s">
        <v>35</v>
      </c>
      <c r="N64" t="s">
        <v>35</v>
      </c>
      <c r="O64" t="s">
        <v>35</v>
      </c>
      <c r="P64" s="5" t="s">
        <v>23</v>
      </c>
      <c r="Q64" s="5" t="s">
        <v>20</v>
      </c>
      <c r="R64" s="5"/>
      <c r="S64" s="4" t="s">
        <v>30</v>
      </c>
      <c r="T64" s="4" t="s">
        <v>30</v>
      </c>
      <c r="U64" s="4" t="s">
        <v>30</v>
      </c>
      <c r="V64" s="7" t="s">
        <v>33</v>
      </c>
      <c r="W64" s="7" t="s">
        <v>33</v>
      </c>
      <c r="X64" s="7" t="s">
        <v>33</v>
      </c>
      <c r="Y64" s="7" t="s">
        <v>20</v>
      </c>
      <c r="Z64" s="7" t="s">
        <v>20</v>
      </c>
      <c r="AA64" s="7" t="s">
        <v>20</v>
      </c>
      <c r="AB64" s="7" t="s">
        <v>20</v>
      </c>
      <c r="AC64" s="7" t="s">
        <v>20</v>
      </c>
      <c r="AD64" s="7" t="s">
        <v>20</v>
      </c>
      <c r="AE64" s="4"/>
      <c r="AF64" s="7"/>
      <c r="AG64" s="7"/>
      <c r="AH64" s="7" t="s">
        <v>71</v>
      </c>
      <c r="AI64" s="7" t="s">
        <v>23</v>
      </c>
      <c r="AJ64" s="7" t="s">
        <v>67</v>
      </c>
      <c r="AK64" s="7" t="s">
        <v>23</v>
      </c>
      <c r="AL64" s="7" t="s">
        <v>68</v>
      </c>
      <c r="AM64" s="7"/>
      <c r="AN64" s="7"/>
      <c r="AO64" s="7"/>
      <c r="AP64" s="7" t="s">
        <v>23</v>
      </c>
      <c r="AQ64" s="7" t="s">
        <v>23</v>
      </c>
      <c r="AV64" t="s">
        <v>6</v>
      </c>
      <c r="AW64" t="s">
        <v>6</v>
      </c>
      <c r="AX64" t="s">
        <v>6</v>
      </c>
      <c r="AY64" t="s">
        <v>20</v>
      </c>
      <c r="AZ64" t="s">
        <v>35</v>
      </c>
      <c r="BA64" s="4" t="s">
        <v>35</v>
      </c>
      <c r="BB64" s="4" t="s">
        <v>35</v>
      </c>
      <c r="BC64" s="4" t="s">
        <v>35</v>
      </c>
      <c r="BD64" s="4" t="s">
        <v>23</v>
      </c>
      <c r="BE64" s="4" t="s">
        <v>20</v>
      </c>
      <c r="BF64" s="4"/>
      <c r="BG64" s="4" t="s">
        <v>30</v>
      </c>
      <c r="BH64" s="4" t="s">
        <v>30</v>
      </c>
      <c r="BI64" s="4" t="s">
        <v>30</v>
      </c>
      <c r="BJ64" s="4" t="s">
        <v>33</v>
      </c>
      <c r="BK64" s="4" t="s">
        <v>33</v>
      </c>
      <c r="BL64" s="4" t="s">
        <v>33</v>
      </c>
      <c r="BM64" s="4" t="s">
        <v>20</v>
      </c>
      <c r="BN64" s="4" t="s">
        <v>20</v>
      </c>
      <c r="BO64" s="4" t="s">
        <v>20</v>
      </c>
      <c r="BP64" s="4" t="s">
        <v>20</v>
      </c>
      <c r="BQ64" s="4" t="s">
        <v>20</v>
      </c>
      <c r="BR64" s="4" t="s">
        <v>20</v>
      </c>
      <c r="BS64" s="4"/>
      <c r="BT64" s="4"/>
      <c r="BU64" s="4"/>
      <c r="BV64" s="4" t="s">
        <v>71</v>
      </c>
      <c r="BW64" s="4" t="s">
        <v>23</v>
      </c>
      <c r="BX64" s="4" t="s">
        <v>67</v>
      </c>
      <c r="BY64" t="s">
        <v>23</v>
      </c>
      <c r="BZ64" t="s">
        <v>68</v>
      </c>
      <c r="CD64" t="s">
        <v>23</v>
      </c>
      <c r="CE64" t="s">
        <v>23</v>
      </c>
    </row>
    <row r="65" spans="1:83" x14ac:dyDescent="0.3">
      <c r="A65" t="s">
        <v>1</v>
      </c>
      <c r="B65" t="s">
        <v>0</v>
      </c>
      <c r="C65" t="s">
        <v>3</v>
      </c>
      <c r="D65" s="5" t="s">
        <v>116</v>
      </c>
      <c r="E65" s="5" t="s">
        <v>146</v>
      </c>
      <c r="F65" s="5" t="s">
        <v>147</v>
      </c>
      <c r="K65" s="5" t="s">
        <v>19</v>
      </c>
      <c r="P65" s="5" t="s">
        <v>21</v>
      </c>
      <c r="Q65" s="5" t="s">
        <v>22</v>
      </c>
      <c r="R65" s="5" t="s">
        <v>73</v>
      </c>
      <c r="V65" s="5" t="s">
        <v>24</v>
      </c>
      <c r="W65" s="5" t="s">
        <v>25</v>
      </c>
      <c r="X65" s="5" t="s">
        <v>26</v>
      </c>
      <c r="Y65" s="5" t="s">
        <v>43</v>
      </c>
      <c r="Z65" s="5" t="s">
        <v>44</v>
      </c>
      <c r="AA65" s="5" t="s">
        <v>45</v>
      </c>
      <c r="AB65" s="5" t="s">
        <v>47</v>
      </c>
      <c r="AC65" s="5" t="s">
        <v>48</v>
      </c>
      <c r="AD65" s="5" t="s">
        <v>49</v>
      </c>
      <c r="AF65" s="5" t="s">
        <v>75</v>
      </c>
      <c r="AG65" s="5" t="s">
        <v>55</v>
      </c>
      <c r="AH65" s="5" t="s">
        <v>56</v>
      </c>
      <c r="AI65" s="5" t="s">
        <v>57</v>
      </c>
      <c r="AJ65" s="5" t="s">
        <v>58</v>
      </c>
      <c r="AK65" s="5" t="s">
        <v>59</v>
      </c>
      <c r="AL65" s="5" t="s">
        <v>60</v>
      </c>
      <c r="AM65" s="5" t="s">
        <v>61</v>
      </c>
      <c r="AN65" s="5" t="s">
        <v>66</v>
      </c>
      <c r="AO65" s="5" t="s">
        <v>62</v>
      </c>
      <c r="AP65" s="5" t="s">
        <v>63</v>
      </c>
      <c r="AQ65" s="5" t="s">
        <v>64</v>
      </c>
      <c r="AS65" t="s">
        <v>50</v>
      </c>
      <c r="AT65" t="s">
        <v>146</v>
      </c>
      <c r="AU65" t="s">
        <v>147</v>
      </c>
      <c r="AY65" t="s">
        <v>19</v>
      </c>
      <c r="BD65" t="s">
        <v>21</v>
      </c>
      <c r="BE65" t="s">
        <v>22</v>
      </c>
      <c r="BF65" t="s">
        <v>73</v>
      </c>
      <c r="BJ65" t="s">
        <v>24</v>
      </c>
      <c r="BK65" t="s">
        <v>25</v>
      </c>
      <c r="BL65" t="s">
        <v>26</v>
      </c>
      <c r="BM65" t="s">
        <v>43</v>
      </c>
      <c r="BN65" t="s">
        <v>44</v>
      </c>
      <c r="BO65" t="s">
        <v>45</v>
      </c>
      <c r="BP65" t="s">
        <v>47</v>
      </c>
      <c r="BQ65" t="s">
        <v>48</v>
      </c>
      <c r="BR65" t="s">
        <v>49</v>
      </c>
      <c r="BT65" t="s">
        <v>75</v>
      </c>
      <c r="BU65" t="s">
        <v>55</v>
      </c>
      <c r="BV65" t="s">
        <v>56</v>
      </c>
      <c r="BW65" t="s">
        <v>57</v>
      </c>
      <c r="BX65" t="s">
        <v>58</v>
      </c>
      <c r="BY65" t="s">
        <v>59</v>
      </c>
      <c r="BZ65" t="s">
        <v>60</v>
      </c>
      <c r="CA65" t="s">
        <v>61</v>
      </c>
      <c r="CB65" t="s">
        <v>66</v>
      </c>
      <c r="CC65" t="s">
        <v>62</v>
      </c>
      <c r="CD65" t="s">
        <v>63</v>
      </c>
      <c r="CE65" t="s">
        <v>64</v>
      </c>
    </row>
    <row r="66" spans="1:83" x14ac:dyDescent="0.3">
      <c r="A66" s="1" t="s">
        <v>117</v>
      </c>
      <c r="B66" s="2" t="s">
        <v>117</v>
      </c>
      <c r="C66" t="s">
        <v>125</v>
      </c>
      <c r="D66" s="5" t="s">
        <v>84</v>
      </c>
      <c r="E66" s="5" t="s">
        <v>148</v>
      </c>
      <c r="F66" s="17">
        <v>44880</v>
      </c>
      <c r="G66">
        <v>1</v>
      </c>
      <c r="H66" s="3">
        <v>5.3</v>
      </c>
      <c r="I66" s="3">
        <f>H66-$A$47</f>
        <v>4.84</v>
      </c>
      <c r="J66" s="3">
        <f>($A$51-$A$47)*$A$55</f>
        <v>0.80874999999999997</v>
      </c>
      <c r="K66" s="6">
        <f>(I66+J66)*$A$48/$A$49*$A$50</f>
        <v>1260.9388828740157</v>
      </c>
      <c r="L66" s="4">
        <v>8.49</v>
      </c>
      <c r="M66" s="4">
        <v>160.22999999999999</v>
      </c>
      <c r="N66" s="4">
        <f>M66-L66</f>
        <v>151.73999999999998</v>
      </c>
      <c r="O66" s="4">
        <v>143.15</v>
      </c>
      <c r="P66" s="7">
        <f>(N66-O66)/N66*100</f>
        <v>5.6609990773691683</v>
      </c>
      <c r="Q66" s="6">
        <f>K66*(1-P66/100)</f>
        <v>1189.5571443483286</v>
      </c>
      <c r="R66" s="14">
        <v>44883</v>
      </c>
      <c r="S66" s="4">
        <v>2.2799999999999998</v>
      </c>
      <c r="T66" s="4">
        <v>0.9</v>
      </c>
      <c r="U66" s="4">
        <v>2.76</v>
      </c>
      <c r="V66" s="8">
        <f>(T66-$A$56)/(S66-$A$47*$A$48)</f>
        <v>0.34759978102758687</v>
      </c>
      <c r="W66" s="8">
        <f>(U66-$A$57)/(S66-$A$47*$A$48)</f>
        <v>0.5117441220683917</v>
      </c>
      <c r="X66" s="8">
        <f>1-V66-W66</f>
        <v>0.14065609690402148</v>
      </c>
      <c r="Y66" s="6">
        <f>K66*V66</f>
        <v>438.30207957617785</v>
      </c>
      <c r="Z66" s="6">
        <f>K66*W66</f>
        <v>645.27806159826173</v>
      </c>
      <c r="AA66" s="6">
        <f>SUM(Y66:Z66)</f>
        <v>1083.5801411744396</v>
      </c>
      <c r="AB66" s="6">
        <f>Q66*V66</f>
        <v>413.4898028952806</v>
      </c>
      <c r="AC66" s="6">
        <f>Q66*W66</f>
        <v>608.74887648471849</v>
      </c>
      <c r="AD66" s="6">
        <f>SUM(AB66:AC66)</f>
        <v>1022.2386793799991</v>
      </c>
      <c r="AE66" s="10">
        <v>991370111097</v>
      </c>
      <c r="AF66" s="14">
        <v>44980</v>
      </c>
      <c r="AG66" s="6">
        <v>50.300000000000004</v>
      </c>
      <c r="AH66" s="11">
        <v>1.0369999999999999</v>
      </c>
      <c r="AI66" s="6">
        <v>80.900000000000006</v>
      </c>
      <c r="AJ66" s="6">
        <v>29.8</v>
      </c>
      <c r="AK66" s="6">
        <v>5.0999999999999996</v>
      </c>
      <c r="AL66" s="6">
        <v>73.400000000000006</v>
      </c>
      <c r="AM66" s="6">
        <v>10.199999999999999</v>
      </c>
      <c r="AN66" s="16" t="s">
        <v>127</v>
      </c>
      <c r="AO66" s="12">
        <v>11</v>
      </c>
      <c r="AP66" s="7">
        <v>0.19</v>
      </c>
      <c r="AQ66" s="6">
        <v>8.5</v>
      </c>
      <c r="AS66" s="4" t="s">
        <v>129</v>
      </c>
      <c r="AT66" s="4" t="str">
        <f>E66</f>
        <v>Machine</v>
      </c>
      <c r="AU66" s="15">
        <f>F66</f>
        <v>44880</v>
      </c>
      <c r="AV66" s="3">
        <f>SUM(H66:H67)</f>
        <v>14.5</v>
      </c>
      <c r="AW66" s="3">
        <f>AV66-2*$A$47</f>
        <v>13.58</v>
      </c>
      <c r="AX66" s="3">
        <f>SUM(J66:J67)</f>
        <v>1.73</v>
      </c>
      <c r="AY66" s="3">
        <f>(AW66+AX66)*$A$48/(2*$A$49)*$A$50</f>
        <v>1708.7828543307087</v>
      </c>
      <c r="AZ66" s="4">
        <f>SUM(L66:L67)</f>
        <v>16.899999999999999</v>
      </c>
      <c r="BA66" s="4">
        <f>SUM(M66:M67)</f>
        <v>332.45</v>
      </c>
      <c r="BB66" s="4">
        <f>BA66-AZ66</f>
        <v>315.55</v>
      </c>
      <c r="BC66" s="4">
        <f>SUM(O66:O67)</f>
        <v>296.68</v>
      </c>
      <c r="BD66" s="4">
        <f>(BB66-BC66)/BB66*100</f>
        <v>5.9800348597686588</v>
      </c>
      <c r="BE66" s="3">
        <f>AY66*(1-BD66/100)</f>
        <v>1606.5970439639825</v>
      </c>
      <c r="BF66" s="15">
        <v>44883</v>
      </c>
      <c r="BG66" s="4">
        <f>SUM(S66:S67)</f>
        <v>6.22</v>
      </c>
      <c r="BH66" s="4">
        <f>SUM(T66:T67)</f>
        <v>2.46</v>
      </c>
      <c r="BI66" s="4">
        <f>SUM(U66:U67)</f>
        <v>6.26</v>
      </c>
      <c r="BJ66" s="9">
        <f>(BH66-2*$A$56)/(BG66-2*$A$47*$A$48)</f>
        <v>0.3619007839832557</v>
      </c>
      <c r="BK66" s="9">
        <f>(BI66-2*$A$57)/(BG66-2*$A$47*$A$48)</f>
        <v>0.49287440104386249</v>
      </c>
      <c r="BL66" s="9">
        <f>1-BJ66-BK66</f>
        <v>0.14522481497288176</v>
      </c>
      <c r="BM66" s="3">
        <f>AY66*BJ66</f>
        <v>618.40985463942889</v>
      </c>
      <c r="BN66" s="3">
        <f>AY66*BK66</f>
        <v>842.21532584226975</v>
      </c>
      <c r="BO66" s="3">
        <f>SUM(BM66:BN66)</f>
        <v>1460.6251804816986</v>
      </c>
      <c r="BP66" s="3">
        <f>BE66*BJ66</f>
        <v>581.42872975574642</v>
      </c>
      <c r="BQ66" s="3">
        <f>BE66*BK66</f>
        <v>791.85055576258787</v>
      </c>
      <c r="BR66" s="3">
        <f>SUM(BP66:BQ66)</f>
        <v>1373.2792855183343</v>
      </c>
      <c r="BS66" s="3"/>
      <c r="BT66" s="15">
        <f>AF67</f>
        <v>44980</v>
      </c>
      <c r="BU66" s="3">
        <f>AVERAGE(AG66:AG67)</f>
        <v>51.45</v>
      </c>
      <c r="BV66" s="13">
        <f t="shared" ref="BV66:CE66" si="0">AVERAGE(AH66:AH67)</f>
        <v>1.0329999999999999</v>
      </c>
      <c r="BW66" s="3">
        <f t="shared" si="0"/>
        <v>80.800000000000011</v>
      </c>
      <c r="BX66" s="3">
        <f t="shared" si="0"/>
        <v>28.65</v>
      </c>
      <c r="BY66" s="3">
        <f t="shared" si="0"/>
        <v>5.1999999999999993</v>
      </c>
      <c r="BZ66" s="3">
        <f t="shared" si="0"/>
        <v>74.400000000000006</v>
      </c>
      <c r="CA66" s="3">
        <f t="shared" si="0"/>
        <v>9.9499999999999993</v>
      </c>
      <c r="CB66" s="3"/>
      <c r="CC66" s="10">
        <f t="shared" si="0"/>
        <v>16.5</v>
      </c>
      <c r="CD66" s="4">
        <f t="shared" si="0"/>
        <v>0.26</v>
      </c>
      <c r="CE66" s="3">
        <f t="shared" si="0"/>
        <v>8.85</v>
      </c>
    </row>
    <row r="67" spans="1:83" x14ac:dyDescent="0.3">
      <c r="A67" s="1" t="s">
        <v>117</v>
      </c>
      <c r="B67" s="2" t="s">
        <v>117</v>
      </c>
      <c r="C67" t="s">
        <v>126</v>
      </c>
      <c r="D67" s="5" t="s">
        <v>85</v>
      </c>
      <c r="E67" s="5" t="s">
        <v>148</v>
      </c>
      <c r="F67" s="17">
        <v>44880</v>
      </c>
      <c r="G67">
        <v>3</v>
      </c>
      <c r="H67" s="3">
        <v>9.1999999999999993</v>
      </c>
      <c r="I67" s="3">
        <f t="shared" ref="I67:I97" si="1">H67-$A$47</f>
        <v>8.7399999999999984</v>
      </c>
      <c r="J67" s="3">
        <f>($A$53-$A$47)*$A$55</f>
        <v>0.9212499999999999</v>
      </c>
      <c r="K67" s="6">
        <f t="shared" ref="K67:K97" si="2">(I67+J67)*$A$48/$A$49*$A$50</f>
        <v>2156.6268257874012</v>
      </c>
      <c r="L67" s="4">
        <v>8.41</v>
      </c>
      <c r="M67" s="4">
        <v>172.22</v>
      </c>
      <c r="N67" s="4">
        <f t="shared" ref="N67:N97" si="3">M67-L67</f>
        <v>163.81</v>
      </c>
      <c r="O67" s="4">
        <v>153.53</v>
      </c>
      <c r="P67" s="7">
        <f t="shared" ref="P67:P97" si="4">(N67-O67)/N67*100</f>
        <v>6.2755631524326976</v>
      </c>
      <c r="Q67" s="6">
        <f t="shared" ref="Q67:Q97" si="5">K67*(1-P67/100)</f>
        <v>2021.2863473728082</v>
      </c>
      <c r="R67" s="14">
        <v>44883</v>
      </c>
      <c r="S67" s="4">
        <v>3.94</v>
      </c>
      <c r="T67" s="4">
        <v>1.56</v>
      </c>
      <c r="U67" s="4">
        <v>3.5</v>
      </c>
      <c r="V67" s="8">
        <f t="shared" ref="V67:V97" si="6">(T67-$A$56)/(S67-$A$47*$A$48)</f>
        <v>0.3698395642402319</v>
      </c>
      <c r="W67" s="8">
        <f t="shared" ref="W67:W97" si="7">(U67-$A$57)/(S67-$A$47*$A$48)</f>
        <v>0.48239943161769372</v>
      </c>
      <c r="X67" s="8">
        <f t="shared" ref="X67:X97" si="8">1-V67-W67</f>
        <v>0.14776100414207438</v>
      </c>
      <c r="Y67" s="6">
        <f t="shared" ref="Y67:Y97" si="9">K67*V67</f>
        <v>797.60592547800695</v>
      </c>
      <c r="Z67" s="6">
        <f t="shared" ref="Z67:Z97" si="10">K67*W67</f>
        <v>1040.3555549713133</v>
      </c>
      <c r="AA67" s="6">
        <f t="shared" ref="AA67:AA97" si="11">SUM(Y67:Z67)</f>
        <v>1837.9614804493203</v>
      </c>
      <c r="AB67" s="6">
        <f t="shared" ref="AB67:AB97" si="12">Q67*V67</f>
        <v>747.5516619170894</v>
      </c>
      <c r="AC67" s="6">
        <f t="shared" ref="AC67:AC97" si="13">Q67*W67</f>
        <v>975.06738510924686</v>
      </c>
      <c r="AD67" s="6">
        <f t="shared" ref="AD67:AD97" si="14">SUM(AB67:AC67)</f>
        <v>1722.6190470263364</v>
      </c>
      <c r="AE67" s="10">
        <v>991370112113</v>
      </c>
      <c r="AF67" s="14">
        <v>44980</v>
      </c>
      <c r="AG67" s="6">
        <v>52.599999999999994</v>
      </c>
      <c r="AH67" s="11">
        <v>1.0289999999999999</v>
      </c>
      <c r="AI67" s="6">
        <v>80.7</v>
      </c>
      <c r="AJ67" s="6">
        <v>27.5</v>
      </c>
      <c r="AK67" s="6">
        <v>5.3</v>
      </c>
      <c r="AL67" s="6">
        <v>75.400000000000006</v>
      </c>
      <c r="AM67" s="6">
        <v>9.6999999999999993</v>
      </c>
      <c r="AN67" s="16" t="s">
        <v>127</v>
      </c>
      <c r="AO67" s="12">
        <v>22</v>
      </c>
      <c r="AP67" s="7">
        <v>0.33</v>
      </c>
      <c r="AQ67" s="6">
        <v>9.1999999999999993</v>
      </c>
      <c r="AV67" s="3"/>
      <c r="AW67" s="3"/>
      <c r="AX67" s="3"/>
      <c r="AY67" s="3"/>
      <c r="AZ67" s="4"/>
      <c r="BA67" s="4"/>
      <c r="BB67" s="4"/>
      <c r="BC67" s="4"/>
      <c r="BD67" s="4"/>
      <c r="BE67" s="3"/>
      <c r="BF67" s="3"/>
      <c r="BG67" s="4"/>
      <c r="BH67" s="4"/>
      <c r="BI67" s="4"/>
      <c r="BJ67" s="9"/>
      <c r="BK67" s="9"/>
      <c r="BL67" s="9"/>
      <c r="BM67" s="3"/>
      <c r="BN67" s="3"/>
      <c r="BO67" s="3"/>
      <c r="BP67" s="3"/>
      <c r="BQ67" s="3"/>
      <c r="BR67" s="3"/>
      <c r="BT67" s="15"/>
      <c r="BU67" s="3"/>
      <c r="BV67" s="13"/>
      <c r="BW67" s="3"/>
      <c r="BX67" s="3"/>
      <c r="BY67" s="3"/>
      <c r="BZ67" s="3"/>
      <c r="CA67" s="3"/>
      <c r="CB67" s="10"/>
      <c r="CC67" s="10"/>
      <c r="CD67" s="4"/>
      <c r="CE67" s="3"/>
    </row>
    <row r="68" spans="1:83" x14ac:dyDescent="0.3">
      <c r="A68" s="1" t="s">
        <v>117</v>
      </c>
      <c r="B68" s="2" t="s">
        <v>118</v>
      </c>
      <c r="C68" t="s">
        <v>125</v>
      </c>
      <c r="D68" s="5" t="s">
        <v>86</v>
      </c>
      <c r="E68" s="5" t="s">
        <v>148</v>
      </c>
      <c r="F68" s="17">
        <v>44880</v>
      </c>
      <c r="G68">
        <v>1</v>
      </c>
      <c r="H68" s="3">
        <v>13.7</v>
      </c>
      <c r="I68" s="3">
        <f t="shared" si="1"/>
        <v>13.239999999999998</v>
      </c>
      <c r="J68" s="3">
        <f>($A$51-$A$47)*$A$55</f>
        <v>0.80874999999999997</v>
      </c>
      <c r="K68" s="6">
        <f t="shared" si="2"/>
        <v>3136.0239222440937</v>
      </c>
      <c r="L68" s="4">
        <v>8.48</v>
      </c>
      <c r="M68" s="4">
        <v>163.19999999999999</v>
      </c>
      <c r="N68" s="4">
        <f t="shared" si="3"/>
        <v>154.72</v>
      </c>
      <c r="O68" s="4">
        <v>146.88999999999999</v>
      </c>
      <c r="P68" s="7">
        <f t="shared" si="4"/>
        <v>5.0607549120992843</v>
      </c>
      <c r="Q68" s="6">
        <f t="shared" si="5"/>
        <v>2977.3174375545173</v>
      </c>
      <c r="R68" s="14">
        <v>44883</v>
      </c>
      <c r="S68" s="4">
        <v>6.08</v>
      </c>
      <c r="T68" s="4">
        <v>2.2999999999999998</v>
      </c>
      <c r="U68" s="4">
        <v>4.72</v>
      </c>
      <c r="V68" s="8">
        <f t="shared" si="6"/>
        <v>0.36107553419490218</v>
      </c>
      <c r="W68" s="8">
        <f t="shared" si="7"/>
        <v>0.51436231757953044</v>
      </c>
      <c r="X68" s="8">
        <f t="shared" si="8"/>
        <v>0.12456214822556744</v>
      </c>
      <c r="Y68" s="6">
        <f t="shared" si="9"/>
        <v>1132.3415129722785</v>
      </c>
      <c r="Z68" s="6">
        <f t="shared" si="10"/>
        <v>1613.0525326303211</v>
      </c>
      <c r="AA68" s="6">
        <f t="shared" si="11"/>
        <v>2745.3940456025994</v>
      </c>
      <c r="AB68" s="6">
        <f t="shared" si="12"/>
        <v>1075.0364842327947</v>
      </c>
      <c r="AC68" s="6">
        <f t="shared" si="13"/>
        <v>1531.4198973504904</v>
      </c>
      <c r="AD68" s="6">
        <f t="shared" si="14"/>
        <v>2606.4563815832853</v>
      </c>
      <c r="AE68" s="10">
        <v>991370121098</v>
      </c>
      <c r="AF68" s="14">
        <v>44980</v>
      </c>
      <c r="AG68" s="6">
        <v>48.6</v>
      </c>
      <c r="AH68" s="11">
        <v>1.1060000000000001</v>
      </c>
      <c r="AI68" s="6">
        <v>80.900000000000006</v>
      </c>
      <c r="AJ68" s="6">
        <v>29.7</v>
      </c>
      <c r="AK68" s="6">
        <v>5.3</v>
      </c>
      <c r="AL68" s="6">
        <v>78.400000000000006</v>
      </c>
      <c r="AM68" s="6">
        <v>10</v>
      </c>
      <c r="AN68" s="16" t="s">
        <v>81</v>
      </c>
      <c r="AO68" s="12">
        <v>6</v>
      </c>
      <c r="AP68" s="7">
        <v>7.0000000000000007E-2</v>
      </c>
      <c r="AQ68" s="6">
        <v>9.1999999999999993</v>
      </c>
      <c r="AS68" t="s">
        <v>130</v>
      </c>
      <c r="AT68" s="4" t="str">
        <f>E68</f>
        <v>Machine</v>
      </c>
      <c r="AU68" s="15">
        <f>F68</f>
        <v>44880</v>
      </c>
      <c r="AV68" s="3">
        <f>SUM(H68:H69)</f>
        <v>32.200000000000003</v>
      </c>
      <c r="AW68" s="3">
        <f>AV68-2*$A$47</f>
        <v>31.28</v>
      </c>
      <c r="AX68" s="3">
        <f>SUM(J68:J69)</f>
        <v>1.73</v>
      </c>
      <c r="AY68" s="3">
        <f>(AW68+AX68)*$A$48/(2*$A$49)*$A$50</f>
        <v>3684.3188779527559</v>
      </c>
      <c r="AZ68" s="4">
        <f>SUM(L68:L69)</f>
        <v>16.899999999999999</v>
      </c>
      <c r="BA68" s="4">
        <f>SUM(M68:M69)</f>
        <v>337.08</v>
      </c>
      <c r="BB68" s="4">
        <f>BA68-AZ68</f>
        <v>320.18</v>
      </c>
      <c r="BC68" s="4">
        <f>SUM(O68:O69)</f>
        <v>308.33999999999997</v>
      </c>
      <c r="BD68" s="4">
        <f>(BB68-BC68)/BB68*100</f>
        <v>3.6979199200449848</v>
      </c>
      <c r="BE68" s="3">
        <f>AY68*(1-BD68/100)</f>
        <v>3548.0757162469627</v>
      </c>
      <c r="BF68" s="15">
        <v>44883</v>
      </c>
      <c r="BG68" s="4">
        <f>SUM(S68:S69)</f>
        <v>14.28</v>
      </c>
      <c r="BH68" s="4">
        <f>SUM(T68:T69)</f>
        <v>5.5</v>
      </c>
      <c r="BI68" s="4">
        <f>SUM(U68:U69)</f>
        <v>10.44</v>
      </c>
      <c r="BJ68" s="9">
        <f>(BH68-2*$A$56)/(BG68-2*$A$47*$A$48)</f>
        <v>0.37077926525249705</v>
      </c>
      <c r="BK68" s="9">
        <f>(BI68-2*$A$57)/(BG68-2*$A$47*$A$48)</f>
        <v>0.50783774851703867</v>
      </c>
      <c r="BL68" s="9">
        <f>1-BJ68-BK68</f>
        <v>0.12138298623046428</v>
      </c>
      <c r="BM68" s="3">
        <f>AY68*BJ68</f>
        <v>1366.0690465232271</v>
      </c>
      <c r="BN68" s="3">
        <f>AY68*BK68</f>
        <v>1871.0362037983498</v>
      </c>
      <c r="BO68" s="3">
        <f>SUM(BM68:BN68)</f>
        <v>3237.1052503215769</v>
      </c>
      <c r="BP68" s="3">
        <f>BE68*BJ68</f>
        <v>1315.552907130276</v>
      </c>
      <c r="BQ68" s="3">
        <f>BE68*BK68</f>
        <v>1801.8467833068369</v>
      </c>
      <c r="BR68" s="3">
        <f>SUM(BP68:BQ68)</f>
        <v>3117.3996904371129</v>
      </c>
      <c r="BS68" s="3"/>
      <c r="BT68" s="15">
        <f>AF69</f>
        <v>44980</v>
      </c>
      <c r="BU68" s="3">
        <f>AVERAGE(AG68:AG69)</f>
        <v>48.45</v>
      </c>
      <c r="BV68" s="13">
        <f t="shared" ref="BV68" si="15">AVERAGE(AH68:AH69)</f>
        <v>1.0920000000000001</v>
      </c>
      <c r="BW68" s="3">
        <f t="shared" ref="BW68" si="16">AVERAGE(AI68:AI69)</f>
        <v>80.800000000000011</v>
      </c>
      <c r="BX68" s="3">
        <f t="shared" ref="BX68" si="17">AVERAGE(AJ68:AJ69)</f>
        <v>29.5</v>
      </c>
      <c r="BY68" s="3">
        <f t="shared" ref="BY68" si="18">AVERAGE(AK68:AK69)</f>
        <v>5.3</v>
      </c>
      <c r="BZ68" s="3">
        <f t="shared" ref="BZ68" si="19">AVERAGE(AL68:AL69)</f>
        <v>78.45</v>
      </c>
      <c r="CA68" s="3">
        <f t="shared" ref="CA68" si="20">AVERAGE(AM68:AM69)</f>
        <v>9.85</v>
      </c>
      <c r="CB68" s="3"/>
      <c r="CC68" s="10">
        <f t="shared" ref="CC68" si="21">AVERAGE(AO68:AO69)</f>
        <v>8</v>
      </c>
      <c r="CD68" s="4">
        <f t="shared" ref="CD68" si="22">AVERAGE(AP68:AP69)</f>
        <v>0.15000000000000002</v>
      </c>
      <c r="CE68" s="3">
        <f t="shared" ref="CE68" si="23">AVERAGE(AQ68:AQ69)</f>
        <v>9.5500000000000007</v>
      </c>
    </row>
    <row r="69" spans="1:83" x14ac:dyDescent="0.3">
      <c r="A69" s="1" t="s">
        <v>117</v>
      </c>
      <c r="B69" s="2" t="s">
        <v>118</v>
      </c>
      <c r="C69" t="s">
        <v>126</v>
      </c>
      <c r="D69" s="5" t="s">
        <v>87</v>
      </c>
      <c r="E69" s="5" t="s">
        <v>148</v>
      </c>
      <c r="F69" s="17">
        <v>44880</v>
      </c>
      <c r="G69">
        <v>3</v>
      </c>
      <c r="H69" s="3">
        <v>18.5</v>
      </c>
      <c r="I69" s="3">
        <f t="shared" si="1"/>
        <v>18.04</v>
      </c>
      <c r="J69" s="3">
        <f>($A$53-$A$47)*$A$55</f>
        <v>0.9212499999999999</v>
      </c>
      <c r="K69" s="6">
        <f t="shared" si="2"/>
        <v>4232.6138336614167</v>
      </c>
      <c r="L69" s="4">
        <v>8.42</v>
      </c>
      <c r="M69" s="4">
        <v>173.88</v>
      </c>
      <c r="N69" s="4">
        <f t="shared" si="3"/>
        <v>165.46</v>
      </c>
      <c r="O69" s="4">
        <v>161.44999999999999</v>
      </c>
      <c r="P69" s="7">
        <f t="shared" si="4"/>
        <v>2.4235464764897978</v>
      </c>
      <c r="Q69" s="6">
        <f t="shared" si="5"/>
        <v>4130.0344702322955</v>
      </c>
      <c r="R69" s="14">
        <v>44883</v>
      </c>
      <c r="S69" s="4">
        <v>8.1999999999999993</v>
      </c>
      <c r="T69" s="4">
        <v>3.2</v>
      </c>
      <c r="U69" s="4">
        <v>5.72</v>
      </c>
      <c r="V69" s="8">
        <f t="shared" si="6"/>
        <v>0.3779087234007068</v>
      </c>
      <c r="W69" s="8">
        <f t="shared" si="7"/>
        <v>0.503044062275113</v>
      </c>
      <c r="X69" s="8">
        <f t="shared" si="8"/>
        <v>0.11904721432418019</v>
      </c>
      <c r="Y69" s="6">
        <f t="shared" si="9"/>
        <v>1599.5416905271575</v>
      </c>
      <c r="Z69" s="6">
        <f t="shared" si="10"/>
        <v>2129.1912569268784</v>
      </c>
      <c r="AA69" s="6">
        <f t="shared" si="11"/>
        <v>3728.7329474540356</v>
      </c>
      <c r="AB69" s="6">
        <f t="shared" si="12"/>
        <v>1560.7760542464011</v>
      </c>
      <c r="AC69" s="6">
        <f t="shared" si="13"/>
        <v>2077.5893172418982</v>
      </c>
      <c r="AD69" s="6">
        <f t="shared" si="14"/>
        <v>3638.3653714882994</v>
      </c>
      <c r="AE69" s="10">
        <v>991370122114</v>
      </c>
      <c r="AF69" s="14">
        <v>44980</v>
      </c>
      <c r="AG69" s="6">
        <v>48.3</v>
      </c>
      <c r="AH69" s="11">
        <v>1.0780000000000001</v>
      </c>
      <c r="AI69" s="6">
        <v>80.7</v>
      </c>
      <c r="AJ69" s="6">
        <v>29.3</v>
      </c>
      <c r="AK69" s="6">
        <v>5.3</v>
      </c>
      <c r="AL69" s="6">
        <v>78.5</v>
      </c>
      <c r="AM69" s="6">
        <v>9.6999999999999993</v>
      </c>
      <c r="AN69" s="16" t="s">
        <v>82</v>
      </c>
      <c r="AO69" s="12">
        <v>10</v>
      </c>
      <c r="AP69" s="7">
        <v>0.23</v>
      </c>
      <c r="AQ69" s="6">
        <v>9.9</v>
      </c>
      <c r="AV69" s="3"/>
      <c r="AW69" s="3"/>
      <c r="AX69" s="3"/>
      <c r="AY69" s="3"/>
      <c r="AZ69" s="4"/>
      <c r="BA69" s="4"/>
      <c r="BB69" s="4"/>
      <c r="BC69" s="4"/>
      <c r="BD69" s="4"/>
      <c r="BE69" s="3"/>
      <c r="BF69" s="3"/>
      <c r="BG69" s="4"/>
      <c r="BH69" s="4"/>
      <c r="BI69" s="4"/>
      <c r="BJ69" s="9"/>
      <c r="BK69" s="9"/>
      <c r="BL69" s="9"/>
      <c r="BM69" s="3"/>
      <c r="BN69" s="3"/>
      <c r="BO69" s="3"/>
      <c r="BP69" s="3"/>
      <c r="BQ69" s="3"/>
      <c r="BR69" s="3"/>
      <c r="BT69" s="15"/>
      <c r="BU69" s="3"/>
      <c r="BV69" s="13"/>
      <c r="BW69" s="3"/>
      <c r="BX69" s="3"/>
      <c r="BY69" s="3"/>
      <c r="BZ69" s="3"/>
      <c r="CA69" s="3"/>
      <c r="CB69" s="10"/>
      <c r="CC69" s="10"/>
      <c r="CD69" s="4"/>
      <c r="CE69" s="3"/>
    </row>
    <row r="70" spans="1:83" x14ac:dyDescent="0.3">
      <c r="A70" s="1" t="s">
        <v>117</v>
      </c>
      <c r="B70" s="2" t="s">
        <v>119</v>
      </c>
      <c r="C70" t="s">
        <v>125</v>
      </c>
      <c r="D70" s="5" t="s">
        <v>88</v>
      </c>
      <c r="E70" s="5" t="s">
        <v>148</v>
      </c>
      <c r="F70" s="17">
        <v>44880</v>
      </c>
      <c r="G70">
        <v>1</v>
      </c>
      <c r="H70" s="3">
        <v>16.5</v>
      </c>
      <c r="I70" s="3">
        <f>H70-$A$47</f>
        <v>16.04</v>
      </c>
      <c r="J70" s="3">
        <f>($A$51-$A$47)*$A$55</f>
        <v>0.80874999999999997</v>
      </c>
      <c r="K70" s="6">
        <f t="shared" si="2"/>
        <v>3761.052268700787</v>
      </c>
      <c r="L70" s="4">
        <v>8.52</v>
      </c>
      <c r="M70" s="4">
        <v>143.27000000000001</v>
      </c>
      <c r="N70" s="4">
        <f t="shared" si="3"/>
        <v>134.75</v>
      </c>
      <c r="O70" s="4">
        <v>127.68</v>
      </c>
      <c r="P70" s="7">
        <f t="shared" si="4"/>
        <v>5.2467532467532418</v>
      </c>
      <c r="Q70" s="6">
        <f t="shared" si="5"/>
        <v>3563.7191366806419</v>
      </c>
      <c r="R70" s="14">
        <v>44883</v>
      </c>
      <c r="S70" s="4">
        <v>7.34</v>
      </c>
      <c r="T70" s="4">
        <v>2.74</v>
      </c>
      <c r="U70" s="4">
        <v>5.36</v>
      </c>
      <c r="V70" s="8">
        <f t="shared" si="6"/>
        <v>0.35897843084829095</v>
      </c>
      <c r="W70" s="8">
        <f t="shared" si="7"/>
        <v>0.51322697535341599</v>
      </c>
      <c r="X70" s="8">
        <f t="shared" si="8"/>
        <v>0.12779459379829305</v>
      </c>
      <c r="Y70" s="6">
        <f t="shared" si="9"/>
        <v>1350.1366417566132</v>
      </c>
      <c r="Z70" s="6">
        <f t="shared" si="10"/>
        <v>1930.2734800114081</v>
      </c>
      <c r="AA70" s="6">
        <f t="shared" si="11"/>
        <v>3280.4101217680213</v>
      </c>
      <c r="AB70" s="6">
        <f t="shared" si="12"/>
        <v>1279.298303669643</v>
      </c>
      <c r="AC70" s="6">
        <f t="shared" si="13"/>
        <v>1828.9967935276927</v>
      </c>
      <c r="AD70" s="6">
        <f t="shared" si="14"/>
        <v>3108.295097197336</v>
      </c>
      <c r="AE70" s="10">
        <v>991370131099</v>
      </c>
      <c r="AF70" s="14">
        <v>44980</v>
      </c>
      <c r="AG70" s="6">
        <v>47.5</v>
      </c>
      <c r="AH70" s="11">
        <v>1.089</v>
      </c>
      <c r="AI70" s="6">
        <v>81.8</v>
      </c>
      <c r="AJ70" s="6">
        <v>30.4</v>
      </c>
      <c r="AK70" s="6">
        <v>5.3</v>
      </c>
      <c r="AL70" s="6">
        <v>77.599999999999994</v>
      </c>
      <c r="AM70" s="6">
        <v>9.9</v>
      </c>
      <c r="AN70" s="16" t="s">
        <v>79</v>
      </c>
      <c r="AO70" s="12">
        <v>10</v>
      </c>
      <c r="AP70" s="7">
        <v>0.17</v>
      </c>
      <c r="AQ70" s="6">
        <v>8.4</v>
      </c>
      <c r="AS70" t="s">
        <v>131</v>
      </c>
      <c r="AT70" s="4" t="str">
        <f>E70</f>
        <v>Machine</v>
      </c>
      <c r="AU70" s="15">
        <f>F70</f>
        <v>44880</v>
      </c>
      <c r="AV70" s="3">
        <f>SUM(H70:H71)</f>
        <v>37.6</v>
      </c>
      <c r="AW70" s="3">
        <f>AV70-2*$A$47</f>
        <v>36.68</v>
      </c>
      <c r="AX70" s="3">
        <f>SUM(J70:J71)</f>
        <v>1.73</v>
      </c>
      <c r="AY70" s="3">
        <f>(AW70+AX70)*$A$48/(2*$A$49)*$A$50</f>
        <v>4287.0247834645661</v>
      </c>
      <c r="AZ70" s="4">
        <f>SUM(L70:L71)</f>
        <v>16.98</v>
      </c>
      <c r="BA70" s="4">
        <f>SUM(M70:M71)</f>
        <v>319.59000000000003</v>
      </c>
      <c r="BB70" s="4">
        <f>BA70-AZ70</f>
        <v>302.61</v>
      </c>
      <c r="BC70" s="4">
        <f>SUM(O70:O71)</f>
        <v>286.94</v>
      </c>
      <c r="BD70" s="4">
        <f>(BB70-BC70)/BB70*100</f>
        <v>5.1782822775189237</v>
      </c>
      <c r="BE70" s="3">
        <f>AY70*(1-BD70/100)</f>
        <v>4065.0305388695765</v>
      </c>
      <c r="BF70" s="15">
        <v>44883</v>
      </c>
      <c r="BG70" s="4">
        <f>SUM(S70:S71)</f>
        <v>16.689999999999998</v>
      </c>
      <c r="BH70" s="4">
        <f>SUM(T70:T71)</f>
        <v>6.3800000000000008</v>
      </c>
      <c r="BI70" s="4">
        <f>SUM(U70:U71)</f>
        <v>11.58</v>
      </c>
      <c r="BJ70" s="9">
        <f>(BH70-2*$A$56)/(BG70-2*$A$47*$A$48)</f>
        <v>0.36994485958348339</v>
      </c>
      <c r="BK70" s="9">
        <f>(BI70-2*$A$57)/(BG70-2*$A$47*$A$48)</f>
        <v>0.50268255006526474</v>
      </c>
      <c r="BL70" s="9">
        <f>1-BJ70-BK70</f>
        <v>0.12737259035125192</v>
      </c>
      <c r="BM70" s="3">
        <f>AY70*BJ70</f>
        <v>1585.9627815497122</v>
      </c>
      <c r="BN70" s="3">
        <f>AY70*BK70</f>
        <v>2155.0125503449576</v>
      </c>
      <c r="BO70" s="3">
        <f>SUM(BM70:BN70)</f>
        <v>3740.9753318946696</v>
      </c>
      <c r="BP70" s="3">
        <f>BE70*BJ70</f>
        <v>1503.8371519046773</v>
      </c>
      <c r="BQ70" s="3">
        <f>BE70*BK70</f>
        <v>2043.4199173721361</v>
      </c>
      <c r="BR70" s="3">
        <f>SUM(BP70:BQ70)</f>
        <v>3547.2570692768131</v>
      </c>
      <c r="BS70" s="3"/>
      <c r="BT70" s="15">
        <f>AF71</f>
        <v>44980</v>
      </c>
      <c r="BU70" s="3">
        <f>AVERAGE(AG70:AG71)</f>
        <v>48.2</v>
      </c>
      <c r="BV70" s="13">
        <f t="shared" ref="BV70" si="24">AVERAGE(AH70:AH71)</f>
        <v>1.0819999999999999</v>
      </c>
      <c r="BW70" s="3">
        <f t="shared" ref="BW70" si="25">AVERAGE(AI70:AI71)</f>
        <v>81.699999999999989</v>
      </c>
      <c r="BX70" s="3">
        <f t="shared" ref="BX70" si="26">AVERAGE(AJ70:AJ71)</f>
        <v>29.85</v>
      </c>
      <c r="BY70" s="3">
        <f t="shared" ref="BY70" si="27">AVERAGE(AK70:AK71)</f>
        <v>5.35</v>
      </c>
      <c r="BZ70" s="3">
        <f t="shared" ref="BZ70" si="28">AVERAGE(AL70:AL71)</f>
        <v>77.949999999999989</v>
      </c>
      <c r="CA70" s="3">
        <f t="shared" ref="CA70" si="29">AVERAGE(AM70:AM71)</f>
        <v>9.9</v>
      </c>
      <c r="CB70" s="3"/>
      <c r="CC70" s="10">
        <f t="shared" ref="CC70" si="30">AVERAGE(AO70:AO71)</f>
        <v>15</v>
      </c>
      <c r="CD70" s="4">
        <f t="shared" ref="CD70" si="31">AVERAGE(AP70:AP71)</f>
        <v>0.26</v>
      </c>
      <c r="CE70" s="3">
        <f t="shared" ref="CE70" si="32">AVERAGE(AQ70:AQ71)</f>
        <v>8.9499999999999993</v>
      </c>
    </row>
    <row r="71" spans="1:83" x14ac:dyDescent="0.3">
      <c r="A71" s="1" t="s">
        <v>117</v>
      </c>
      <c r="B71" s="2" t="s">
        <v>119</v>
      </c>
      <c r="C71" t="s">
        <v>126</v>
      </c>
      <c r="D71" s="5" t="s">
        <v>89</v>
      </c>
      <c r="E71" s="5" t="s">
        <v>148</v>
      </c>
      <c r="F71" s="17">
        <v>44880</v>
      </c>
      <c r="G71">
        <v>3</v>
      </c>
      <c r="H71" s="3">
        <v>21.1</v>
      </c>
      <c r="I71" s="3">
        <f t="shared" si="1"/>
        <v>20.64</v>
      </c>
      <c r="J71" s="3">
        <f>($A$53-$A$47)*$A$55</f>
        <v>0.9212499999999999</v>
      </c>
      <c r="K71" s="6">
        <f t="shared" si="2"/>
        <v>4812.9972982283462</v>
      </c>
      <c r="L71" s="4">
        <v>8.4600000000000009</v>
      </c>
      <c r="M71" s="4">
        <v>176.32</v>
      </c>
      <c r="N71" s="4">
        <f t="shared" si="3"/>
        <v>167.85999999999999</v>
      </c>
      <c r="O71" s="4">
        <v>159.26</v>
      </c>
      <c r="P71" s="7">
        <f t="shared" si="4"/>
        <v>5.1233170499225515</v>
      </c>
      <c r="Q71" s="6">
        <f t="shared" si="5"/>
        <v>4566.4121870359013</v>
      </c>
      <c r="R71" s="14">
        <v>44883</v>
      </c>
      <c r="S71" s="4">
        <v>9.35</v>
      </c>
      <c r="T71" s="4">
        <v>3.64</v>
      </c>
      <c r="U71" s="4">
        <v>6.22</v>
      </c>
      <c r="V71" s="8">
        <f t="shared" si="6"/>
        <v>0.3784999894020003</v>
      </c>
      <c r="W71" s="8">
        <f t="shared" si="7"/>
        <v>0.49445663355405817</v>
      </c>
      <c r="X71" s="8">
        <f t="shared" si="8"/>
        <v>0.12704337704394159</v>
      </c>
      <c r="Y71" s="6">
        <f t="shared" si="9"/>
        <v>1821.7194263712852</v>
      </c>
      <c r="Z71" s="6">
        <f t="shared" si="10"/>
        <v>2379.8184413867652</v>
      </c>
      <c r="AA71" s="6">
        <f t="shared" si="11"/>
        <v>4201.5378677580502</v>
      </c>
      <c r="AB71" s="6">
        <f t="shared" si="12"/>
        <v>1728.3869643982537</v>
      </c>
      <c r="AC71" s="6">
        <f t="shared" si="13"/>
        <v>2257.892797421996</v>
      </c>
      <c r="AD71" s="6">
        <f t="shared" si="14"/>
        <v>3986.2797618202494</v>
      </c>
      <c r="AE71" s="10">
        <v>991370132115</v>
      </c>
      <c r="AF71" s="14">
        <v>44980</v>
      </c>
      <c r="AG71" s="6">
        <v>48.9</v>
      </c>
      <c r="AH71" s="11">
        <v>1.075</v>
      </c>
      <c r="AI71" s="6">
        <v>81.599999999999994</v>
      </c>
      <c r="AJ71" s="6">
        <v>29.3</v>
      </c>
      <c r="AK71" s="6">
        <v>5.4</v>
      </c>
      <c r="AL71" s="6">
        <v>78.3</v>
      </c>
      <c r="AM71" s="6">
        <v>9.9</v>
      </c>
      <c r="AN71" s="16" t="s">
        <v>79</v>
      </c>
      <c r="AO71" s="12">
        <v>20</v>
      </c>
      <c r="AP71" s="7">
        <v>0.35</v>
      </c>
      <c r="AQ71" s="6">
        <v>9.5</v>
      </c>
      <c r="AV71" s="3"/>
      <c r="AW71" s="3"/>
      <c r="AX71" s="3"/>
      <c r="AY71" s="3"/>
      <c r="AZ71" s="4"/>
      <c r="BA71" s="4"/>
      <c r="BB71" s="4"/>
      <c r="BC71" s="4"/>
      <c r="BD71" s="4"/>
      <c r="BE71" s="3"/>
      <c r="BF71" s="3"/>
      <c r="BG71" s="4"/>
      <c r="BH71" s="4"/>
      <c r="BI71" s="4"/>
      <c r="BJ71" s="9"/>
      <c r="BK71" s="9"/>
      <c r="BL71" s="9"/>
      <c r="BM71" s="3"/>
      <c r="BN71" s="3"/>
      <c r="BO71" s="3"/>
      <c r="BP71" s="3"/>
      <c r="BQ71" s="3"/>
      <c r="BR71" s="3"/>
      <c r="BT71" s="15"/>
      <c r="BU71" s="3"/>
      <c r="BV71" s="13"/>
      <c r="BW71" s="3"/>
      <c r="BX71" s="3"/>
      <c r="BY71" s="3"/>
      <c r="BZ71" s="3"/>
      <c r="CA71" s="3"/>
      <c r="CB71" s="10"/>
      <c r="CC71" s="10"/>
      <c r="CD71" s="4"/>
      <c r="CE71" s="3"/>
    </row>
    <row r="72" spans="1:83" x14ac:dyDescent="0.3">
      <c r="A72" s="1" t="s">
        <v>117</v>
      </c>
      <c r="B72" s="2" t="s">
        <v>120</v>
      </c>
      <c r="C72" t="s">
        <v>125</v>
      </c>
      <c r="D72" s="5" t="s">
        <v>90</v>
      </c>
      <c r="E72" s="5" t="s">
        <v>148</v>
      </c>
      <c r="F72" s="17">
        <v>44880</v>
      </c>
      <c r="G72">
        <v>1</v>
      </c>
      <c r="H72" s="3">
        <v>10.8</v>
      </c>
      <c r="I72" s="3">
        <f t="shared" si="1"/>
        <v>10.34</v>
      </c>
      <c r="J72" s="3">
        <f>($A$51-$A$47)*$A$55</f>
        <v>0.80874999999999997</v>
      </c>
      <c r="K72" s="6">
        <f t="shared" si="2"/>
        <v>2488.6731348425196</v>
      </c>
      <c r="L72" s="4">
        <v>8.48</v>
      </c>
      <c r="M72" s="4">
        <v>134.81</v>
      </c>
      <c r="N72" s="4">
        <f t="shared" si="3"/>
        <v>126.33</v>
      </c>
      <c r="O72" s="4">
        <v>119.25</v>
      </c>
      <c r="P72" s="7">
        <f t="shared" si="4"/>
        <v>5.6043695084303007</v>
      </c>
      <c r="Q72" s="6">
        <f t="shared" si="5"/>
        <v>2349.1986965089091</v>
      </c>
      <c r="R72" s="14">
        <v>44883</v>
      </c>
      <c r="S72" s="4">
        <v>4.76</v>
      </c>
      <c r="T72" s="4">
        <v>1.8</v>
      </c>
      <c r="U72" s="4">
        <v>3.94</v>
      </c>
      <c r="V72" s="8">
        <f t="shared" si="6"/>
        <v>0.35593852939839571</v>
      </c>
      <c r="W72" s="8">
        <f t="shared" si="7"/>
        <v>0.49216191719284347</v>
      </c>
      <c r="X72" s="8">
        <f t="shared" si="8"/>
        <v>0.15189955340876088</v>
      </c>
      <c r="Y72" s="6">
        <f t="shared" si="9"/>
        <v>885.81465576914184</v>
      </c>
      <c r="Z72" s="6">
        <f t="shared" si="10"/>
        <v>1224.8301413104184</v>
      </c>
      <c r="AA72" s="6">
        <f t="shared" si="11"/>
        <v>2110.6447970795602</v>
      </c>
      <c r="AB72" s="6">
        <f t="shared" si="12"/>
        <v>836.17032930000926</v>
      </c>
      <c r="AC72" s="6">
        <f t="shared" si="13"/>
        <v>1156.1861343407536</v>
      </c>
      <c r="AD72" s="6">
        <f t="shared" si="14"/>
        <v>1992.3564636407627</v>
      </c>
      <c r="AE72" s="10">
        <v>991370141100</v>
      </c>
      <c r="AF72" s="14">
        <v>44980</v>
      </c>
      <c r="AG72" s="6">
        <v>52.9</v>
      </c>
      <c r="AH72" s="11">
        <v>1.071</v>
      </c>
      <c r="AI72" s="6">
        <v>80.900000000000006</v>
      </c>
      <c r="AJ72" s="6">
        <v>28.6</v>
      </c>
      <c r="AK72" s="6">
        <v>5.4</v>
      </c>
      <c r="AL72" s="6">
        <v>75.7</v>
      </c>
      <c r="AM72" s="6">
        <v>9.8000000000000007</v>
      </c>
      <c r="AN72" s="16" t="s">
        <v>128</v>
      </c>
      <c r="AO72" s="12">
        <v>11</v>
      </c>
      <c r="AP72" s="7">
        <v>0.2</v>
      </c>
      <c r="AQ72" s="6">
        <v>8.6</v>
      </c>
      <c r="AS72" t="s">
        <v>132</v>
      </c>
      <c r="AT72" s="4" t="str">
        <f>E72</f>
        <v>Machine</v>
      </c>
      <c r="AU72" s="15">
        <f>F72</f>
        <v>44880</v>
      </c>
      <c r="AV72" s="3">
        <f>SUM(H72:H73)</f>
        <v>20.700000000000003</v>
      </c>
      <c r="AW72" s="3">
        <f>AV72-2*$A$47</f>
        <v>19.78</v>
      </c>
      <c r="AX72" s="3">
        <f>SUM(J72:J73)</f>
        <v>1.73</v>
      </c>
      <c r="AY72" s="3">
        <f>(AW72+AX72)*$A$48/(2*$A$49)*$A$50</f>
        <v>2400.7785236220475</v>
      </c>
      <c r="AZ72" s="4">
        <f>SUM(L72:L73)</f>
        <v>16.920000000000002</v>
      </c>
      <c r="BA72" s="4">
        <f>SUM(M72:M73)</f>
        <v>280.38</v>
      </c>
      <c r="BB72" s="4">
        <f>BA72-AZ72</f>
        <v>263.45999999999998</v>
      </c>
      <c r="BC72" s="4">
        <f>SUM(O72:O73)</f>
        <v>249.97</v>
      </c>
      <c r="BD72" s="4">
        <f>(BB72-BC72)/BB72*100</f>
        <v>5.1203218704926678</v>
      </c>
      <c r="BE72" s="3">
        <f>AY72*(1-BD72/100)</f>
        <v>2277.8509358149367</v>
      </c>
      <c r="BF72" s="15">
        <v>44883</v>
      </c>
      <c r="BG72" s="4">
        <f>SUM(S72:S73)</f>
        <v>9.07</v>
      </c>
      <c r="BH72" s="4">
        <f>SUM(T72:T73)</f>
        <v>3.5</v>
      </c>
      <c r="BI72" s="4">
        <f>SUM(U72:U73)</f>
        <v>7.66</v>
      </c>
      <c r="BJ72" s="9">
        <f>(BH72-2*$A$56)/(BG72-2*$A$47*$A$48)</f>
        <v>0.36289270214177516</v>
      </c>
      <c r="BK72" s="9">
        <f>(BI72-2*$A$57)/(BG72-2*$A$47*$A$48)</f>
        <v>0.49233213730062481</v>
      </c>
      <c r="BL72" s="9">
        <f>1-BJ72-BK72</f>
        <v>0.14477516055760004</v>
      </c>
      <c r="BM72" s="3">
        <f>AY72*BJ72</f>
        <v>871.2250056811464</v>
      </c>
      <c r="BN72" s="3">
        <f>AY72*BK72</f>
        <v>1181.9804217202811</v>
      </c>
      <c r="BO72" s="3">
        <f>SUM(BM72:BN72)</f>
        <v>2053.2054274014276</v>
      </c>
      <c r="BP72" s="3">
        <f>BE72*BJ72</f>
        <v>826.61548117405368</v>
      </c>
      <c r="BQ72" s="3">
        <f>BE72*BK72</f>
        <v>1121.459219681996</v>
      </c>
      <c r="BR72" s="3">
        <f>SUM(BP72:BQ72)</f>
        <v>1948.0747008560497</v>
      </c>
      <c r="BS72" s="3"/>
      <c r="BT72" s="15">
        <f>AF73</f>
        <v>44980</v>
      </c>
      <c r="BU72" s="3">
        <f>AVERAGE(AG72:AG73)</f>
        <v>53.45</v>
      </c>
      <c r="BV72" s="13">
        <f t="shared" ref="BV72" si="33">AVERAGE(AH72:AH73)</f>
        <v>1.036</v>
      </c>
      <c r="BW72" s="3">
        <f t="shared" ref="BW72" si="34">AVERAGE(AI72:AI73)</f>
        <v>80.099999999999994</v>
      </c>
      <c r="BX72" s="3">
        <f t="shared" ref="BX72" si="35">AVERAGE(AJ72:AJ73)</f>
        <v>27.75</v>
      </c>
      <c r="BY72" s="3">
        <f t="shared" ref="BY72" si="36">AVERAGE(AK72:AK73)</f>
        <v>5.45</v>
      </c>
      <c r="BZ72" s="3">
        <f t="shared" ref="BZ72" si="37">AVERAGE(AL72:AL73)</f>
        <v>76.099999999999994</v>
      </c>
      <c r="CA72" s="3">
        <f t="shared" ref="CA72" si="38">AVERAGE(AM72:AM73)</f>
        <v>10.100000000000001</v>
      </c>
      <c r="CB72" s="3"/>
      <c r="CC72" s="10">
        <f t="shared" ref="CC72" si="39">AVERAGE(AO72:AO73)</f>
        <v>6</v>
      </c>
      <c r="CD72" s="4">
        <f t="shared" ref="CD72" si="40">AVERAGE(AP72:AP73)</f>
        <v>0.115</v>
      </c>
      <c r="CE72" s="3">
        <f t="shared" ref="CE72" si="41">AVERAGE(AQ72:AQ73)</f>
        <v>9.6</v>
      </c>
    </row>
    <row r="73" spans="1:83" x14ac:dyDescent="0.3">
      <c r="A73" s="1" t="s">
        <v>117</v>
      </c>
      <c r="B73" s="2" t="s">
        <v>120</v>
      </c>
      <c r="C73" t="s">
        <v>126</v>
      </c>
      <c r="D73" s="5" t="s">
        <v>91</v>
      </c>
      <c r="E73" s="5" t="s">
        <v>148</v>
      </c>
      <c r="F73" s="17">
        <v>44880</v>
      </c>
      <c r="G73">
        <v>3</v>
      </c>
      <c r="H73" s="3">
        <v>9.9</v>
      </c>
      <c r="I73" s="3">
        <f t="shared" si="1"/>
        <v>9.44</v>
      </c>
      <c r="J73" s="3">
        <f>($A$53-$A$47)*$A$55</f>
        <v>0.9212499999999999</v>
      </c>
      <c r="K73" s="6">
        <f t="shared" si="2"/>
        <v>2312.8839124015744</v>
      </c>
      <c r="L73" s="4">
        <v>8.44</v>
      </c>
      <c r="M73" s="4">
        <v>145.57</v>
      </c>
      <c r="N73" s="4">
        <f t="shared" si="3"/>
        <v>137.13</v>
      </c>
      <c r="O73" s="4">
        <v>130.72</v>
      </c>
      <c r="P73" s="7">
        <f t="shared" si="4"/>
        <v>4.6743965580106446</v>
      </c>
      <c r="Q73" s="6">
        <f t="shared" si="5"/>
        <v>2204.7705464094934</v>
      </c>
      <c r="R73" s="14">
        <v>44883</v>
      </c>
      <c r="S73" s="4">
        <v>4.3099999999999996</v>
      </c>
      <c r="T73" s="4">
        <v>1.7</v>
      </c>
      <c r="U73" s="4">
        <v>3.72</v>
      </c>
      <c r="V73" s="8">
        <f t="shared" si="6"/>
        <v>0.37060988694330838</v>
      </c>
      <c r="W73" s="8">
        <f t="shared" si="7"/>
        <v>0.4925210339641336</v>
      </c>
      <c r="X73" s="8">
        <f t="shared" si="8"/>
        <v>0.13686907909255808</v>
      </c>
      <c r="Y73" s="6">
        <f t="shared" si="9"/>
        <v>857.17764528814428</v>
      </c>
      <c r="Z73" s="6">
        <f t="shared" si="10"/>
        <v>1139.143975975034</v>
      </c>
      <c r="AA73" s="6">
        <f t="shared" si="11"/>
        <v>1996.3216212631783</v>
      </c>
      <c r="AB73" s="6">
        <f t="shared" si="12"/>
        <v>817.10976294075851</v>
      </c>
      <c r="AC73" s="6">
        <f t="shared" si="13"/>
        <v>1085.8958691712714</v>
      </c>
      <c r="AD73" s="6">
        <f t="shared" si="14"/>
        <v>1903.0056321120301</v>
      </c>
      <c r="AE73" s="10">
        <v>991370142116</v>
      </c>
      <c r="AF73" s="14">
        <v>44980</v>
      </c>
      <c r="AG73" s="6">
        <v>54</v>
      </c>
      <c r="AH73" s="11">
        <v>1.0009999999999999</v>
      </c>
      <c r="AI73" s="6">
        <v>79.3</v>
      </c>
      <c r="AJ73" s="6">
        <v>26.9</v>
      </c>
      <c r="AK73" s="6">
        <v>5.5</v>
      </c>
      <c r="AL73" s="6">
        <v>76.5</v>
      </c>
      <c r="AM73" s="6">
        <v>10.4</v>
      </c>
      <c r="AN73" s="16" t="s">
        <v>81</v>
      </c>
      <c r="AO73" s="12">
        <v>1</v>
      </c>
      <c r="AP73" s="7">
        <v>0.03</v>
      </c>
      <c r="AQ73" s="6">
        <v>10.6</v>
      </c>
      <c r="AV73" s="3"/>
      <c r="AW73" s="3"/>
      <c r="AX73" s="3"/>
      <c r="AY73" s="3"/>
      <c r="AZ73" s="4"/>
      <c r="BA73" s="4"/>
      <c r="BB73" s="4"/>
      <c r="BC73" s="4"/>
      <c r="BD73" s="4"/>
      <c r="BE73" s="3"/>
      <c r="BF73" s="3"/>
      <c r="BG73" s="4"/>
      <c r="BH73" s="4"/>
      <c r="BI73" s="4"/>
      <c r="BJ73" s="9"/>
      <c r="BK73" s="9"/>
      <c r="BL73" s="9"/>
      <c r="BM73" s="3"/>
      <c r="BN73" s="3"/>
      <c r="BO73" s="3"/>
      <c r="BP73" s="3"/>
      <c r="BQ73" s="3"/>
      <c r="BR73" s="3"/>
      <c r="BT73" s="15"/>
      <c r="BU73" s="3"/>
      <c r="BV73" s="13"/>
      <c r="BW73" s="3"/>
      <c r="BX73" s="3"/>
      <c r="BY73" s="3"/>
      <c r="BZ73" s="3"/>
      <c r="CA73" s="3"/>
      <c r="CB73" s="10"/>
      <c r="CC73" s="10"/>
      <c r="CD73" s="4"/>
      <c r="CE73" s="3"/>
    </row>
    <row r="74" spans="1:83" x14ac:dyDescent="0.3">
      <c r="A74" s="1" t="s">
        <v>117</v>
      </c>
      <c r="B74" s="2" t="s">
        <v>121</v>
      </c>
      <c r="C74" t="s">
        <v>125</v>
      </c>
      <c r="D74" s="5" t="s">
        <v>92</v>
      </c>
      <c r="E74" s="5" t="s">
        <v>148</v>
      </c>
      <c r="F74" s="17">
        <v>44880</v>
      </c>
      <c r="G74">
        <v>1</v>
      </c>
      <c r="H74" s="3">
        <v>5.0999999999999996</v>
      </c>
      <c r="I74" s="3">
        <f t="shared" si="1"/>
        <v>4.6399999999999997</v>
      </c>
      <c r="J74" s="3">
        <f>($A$51-$A$47)*$A$55</f>
        <v>0.80874999999999997</v>
      </c>
      <c r="K74" s="6">
        <f t="shared" si="2"/>
        <v>1216.2940009842521</v>
      </c>
      <c r="L74" s="4">
        <v>8.39</v>
      </c>
      <c r="M74" s="4">
        <v>140.24</v>
      </c>
      <c r="N74" s="4">
        <f t="shared" si="3"/>
        <v>131.85000000000002</v>
      </c>
      <c r="O74" s="4">
        <v>123.76</v>
      </c>
      <c r="P74" s="7">
        <f t="shared" si="4"/>
        <v>6.1357603337125646</v>
      </c>
      <c r="Q74" s="6">
        <f t="shared" si="5"/>
        <v>1141.6651161305347</v>
      </c>
      <c r="R74" s="14">
        <v>44883</v>
      </c>
      <c r="S74" s="4">
        <v>2.2200000000000002</v>
      </c>
      <c r="T74" s="4">
        <v>0.84</v>
      </c>
      <c r="U74" s="4">
        <v>2.74</v>
      </c>
      <c r="V74" s="8">
        <f t="shared" si="6"/>
        <v>0.32813819637587466</v>
      </c>
      <c r="W74" s="8">
        <f t="shared" si="7"/>
        <v>0.51706624883471175</v>
      </c>
      <c r="X74" s="8">
        <f t="shared" si="8"/>
        <v>0.15479555478941354</v>
      </c>
      <c r="Y74" s="6">
        <f t="shared" si="9"/>
        <v>399.11251974576879</v>
      </c>
      <c r="Z74" s="6">
        <f t="shared" si="10"/>
        <v>628.90457656909041</v>
      </c>
      <c r="AA74" s="6">
        <f t="shared" si="11"/>
        <v>1028.0170963148591</v>
      </c>
      <c r="AB74" s="6">
        <f t="shared" si="12"/>
        <v>374.62393207232714</v>
      </c>
      <c r="AC74" s="6">
        <f t="shared" si="13"/>
        <v>590.31649902306117</v>
      </c>
      <c r="AD74" s="6">
        <f t="shared" si="14"/>
        <v>964.94043109538825</v>
      </c>
      <c r="AE74" s="10">
        <v>991370151101</v>
      </c>
      <c r="AF74" s="14">
        <v>44980</v>
      </c>
      <c r="AG74" s="6">
        <v>52.199999999999996</v>
      </c>
      <c r="AH74" s="11">
        <v>1.0660000000000001</v>
      </c>
      <c r="AI74" s="6">
        <v>80.5</v>
      </c>
      <c r="AJ74" s="6">
        <v>30.3</v>
      </c>
      <c r="AK74" s="6">
        <v>5.3</v>
      </c>
      <c r="AL74" s="6">
        <v>76.5</v>
      </c>
      <c r="AM74" s="6">
        <v>9.9</v>
      </c>
      <c r="AN74" s="16" t="s">
        <v>81</v>
      </c>
      <c r="AO74" s="12">
        <v>7</v>
      </c>
      <c r="AP74" s="7">
        <v>0.11</v>
      </c>
      <c r="AQ74" s="6">
        <v>10</v>
      </c>
      <c r="AS74" t="s">
        <v>133</v>
      </c>
      <c r="AT74" s="4" t="str">
        <f>E74</f>
        <v>Machine</v>
      </c>
      <c r="AU74" s="15">
        <f>F74</f>
        <v>44880</v>
      </c>
      <c r="AV74" s="3">
        <f>SUM(H74:H75)</f>
        <v>11</v>
      </c>
      <c r="AW74" s="3">
        <f>AV74-2*$A$47</f>
        <v>10.08</v>
      </c>
      <c r="AX74" s="3">
        <f>SUM(J74:J75)</f>
        <v>1.73</v>
      </c>
      <c r="AY74" s="3">
        <f>(AW74+AX74)*$A$48/(2*$A$49)*$A$50</f>
        <v>1318.1401377952757</v>
      </c>
      <c r="AZ74" s="4">
        <f>SUM(L74:L75)</f>
        <v>16.850000000000001</v>
      </c>
      <c r="BA74" s="4">
        <f>SUM(M74:M75)</f>
        <v>301.85000000000002</v>
      </c>
      <c r="BB74" s="4">
        <f>BA74-AZ74</f>
        <v>285</v>
      </c>
      <c r="BC74" s="4">
        <f>SUM(O74:O75)</f>
        <v>267.89999999999998</v>
      </c>
      <c r="BD74" s="4">
        <f>(BB74-BC74)/BB74*100</f>
        <v>6.000000000000008</v>
      </c>
      <c r="BE74" s="3">
        <f>AY74*(1-BD74/100)</f>
        <v>1239.051729527559</v>
      </c>
      <c r="BF74" s="15">
        <v>44883</v>
      </c>
      <c r="BG74" s="4">
        <f>SUM(S74:S75)</f>
        <v>4.7699999999999996</v>
      </c>
      <c r="BH74" s="4">
        <f>SUM(T74:T75)</f>
        <v>1.88</v>
      </c>
      <c r="BI74" s="4">
        <f>SUM(U74:U75)</f>
        <v>5.6400000000000006</v>
      </c>
      <c r="BJ74" s="9">
        <f>(BH74-2*$A$56)/(BG74-2*$A$47*$A$48)</f>
        <v>0.34920890948821198</v>
      </c>
      <c r="BK74" s="9">
        <f>(BI74-2*$A$57)/(BG74-2*$A$47*$A$48)</f>
        <v>0.51462365608789151</v>
      </c>
      <c r="BL74" s="9">
        <f>1-BJ74-BK74</f>
        <v>0.13616743442389645</v>
      </c>
      <c r="BM74" s="3">
        <f>AY74*BJ74</f>
        <v>460.30628007212971</v>
      </c>
      <c r="BN74" s="3">
        <f>AY74*BK74</f>
        <v>678.34609694840185</v>
      </c>
      <c r="BO74" s="3">
        <f>SUM(BM74:BN74)</f>
        <v>1138.6523770205315</v>
      </c>
      <c r="BP74" s="3">
        <f>BE74*BJ74</f>
        <v>432.68790326780186</v>
      </c>
      <c r="BQ74" s="3">
        <f>BE74*BK74</f>
        <v>637.64533113149776</v>
      </c>
      <c r="BR74" s="3">
        <f>SUM(BP74:BQ74)</f>
        <v>1070.3332343992997</v>
      </c>
      <c r="BS74" s="3"/>
      <c r="BT74" s="15">
        <f>AF75</f>
        <v>44980</v>
      </c>
      <c r="BU74" s="3">
        <f>AVERAGE(AG74:AG75)</f>
        <v>54</v>
      </c>
      <c r="BV74" s="13">
        <f t="shared" ref="BV74" si="42">AVERAGE(AH74:AH75)</f>
        <v>1.036</v>
      </c>
      <c r="BW74" s="3">
        <f t="shared" ref="BW74" si="43">AVERAGE(AI74:AI75)</f>
        <v>79.7</v>
      </c>
      <c r="BX74" s="3">
        <f t="shared" ref="BX74" si="44">AVERAGE(AJ74:AJ75)</f>
        <v>28.75</v>
      </c>
      <c r="BY74" s="3">
        <f t="shared" ref="BY74" si="45">AVERAGE(AK74:AK75)</f>
        <v>5.3</v>
      </c>
      <c r="BZ74" s="3">
        <f t="shared" ref="BZ74" si="46">AVERAGE(AL74:AL75)</f>
        <v>76.3</v>
      </c>
      <c r="CA74" s="3">
        <f t="shared" ref="CA74" si="47">AVERAGE(AM74:AM75)</f>
        <v>9.8000000000000007</v>
      </c>
      <c r="CB74" s="3"/>
      <c r="CC74" s="10">
        <f t="shared" ref="CC74" si="48">AVERAGE(AO74:AO75)</f>
        <v>12.5</v>
      </c>
      <c r="CD74" s="4">
        <f t="shared" ref="CD74" si="49">AVERAGE(AP74:AP75)</f>
        <v>0.33999999999999997</v>
      </c>
      <c r="CE74" s="3">
        <f t="shared" ref="CE74" si="50">AVERAGE(AQ74:AQ75)</f>
        <v>10.1</v>
      </c>
    </row>
    <row r="75" spans="1:83" x14ac:dyDescent="0.3">
      <c r="A75" s="1" t="s">
        <v>117</v>
      </c>
      <c r="B75" s="2" t="s">
        <v>121</v>
      </c>
      <c r="C75" t="s">
        <v>126</v>
      </c>
      <c r="D75" s="5" t="s">
        <v>93</v>
      </c>
      <c r="E75" s="5" t="s">
        <v>148</v>
      </c>
      <c r="F75" s="17">
        <v>44880</v>
      </c>
      <c r="G75">
        <v>3</v>
      </c>
      <c r="H75" s="3">
        <v>5.9</v>
      </c>
      <c r="I75" s="3">
        <f t="shared" si="1"/>
        <v>5.44</v>
      </c>
      <c r="J75" s="3">
        <f>($A$53-$A$47)*$A$55</f>
        <v>0.9212499999999999</v>
      </c>
      <c r="K75" s="6">
        <f t="shared" si="2"/>
        <v>1419.986274606299</v>
      </c>
      <c r="L75" s="4">
        <v>8.4600000000000009</v>
      </c>
      <c r="M75" s="4">
        <v>161.61000000000001</v>
      </c>
      <c r="N75" s="4">
        <f t="shared" si="3"/>
        <v>153.15</v>
      </c>
      <c r="O75" s="4">
        <v>144.13999999999999</v>
      </c>
      <c r="P75" s="7">
        <f t="shared" si="4"/>
        <v>5.883121123081958</v>
      </c>
      <c r="Q75" s="6">
        <f t="shared" si="5"/>
        <v>1336.4467621400713</v>
      </c>
      <c r="R75" s="14">
        <v>44883</v>
      </c>
      <c r="S75" s="4">
        <v>2.5499999999999998</v>
      </c>
      <c r="T75" s="4">
        <v>1.04</v>
      </c>
      <c r="U75" s="4">
        <v>2.9</v>
      </c>
      <c r="V75" s="8">
        <f t="shared" si="6"/>
        <v>0.36730982217899405</v>
      </c>
      <c r="W75" s="8">
        <f t="shared" si="7"/>
        <v>0.51252533327301486</v>
      </c>
      <c r="X75" s="8">
        <f t="shared" si="8"/>
        <v>0.12016484454799103</v>
      </c>
      <c r="Y75" s="6">
        <f t="shared" si="9"/>
        <v>521.57490602225187</v>
      </c>
      <c r="Z75" s="6">
        <f t="shared" si="10"/>
        <v>727.77893863570023</v>
      </c>
      <c r="AA75" s="6">
        <f t="shared" si="11"/>
        <v>1249.3538446579521</v>
      </c>
      <c r="AB75" s="6">
        <f t="shared" si="12"/>
        <v>490.89002255336197</v>
      </c>
      <c r="AC75" s="6">
        <f t="shared" si="13"/>
        <v>684.9628221674817</v>
      </c>
      <c r="AD75" s="6">
        <f t="shared" si="14"/>
        <v>1175.8528447208437</v>
      </c>
      <c r="AE75" s="10">
        <v>991370152117</v>
      </c>
      <c r="AF75" s="14">
        <v>44980</v>
      </c>
      <c r="AG75" s="6">
        <v>55.8</v>
      </c>
      <c r="AH75" s="11">
        <v>1.006</v>
      </c>
      <c r="AI75" s="6">
        <v>78.900000000000006</v>
      </c>
      <c r="AJ75" s="6">
        <v>27.2</v>
      </c>
      <c r="AK75" s="6">
        <v>5.3</v>
      </c>
      <c r="AL75" s="6">
        <v>76.099999999999994</v>
      </c>
      <c r="AM75" s="6">
        <v>9.6999999999999993</v>
      </c>
      <c r="AN75" s="16" t="s">
        <v>127</v>
      </c>
      <c r="AO75" s="12">
        <v>18</v>
      </c>
      <c r="AP75" s="7">
        <v>0.56999999999999995</v>
      </c>
      <c r="AQ75" s="6">
        <v>10.199999999999999</v>
      </c>
      <c r="AV75" s="3"/>
      <c r="AW75" s="3"/>
      <c r="AX75" s="3"/>
      <c r="AY75" s="3"/>
      <c r="AZ75" s="4"/>
      <c r="BA75" s="4"/>
      <c r="BB75" s="4"/>
      <c r="BC75" s="4"/>
      <c r="BD75" s="4"/>
      <c r="BE75" s="3"/>
      <c r="BF75" s="3"/>
      <c r="BG75" s="4"/>
      <c r="BH75" s="4"/>
      <c r="BI75" s="4"/>
      <c r="BJ75" s="9"/>
      <c r="BK75" s="9"/>
      <c r="BL75" s="9"/>
      <c r="BM75" s="3"/>
      <c r="BN75" s="3"/>
      <c r="BO75" s="3"/>
      <c r="BP75" s="3"/>
      <c r="BQ75" s="3"/>
      <c r="BR75" s="3"/>
      <c r="BT75" s="15"/>
      <c r="BU75" s="3"/>
      <c r="BV75" s="13"/>
      <c r="BW75" s="3"/>
      <c r="BX75" s="3"/>
      <c r="BY75" s="3"/>
      <c r="BZ75" s="3"/>
      <c r="CA75" s="3"/>
      <c r="CB75" s="10"/>
      <c r="CC75" s="10"/>
      <c r="CD75" s="4"/>
      <c r="CE75" s="3"/>
    </row>
    <row r="76" spans="1:83" x14ac:dyDescent="0.3">
      <c r="A76" s="1" t="s">
        <v>117</v>
      </c>
      <c r="B76" s="2" t="s">
        <v>122</v>
      </c>
      <c r="C76" t="s">
        <v>125</v>
      </c>
      <c r="D76" s="5" t="s">
        <v>94</v>
      </c>
      <c r="E76" s="5" t="s">
        <v>148</v>
      </c>
      <c r="F76" s="17">
        <v>44880</v>
      </c>
      <c r="G76">
        <v>1</v>
      </c>
      <c r="H76" s="3">
        <v>9.3000000000000007</v>
      </c>
      <c r="I76" s="3">
        <f t="shared" si="1"/>
        <v>8.84</v>
      </c>
      <c r="J76" s="3">
        <f>($A$51-$A$47)*$A$55</f>
        <v>0.80874999999999997</v>
      </c>
      <c r="K76" s="6">
        <f t="shared" si="2"/>
        <v>2153.8365206692911</v>
      </c>
      <c r="L76" s="4">
        <v>8.35</v>
      </c>
      <c r="M76" s="4">
        <v>114.64</v>
      </c>
      <c r="N76" s="4">
        <f t="shared" si="3"/>
        <v>106.29</v>
      </c>
      <c r="O76" s="4">
        <v>100.84</v>
      </c>
      <c r="P76" s="7">
        <f t="shared" si="4"/>
        <v>5.1274814187599986</v>
      </c>
      <c r="Q76" s="6">
        <f t="shared" si="5"/>
        <v>2043.3989532815065</v>
      </c>
      <c r="R76" s="14">
        <v>44883</v>
      </c>
      <c r="S76" s="4">
        <v>4.1500000000000004</v>
      </c>
      <c r="T76" s="4">
        <v>1.56</v>
      </c>
      <c r="U76" s="4">
        <v>3.74</v>
      </c>
      <c r="V76" s="8">
        <f t="shared" si="6"/>
        <v>0.35013404349042354</v>
      </c>
      <c r="W76" s="8">
        <f t="shared" si="7"/>
        <v>0.51758945559453917</v>
      </c>
      <c r="X76" s="8">
        <f t="shared" si="8"/>
        <v>0.13227650091503729</v>
      </c>
      <c r="Y76" s="6">
        <f t="shared" si="9"/>
        <v>754.1314899992841</v>
      </c>
      <c r="Z76" s="6">
        <f t="shared" si="10"/>
        <v>1114.8030721728549</v>
      </c>
      <c r="AA76" s="6">
        <f t="shared" si="11"/>
        <v>1868.9345621721391</v>
      </c>
      <c r="AB76" s="6">
        <f t="shared" si="12"/>
        <v>715.46353797655297</v>
      </c>
      <c r="AC76" s="6">
        <f t="shared" si="13"/>
        <v>1057.641751791426</v>
      </c>
      <c r="AD76" s="6">
        <f t="shared" si="14"/>
        <v>1773.105289767979</v>
      </c>
      <c r="AE76" s="10">
        <v>991370161102</v>
      </c>
      <c r="AF76" s="14">
        <v>44980</v>
      </c>
      <c r="AG76" s="6">
        <v>47.5</v>
      </c>
      <c r="AH76" s="11">
        <v>1.0820000000000001</v>
      </c>
      <c r="AI76" s="6">
        <v>80.8</v>
      </c>
      <c r="AJ76" s="6">
        <v>30</v>
      </c>
      <c r="AK76" s="6">
        <v>5.0999999999999996</v>
      </c>
      <c r="AL76" s="6">
        <v>76.900000000000006</v>
      </c>
      <c r="AM76" s="6">
        <v>10.5</v>
      </c>
      <c r="AN76" s="16" t="s">
        <v>81</v>
      </c>
      <c r="AO76" s="12">
        <v>13</v>
      </c>
      <c r="AP76" s="7">
        <v>0.15</v>
      </c>
      <c r="AQ76" s="6">
        <v>9.1</v>
      </c>
      <c r="AS76" t="s">
        <v>134</v>
      </c>
      <c r="AT76" s="4" t="str">
        <f>E76</f>
        <v>Machine</v>
      </c>
      <c r="AU76" s="15">
        <f>F76</f>
        <v>44880</v>
      </c>
      <c r="AV76" s="3">
        <f>SUM(H76:H77)</f>
        <v>26.400000000000002</v>
      </c>
      <c r="AW76" s="3">
        <f>AV76-2*$A$47</f>
        <v>25.48</v>
      </c>
      <c r="AX76" s="3">
        <f>SUM(J76:J77)</f>
        <v>1.73</v>
      </c>
      <c r="AY76" s="3">
        <f>(AW76+AX76)*$A$48/(2*$A$49)*$A$50</f>
        <v>3036.9680905511809</v>
      </c>
      <c r="AZ76" s="4">
        <f>SUM(L76:L77)</f>
        <v>16.939999999999998</v>
      </c>
      <c r="BA76" s="4">
        <f>SUM(M76:M77)</f>
        <v>302.68</v>
      </c>
      <c r="BB76" s="4">
        <f>BA76-AZ76</f>
        <v>285.74</v>
      </c>
      <c r="BC76" s="4">
        <f>SUM(O76:O77)</f>
        <v>270.76</v>
      </c>
      <c r="BD76" s="4">
        <f>(BB76-BC76)/BB76*100</f>
        <v>5.2425281724644845</v>
      </c>
      <c r="BE76" s="3">
        <f>AY76*(1-BD76/100)</f>
        <v>2877.7541828152785</v>
      </c>
      <c r="BF76" s="15">
        <v>44883</v>
      </c>
      <c r="BG76" s="4">
        <f>SUM(S76:S77)</f>
        <v>11.74</v>
      </c>
      <c r="BH76" s="4">
        <f>SUM(T76:T77)</f>
        <v>4.5199999999999996</v>
      </c>
      <c r="BI76" s="4">
        <f>SUM(U76:U77)</f>
        <v>9.0399999999999991</v>
      </c>
      <c r="BJ76" s="9">
        <f>(BH76-2*$A$56)/(BG76-2*$A$47*$A$48)</f>
        <v>0.36740368505330862</v>
      </c>
      <c r="BK76" s="9">
        <f>(BI76-2*$A$57)/(BG76-2*$A$47*$A$48)</f>
        <v>0.49811461146650493</v>
      </c>
      <c r="BL76" s="9">
        <f>1-BJ76-BK76</f>
        <v>0.1344817034801864</v>
      </c>
      <c r="BM76" s="3">
        <f>AY76*BJ76</f>
        <v>1115.793267857814</v>
      </c>
      <c r="BN76" s="3">
        <f>AY76*BK76</f>
        <v>1512.7581804610747</v>
      </c>
      <c r="BO76" s="3">
        <f>SUM(BM76:BN76)</f>
        <v>2628.551448318889</v>
      </c>
      <c r="BP76" s="3">
        <f>BE76*BJ76</f>
        <v>1057.297491443906</v>
      </c>
      <c r="BQ76" s="3">
        <f>BE76*BK76</f>
        <v>1433.4514066691418</v>
      </c>
      <c r="BR76" s="3">
        <f>SUM(BP76:BQ76)</f>
        <v>2490.7488981130477</v>
      </c>
      <c r="BS76" s="3"/>
      <c r="BT76" s="15">
        <f>AF77</f>
        <v>44980</v>
      </c>
      <c r="BU76" s="3">
        <f>AVERAGE(AG76:AG77)</f>
        <v>48.849999999999994</v>
      </c>
      <c r="BV76" s="13">
        <f t="shared" ref="BV76" si="51">AVERAGE(AH76:AH77)</f>
        <v>1.0805</v>
      </c>
      <c r="BW76" s="3">
        <f t="shared" ref="BW76" si="52">AVERAGE(AI76:AI77)</f>
        <v>80.5</v>
      </c>
      <c r="BX76" s="3">
        <f t="shared" ref="BX76" si="53">AVERAGE(AJ76:AJ77)</f>
        <v>29.6</v>
      </c>
      <c r="BY76" s="3">
        <f t="shared" ref="BY76" si="54">AVERAGE(AK76:AK77)</f>
        <v>5.1999999999999993</v>
      </c>
      <c r="BZ76" s="3">
        <f t="shared" ref="BZ76" si="55">AVERAGE(AL76:AL77)</f>
        <v>77.5</v>
      </c>
      <c r="CA76" s="3">
        <f t="shared" ref="CA76" si="56">AVERAGE(AM76:AM77)</f>
        <v>10.35</v>
      </c>
      <c r="CB76" s="3"/>
      <c r="CC76" s="10">
        <f t="shared" ref="CC76" si="57">AVERAGE(AO76:AO77)</f>
        <v>11</v>
      </c>
      <c r="CD76" s="4">
        <f t="shared" ref="CD76" si="58">AVERAGE(AP76:AP77)</f>
        <v>0.16</v>
      </c>
      <c r="CE76" s="3">
        <f t="shared" ref="CE76" si="59">AVERAGE(AQ76:AQ77)</f>
        <v>9.1</v>
      </c>
    </row>
    <row r="77" spans="1:83" x14ac:dyDescent="0.3">
      <c r="A77" s="1" t="s">
        <v>117</v>
      </c>
      <c r="B77" s="2" t="s">
        <v>122</v>
      </c>
      <c r="C77" t="s">
        <v>126</v>
      </c>
      <c r="D77" s="5" t="s">
        <v>95</v>
      </c>
      <c r="E77" s="5" t="s">
        <v>148</v>
      </c>
      <c r="F77" s="17">
        <v>44880</v>
      </c>
      <c r="G77">
        <v>3</v>
      </c>
      <c r="H77" s="3">
        <v>17.100000000000001</v>
      </c>
      <c r="I77" s="3">
        <f t="shared" si="1"/>
        <v>16.64</v>
      </c>
      <c r="J77" s="3">
        <f>($A$53-$A$47)*$A$55</f>
        <v>0.9212499999999999</v>
      </c>
      <c r="K77" s="6">
        <f t="shared" si="2"/>
        <v>3920.0996604330712</v>
      </c>
      <c r="L77" s="4">
        <v>8.59</v>
      </c>
      <c r="M77" s="4">
        <v>188.04</v>
      </c>
      <c r="N77" s="4">
        <f t="shared" si="3"/>
        <v>179.45</v>
      </c>
      <c r="O77" s="4">
        <v>169.92</v>
      </c>
      <c r="P77" s="7">
        <f t="shared" si="4"/>
        <v>5.3106714962385073</v>
      </c>
      <c r="Q77" s="6">
        <f t="shared" si="5"/>
        <v>3711.9160451423095</v>
      </c>
      <c r="R77" s="14">
        <v>44883</v>
      </c>
      <c r="S77" s="4">
        <v>7.59</v>
      </c>
      <c r="T77" s="4">
        <v>2.96</v>
      </c>
      <c r="U77" s="4">
        <v>5.3</v>
      </c>
      <c r="V77" s="8">
        <f t="shared" si="6"/>
        <v>0.37662499051934645</v>
      </c>
      <c r="W77" s="8">
        <f t="shared" si="7"/>
        <v>0.48771581506102413</v>
      </c>
      <c r="X77" s="8">
        <f t="shared" si="8"/>
        <v>0.13565919441962948</v>
      </c>
      <c r="Y77" s="6">
        <f t="shared" si="9"/>
        <v>1476.4074974454986</v>
      </c>
      <c r="Z77" s="6">
        <f t="shared" si="10"/>
        <v>1911.8946010085592</v>
      </c>
      <c r="AA77" s="6">
        <f t="shared" si="11"/>
        <v>3388.3020984540581</v>
      </c>
      <c r="AB77" s="6">
        <f t="shared" si="12"/>
        <v>1398.0003453103322</v>
      </c>
      <c r="AC77" s="6">
        <f t="shared" si="13"/>
        <v>1810.3601593946746</v>
      </c>
      <c r="AD77" s="6">
        <f t="shared" si="14"/>
        <v>3208.3605047050069</v>
      </c>
      <c r="AE77" s="10">
        <v>991370162118</v>
      </c>
      <c r="AF77" s="14">
        <v>44980</v>
      </c>
      <c r="AG77" s="6">
        <v>50.199999999999996</v>
      </c>
      <c r="AH77" s="11">
        <v>1.079</v>
      </c>
      <c r="AI77" s="6">
        <v>80.2</v>
      </c>
      <c r="AJ77" s="6">
        <v>29.2</v>
      </c>
      <c r="AK77" s="6">
        <v>5.3</v>
      </c>
      <c r="AL77" s="6">
        <v>78.099999999999994</v>
      </c>
      <c r="AM77" s="6">
        <v>10.199999999999999</v>
      </c>
      <c r="AN77" s="16" t="s">
        <v>83</v>
      </c>
      <c r="AO77" s="12">
        <v>9</v>
      </c>
      <c r="AP77" s="7">
        <v>0.17</v>
      </c>
      <c r="AQ77" s="6">
        <v>9.1</v>
      </c>
      <c r="AV77" s="3"/>
      <c r="AW77" s="3"/>
      <c r="AX77" s="3"/>
      <c r="AY77" s="3"/>
      <c r="AZ77" s="4"/>
      <c r="BA77" s="4"/>
      <c r="BB77" s="4"/>
      <c r="BC77" s="4"/>
      <c r="BD77" s="4"/>
      <c r="BE77" s="3"/>
      <c r="BF77" s="3"/>
      <c r="BG77" s="4"/>
      <c r="BH77" s="4"/>
      <c r="BI77" s="4"/>
      <c r="BJ77" s="9"/>
      <c r="BK77" s="9"/>
      <c r="BL77" s="9"/>
      <c r="BM77" s="3"/>
      <c r="BN77" s="3"/>
      <c r="BO77" s="3"/>
      <c r="BP77" s="3"/>
      <c r="BQ77" s="3"/>
      <c r="BR77" s="3"/>
      <c r="BT77" s="15"/>
      <c r="BU77" s="3"/>
      <c r="BV77" s="13"/>
      <c r="BW77" s="3"/>
      <c r="BX77" s="3"/>
      <c r="BY77" s="3"/>
      <c r="BZ77" s="3"/>
      <c r="CA77" s="3"/>
      <c r="CB77" s="10"/>
      <c r="CC77" s="10"/>
      <c r="CD77" s="4"/>
      <c r="CE77" s="3"/>
    </row>
    <row r="78" spans="1:83" x14ac:dyDescent="0.3">
      <c r="A78" s="1" t="s">
        <v>117</v>
      </c>
      <c r="B78" s="2" t="s">
        <v>123</v>
      </c>
      <c r="C78" t="s">
        <v>125</v>
      </c>
      <c r="D78" s="5" t="s">
        <v>96</v>
      </c>
      <c r="E78" s="5" t="s">
        <v>148</v>
      </c>
      <c r="F78" s="17">
        <v>44880</v>
      </c>
      <c r="G78">
        <v>1</v>
      </c>
      <c r="H78" s="3">
        <v>21.8</v>
      </c>
      <c r="I78" s="3">
        <f t="shared" si="1"/>
        <v>21.34</v>
      </c>
      <c r="J78" s="3">
        <f>($A$51-$A$47)*$A$55</f>
        <v>0.80874999999999997</v>
      </c>
      <c r="K78" s="6">
        <f t="shared" si="2"/>
        <v>4944.1416387795271</v>
      </c>
      <c r="L78" s="4">
        <v>8.4499999999999993</v>
      </c>
      <c r="M78" s="4">
        <v>196.27</v>
      </c>
      <c r="N78" s="4">
        <f t="shared" si="3"/>
        <v>187.82000000000002</v>
      </c>
      <c r="O78" s="4">
        <v>176.43</v>
      </c>
      <c r="P78" s="7">
        <f t="shared" si="4"/>
        <v>6.0643168991587757</v>
      </c>
      <c r="Q78" s="6">
        <f t="shared" si="5"/>
        <v>4644.3132218606743</v>
      </c>
      <c r="R78" s="14">
        <v>44883</v>
      </c>
      <c r="S78" s="4">
        <v>9.66</v>
      </c>
      <c r="T78" s="4">
        <v>3.58</v>
      </c>
      <c r="U78" s="4">
        <v>6.46</v>
      </c>
      <c r="V78" s="8">
        <f t="shared" si="6"/>
        <v>0.35973705709660236</v>
      </c>
      <c r="W78" s="8">
        <f t="shared" si="7"/>
        <v>0.50363187993524328</v>
      </c>
      <c r="X78" s="8">
        <f t="shared" si="8"/>
        <v>0.13663106296815442</v>
      </c>
      <c r="Y78" s="6">
        <f t="shared" si="9"/>
        <v>1778.59096300332</v>
      </c>
      <c r="Z78" s="6">
        <f t="shared" si="10"/>
        <v>2490.0273482046478</v>
      </c>
      <c r="AA78" s="6">
        <f t="shared" si="11"/>
        <v>4268.618311207968</v>
      </c>
      <c r="AB78" s="6">
        <f t="shared" si="12"/>
        <v>1670.7315706669988</v>
      </c>
      <c r="AC78" s="6">
        <f t="shared" si="13"/>
        <v>2339.0241989337978</v>
      </c>
      <c r="AD78" s="6">
        <f t="shared" si="14"/>
        <v>4009.7557696007966</v>
      </c>
      <c r="AE78" s="10">
        <v>991370171103</v>
      </c>
      <c r="AF78" s="14">
        <v>44980</v>
      </c>
      <c r="AG78" s="6">
        <v>49.3</v>
      </c>
      <c r="AH78" s="11">
        <v>1.107</v>
      </c>
      <c r="AI78" s="6">
        <v>79.8</v>
      </c>
      <c r="AJ78" s="6">
        <v>29.6</v>
      </c>
      <c r="AK78" s="6">
        <v>5.3</v>
      </c>
      <c r="AL78" s="6">
        <v>78.400000000000006</v>
      </c>
      <c r="AM78" s="6">
        <v>9.3000000000000007</v>
      </c>
      <c r="AN78" s="16" t="s">
        <v>80</v>
      </c>
      <c r="AO78" s="12">
        <v>10</v>
      </c>
      <c r="AP78" s="7">
        <v>0.1</v>
      </c>
      <c r="AQ78" s="6">
        <v>9.3000000000000007</v>
      </c>
      <c r="AS78" t="s">
        <v>135</v>
      </c>
      <c r="AT78" s="4" t="str">
        <f>E78</f>
        <v>Machine</v>
      </c>
      <c r="AU78" s="15">
        <f>F78</f>
        <v>44880</v>
      </c>
      <c r="AV78" s="3">
        <f>SUM(H78:H79)</f>
        <v>46.5</v>
      </c>
      <c r="AW78" s="3">
        <f>AV78-2*$A$47</f>
        <v>45.58</v>
      </c>
      <c r="AX78" s="3">
        <f>SUM(J78:J79)</f>
        <v>1.73</v>
      </c>
      <c r="AY78" s="3">
        <f>(AW78+AX78)*$A$48/(2*$A$49)*$A$50</f>
        <v>5280.3734055118102</v>
      </c>
      <c r="AZ78" s="4">
        <f>SUM(L78:L79)</f>
        <v>16.869999999999997</v>
      </c>
      <c r="BA78" s="4">
        <f>SUM(M78:M79)</f>
        <v>369.89</v>
      </c>
      <c r="BB78" s="4">
        <f>BA78-AZ78</f>
        <v>353.02</v>
      </c>
      <c r="BC78" s="4">
        <f>SUM(O78:O79)</f>
        <v>334.75</v>
      </c>
      <c r="BD78" s="4">
        <f>(BB78-BC78)/BB78*100</f>
        <v>5.1753441731346621</v>
      </c>
      <c r="BE78" s="3">
        <f>AY78*(1-BD78/100)</f>
        <v>5007.0959081499022</v>
      </c>
      <c r="BF78" s="15">
        <v>44883</v>
      </c>
      <c r="BG78" s="4">
        <f>SUM(S78:S79)</f>
        <v>20.67</v>
      </c>
      <c r="BH78" s="4">
        <f>SUM(T78:T79)</f>
        <v>7.76</v>
      </c>
      <c r="BI78" s="4">
        <f>SUM(U78:U79)</f>
        <v>13.52</v>
      </c>
      <c r="BJ78" s="9">
        <f>(BH78-2*$A$56)/(BG78-2*$A$47*$A$48)</f>
        <v>0.3653834646925731</v>
      </c>
      <c r="BK78" s="9">
        <f>(BI78-2*$A$57)/(BG78-2*$A$47*$A$48)</f>
        <v>0.49968657603903244</v>
      </c>
      <c r="BL78" s="9">
        <f>1-BJ78-BK78</f>
        <v>0.13492995926839446</v>
      </c>
      <c r="BM78" s="3">
        <f>AY78*BJ78</f>
        <v>1929.3611297764264</v>
      </c>
      <c r="BN78" s="3">
        <f>AY78*BK78</f>
        <v>2638.5317072077619</v>
      </c>
      <c r="BO78" s="3">
        <f>SUM(BM78:BN78)</f>
        <v>4567.8928369841888</v>
      </c>
      <c r="BP78" s="3">
        <f>BE78*BJ78</f>
        <v>1829.5100509678171</v>
      </c>
      <c r="BQ78" s="3">
        <f>BE78*BK78</f>
        <v>2501.9786102424741</v>
      </c>
      <c r="BR78" s="3">
        <f>SUM(BP78:BQ78)</f>
        <v>4331.488661210291</v>
      </c>
      <c r="BS78" s="3"/>
      <c r="BT78" s="15">
        <f>AF79</f>
        <v>44980</v>
      </c>
      <c r="BU78" s="3">
        <f>AVERAGE(AG78:AG79)</f>
        <v>48.65</v>
      </c>
      <c r="BV78" s="13">
        <f t="shared" ref="BV78" si="60">AVERAGE(AH78:AH79)</f>
        <v>1.1194999999999999</v>
      </c>
      <c r="BW78" s="3">
        <f t="shared" ref="BW78" si="61">AVERAGE(AI78:AI79)</f>
        <v>80.449999999999989</v>
      </c>
      <c r="BX78" s="3">
        <f t="shared" ref="BX78" si="62">AVERAGE(AJ78:AJ79)</f>
        <v>30.65</v>
      </c>
      <c r="BY78" s="3">
        <f t="shared" ref="BY78" si="63">AVERAGE(AK78:AK79)</f>
        <v>5.3</v>
      </c>
      <c r="BZ78" s="3">
        <f t="shared" ref="BZ78" si="64">AVERAGE(AL78:AL79)</f>
        <v>78.550000000000011</v>
      </c>
      <c r="CA78" s="3">
        <f t="shared" ref="CA78" si="65">AVERAGE(AM78:AM79)</f>
        <v>9.5</v>
      </c>
      <c r="CB78" s="3"/>
      <c r="CC78" s="10">
        <f t="shared" ref="CC78" si="66">AVERAGE(AO78:AO79)</f>
        <v>7</v>
      </c>
      <c r="CD78" s="4">
        <f t="shared" ref="CD78" si="67">AVERAGE(AP78:AP79)</f>
        <v>0.09</v>
      </c>
      <c r="CE78" s="3">
        <f t="shared" ref="CE78" si="68">AVERAGE(AQ78:AQ79)</f>
        <v>9.0500000000000007</v>
      </c>
    </row>
    <row r="79" spans="1:83" x14ac:dyDescent="0.3">
      <c r="A79" s="1" t="s">
        <v>117</v>
      </c>
      <c r="B79" s="2" t="s">
        <v>123</v>
      </c>
      <c r="C79" t="s">
        <v>126</v>
      </c>
      <c r="D79" s="5" t="s">
        <v>97</v>
      </c>
      <c r="E79" s="5" t="s">
        <v>148</v>
      </c>
      <c r="F79" s="17">
        <v>44880</v>
      </c>
      <c r="G79">
        <v>3</v>
      </c>
      <c r="H79" s="3">
        <v>24.7</v>
      </c>
      <c r="I79" s="3">
        <f t="shared" si="1"/>
        <v>24.24</v>
      </c>
      <c r="J79" s="3">
        <f>($A$53-$A$47)*$A$55</f>
        <v>0.9212499999999999</v>
      </c>
      <c r="K79" s="6">
        <f t="shared" si="2"/>
        <v>5616.6051722440943</v>
      </c>
      <c r="L79" s="4">
        <v>8.42</v>
      </c>
      <c r="M79" s="4">
        <v>173.62</v>
      </c>
      <c r="N79" s="4">
        <f t="shared" si="3"/>
        <v>165.20000000000002</v>
      </c>
      <c r="O79" s="4">
        <v>158.32</v>
      </c>
      <c r="P79" s="7">
        <f t="shared" si="4"/>
        <v>4.1646489104116364</v>
      </c>
      <c r="Q79" s="6">
        <f t="shared" si="5"/>
        <v>5382.6932861361065</v>
      </c>
      <c r="R79" s="14">
        <v>44883</v>
      </c>
      <c r="S79" s="4">
        <v>11.01</v>
      </c>
      <c r="T79" s="4">
        <v>4.18</v>
      </c>
      <c r="U79" s="4">
        <v>7.06</v>
      </c>
      <c r="V79" s="8">
        <f t="shared" si="6"/>
        <v>0.37032415940156088</v>
      </c>
      <c r="W79" s="8">
        <f t="shared" si="7"/>
        <v>0.49623437359809158</v>
      </c>
      <c r="X79" s="8">
        <f t="shared" si="8"/>
        <v>0.13344146700034748</v>
      </c>
      <c r="Y79" s="6">
        <f t="shared" si="9"/>
        <v>2079.9645891017535</v>
      </c>
      <c r="Z79" s="6">
        <f t="shared" si="10"/>
        <v>2787.1525493963495</v>
      </c>
      <c r="AA79" s="6">
        <f t="shared" si="11"/>
        <v>4867.1171384981026</v>
      </c>
      <c r="AB79" s="6">
        <f t="shared" si="12"/>
        <v>1993.341366504779</v>
      </c>
      <c r="AC79" s="6">
        <f t="shared" si="13"/>
        <v>2671.0774311164041</v>
      </c>
      <c r="AD79" s="6">
        <f t="shared" si="14"/>
        <v>4664.4187976211833</v>
      </c>
      <c r="AE79" s="10">
        <v>991370172119</v>
      </c>
      <c r="AF79" s="14">
        <v>44980</v>
      </c>
      <c r="AG79" s="6">
        <v>48</v>
      </c>
      <c r="AH79" s="11">
        <v>1.1319999999999999</v>
      </c>
      <c r="AI79" s="6">
        <v>81.099999999999994</v>
      </c>
      <c r="AJ79" s="6">
        <v>31.7</v>
      </c>
      <c r="AK79" s="6">
        <v>5.3</v>
      </c>
      <c r="AL79" s="6">
        <v>78.7</v>
      </c>
      <c r="AM79" s="6">
        <v>9.6999999999999993</v>
      </c>
      <c r="AN79" s="16" t="s">
        <v>82</v>
      </c>
      <c r="AO79" s="12">
        <v>4</v>
      </c>
      <c r="AP79" s="7">
        <v>0.08</v>
      </c>
      <c r="AQ79" s="6">
        <v>8.8000000000000007</v>
      </c>
      <c r="AV79" s="3"/>
      <c r="AW79" s="3"/>
      <c r="AX79" s="3"/>
      <c r="AY79" s="3"/>
      <c r="AZ79" s="4"/>
      <c r="BA79" s="4"/>
      <c r="BB79" s="4"/>
      <c r="BC79" s="4"/>
      <c r="BD79" s="4"/>
      <c r="BE79" s="3"/>
      <c r="BF79" s="3"/>
      <c r="BG79" s="4"/>
      <c r="BH79" s="4"/>
      <c r="BI79" s="4"/>
      <c r="BJ79" s="9"/>
      <c r="BK79" s="9"/>
      <c r="BL79" s="9"/>
      <c r="BM79" s="3"/>
      <c r="BN79" s="3"/>
      <c r="BO79" s="3"/>
      <c r="BP79" s="3"/>
      <c r="BQ79" s="3"/>
      <c r="BR79" s="3"/>
      <c r="BT79" s="15"/>
      <c r="BU79" s="3"/>
      <c r="BV79" s="13"/>
      <c r="BW79" s="3"/>
      <c r="BX79" s="3"/>
      <c r="BY79" s="3"/>
      <c r="BZ79" s="3"/>
      <c r="CA79" s="3"/>
      <c r="CB79" s="10"/>
      <c r="CC79" s="10"/>
      <c r="CD79" s="4"/>
      <c r="CE79" s="3"/>
    </row>
    <row r="80" spans="1:83" x14ac:dyDescent="0.3">
      <c r="A80" s="1" t="s">
        <v>117</v>
      </c>
      <c r="B80" s="2" t="s">
        <v>124</v>
      </c>
      <c r="C80" t="s">
        <v>125</v>
      </c>
      <c r="D80" s="5" t="s">
        <v>98</v>
      </c>
      <c r="E80" s="5" t="s">
        <v>148</v>
      </c>
      <c r="F80" s="17">
        <v>44880</v>
      </c>
      <c r="G80">
        <v>1</v>
      </c>
      <c r="H80" s="3">
        <v>7.6</v>
      </c>
      <c r="I80" s="3">
        <f t="shared" si="1"/>
        <v>7.14</v>
      </c>
      <c r="J80" s="3">
        <f>($A$51-$A$47)*$A$55</f>
        <v>0.80874999999999997</v>
      </c>
      <c r="K80" s="6">
        <f t="shared" si="2"/>
        <v>1774.3550246062989</v>
      </c>
      <c r="L80" s="4">
        <v>8.49</v>
      </c>
      <c r="M80" s="4">
        <v>138.36000000000001</v>
      </c>
      <c r="N80" s="4">
        <f t="shared" si="3"/>
        <v>129.87</v>
      </c>
      <c r="O80" s="4">
        <v>123.36</v>
      </c>
      <c r="P80" s="7">
        <f t="shared" si="4"/>
        <v>5.0127050127050161</v>
      </c>
      <c r="Q80" s="6">
        <f t="shared" si="5"/>
        <v>1685.4118413446756</v>
      </c>
      <c r="R80" s="14">
        <v>44883</v>
      </c>
      <c r="S80" s="4">
        <v>3.34</v>
      </c>
      <c r="T80" s="4">
        <v>1.28</v>
      </c>
      <c r="U80" s="4">
        <v>3.28</v>
      </c>
      <c r="V80" s="8">
        <f t="shared" si="6"/>
        <v>0.35128644673529202</v>
      </c>
      <c r="W80" s="8">
        <f t="shared" si="7"/>
        <v>0.50457507803796475</v>
      </c>
      <c r="X80" s="8">
        <f t="shared" si="8"/>
        <v>0.14413847522674317</v>
      </c>
      <c r="Y80" s="6">
        <f t="shared" si="9"/>
        <v>623.30687184085843</v>
      </c>
      <c r="Z80" s="6">
        <f t="shared" si="10"/>
        <v>895.29532500777816</v>
      </c>
      <c r="AA80" s="6">
        <f t="shared" si="11"/>
        <v>1518.6021968486366</v>
      </c>
      <c r="AB80" s="6">
        <f t="shared" si="12"/>
        <v>592.06233703155681</v>
      </c>
      <c r="AC80" s="6">
        <f t="shared" si="13"/>
        <v>850.41681137259957</v>
      </c>
      <c r="AD80" s="6">
        <f t="shared" si="14"/>
        <v>1442.4791484041564</v>
      </c>
      <c r="AE80" s="10">
        <v>991370181104</v>
      </c>
      <c r="AF80" s="14">
        <v>44980</v>
      </c>
      <c r="AG80" s="6">
        <v>50.599999999999994</v>
      </c>
      <c r="AH80" s="11">
        <v>1.0469999999999999</v>
      </c>
      <c r="AI80" s="6">
        <v>80.3</v>
      </c>
      <c r="AJ80" s="6">
        <v>27.9</v>
      </c>
      <c r="AK80" s="6">
        <v>5.5</v>
      </c>
      <c r="AL80" s="6">
        <v>76</v>
      </c>
      <c r="AM80" s="6">
        <v>10.199999999999999</v>
      </c>
      <c r="AN80" s="16" t="s">
        <v>81</v>
      </c>
      <c r="AO80" s="12">
        <v>12</v>
      </c>
      <c r="AP80" s="7">
        <v>0.24</v>
      </c>
      <c r="AQ80" s="6">
        <v>8.9</v>
      </c>
      <c r="AS80" t="s">
        <v>136</v>
      </c>
      <c r="AT80" s="4" t="str">
        <f>E80</f>
        <v>Machine</v>
      </c>
      <c r="AU80" s="15">
        <f>F80</f>
        <v>44880</v>
      </c>
      <c r="AV80" s="3">
        <f>SUM(H80:H81)</f>
        <v>17</v>
      </c>
      <c r="AW80" s="3">
        <f>AV80-2*$A$47</f>
        <v>16.079999999999998</v>
      </c>
      <c r="AX80" s="3">
        <f>SUM(J80:J81)</f>
        <v>1.73</v>
      </c>
      <c r="AY80" s="3">
        <f>(AW80+AX80)*$A$48/(2*$A$49)*$A$50</f>
        <v>1987.8133661417321</v>
      </c>
      <c r="AZ80" s="4">
        <f>SUM(L80:L81)</f>
        <v>17.03</v>
      </c>
      <c r="BA80" s="4">
        <f>SUM(M80:M81)</f>
        <v>291.55</v>
      </c>
      <c r="BB80" s="4">
        <f>BA80-AZ80</f>
        <v>274.52</v>
      </c>
      <c r="BC80" s="4">
        <f>SUM(O80:O81)</f>
        <v>259.54000000000002</v>
      </c>
      <c r="BD80" s="4">
        <f>(BB80-BC80)/BB80*100</f>
        <v>5.4567973189567107</v>
      </c>
      <c r="BE80" s="3">
        <f>AY80*(1-BD80/100)</f>
        <v>1879.3424196722469</v>
      </c>
      <c r="BF80" s="15">
        <v>44883</v>
      </c>
      <c r="BG80" s="4">
        <f>SUM(S80:S81)</f>
        <v>7.3999999999999995</v>
      </c>
      <c r="BH80" s="4">
        <f>SUM(T80:T81)</f>
        <v>2.88</v>
      </c>
      <c r="BI80" s="4">
        <f>SUM(U80:U81)</f>
        <v>6.9</v>
      </c>
      <c r="BJ80" s="9">
        <f>(BH80-2*$A$56)/(BG80-2*$A$47*$A$48)</f>
        <v>0.36089215841144762</v>
      </c>
      <c r="BK80" s="9">
        <f>(BI80-2*$A$57)/(BG80-2*$A$47*$A$48)</f>
        <v>0.5012391089047884</v>
      </c>
      <c r="BL80" s="9">
        <f>1-BJ80-BK80</f>
        <v>0.13786873268376398</v>
      </c>
      <c r="BM80" s="3">
        <f>AY80*BJ80</f>
        <v>717.38625622601489</v>
      </c>
      <c r="BN80" s="3">
        <f>AY80*BK80</f>
        <v>996.36980031390965</v>
      </c>
      <c r="BO80" s="3">
        <f>SUM(BM80:BN80)</f>
        <v>1713.7560565399244</v>
      </c>
      <c r="BP80" s="3">
        <f>BE80*BJ80</f>
        <v>678.23994222970975</v>
      </c>
      <c r="BQ80" s="3">
        <f>BE80*BK80</f>
        <v>941.99991976348588</v>
      </c>
      <c r="BR80" s="3">
        <f>SUM(BP80:BQ80)</f>
        <v>1620.2398619931955</v>
      </c>
      <c r="BS80" s="3"/>
      <c r="BT80" s="15">
        <f>AF81</f>
        <v>44980</v>
      </c>
      <c r="BU80" s="3">
        <f>AVERAGE(AG80:AG81)</f>
        <v>52.199999999999996</v>
      </c>
      <c r="BV80" s="13">
        <f t="shared" ref="BV80" si="69">AVERAGE(AH80:AH81)</f>
        <v>1.0354999999999999</v>
      </c>
      <c r="BW80" s="3">
        <f t="shared" ref="BW80" si="70">AVERAGE(AI80:AI81)</f>
        <v>80</v>
      </c>
      <c r="BX80" s="3">
        <f t="shared" ref="BX80" si="71">AVERAGE(AJ80:AJ81)</f>
        <v>28.299999999999997</v>
      </c>
      <c r="BY80" s="3">
        <f t="shared" ref="BY80" si="72">AVERAGE(AK80:AK81)</f>
        <v>5.35</v>
      </c>
      <c r="BZ80" s="3">
        <f t="shared" ref="BZ80" si="73">AVERAGE(AL80:AL81)</f>
        <v>76.05</v>
      </c>
      <c r="CA80" s="3">
        <f t="shared" ref="CA80" si="74">AVERAGE(AM80:AM81)</f>
        <v>10.1</v>
      </c>
      <c r="CB80" s="3"/>
      <c r="CC80" s="10">
        <f t="shared" ref="CC80" si="75">AVERAGE(AO80:AO81)</f>
        <v>12</v>
      </c>
      <c r="CD80" s="4">
        <f t="shared" ref="CD80" si="76">AVERAGE(AP80:AP81)</f>
        <v>0.31</v>
      </c>
      <c r="CE80" s="3">
        <f t="shared" ref="CE80" si="77">AVERAGE(AQ80:AQ81)</f>
        <v>9.4</v>
      </c>
    </row>
    <row r="81" spans="1:83" x14ac:dyDescent="0.3">
      <c r="A81" s="1" t="s">
        <v>117</v>
      </c>
      <c r="B81" s="2" t="s">
        <v>124</v>
      </c>
      <c r="C81" t="s">
        <v>126</v>
      </c>
      <c r="D81" s="5" t="s">
        <v>99</v>
      </c>
      <c r="E81" s="5" t="s">
        <v>148</v>
      </c>
      <c r="F81" s="17">
        <v>44880</v>
      </c>
      <c r="G81">
        <v>3</v>
      </c>
      <c r="H81" s="3">
        <v>9.4</v>
      </c>
      <c r="I81" s="3">
        <f t="shared" si="1"/>
        <v>8.94</v>
      </c>
      <c r="J81" s="3">
        <f>($A$53-$A$47)*$A$55</f>
        <v>0.9212499999999999</v>
      </c>
      <c r="K81" s="6">
        <f t="shared" si="2"/>
        <v>2201.2717076771651</v>
      </c>
      <c r="L81" s="4">
        <v>8.5399999999999991</v>
      </c>
      <c r="M81" s="4">
        <v>153.19</v>
      </c>
      <c r="N81" s="4">
        <f t="shared" si="3"/>
        <v>144.65</v>
      </c>
      <c r="O81" s="4">
        <v>136.18</v>
      </c>
      <c r="P81" s="7">
        <f t="shared" si="4"/>
        <v>5.8555133079847899</v>
      </c>
      <c r="Q81" s="6">
        <f t="shared" si="5"/>
        <v>2072.3759498892246</v>
      </c>
      <c r="R81" s="14">
        <v>44883</v>
      </c>
      <c r="S81" s="4">
        <v>4.0599999999999996</v>
      </c>
      <c r="T81" s="4">
        <v>1.6</v>
      </c>
      <c r="U81" s="4">
        <v>3.62</v>
      </c>
      <c r="V81" s="8">
        <f t="shared" si="6"/>
        <v>0.36870210585609875</v>
      </c>
      <c r="W81" s="8">
        <f t="shared" si="7"/>
        <v>0.49852679101669689</v>
      </c>
      <c r="X81" s="8">
        <f t="shared" si="8"/>
        <v>0.13277110312720436</v>
      </c>
      <c r="Y81" s="6">
        <f t="shared" si="9"/>
        <v>811.61351418202139</v>
      </c>
      <c r="Z81" s="6">
        <f t="shared" si="10"/>
        <v>1097.3929205841416</v>
      </c>
      <c r="AA81" s="6">
        <f t="shared" si="11"/>
        <v>1909.006434766163</v>
      </c>
      <c r="AB81" s="6">
        <f t="shared" si="12"/>
        <v>764.0893768496901</v>
      </c>
      <c r="AC81" s="6">
        <f t="shared" si="13"/>
        <v>1033.1349320784541</v>
      </c>
      <c r="AD81" s="6">
        <f t="shared" si="14"/>
        <v>1797.2243089281442</v>
      </c>
      <c r="AE81" s="10">
        <v>991370182120</v>
      </c>
      <c r="AF81" s="14">
        <v>44980</v>
      </c>
      <c r="AG81" s="6">
        <v>53.8</v>
      </c>
      <c r="AH81" s="11">
        <v>1.024</v>
      </c>
      <c r="AI81" s="6">
        <v>79.7</v>
      </c>
      <c r="AJ81" s="6">
        <v>28.7</v>
      </c>
      <c r="AK81" s="6">
        <v>5.2</v>
      </c>
      <c r="AL81" s="6">
        <v>76.099999999999994</v>
      </c>
      <c r="AM81" s="6">
        <v>10</v>
      </c>
      <c r="AN81" s="16" t="s">
        <v>128</v>
      </c>
      <c r="AO81" s="12">
        <v>12</v>
      </c>
      <c r="AP81" s="7">
        <v>0.38</v>
      </c>
      <c r="AQ81" s="6">
        <v>9.9</v>
      </c>
      <c r="AV81" s="3"/>
      <c r="AW81" s="3"/>
      <c r="AX81" s="3"/>
      <c r="AY81" s="3"/>
      <c r="AZ81" s="4"/>
      <c r="BA81" s="4"/>
      <c r="BB81" s="4"/>
      <c r="BC81" s="4"/>
      <c r="BD81" s="4"/>
      <c r="BE81" s="3"/>
      <c r="BF81" s="3"/>
      <c r="BG81" s="4"/>
      <c r="BH81" s="4"/>
      <c r="BI81" s="4"/>
      <c r="BJ81" s="9"/>
      <c r="BK81" s="9"/>
      <c r="BL81" s="9"/>
      <c r="BM81" s="3"/>
      <c r="BN81" s="3"/>
      <c r="BO81" s="3"/>
      <c r="BP81" s="3"/>
      <c r="BQ81" s="3"/>
      <c r="BR81" s="3"/>
      <c r="BT81" s="15"/>
      <c r="BU81" s="3"/>
      <c r="BV81" s="13"/>
      <c r="BW81" s="3"/>
      <c r="BX81" s="3"/>
      <c r="BY81" s="3"/>
      <c r="BZ81" s="3"/>
      <c r="CA81" s="3"/>
      <c r="CB81" s="10"/>
      <c r="CC81" s="10"/>
      <c r="CD81" s="4"/>
      <c r="CE81" s="3"/>
    </row>
    <row r="82" spans="1:83" x14ac:dyDescent="0.3">
      <c r="A82" s="1" t="s">
        <v>118</v>
      </c>
      <c r="B82" s="2" t="s">
        <v>117</v>
      </c>
      <c r="C82" t="s">
        <v>125</v>
      </c>
      <c r="D82" s="5" t="s">
        <v>100</v>
      </c>
      <c r="E82" s="5" t="s">
        <v>148</v>
      </c>
      <c r="F82" s="17">
        <v>44880</v>
      </c>
      <c r="G82">
        <v>2</v>
      </c>
      <c r="H82" s="3">
        <v>15.6</v>
      </c>
      <c r="I82" s="3">
        <f t="shared" si="1"/>
        <v>15.139999999999999</v>
      </c>
      <c r="J82" s="3">
        <f>($A$52-$A$47)*$A$55</f>
        <v>0.9212499999999999</v>
      </c>
      <c r="K82" s="6">
        <f t="shared" si="2"/>
        <v>3585.2630462598418</v>
      </c>
      <c r="L82" s="4">
        <v>8.4700000000000006</v>
      </c>
      <c r="M82" s="4">
        <v>167.54</v>
      </c>
      <c r="N82" s="4">
        <f t="shared" si="3"/>
        <v>159.07</v>
      </c>
      <c r="O82" s="4">
        <v>149.43</v>
      </c>
      <c r="P82" s="7">
        <f t="shared" si="4"/>
        <v>6.0602250581504915</v>
      </c>
      <c r="Q82" s="6">
        <f t="shared" si="5"/>
        <v>3367.9880367297933</v>
      </c>
      <c r="R82" s="14">
        <v>44883</v>
      </c>
      <c r="S82" s="4">
        <v>6.86</v>
      </c>
      <c r="T82" s="4">
        <v>2.66</v>
      </c>
      <c r="U82" s="4">
        <v>4.9400000000000004</v>
      </c>
      <c r="V82" s="8">
        <f t="shared" si="6"/>
        <v>0.37285676817904667</v>
      </c>
      <c r="W82" s="8">
        <f t="shared" si="7"/>
        <v>0.48711932616939968</v>
      </c>
      <c r="X82" s="8">
        <f t="shared" si="8"/>
        <v>0.14002390565155365</v>
      </c>
      <c r="Y82" s="6">
        <f t="shared" si="9"/>
        <v>1336.7895925002085</v>
      </c>
      <c r="Z82" s="6">
        <f t="shared" si="10"/>
        <v>1746.4509192341434</v>
      </c>
      <c r="AA82" s="6">
        <f t="shared" si="11"/>
        <v>3083.2405117343519</v>
      </c>
      <c r="AB82" s="6">
        <f t="shared" si="12"/>
        <v>1255.7771346407631</v>
      </c>
      <c r="AC82" s="6">
        <f t="shared" si="13"/>
        <v>1640.6120629984161</v>
      </c>
      <c r="AD82" s="6">
        <f t="shared" si="14"/>
        <v>2896.3891976391792</v>
      </c>
      <c r="AE82" s="10">
        <v>991370211105</v>
      </c>
      <c r="AF82" s="14">
        <v>44980</v>
      </c>
      <c r="AG82" s="6">
        <v>53.7</v>
      </c>
      <c r="AH82" s="11">
        <v>1.0649999999999999</v>
      </c>
      <c r="AI82" s="6">
        <v>80.400000000000006</v>
      </c>
      <c r="AJ82" s="6">
        <v>30.3</v>
      </c>
      <c r="AK82" s="6">
        <v>5.0999999999999996</v>
      </c>
      <c r="AL82" s="6">
        <v>76.400000000000006</v>
      </c>
      <c r="AM82" s="6">
        <v>10.1</v>
      </c>
      <c r="AN82" s="16" t="s">
        <v>128</v>
      </c>
      <c r="AO82" s="12">
        <v>14</v>
      </c>
      <c r="AP82" s="7">
        <v>0.24</v>
      </c>
      <c r="AQ82" s="6">
        <v>9.1</v>
      </c>
      <c r="AS82" t="s">
        <v>137</v>
      </c>
      <c r="AT82" s="4" t="str">
        <f>E82</f>
        <v>Machine</v>
      </c>
      <c r="AU82" s="15">
        <f>F82</f>
        <v>44880</v>
      </c>
      <c r="AV82" s="3">
        <f>SUM(H82:H83)</f>
        <v>25.299999999999997</v>
      </c>
      <c r="AW82" s="3">
        <f>AV82-2*$A$47</f>
        <v>24.379999999999995</v>
      </c>
      <c r="AX82" s="3">
        <f>SUM(J82:J83)</f>
        <v>1.7987499999999998</v>
      </c>
      <c r="AY82" s="3">
        <f>(AW82+AX82)*$A$48/(2*$A$49)*$A$50</f>
        <v>2921.8680044291327</v>
      </c>
      <c r="AZ82" s="4">
        <f>SUM(L82:L83)</f>
        <v>16.98</v>
      </c>
      <c r="BA82" s="4">
        <f>SUM(M82:M83)</f>
        <v>414.73</v>
      </c>
      <c r="BB82" s="4">
        <f>BA82-AZ82</f>
        <v>397.75</v>
      </c>
      <c r="BC82" s="4">
        <f>SUM(O82:O83)</f>
        <v>374.17</v>
      </c>
      <c r="BD82" s="4">
        <f>(BB82-BC82)/BB82*100</f>
        <v>5.9283469516027614</v>
      </c>
      <c r="BE82" s="3">
        <f>AY82*(1-BD82/100)</f>
        <v>2748.649531658702</v>
      </c>
      <c r="BF82" s="15">
        <v>44883</v>
      </c>
      <c r="BG82" s="4">
        <f>SUM(S82:S83)</f>
        <v>10.99</v>
      </c>
      <c r="BH82" s="4">
        <f>SUM(T82:T83)</f>
        <v>4.28</v>
      </c>
      <c r="BI82" s="4">
        <f>SUM(U82:U83)</f>
        <v>8.58</v>
      </c>
      <c r="BJ82" s="9">
        <f>(BH82-2*$A$56)/(BG82-2*$A$47*$A$48)</f>
        <v>0.37076638137429507</v>
      </c>
      <c r="BK82" s="9">
        <f>(BI82-2*$A$57)/(BG82-2*$A$47*$A$48)</f>
        <v>0.48994128967317557</v>
      </c>
      <c r="BL82" s="9">
        <f>1-BJ82-BK82</f>
        <v>0.13929232895252935</v>
      </c>
      <c r="BM82" s="3">
        <f>AY82*BJ82</f>
        <v>1083.3304268555223</v>
      </c>
      <c r="BN82" s="3">
        <f>AY82*BK82</f>
        <v>1431.5437783447971</v>
      </c>
      <c r="BO82" s="3">
        <f>SUM(BM82:BN82)</f>
        <v>2514.8742052003195</v>
      </c>
      <c r="BP82" s="3">
        <f>BE82*BJ82</f>
        <v>1019.1068405192478</v>
      </c>
      <c r="BQ82" s="3">
        <f>BE82*BK82</f>
        <v>1346.6768964004345</v>
      </c>
      <c r="BR82" s="3">
        <f>SUM(BP82:BQ82)</f>
        <v>2365.7837369196823</v>
      </c>
      <c r="BS82" s="3"/>
      <c r="BT82" s="15">
        <f>AF83</f>
        <v>44980</v>
      </c>
      <c r="BU82" s="3">
        <f>AVERAGE(AG82:AG83)</f>
        <v>56.35</v>
      </c>
      <c r="BV82" s="13">
        <f t="shared" ref="BV82" si="78">AVERAGE(AH82:AH83)</f>
        <v>1.024</v>
      </c>
      <c r="BW82" s="3">
        <f t="shared" ref="BW82" si="79">AVERAGE(AI82:AI83)</f>
        <v>79.599999999999994</v>
      </c>
      <c r="BX82" s="3">
        <f t="shared" ref="BX82" si="80">AVERAGE(AJ82:AJ83)</f>
        <v>28.1</v>
      </c>
      <c r="BY82" s="3">
        <f t="shared" ref="BY82" si="81">AVERAGE(AK82:AK83)</f>
        <v>5.35</v>
      </c>
      <c r="BZ82" s="3">
        <f t="shared" ref="BZ82" si="82">AVERAGE(AL82:AL83)</f>
        <v>76.300000000000011</v>
      </c>
      <c r="CA82" s="3">
        <f t="shared" ref="CA82" si="83">AVERAGE(AM82:AM83)</f>
        <v>10.1</v>
      </c>
      <c r="CB82" s="3"/>
      <c r="CC82" s="10">
        <f t="shared" ref="CC82" si="84">AVERAGE(AO82:AO83)</f>
        <v>10.5</v>
      </c>
      <c r="CD82" s="4">
        <f t="shared" ref="CD82" si="85">AVERAGE(AP82:AP83)</f>
        <v>0.16499999999999998</v>
      </c>
      <c r="CE82" s="3">
        <f t="shared" ref="CE82" si="86">AVERAGE(AQ82:AQ83)</f>
        <v>10.45</v>
      </c>
    </row>
    <row r="83" spans="1:83" x14ac:dyDescent="0.3">
      <c r="A83" s="1" t="s">
        <v>118</v>
      </c>
      <c r="B83" s="2" t="s">
        <v>117</v>
      </c>
      <c r="C83" t="s">
        <v>126</v>
      </c>
      <c r="D83" s="5" t="s">
        <v>101</v>
      </c>
      <c r="E83" s="5" t="s">
        <v>148</v>
      </c>
      <c r="F83" s="17">
        <v>44880</v>
      </c>
      <c r="G83">
        <v>4</v>
      </c>
      <c r="H83" s="3">
        <v>9.6999999999999993</v>
      </c>
      <c r="I83" s="3">
        <f t="shared" si="1"/>
        <v>9.2399999999999984</v>
      </c>
      <c r="J83" s="3">
        <f>($A$54-$A$47)*$A$55</f>
        <v>0.87749999999999995</v>
      </c>
      <c r="K83" s="6">
        <f t="shared" si="2"/>
        <v>2258.4729625984251</v>
      </c>
      <c r="L83" s="4">
        <v>8.51</v>
      </c>
      <c r="M83" s="4">
        <v>247.19</v>
      </c>
      <c r="N83" s="4">
        <f t="shared" si="3"/>
        <v>238.68</v>
      </c>
      <c r="O83" s="4">
        <v>224.74</v>
      </c>
      <c r="P83" s="7">
        <f t="shared" si="4"/>
        <v>5.8404558404558395</v>
      </c>
      <c r="Q83" s="6">
        <f t="shared" si="5"/>
        <v>2126.5678465492292</v>
      </c>
      <c r="R83" s="14">
        <v>44883</v>
      </c>
      <c r="S83" s="4">
        <v>4.13</v>
      </c>
      <c r="T83" s="4">
        <v>1.62</v>
      </c>
      <c r="U83" s="4">
        <v>3.64</v>
      </c>
      <c r="V83" s="8">
        <f t="shared" si="6"/>
        <v>0.36722068980121658</v>
      </c>
      <c r="W83" s="8">
        <f t="shared" si="7"/>
        <v>0.49472787375997229</v>
      </c>
      <c r="X83" s="8">
        <f t="shared" si="8"/>
        <v>0.13805143643881113</v>
      </c>
      <c r="Y83" s="6">
        <f t="shared" si="9"/>
        <v>829.35799922279091</v>
      </c>
      <c r="Z83" s="6">
        <f t="shared" si="10"/>
        <v>1117.3295267307042</v>
      </c>
      <c r="AA83" s="6">
        <f t="shared" si="11"/>
        <v>1946.687525953495</v>
      </c>
      <c r="AB83" s="6">
        <f t="shared" si="12"/>
        <v>780.91971151889561</v>
      </c>
      <c r="AC83" s="6">
        <f t="shared" si="13"/>
        <v>1052.0723891296232</v>
      </c>
      <c r="AD83" s="6">
        <f t="shared" si="14"/>
        <v>1832.9921006485188</v>
      </c>
      <c r="AE83" s="10">
        <v>991370212121</v>
      </c>
      <c r="AF83" s="14">
        <v>44980</v>
      </c>
      <c r="AG83" s="6">
        <v>59</v>
      </c>
      <c r="AH83" s="11">
        <v>0.98299999999999998</v>
      </c>
      <c r="AI83" s="6">
        <v>78.8</v>
      </c>
      <c r="AJ83" s="6">
        <v>25.9</v>
      </c>
      <c r="AK83" s="6">
        <v>5.6</v>
      </c>
      <c r="AL83" s="6">
        <v>76.2</v>
      </c>
      <c r="AM83" s="6">
        <v>10.1</v>
      </c>
      <c r="AN83" s="16" t="s">
        <v>128</v>
      </c>
      <c r="AO83" s="12">
        <v>7</v>
      </c>
      <c r="AP83" s="7">
        <v>0.09</v>
      </c>
      <c r="AQ83" s="6">
        <v>11.8</v>
      </c>
      <c r="AV83" s="3"/>
      <c r="AW83" s="3"/>
      <c r="AX83" s="3"/>
      <c r="AY83" s="3"/>
      <c r="AZ83" s="4"/>
      <c r="BA83" s="4"/>
      <c r="BB83" s="4"/>
      <c r="BC83" s="4"/>
      <c r="BD83" s="4"/>
      <c r="BE83" s="3"/>
      <c r="BF83" s="3"/>
      <c r="BG83" s="4"/>
      <c r="BH83" s="4"/>
      <c r="BI83" s="4"/>
      <c r="BJ83" s="9"/>
      <c r="BK83" s="9"/>
      <c r="BL83" s="9"/>
      <c r="BM83" s="3"/>
      <c r="BN83" s="3"/>
      <c r="BO83" s="3"/>
      <c r="BP83" s="3"/>
      <c r="BQ83" s="3"/>
      <c r="BR83" s="3"/>
      <c r="BT83" s="15"/>
      <c r="BU83" s="3"/>
      <c r="BV83" s="13"/>
      <c r="BW83" s="3"/>
      <c r="BX83" s="3"/>
      <c r="BY83" s="3"/>
      <c r="BZ83" s="3"/>
      <c r="CA83" s="3"/>
      <c r="CB83" s="10"/>
      <c r="CC83" s="10"/>
      <c r="CD83" s="4"/>
      <c r="CE83" s="3"/>
    </row>
    <row r="84" spans="1:83" x14ac:dyDescent="0.3">
      <c r="A84" s="1" t="s">
        <v>118</v>
      </c>
      <c r="B84" s="2" t="s">
        <v>118</v>
      </c>
      <c r="C84" t="s">
        <v>125</v>
      </c>
      <c r="D84" s="5" t="s">
        <v>102</v>
      </c>
      <c r="E84" s="5" t="s">
        <v>148</v>
      </c>
      <c r="F84" s="17">
        <v>44880</v>
      </c>
      <c r="G84">
        <v>2</v>
      </c>
      <c r="H84" s="3">
        <v>16.7</v>
      </c>
      <c r="I84" s="3">
        <f t="shared" si="1"/>
        <v>16.239999999999998</v>
      </c>
      <c r="J84" s="3">
        <f>($A$52-$A$47)*$A$55</f>
        <v>0.9212499999999999</v>
      </c>
      <c r="K84" s="6">
        <f t="shared" si="2"/>
        <v>3830.8098966535431</v>
      </c>
      <c r="L84" s="4">
        <v>8.6199999999999992</v>
      </c>
      <c r="M84" s="4">
        <v>160.4</v>
      </c>
      <c r="N84" s="4">
        <f t="shared" si="3"/>
        <v>151.78</v>
      </c>
      <c r="O84" s="4">
        <v>143.84</v>
      </c>
      <c r="P84" s="7">
        <f t="shared" si="4"/>
        <v>5.2312557649229134</v>
      </c>
      <c r="Q84" s="6">
        <f t="shared" si="5"/>
        <v>3630.4104330916171</v>
      </c>
      <c r="R84" s="14">
        <v>44883</v>
      </c>
      <c r="S84" s="4">
        <v>7.42</v>
      </c>
      <c r="T84" s="4">
        <v>2.84</v>
      </c>
      <c r="U84" s="4">
        <v>5.32</v>
      </c>
      <c r="V84" s="8">
        <f t="shared" si="6"/>
        <v>0.36886309162117664</v>
      </c>
      <c r="W84" s="8">
        <f t="shared" si="7"/>
        <v>0.50198661340927053</v>
      </c>
      <c r="X84" s="8">
        <f t="shared" si="8"/>
        <v>0.12915029496955288</v>
      </c>
      <c r="Y84" s="6">
        <f t="shared" si="9"/>
        <v>1413.044381892626</v>
      </c>
      <c r="Z84" s="6">
        <f t="shared" si="10"/>
        <v>1923.0152866358296</v>
      </c>
      <c r="AA84" s="6">
        <f t="shared" si="11"/>
        <v>3336.0596685284554</v>
      </c>
      <c r="AB84" s="6">
        <f t="shared" si="12"/>
        <v>1339.1244162039486</v>
      </c>
      <c r="AC84" s="6">
        <f t="shared" si="13"/>
        <v>1822.4174385933441</v>
      </c>
      <c r="AD84" s="6">
        <f t="shared" si="14"/>
        <v>3161.5418547972927</v>
      </c>
      <c r="AE84" s="10">
        <v>991370221106</v>
      </c>
      <c r="AF84" s="14">
        <v>44980</v>
      </c>
      <c r="AG84" s="6">
        <v>50.4</v>
      </c>
      <c r="AH84" s="11">
        <v>1.0649999999999999</v>
      </c>
      <c r="AI84" s="6">
        <v>80.400000000000006</v>
      </c>
      <c r="AJ84" s="6">
        <v>29.5</v>
      </c>
      <c r="AK84" s="6">
        <v>5.3</v>
      </c>
      <c r="AL84" s="6">
        <v>77.5</v>
      </c>
      <c r="AM84" s="6">
        <v>10</v>
      </c>
      <c r="AN84" s="16" t="s">
        <v>81</v>
      </c>
      <c r="AO84" s="12">
        <v>6</v>
      </c>
      <c r="AP84" s="7">
        <v>7.0000000000000007E-2</v>
      </c>
      <c r="AQ84" s="6">
        <v>9.8000000000000007</v>
      </c>
      <c r="AS84" t="s">
        <v>138</v>
      </c>
      <c r="AT84" s="4" t="str">
        <f>E84</f>
        <v>Machine</v>
      </c>
      <c r="AU84" s="15">
        <f>F84</f>
        <v>44880</v>
      </c>
      <c r="AV84" s="3">
        <f>SUM(H84:H85)</f>
        <v>31.299999999999997</v>
      </c>
      <c r="AW84" s="3">
        <f>AV84-2*$A$47</f>
        <v>30.379999999999995</v>
      </c>
      <c r="AX84" s="3">
        <f>SUM(J84:J85)</f>
        <v>1.7987499999999998</v>
      </c>
      <c r="AY84" s="3">
        <f>(AW84+AX84)*$A$48/(2*$A$49)*$A$50</f>
        <v>3591.5412327755898</v>
      </c>
      <c r="AZ84" s="4">
        <f>SUM(L84:L85)</f>
        <v>17.059999999999999</v>
      </c>
      <c r="BA84" s="4">
        <f>SUM(M84:M85)</f>
        <v>411.68</v>
      </c>
      <c r="BB84" s="4">
        <f>BA84-AZ84</f>
        <v>394.62</v>
      </c>
      <c r="BC84" s="4">
        <f>SUM(O84:O85)</f>
        <v>373.89</v>
      </c>
      <c r="BD84" s="4">
        <f>(BB84-BC84)/BB84*100</f>
        <v>5.2531549338604275</v>
      </c>
      <c r="BE84" s="3">
        <f>AY84*(1-BD84/100)</f>
        <v>3402.8720073044074</v>
      </c>
      <c r="BF84" s="15">
        <v>44883</v>
      </c>
      <c r="BG84" s="4">
        <f>SUM(S84:S85)</f>
        <v>13.73</v>
      </c>
      <c r="BH84" s="4">
        <f>SUM(T84:T85)</f>
        <v>5.32</v>
      </c>
      <c r="BI84" s="4">
        <f>SUM(U84:U85)</f>
        <v>10.039999999999999</v>
      </c>
      <c r="BJ84" s="9">
        <f>(BH84-2*$A$56)/(BG84-2*$A$47*$A$48)</f>
        <v>0.37257669208769451</v>
      </c>
      <c r="BK84" s="9">
        <f>(BI84-2*$A$57)/(BG84-2*$A$47*$A$48)</f>
        <v>0.49877202327868775</v>
      </c>
      <c r="BL84" s="9">
        <f>1-BJ84-BK84</f>
        <v>0.12865128463361775</v>
      </c>
      <c r="BM84" s="3">
        <f>AY84*BJ84</f>
        <v>1338.1245520040898</v>
      </c>
      <c r="BN84" s="3">
        <f>AY84*BK84</f>
        <v>1791.3602873603134</v>
      </c>
      <c r="BO84" s="3">
        <f>SUM(BM84:BN84)</f>
        <v>3129.4848393644033</v>
      </c>
      <c r="BP84" s="3">
        <f>BE84*BJ84</f>
        <v>1267.830796079289</v>
      </c>
      <c r="BQ84" s="3">
        <f>BE84*BK84</f>
        <v>1697.2573560416288</v>
      </c>
      <c r="BR84" s="3">
        <f>SUM(BP84:BQ84)</f>
        <v>2965.0881521209176</v>
      </c>
      <c r="BS84" s="3"/>
      <c r="BT84" s="15">
        <f>AF85</f>
        <v>44980</v>
      </c>
      <c r="BU84" s="3">
        <f>AVERAGE(AG84:AG85)</f>
        <v>52.9</v>
      </c>
      <c r="BV84" s="13">
        <f t="shared" ref="BV84" si="87">AVERAGE(AH84:AH85)</f>
        <v>1.0499999999999998</v>
      </c>
      <c r="BW84" s="3">
        <f t="shared" ref="BW84" si="88">AVERAGE(AI84:AI85)</f>
        <v>79.849999999999994</v>
      </c>
      <c r="BX84" s="3">
        <f t="shared" ref="BX84" si="89">AVERAGE(AJ84:AJ85)</f>
        <v>28.35</v>
      </c>
      <c r="BY84" s="3">
        <f t="shared" ref="BY84" si="90">AVERAGE(AK84:AK85)</f>
        <v>5.4</v>
      </c>
      <c r="BZ84" s="3">
        <f t="shared" ref="BZ84" si="91">AVERAGE(AL84:AL85)</f>
        <v>77.25</v>
      </c>
      <c r="CA84" s="3">
        <f t="shared" ref="CA84" si="92">AVERAGE(AM84:AM85)</f>
        <v>9.9499999999999993</v>
      </c>
      <c r="CB84" s="3"/>
      <c r="CC84" s="10">
        <f t="shared" ref="CC84" si="93">AVERAGE(AO84:AO85)</f>
        <v>4.5</v>
      </c>
      <c r="CD84" s="4">
        <f t="shared" ref="CD84" si="94">AVERAGE(AP84:AP85)</f>
        <v>6.0000000000000005E-2</v>
      </c>
      <c r="CE84" s="3">
        <f t="shared" ref="CE84" si="95">AVERAGE(AQ84:AQ85)</f>
        <v>10</v>
      </c>
    </row>
    <row r="85" spans="1:83" x14ac:dyDescent="0.3">
      <c r="A85" s="1" t="s">
        <v>118</v>
      </c>
      <c r="B85" s="2" t="s">
        <v>118</v>
      </c>
      <c r="C85" t="s">
        <v>126</v>
      </c>
      <c r="D85" s="5" t="s">
        <v>103</v>
      </c>
      <c r="E85" s="5" t="s">
        <v>148</v>
      </c>
      <c r="F85" s="17">
        <v>44880</v>
      </c>
      <c r="G85">
        <v>4</v>
      </c>
      <c r="H85" s="3">
        <v>14.6</v>
      </c>
      <c r="I85" s="3">
        <f t="shared" si="1"/>
        <v>14.139999999999999</v>
      </c>
      <c r="J85" s="3">
        <f>($A$54-$A$47)*$A$55</f>
        <v>0.87749999999999995</v>
      </c>
      <c r="K85" s="6">
        <f t="shared" si="2"/>
        <v>3352.2725688976375</v>
      </c>
      <c r="L85" s="4">
        <v>8.44</v>
      </c>
      <c r="M85" s="4">
        <v>251.28</v>
      </c>
      <c r="N85" s="4">
        <f t="shared" si="3"/>
        <v>242.84</v>
      </c>
      <c r="O85" s="4">
        <v>230.05</v>
      </c>
      <c r="P85" s="7">
        <f t="shared" si="4"/>
        <v>5.2668423653434324</v>
      </c>
      <c r="Q85" s="6">
        <f t="shared" si="5"/>
        <v>3175.7136570371504</v>
      </c>
      <c r="R85" s="14">
        <v>44883</v>
      </c>
      <c r="S85" s="4">
        <v>6.31</v>
      </c>
      <c r="T85" s="4">
        <v>2.48</v>
      </c>
      <c r="U85" s="4">
        <v>4.72</v>
      </c>
      <c r="V85" s="8">
        <f t="shared" si="6"/>
        <v>0.37696589681970061</v>
      </c>
      <c r="W85" s="8">
        <f t="shared" si="7"/>
        <v>0.49497261234586776</v>
      </c>
      <c r="X85" s="8">
        <f t="shared" si="8"/>
        <v>0.12806149083443163</v>
      </c>
      <c r="Y85" s="6">
        <f t="shared" si="9"/>
        <v>1263.6924353185796</v>
      </c>
      <c r="Z85" s="6">
        <f t="shared" si="10"/>
        <v>1659.2831107226566</v>
      </c>
      <c r="AA85" s="6">
        <f t="shared" si="11"/>
        <v>2922.9755460412362</v>
      </c>
      <c r="AB85" s="6">
        <f t="shared" si="12"/>
        <v>1197.1357467675805</v>
      </c>
      <c r="AC85" s="6">
        <f t="shared" si="13"/>
        <v>1571.8912848861276</v>
      </c>
      <c r="AD85" s="6">
        <f t="shared" si="14"/>
        <v>2769.027031653708</v>
      </c>
      <c r="AE85" s="10">
        <v>991370222122</v>
      </c>
      <c r="AF85" s="14">
        <v>44980</v>
      </c>
      <c r="AG85" s="6">
        <v>55.4</v>
      </c>
      <c r="AH85" s="11">
        <v>1.0349999999999999</v>
      </c>
      <c r="AI85" s="6">
        <v>79.3</v>
      </c>
      <c r="AJ85" s="6">
        <v>27.2</v>
      </c>
      <c r="AK85" s="6">
        <v>5.5</v>
      </c>
      <c r="AL85" s="6">
        <v>77</v>
      </c>
      <c r="AM85" s="6">
        <v>9.9</v>
      </c>
      <c r="AN85" s="16" t="s">
        <v>81</v>
      </c>
      <c r="AO85" s="12">
        <v>3</v>
      </c>
      <c r="AP85" s="7">
        <v>0.05</v>
      </c>
      <c r="AQ85" s="6">
        <v>10.199999999999999</v>
      </c>
      <c r="AV85" s="3"/>
      <c r="AW85" s="3"/>
      <c r="AX85" s="3"/>
      <c r="AY85" s="3"/>
      <c r="AZ85" s="4"/>
      <c r="BA85" s="4"/>
      <c r="BB85" s="4"/>
      <c r="BC85" s="4"/>
      <c r="BD85" s="4"/>
      <c r="BE85" s="3"/>
      <c r="BF85" s="3"/>
      <c r="BG85" s="4"/>
      <c r="BH85" s="4"/>
      <c r="BI85" s="4"/>
      <c r="BJ85" s="9"/>
      <c r="BK85" s="9"/>
      <c r="BL85" s="9"/>
      <c r="BM85" s="3"/>
      <c r="BN85" s="3"/>
      <c r="BO85" s="3"/>
      <c r="BP85" s="3"/>
      <c r="BQ85" s="3"/>
      <c r="BR85" s="3"/>
      <c r="BT85" s="15"/>
      <c r="BU85" s="3"/>
      <c r="BV85" s="13"/>
      <c r="BW85" s="3"/>
      <c r="BX85" s="3"/>
      <c r="BY85" s="3"/>
      <c r="BZ85" s="3"/>
      <c r="CA85" s="3"/>
      <c r="CB85" s="10"/>
      <c r="CC85" s="10"/>
      <c r="CD85" s="4"/>
      <c r="CE85" s="3"/>
    </row>
    <row r="86" spans="1:83" x14ac:dyDescent="0.3">
      <c r="A86" s="1" t="s">
        <v>118</v>
      </c>
      <c r="B86" s="2" t="s">
        <v>119</v>
      </c>
      <c r="C86" t="s">
        <v>125</v>
      </c>
      <c r="D86" s="5" t="s">
        <v>104</v>
      </c>
      <c r="E86" s="5" t="s">
        <v>148</v>
      </c>
      <c r="F86" s="17">
        <v>44880</v>
      </c>
      <c r="G86">
        <v>2</v>
      </c>
      <c r="H86" s="3">
        <v>10.8</v>
      </c>
      <c r="I86" s="3">
        <f t="shared" si="1"/>
        <v>10.34</v>
      </c>
      <c r="J86" s="3">
        <f>($A$52-$A$47)*$A$55</f>
        <v>0.9212499999999999</v>
      </c>
      <c r="K86" s="6">
        <f t="shared" si="2"/>
        <v>2513.7858809055119</v>
      </c>
      <c r="L86" s="4">
        <v>8.59</v>
      </c>
      <c r="M86" s="4">
        <v>232.03</v>
      </c>
      <c r="N86" s="4">
        <f t="shared" si="3"/>
        <v>223.44</v>
      </c>
      <c r="O86" s="4">
        <v>210.49</v>
      </c>
      <c r="P86" s="7">
        <f t="shared" si="4"/>
        <v>5.7957393483709225</v>
      </c>
      <c r="Q86" s="6">
        <f t="shared" si="5"/>
        <v>2368.0934034720785</v>
      </c>
      <c r="R86" s="14">
        <v>44883</v>
      </c>
      <c r="S86" s="4">
        <v>4.68</v>
      </c>
      <c r="T86" s="4">
        <v>1.82</v>
      </c>
      <c r="U86" s="4">
        <v>3.88</v>
      </c>
      <c r="V86" s="8">
        <f t="shared" si="6"/>
        <v>0.36677979825536627</v>
      </c>
      <c r="W86" s="8">
        <f t="shared" si="7"/>
        <v>0.48754875621749899</v>
      </c>
      <c r="X86" s="8">
        <f t="shared" si="8"/>
        <v>0.14567144552713479</v>
      </c>
      <c r="Y86" s="6">
        <f t="shared" si="9"/>
        <v>922.00587825571188</v>
      </c>
      <c r="Z86" s="6">
        <f t="shared" si="10"/>
        <v>1225.5931796325924</v>
      </c>
      <c r="AA86" s="6">
        <f t="shared" si="11"/>
        <v>2147.5990578883043</v>
      </c>
      <c r="AB86" s="6">
        <f t="shared" si="12"/>
        <v>868.56882077535261</v>
      </c>
      <c r="AC86" s="6">
        <f t="shared" si="13"/>
        <v>1154.5609934696759</v>
      </c>
      <c r="AD86" s="6">
        <f t="shared" si="14"/>
        <v>2023.1298142450285</v>
      </c>
      <c r="AE86" s="10">
        <v>991370231107</v>
      </c>
      <c r="AF86" s="14">
        <v>44980</v>
      </c>
      <c r="AG86" s="6">
        <v>54</v>
      </c>
      <c r="AH86" s="11">
        <v>1.024</v>
      </c>
      <c r="AI86" s="6">
        <v>80</v>
      </c>
      <c r="AJ86" s="6">
        <v>28.1</v>
      </c>
      <c r="AK86" s="6">
        <v>5.2</v>
      </c>
      <c r="AL86" s="6">
        <v>76.3</v>
      </c>
      <c r="AM86" s="6">
        <v>10</v>
      </c>
      <c r="AN86" s="16" t="s">
        <v>128</v>
      </c>
      <c r="AO86" s="12">
        <v>9</v>
      </c>
      <c r="AP86" s="7">
        <v>0.17</v>
      </c>
      <c r="AQ86" s="6">
        <v>10</v>
      </c>
      <c r="AS86" t="s">
        <v>139</v>
      </c>
      <c r="AT86" s="4" t="str">
        <f>E86</f>
        <v>Machine</v>
      </c>
      <c r="AU86" s="15">
        <f>F86</f>
        <v>44880</v>
      </c>
      <c r="AV86" s="3">
        <f>SUM(H86:H87)</f>
        <v>19.399999999999999</v>
      </c>
      <c r="AW86" s="3">
        <f>AV86-2*$A$47</f>
        <v>18.479999999999997</v>
      </c>
      <c r="AX86" s="3">
        <f>SUM(J86:J87)</f>
        <v>1.7987499999999998</v>
      </c>
      <c r="AY86" s="3">
        <f>(AW86+AX86)*$A$48/(2*$A$49)*$A$50</f>
        <v>2263.3559965551176</v>
      </c>
      <c r="AZ86" s="4">
        <f>SUM(L86:L87)</f>
        <v>16.939999999999998</v>
      </c>
      <c r="BA86" s="4">
        <f>SUM(M86:M87)</f>
        <v>437.52</v>
      </c>
      <c r="BB86" s="4">
        <f>BA86-AZ86</f>
        <v>420.58</v>
      </c>
      <c r="BC86" s="4">
        <f>SUM(O86:O87)</f>
        <v>395.73</v>
      </c>
      <c r="BD86" s="4">
        <f>(BB86-BC86)/BB86*100</f>
        <v>5.9085072994436176</v>
      </c>
      <c r="BE86" s="3">
        <f>AY86*(1-BD86/100)</f>
        <v>2129.6254422862635</v>
      </c>
      <c r="BF86" s="15">
        <v>44883</v>
      </c>
      <c r="BG86" s="4">
        <f>SUM(S86:S87)</f>
        <v>8.36</v>
      </c>
      <c r="BH86" s="4">
        <f>SUM(T86:T87)</f>
        <v>3.2800000000000002</v>
      </c>
      <c r="BI86" s="4">
        <f>SUM(U86:U87)</f>
        <v>7.34</v>
      </c>
      <c r="BJ86" s="9">
        <f>(BH86-2*$A$56)/(BG86-2*$A$47*$A$48)</f>
        <v>0.36763338736436202</v>
      </c>
      <c r="BK86" s="9">
        <f>(BI86-2*$A$57)/(BG86-2*$A$47*$A$48)</f>
        <v>0.49605326925191301</v>
      </c>
      <c r="BL86" s="9">
        <f>1-BJ86-BK86</f>
        <v>0.13631334338372497</v>
      </c>
      <c r="BM86" s="3">
        <f>AY86*BJ86</f>
        <v>832.08523182499914</v>
      </c>
      <c r="BN86" s="3">
        <f>AY86*BK86</f>
        <v>1122.7451415720877</v>
      </c>
      <c r="BO86" s="3">
        <f>SUM(BM86:BN86)</f>
        <v>1954.830373397087</v>
      </c>
      <c r="BP86" s="3">
        <f>BE86*BJ86</f>
        <v>782.9214151650267</v>
      </c>
      <c r="BQ86" s="3">
        <f>BE86*BK86</f>
        <v>1056.4076629281521</v>
      </c>
      <c r="BR86" s="3">
        <f>SUM(BP86:BQ86)</f>
        <v>1839.3290780931789</v>
      </c>
      <c r="BS86" s="3"/>
      <c r="BT86" s="15">
        <f>AF87</f>
        <v>44980</v>
      </c>
      <c r="BU86" s="3">
        <f>AVERAGE(AG86:AG87)</f>
        <v>54.400000000000006</v>
      </c>
      <c r="BV86" s="13">
        <f t="shared" ref="BV86" si="96">AVERAGE(AH86:AH87)</f>
        <v>1.0125</v>
      </c>
      <c r="BW86" s="3">
        <f t="shared" ref="BW86" si="97">AVERAGE(AI86:AI87)</f>
        <v>79.7</v>
      </c>
      <c r="BX86" s="3">
        <f t="shared" ref="BX86" si="98">AVERAGE(AJ86:AJ87)</f>
        <v>27.3</v>
      </c>
      <c r="BY86" s="3">
        <f t="shared" ref="BY86" si="99">AVERAGE(AK86:AK87)</f>
        <v>5.4</v>
      </c>
      <c r="BZ86" s="3">
        <f t="shared" ref="BZ86" si="100">AVERAGE(AL86:AL87)</f>
        <v>76.55</v>
      </c>
      <c r="CA86" s="3">
        <f t="shared" ref="CA86" si="101">AVERAGE(AM86:AM87)</f>
        <v>10.1</v>
      </c>
      <c r="CB86" s="3"/>
      <c r="CC86" s="10">
        <f t="shared" ref="CC86" si="102">AVERAGE(AO86:AO87)</f>
        <v>8</v>
      </c>
      <c r="CD86" s="4">
        <f t="shared" ref="CD86" si="103">AVERAGE(AP86:AP87)</f>
        <v>0.13</v>
      </c>
      <c r="CE86" s="3">
        <f t="shared" ref="CE86" si="104">AVERAGE(AQ86:AQ87)</f>
        <v>10.15</v>
      </c>
    </row>
    <row r="87" spans="1:83" x14ac:dyDescent="0.3">
      <c r="A87" s="1" t="s">
        <v>118</v>
      </c>
      <c r="B87" s="2" t="s">
        <v>119</v>
      </c>
      <c r="C87" t="s">
        <v>126</v>
      </c>
      <c r="D87" s="5" t="s">
        <v>105</v>
      </c>
      <c r="E87" s="5" t="s">
        <v>148</v>
      </c>
      <c r="F87" s="17">
        <v>44880</v>
      </c>
      <c r="G87">
        <v>4</v>
      </c>
      <c r="H87" s="3">
        <v>8.6</v>
      </c>
      <c r="I87" s="3">
        <f t="shared" si="1"/>
        <v>8.1399999999999988</v>
      </c>
      <c r="J87" s="3">
        <f>($A$54-$A$47)*$A$55</f>
        <v>0.87749999999999995</v>
      </c>
      <c r="K87" s="6">
        <f t="shared" si="2"/>
        <v>2012.9261122047237</v>
      </c>
      <c r="L87" s="4">
        <v>8.35</v>
      </c>
      <c r="M87" s="4">
        <v>205.49</v>
      </c>
      <c r="N87" s="4">
        <f t="shared" si="3"/>
        <v>197.14000000000001</v>
      </c>
      <c r="O87" s="4">
        <v>185.24</v>
      </c>
      <c r="P87" s="7">
        <f t="shared" si="4"/>
        <v>6.0363193669473496</v>
      </c>
      <c r="Q87" s="6">
        <f t="shared" si="5"/>
        <v>1891.4194634513697</v>
      </c>
      <c r="R87" s="14">
        <v>44883</v>
      </c>
      <c r="S87" s="4">
        <v>3.68</v>
      </c>
      <c r="T87" s="4">
        <v>1.46</v>
      </c>
      <c r="U87" s="4">
        <v>3.46</v>
      </c>
      <c r="V87" s="8">
        <f t="shared" si="6"/>
        <v>0.36873287207001981</v>
      </c>
      <c r="W87" s="8">
        <f t="shared" si="7"/>
        <v>0.50700769909627719</v>
      </c>
      <c r="X87" s="8">
        <f t="shared" si="8"/>
        <v>0.124259428833703</v>
      </c>
      <c r="Y87" s="6">
        <f t="shared" si="9"/>
        <v>742.23202661798678</v>
      </c>
      <c r="Z87" s="6">
        <f t="shared" si="10"/>
        <v>1020.5690365997317</v>
      </c>
      <c r="AA87" s="6">
        <f t="shared" si="11"/>
        <v>1762.8010632177184</v>
      </c>
      <c r="AB87" s="6">
        <f t="shared" si="12"/>
        <v>697.42853104755943</v>
      </c>
      <c r="AC87" s="6">
        <f t="shared" si="13"/>
        <v>958.96423019039412</v>
      </c>
      <c r="AD87" s="6">
        <f t="shared" si="14"/>
        <v>1656.3927612379534</v>
      </c>
      <c r="AE87" s="10">
        <v>991370232123</v>
      </c>
      <c r="AF87" s="14">
        <v>44980</v>
      </c>
      <c r="AG87" s="6">
        <v>54.800000000000004</v>
      </c>
      <c r="AH87" s="11">
        <v>1.0009999999999999</v>
      </c>
      <c r="AI87" s="6">
        <v>79.400000000000006</v>
      </c>
      <c r="AJ87" s="6">
        <v>26.5</v>
      </c>
      <c r="AK87" s="6">
        <v>5.6</v>
      </c>
      <c r="AL87" s="6">
        <v>76.8</v>
      </c>
      <c r="AM87" s="6">
        <v>10.199999999999999</v>
      </c>
      <c r="AN87" s="16" t="s">
        <v>81</v>
      </c>
      <c r="AO87" s="12">
        <v>7</v>
      </c>
      <c r="AP87" s="7">
        <v>0.09</v>
      </c>
      <c r="AQ87" s="6">
        <v>10.3</v>
      </c>
      <c r="AV87" s="3"/>
      <c r="AW87" s="3"/>
      <c r="AX87" s="3"/>
      <c r="AY87" s="3"/>
      <c r="AZ87" s="4"/>
      <c r="BA87" s="4"/>
      <c r="BB87" s="4"/>
      <c r="BC87" s="4"/>
      <c r="BD87" s="4"/>
      <c r="BE87" s="3"/>
      <c r="BF87" s="3"/>
      <c r="BG87" s="4"/>
      <c r="BH87" s="4"/>
      <c r="BI87" s="4"/>
      <c r="BJ87" s="9"/>
      <c r="BK87" s="9"/>
      <c r="BL87" s="9"/>
      <c r="BM87" s="3"/>
      <c r="BN87" s="3"/>
      <c r="BO87" s="3"/>
      <c r="BP87" s="3"/>
      <c r="BQ87" s="3"/>
      <c r="BR87" s="3"/>
      <c r="BT87" s="15"/>
      <c r="BU87" s="3"/>
      <c r="BV87" s="13"/>
      <c r="BW87" s="3"/>
      <c r="BX87" s="3"/>
      <c r="BY87" s="3"/>
      <c r="BZ87" s="3"/>
      <c r="CA87" s="3"/>
      <c r="CB87" s="10"/>
      <c r="CC87" s="10"/>
      <c r="CD87" s="4"/>
      <c r="CE87" s="3"/>
    </row>
    <row r="88" spans="1:83" x14ac:dyDescent="0.3">
      <c r="A88" s="1" t="s">
        <v>118</v>
      </c>
      <c r="B88" s="2" t="s">
        <v>120</v>
      </c>
      <c r="C88" t="s">
        <v>125</v>
      </c>
      <c r="D88" s="5" t="s">
        <v>106</v>
      </c>
      <c r="E88" s="5" t="s">
        <v>148</v>
      </c>
      <c r="F88" s="17">
        <v>44880</v>
      </c>
      <c r="G88">
        <v>2</v>
      </c>
      <c r="H88" s="3">
        <v>22</v>
      </c>
      <c r="I88" s="3">
        <f t="shared" si="1"/>
        <v>21.54</v>
      </c>
      <c r="J88" s="3">
        <f>($A$52-$A$47)*$A$55</f>
        <v>0.9212499999999999</v>
      </c>
      <c r="K88" s="6">
        <f t="shared" si="2"/>
        <v>5013.8992667322827</v>
      </c>
      <c r="L88" s="4">
        <v>8.6</v>
      </c>
      <c r="M88" s="4">
        <v>187.77</v>
      </c>
      <c r="N88" s="4">
        <f t="shared" si="3"/>
        <v>179.17000000000002</v>
      </c>
      <c r="O88" s="4">
        <v>169.39</v>
      </c>
      <c r="P88" s="7">
        <f t="shared" si="4"/>
        <v>5.4585030976168047</v>
      </c>
      <c r="Q88" s="6">
        <f t="shared" si="5"/>
        <v>4740.2154199463148</v>
      </c>
      <c r="R88" s="14">
        <v>44883</v>
      </c>
      <c r="S88" s="4">
        <v>9.81</v>
      </c>
      <c r="T88" s="4">
        <v>3.74</v>
      </c>
      <c r="U88" s="4">
        <v>6.5</v>
      </c>
      <c r="V88" s="8">
        <f t="shared" si="6"/>
        <v>0.37078128182105369</v>
      </c>
      <c r="W88" s="8">
        <f t="shared" si="7"/>
        <v>0.49992981818569038</v>
      </c>
      <c r="X88" s="8">
        <f t="shared" si="8"/>
        <v>0.12928889999325599</v>
      </c>
      <c r="Y88" s="6">
        <f t="shared" si="9"/>
        <v>1859.059997040637</v>
      </c>
      <c r="Z88" s="6">
        <f t="shared" si="10"/>
        <v>2506.5977488188364</v>
      </c>
      <c r="AA88" s="6">
        <f t="shared" si="11"/>
        <v>4365.6577458594729</v>
      </c>
      <c r="AB88" s="6">
        <f t="shared" si="12"/>
        <v>1757.583149515619</v>
      </c>
      <c r="AC88" s="6">
        <f t="shared" si="13"/>
        <v>2369.7750330547669</v>
      </c>
      <c r="AD88" s="6">
        <f t="shared" si="14"/>
        <v>4127.3581825703859</v>
      </c>
      <c r="AE88" s="10">
        <v>991370241108</v>
      </c>
      <c r="AF88" s="14">
        <v>44980</v>
      </c>
      <c r="AG88" s="6">
        <v>47.9</v>
      </c>
      <c r="AH88" s="11">
        <v>1.091</v>
      </c>
      <c r="AI88" s="6">
        <v>80.099999999999994</v>
      </c>
      <c r="AJ88" s="6">
        <v>28.8</v>
      </c>
      <c r="AK88" s="6">
        <v>5.5</v>
      </c>
      <c r="AL88" s="6">
        <v>77.900000000000006</v>
      </c>
      <c r="AM88" s="6">
        <v>9.6999999999999993</v>
      </c>
      <c r="AN88" s="16" t="s">
        <v>79</v>
      </c>
      <c r="AO88" s="12">
        <v>21</v>
      </c>
      <c r="AP88" s="7">
        <v>0.17</v>
      </c>
      <c r="AQ88" s="6">
        <v>9.6999999999999993</v>
      </c>
      <c r="AS88" t="s">
        <v>140</v>
      </c>
      <c r="AT88" s="4" t="str">
        <f>E88</f>
        <v>Machine</v>
      </c>
      <c r="AU88" s="15">
        <f>F88</f>
        <v>44880</v>
      </c>
      <c r="AV88" s="3">
        <f>SUM(H88:H89)</f>
        <v>40.6</v>
      </c>
      <c r="AW88" s="3">
        <f>AV88-2*$A$47</f>
        <v>39.68</v>
      </c>
      <c r="AX88" s="3">
        <f>SUM(J88:J89)</f>
        <v>1.7987499999999998</v>
      </c>
      <c r="AY88" s="3">
        <f>(AW88+AX88)*$A$48/(2*$A$49)*$A$50</f>
        <v>4629.5347367125987</v>
      </c>
      <c r="AZ88" s="4">
        <f>SUM(L88:L89)</f>
        <v>16.899999999999999</v>
      </c>
      <c r="BA88" s="4">
        <f>SUM(M88:M89)</f>
        <v>361.12</v>
      </c>
      <c r="BB88" s="4">
        <f>BA88-AZ88</f>
        <v>344.22</v>
      </c>
      <c r="BC88" s="4">
        <f>SUM(O88:O89)</f>
        <v>325.83</v>
      </c>
      <c r="BD88" s="4">
        <f>(BB88-BC88)/BB88*100</f>
        <v>5.3425135088025222</v>
      </c>
      <c r="BE88" s="3">
        <f>AY88*(1-BD88/100)</f>
        <v>4382.2012180090223</v>
      </c>
      <c r="BF88" s="15">
        <v>44883</v>
      </c>
      <c r="BG88" s="4">
        <f>SUM(S88:S89)</f>
        <v>18.03</v>
      </c>
      <c r="BH88" s="4">
        <f>SUM(T88:T89)</f>
        <v>6.94</v>
      </c>
      <c r="BI88" s="4">
        <f>SUM(U88:U89)</f>
        <v>12.24</v>
      </c>
      <c r="BJ88" s="9">
        <f>(BH88-2*$A$56)/(BG88-2*$A$47*$A$48)</f>
        <v>0.37359415271235352</v>
      </c>
      <c r="BK88" s="9">
        <f>(BI88-2*$A$57)/(BG88-2*$A$47*$A$48)</f>
        <v>0.50191068540687001</v>
      </c>
      <c r="BL88" s="9">
        <f>1-BJ88-BK88</f>
        <v>0.12449516188077647</v>
      </c>
      <c r="BM88" s="3">
        <f>AY88*BJ88</f>
        <v>1729.5671074145519</v>
      </c>
      <c r="BN88" s="3">
        <f>AY88*BK88</f>
        <v>2323.6129528183337</v>
      </c>
      <c r="BO88" s="3">
        <f>SUM(BM88:BN88)</f>
        <v>4053.1800602328858</v>
      </c>
      <c r="BP88" s="3">
        <f>BE88*BJ88</f>
        <v>1637.1647510571242</v>
      </c>
      <c r="BQ88" s="3">
        <f>BE88*BK88</f>
        <v>2199.473616921729</v>
      </c>
      <c r="BR88" s="3">
        <f>SUM(BP88:BQ88)</f>
        <v>3836.6383679788532</v>
      </c>
      <c r="BS88" s="3"/>
      <c r="BT88" s="15">
        <f>AF89</f>
        <v>44980</v>
      </c>
      <c r="BU88" s="3">
        <f>AVERAGE(AG88:AG89)</f>
        <v>49.1</v>
      </c>
      <c r="BV88" s="13">
        <f t="shared" ref="BV88" si="105">AVERAGE(AH88:AH89)</f>
        <v>1.0720000000000001</v>
      </c>
      <c r="BW88" s="3">
        <f t="shared" ref="BW88" si="106">AVERAGE(AI88:AI89)</f>
        <v>79.55</v>
      </c>
      <c r="BX88" s="3">
        <f t="shared" ref="BX88" si="107">AVERAGE(AJ88:AJ89)</f>
        <v>28.6</v>
      </c>
      <c r="BY88" s="3">
        <f t="shared" ref="BY88" si="108">AVERAGE(AK88:AK89)</f>
        <v>5.55</v>
      </c>
      <c r="BZ88" s="3">
        <f t="shared" ref="BZ88" si="109">AVERAGE(AL88:AL89)</f>
        <v>78.099999999999994</v>
      </c>
      <c r="CA88" s="3">
        <f t="shared" ref="CA88" si="110">AVERAGE(AM88:AM89)</f>
        <v>9.6</v>
      </c>
      <c r="CB88" s="3"/>
      <c r="CC88" s="10">
        <f t="shared" ref="CC88" si="111">AVERAGE(AO88:AO89)</f>
        <v>13</v>
      </c>
      <c r="CD88" s="4">
        <f t="shared" ref="CD88" si="112">AVERAGE(AP88:AP89)</f>
        <v>0.11000000000000001</v>
      </c>
      <c r="CE88" s="3">
        <f t="shared" ref="CE88" si="113">AVERAGE(AQ88:AQ89)</f>
        <v>10</v>
      </c>
    </row>
    <row r="89" spans="1:83" x14ac:dyDescent="0.3">
      <c r="A89" s="1" t="s">
        <v>118</v>
      </c>
      <c r="B89" s="2" t="s">
        <v>120</v>
      </c>
      <c r="C89" t="s">
        <v>126</v>
      </c>
      <c r="D89" s="5" t="s">
        <v>107</v>
      </c>
      <c r="E89" s="5" t="s">
        <v>148</v>
      </c>
      <c r="F89" s="17">
        <v>44880</v>
      </c>
      <c r="G89">
        <v>4</v>
      </c>
      <c r="H89" s="3">
        <v>18.600000000000001</v>
      </c>
      <c r="I89" s="3">
        <f t="shared" si="1"/>
        <v>18.14</v>
      </c>
      <c r="J89" s="3">
        <f>($A$54-$A$47)*$A$55</f>
        <v>0.87749999999999995</v>
      </c>
      <c r="K89" s="6">
        <f t="shared" si="2"/>
        <v>4245.1702066929138</v>
      </c>
      <c r="L89" s="4">
        <v>8.3000000000000007</v>
      </c>
      <c r="M89" s="4">
        <v>173.35</v>
      </c>
      <c r="N89" s="4">
        <f t="shared" si="3"/>
        <v>165.04999999999998</v>
      </c>
      <c r="O89" s="4">
        <v>156.44</v>
      </c>
      <c r="P89" s="7">
        <f t="shared" si="4"/>
        <v>5.2166010299909038</v>
      </c>
      <c r="Q89" s="6">
        <f t="shared" si="5"/>
        <v>4023.7166139657043</v>
      </c>
      <c r="R89" s="14">
        <v>44883</v>
      </c>
      <c r="S89" s="4">
        <v>8.2200000000000006</v>
      </c>
      <c r="T89" s="4">
        <v>3.2</v>
      </c>
      <c r="U89" s="4">
        <v>5.74</v>
      </c>
      <c r="V89" s="8">
        <f t="shared" si="6"/>
        <v>0.37696528981500899</v>
      </c>
      <c r="W89" s="8">
        <f t="shared" si="7"/>
        <v>0.50428469233531004</v>
      </c>
      <c r="X89" s="8">
        <f t="shared" si="8"/>
        <v>0.11875001784968098</v>
      </c>
      <c r="Y89" s="6">
        <f t="shared" si="9"/>
        <v>1600.2818172800357</v>
      </c>
      <c r="Z89" s="6">
        <f t="shared" si="10"/>
        <v>2140.7743515931606</v>
      </c>
      <c r="AA89" s="6">
        <f t="shared" si="11"/>
        <v>3741.0561688731964</v>
      </c>
      <c r="AB89" s="6">
        <f t="shared" si="12"/>
        <v>1516.8014995170483</v>
      </c>
      <c r="AC89" s="6">
        <f t="shared" si="13"/>
        <v>2029.0986947181707</v>
      </c>
      <c r="AD89" s="6">
        <f t="shared" si="14"/>
        <v>3545.9001942352188</v>
      </c>
      <c r="AE89" s="10">
        <v>991370242124</v>
      </c>
      <c r="AF89" s="14">
        <v>44980</v>
      </c>
      <c r="AG89" s="6">
        <v>50.300000000000004</v>
      </c>
      <c r="AH89" s="11">
        <v>1.0529999999999999</v>
      </c>
      <c r="AI89" s="6">
        <v>79</v>
      </c>
      <c r="AJ89" s="6">
        <v>28.4</v>
      </c>
      <c r="AK89" s="6">
        <v>5.6</v>
      </c>
      <c r="AL89" s="6">
        <v>78.3</v>
      </c>
      <c r="AM89" s="6">
        <v>9.5</v>
      </c>
      <c r="AN89" s="16" t="s">
        <v>79</v>
      </c>
      <c r="AO89" s="12">
        <v>5</v>
      </c>
      <c r="AP89" s="7">
        <v>0.05</v>
      </c>
      <c r="AQ89" s="6">
        <v>10.3</v>
      </c>
      <c r="AV89" s="3"/>
      <c r="AW89" s="3"/>
      <c r="AX89" s="3"/>
      <c r="AY89" s="3"/>
      <c r="AZ89" s="4"/>
      <c r="BA89" s="4"/>
      <c r="BB89" s="4"/>
      <c r="BC89" s="4"/>
      <c r="BD89" s="4"/>
      <c r="BE89" s="3"/>
      <c r="BF89" s="3"/>
      <c r="BG89" s="4"/>
      <c r="BH89" s="4"/>
      <c r="BI89" s="4"/>
      <c r="BJ89" s="9"/>
      <c r="BK89" s="9"/>
      <c r="BL89" s="9"/>
      <c r="BM89" s="3"/>
      <c r="BN89" s="3"/>
      <c r="BO89" s="3"/>
      <c r="BP89" s="3"/>
      <c r="BQ89" s="3"/>
      <c r="BR89" s="3"/>
      <c r="BT89" s="15"/>
      <c r="BU89" s="3"/>
      <c r="BV89" s="13"/>
      <c r="BW89" s="3"/>
      <c r="BX89" s="3"/>
      <c r="BY89" s="3"/>
      <c r="BZ89" s="3"/>
      <c r="CA89" s="3"/>
      <c r="CB89" s="10"/>
      <c r="CC89" s="10"/>
      <c r="CD89" s="4"/>
      <c r="CE89" s="3"/>
    </row>
    <row r="90" spans="1:83" x14ac:dyDescent="0.3">
      <c r="A90" s="2" t="s">
        <v>118</v>
      </c>
      <c r="B90" s="2" t="s">
        <v>121</v>
      </c>
      <c r="C90" t="s">
        <v>125</v>
      </c>
      <c r="D90" s="5" t="s">
        <v>108</v>
      </c>
      <c r="E90" s="5" t="s">
        <v>148</v>
      </c>
      <c r="F90" s="17">
        <v>44880</v>
      </c>
      <c r="G90">
        <v>2</v>
      </c>
      <c r="H90" s="3">
        <v>11.7</v>
      </c>
      <c r="I90" s="3">
        <f t="shared" si="1"/>
        <v>11.239999999999998</v>
      </c>
      <c r="J90" s="3">
        <f>($A$52-$A$47)*$A$55</f>
        <v>0.9212499999999999</v>
      </c>
      <c r="K90" s="6">
        <f t="shared" si="2"/>
        <v>2714.6878494094485</v>
      </c>
      <c r="L90" s="4">
        <v>8.67</v>
      </c>
      <c r="M90" s="4">
        <v>163.58000000000001</v>
      </c>
      <c r="N90" s="4">
        <f t="shared" si="3"/>
        <v>154.91000000000003</v>
      </c>
      <c r="O90" s="4">
        <v>145.88999999999999</v>
      </c>
      <c r="P90" s="7">
        <f t="shared" si="4"/>
        <v>5.8227357820670314</v>
      </c>
      <c r="Q90" s="6">
        <f t="shared" si="5"/>
        <v>2556.6187486304584</v>
      </c>
      <c r="R90" s="14">
        <v>44883</v>
      </c>
      <c r="S90" s="4">
        <v>5.18</v>
      </c>
      <c r="T90" s="4">
        <v>2.02</v>
      </c>
      <c r="U90" s="4">
        <v>4.12</v>
      </c>
      <c r="V90" s="8">
        <f t="shared" si="6"/>
        <v>0.370120964864803</v>
      </c>
      <c r="W90" s="8">
        <f t="shared" si="7"/>
        <v>0.4867895298765344</v>
      </c>
      <c r="X90" s="8">
        <f t="shared" si="8"/>
        <v>0.14308950525866265</v>
      </c>
      <c r="Y90" s="6">
        <f t="shared" si="9"/>
        <v>1004.7628861301821</v>
      </c>
      <c r="Z90" s="6">
        <f t="shared" si="10"/>
        <v>1321.4816219755658</v>
      </c>
      <c r="AA90" s="6">
        <f t="shared" si="11"/>
        <v>2326.2445081057476</v>
      </c>
      <c r="AB90" s="6">
        <f t="shared" si="12"/>
        <v>946.25819803455056</v>
      </c>
      <c r="AC90" s="6">
        <f t="shared" si="13"/>
        <v>1244.5352387193545</v>
      </c>
      <c r="AD90" s="6">
        <f t="shared" si="14"/>
        <v>2190.7934367539051</v>
      </c>
      <c r="AE90" s="10">
        <v>991370251109</v>
      </c>
      <c r="AF90" s="14">
        <v>44980</v>
      </c>
      <c r="AG90" s="6">
        <v>53</v>
      </c>
      <c r="AH90" s="11">
        <v>1.0569999999999999</v>
      </c>
      <c r="AI90" s="6">
        <v>80.7</v>
      </c>
      <c r="AJ90" s="6">
        <v>28.6</v>
      </c>
      <c r="AK90" s="6">
        <v>5.0999999999999996</v>
      </c>
      <c r="AL90" s="6">
        <v>77</v>
      </c>
      <c r="AM90" s="6">
        <v>9.8000000000000007</v>
      </c>
      <c r="AN90" s="16" t="s">
        <v>81</v>
      </c>
      <c r="AO90" s="12">
        <v>5</v>
      </c>
      <c r="AP90" s="7">
        <v>0.06</v>
      </c>
      <c r="AQ90" s="6">
        <v>8.8000000000000007</v>
      </c>
      <c r="AS90" s="4" t="s">
        <v>141</v>
      </c>
      <c r="AT90" s="4" t="str">
        <f>E90</f>
        <v>Machine</v>
      </c>
      <c r="AU90" s="15">
        <f>F90</f>
        <v>44880</v>
      </c>
      <c r="AV90" s="3">
        <f>SUM(H90:H91)</f>
        <v>21.5</v>
      </c>
      <c r="AW90" s="3">
        <f>AV90-2*$A$47</f>
        <v>20.58</v>
      </c>
      <c r="AX90" s="3">
        <f>SUM(J90:J91)</f>
        <v>1.7987499999999998</v>
      </c>
      <c r="AY90" s="3">
        <f>(AW90+AX90)*$A$48/(2*$A$49)*$A$50</f>
        <v>2497.7416264763779</v>
      </c>
      <c r="AZ90" s="4">
        <f>SUM(L90:L91)</f>
        <v>17.060000000000002</v>
      </c>
      <c r="BA90" s="4">
        <f>SUM(M90:M91)</f>
        <v>311.5</v>
      </c>
      <c r="BB90" s="4">
        <f>BA90-AZ90</f>
        <v>294.44</v>
      </c>
      <c r="BC90" s="4">
        <f>SUM(O90:O91)</f>
        <v>277.47000000000003</v>
      </c>
      <c r="BD90" s="4">
        <f>(BB90-BC90)/BB90*100</f>
        <v>5.7634832223882526</v>
      </c>
      <c r="BE90" s="3">
        <f>AY90*(1-BD90/100)</f>
        <v>2353.7847068958044</v>
      </c>
      <c r="BF90" s="15">
        <v>44883</v>
      </c>
      <c r="BG90" s="4">
        <f>SUM(S90:S91)</f>
        <v>9.43</v>
      </c>
      <c r="BH90" s="4">
        <f>SUM(T90:T91)</f>
        <v>3.7</v>
      </c>
      <c r="BI90" s="4">
        <f>SUM(U90:U91)</f>
        <v>7.86</v>
      </c>
      <c r="BJ90" s="9">
        <f>(BH90-2*$A$56)/(BG90-2*$A$47*$A$48)</f>
        <v>0.3705883608164029</v>
      </c>
      <c r="BK90" s="9">
        <f>(BI90-2*$A$57)/(BG90-2*$A$47*$A$48)</f>
        <v>0.4948575117488494</v>
      </c>
      <c r="BL90" s="9">
        <f>1-BJ90-BK90</f>
        <v>0.13455412743474771</v>
      </c>
      <c r="BM90" s="3">
        <f>AY90*BJ90</f>
        <v>925.633975098777</v>
      </c>
      <c r="BN90" s="3">
        <f>AY90*BK90</f>
        <v>1236.0262062696243</v>
      </c>
      <c r="BO90" s="3">
        <f>SUM(BM90:BN90)</f>
        <v>2161.660181368401</v>
      </c>
      <c r="BP90" s="3">
        <f>BE90*BJ90</f>
        <v>872.28521624323355</v>
      </c>
      <c r="BQ90" s="3">
        <f>BE90*BK90</f>
        <v>1164.7880432469526</v>
      </c>
      <c r="BR90" s="3">
        <f>SUM(BP90:BQ90)</f>
        <v>2037.073259490186</v>
      </c>
      <c r="BS90" s="3"/>
      <c r="BT90" s="15">
        <f>AF91</f>
        <v>44980</v>
      </c>
      <c r="BU90" s="3">
        <f>AVERAGE(AG90:AG91)</f>
        <v>53.45</v>
      </c>
      <c r="BV90" s="13">
        <f t="shared" ref="BV90" si="114">AVERAGE(AH90:AH91)</f>
        <v>1.0305</v>
      </c>
      <c r="BW90" s="3">
        <f t="shared" ref="BW90" si="115">AVERAGE(AI90:AI91)</f>
        <v>80</v>
      </c>
      <c r="BX90" s="3">
        <f t="shared" ref="BX90" si="116">AVERAGE(AJ90:AJ91)</f>
        <v>28.3</v>
      </c>
      <c r="BY90" s="3">
        <f t="shared" ref="BY90" si="117">AVERAGE(AK90:AK91)</f>
        <v>5.25</v>
      </c>
      <c r="BZ90" s="3">
        <f t="shared" ref="BZ90" si="118">AVERAGE(AL90:AL91)</f>
        <v>76.8</v>
      </c>
      <c r="CA90" s="3">
        <f t="shared" ref="CA90" si="119">AVERAGE(AM90:AM91)</f>
        <v>9.9499999999999993</v>
      </c>
      <c r="CB90" s="3"/>
      <c r="CC90" s="10">
        <f t="shared" ref="CC90" si="120">AVERAGE(AO90:AO91)</f>
        <v>9</v>
      </c>
      <c r="CD90" s="4">
        <f t="shared" ref="CD90" si="121">AVERAGE(AP90:AP91)</f>
        <v>0.105</v>
      </c>
      <c r="CE90" s="3">
        <f t="shared" ref="CE90" si="122">AVERAGE(AQ90:AQ91)</f>
        <v>9.65</v>
      </c>
    </row>
    <row r="91" spans="1:83" x14ac:dyDescent="0.3">
      <c r="A91" s="2" t="s">
        <v>118</v>
      </c>
      <c r="B91" s="2" t="s">
        <v>121</v>
      </c>
      <c r="C91" t="s">
        <v>126</v>
      </c>
      <c r="D91" s="5" t="s">
        <v>109</v>
      </c>
      <c r="E91" s="5" t="s">
        <v>148</v>
      </c>
      <c r="F91" s="17">
        <v>44880</v>
      </c>
      <c r="G91">
        <v>4</v>
      </c>
      <c r="H91" s="3">
        <v>9.8000000000000007</v>
      </c>
      <c r="I91" s="3">
        <f>H91-$A$47</f>
        <v>9.34</v>
      </c>
      <c r="J91" s="3">
        <f>($A$54-$A$47)*$A$55</f>
        <v>0.87749999999999995</v>
      </c>
      <c r="K91" s="6">
        <f t="shared" si="2"/>
        <v>2280.7954035433067</v>
      </c>
      <c r="L91" s="4">
        <v>8.39</v>
      </c>
      <c r="M91" s="4">
        <v>147.91999999999999</v>
      </c>
      <c r="N91" s="4">
        <f t="shared" si="3"/>
        <v>139.52999999999997</v>
      </c>
      <c r="O91" s="4">
        <v>131.58000000000001</v>
      </c>
      <c r="P91" s="7">
        <f t="shared" si="4"/>
        <v>5.6976994194796546</v>
      </c>
      <c r="Q91" s="6">
        <f t="shared" si="5"/>
        <v>2150.8425370761011</v>
      </c>
      <c r="R91" s="14">
        <v>44883</v>
      </c>
      <c r="S91" s="4">
        <v>4.25</v>
      </c>
      <c r="T91" s="4">
        <v>1.68</v>
      </c>
      <c r="U91" s="4">
        <v>3.74</v>
      </c>
      <c r="V91" s="8">
        <f t="shared" si="6"/>
        <v>0.37116331451096529</v>
      </c>
      <c r="W91" s="8">
        <f t="shared" si="7"/>
        <v>0.50478210773491283</v>
      </c>
      <c r="X91" s="8">
        <f t="shared" si="8"/>
        <v>0.12405457775412188</v>
      </c>
      <c r="Y91" s="6">
        <f t="shared" si="9"/>
        <v>846.54758170050832</v>
      </c>
      <c r="Z91" s="6">
        <f t="shared" si="10"/>
        <v>1151.3047111126914</v>
      </c>
      <c r="AA91" s="6">
        <f t="shared" si="11"/>
        <v>1997.8522928131997</v>
      </c>
      <c r="AB91" s="6">
        <f t="shared" si="12"/>
        <v>798.31384505233939</v>
      </c>
      <c r="AC91" s="6">
        <f t="shared" si="13"/>
        <v>1085.7068292711817</v>
      </c>
      <c r="AD91" s="6">
        <f t="shared" si="14"/>
        <v>1884.0206743235212</v>
      </c>
      <c r="AE91" s="10">
        <v>991370252125</v>
      </c>
      <c r="AF91" s="14">
        <v>44980</v>
      </c>
      <c r="AG91" s="6">
        <v>53.9</v>
      </c>
      <c r="AH91" s="11">
        <v>1.004</v>
      </c>
      <c r="AI91" s="6">
        <v>79.3</v>
      </c>
      <c r="AJ91" s="6">
        <v>28</v>
      </c>
      <c r="AK91" s="6">
        <v>5.4</v>
      </c>
      <c r="AL91" s="6">
        <v>76.599999999999994</v>
      </c>
      <c r="AM91" s="6">
        <v>10.1</v>
      </c>
      <c r="AN91" s="16" t="s">
        <v>81</v>
      </c>
      <c r="AO91" s="12">
        <v>13</v>
      </c>
      <c r="AP91" s="7">
        <v>0.15</v>
      </c>
      <c r="AQ91" s="6">
        <v>10.5</v>
      </c>
      <c r="AV91" s="3"/>
      <c r="AW91" s="3"/>
      <c r="AX91" s="3"/>
      <c r="AY91" s="3"/>
      <c r="AZ91" s="4"/>
      <c r="BA91" s="4"/>
      <c r="BB91" s="4"/>
      <c r="BC91" s="4"/>
      <c r="BD91" s="4"/>
      <c r="BE91" s="3"/>
      <c r="BF91" s="3"/>
      <c r="BG91" s="4"/>
      <c r="BH91" s="4"/>
      <c r="BI91" s="4"/>
      <c r="BJ91" s="9"/>
      <c r="BK91" s="9"/>
      <c r="BL91" s="9"/>
      <c r="BM91" s="3"/>
      <c r="BN91" s="3"/>
      <c r="BO91" s="3"/>
      <c r="BP91" s="3"/>
      <c r="BQ91" s="3"/>
      <c r="BR91" s="3"/>
      <c r="BT91" s="15"/>
      <c r="BU91" s="3"/>
      <c r="BV91" s="13"/>
      <c r="BW91" s="3"/>
      <c r="BX91" s="3"/>
      <c r="BY91" s="3"/>
      <c r="BZ91" s="3"/>
      <c r="CA91" s="3"/>
      <c r="CB91" s="10"/>
      <c r="CC91" s="10"/>
      <c r="CD91" s="4"/>
      <c r="CE91" s="3"/>
    </row>
    <row r="92" spans="1:83" x14ac:dyDescent="0.3">
      <c r="A92" s="2" t="s">
        <v>118</v>
      </c>
      <c r="B92" s="2" t="s">
        <v>122</v>
      </c>
      <c r="C92" t="s">
        <v>125</v>
      </c>
      <c r="D92" s="5" t="s">
        <v>110</v>
      </c>
      <c r="E92" s="5" t="s">
        <v>148</v>
      </c>
      <c r="F92" s="17">
        <v>44880</v>
      </c>
      <c r="G92">
        <v>2</v>
      </c>
      <c r="H92" s="3">
        <v>20</v>
      </c>
      <c r="I92" s="3">
        <f t="shared" si="1"/>
        <v>19.54</v>
      </c>
      <c r="J92" s="3">
        <f>($A$52-$A$47)*$A$55</f>
        <v>0.9212499999999999</v>
      </c>
      <c r="K92" s="6">
        <f t="shared" si="2"/>
        <v>4567.4504478346453</v>
      </c>
      <c r="L92" s="4">
        <v>8.61</v>
      </c>
      <c r="M92" s="4">
        <v>173.17</v>
      </c>
      <c r="N92" s="4">
        <f t="shared" si="3"/>
        <v>164.56</v>
      </c>
      <c r="O92" s="4">
        <v>155.79</v>
      </c>
      <c r="P92" s="7">
        <f t="shared" si="4"/>
        <v>5.3293631502187715</v>
      </c>
      <c r="Q92" s="6">
        <f t="shared" si="5"/>
        <v>4324.0344267632436</v>
      </c>
      <c r="R92" s="14">
        <v>44883</v>
      </c>
      <c r="S92" s="4">
        <v>8.92</v>
      </c>
      <c r="T92" s="4">
        <v>3.48</v>
      </c>
      <c r="U92" s="4">
        <v>6.2</v>
      </c>
      <c r="V92" s="8">
        <f t="shared" si="6"/>
        <v>0.37881624304541589</v>
      </c>
      <c r="W92" s="8">
        <f t="shared" si="7"/>
        <v>0.51656760415283987</v>
      </c>
      <c r="X92" s="8">
        <f t="shared" si="8"/>
        <v>0.1046161528017443</v>
      </c>
      <c r="Y92" s="6">
        <f t="shared" si="9"/>
        <v>1730.2244189448227</v>
      </c>
      <c r="Z92" s="6">
        <f t="shared" si="10"/>
        <v>2359.3969349247582</v>
      </c>
      <c r="AA92" s="6">
        <f t="shared" si="11"/>
        <v>4089.6213538695811</v>
      </c>
      <c r="AB92" s="6">
        <f t="shared" si="12"/>
        <v>1638.0144763454905</v>
      </c>
      <c r="AC92" s="6">
        <f t="shared" si="13"/>
        <v>2233.656104107487</v>
      </c>
      <c r="AD92" s="6">
        <f t="shared" si="14"/>
        <v>3871.6705804529774</v>
      </c>
      <c r="AE92" s="10">
        <v>991370261110</v>
      </c>
      <c r="AF92" s="14">
        <v>44980</v>
      </c>
      <c r="AG92" s="6">
        <v>47.599999999999994</v>
      </c>
      <c r="AH92" s="11">
        <v>1.117</v>
      </c>
      <c r="AI92" s="6">
        <v>80.8</v>
      </c>
      <c r="AJ92" s="6">
        <v>29.5</v>
      </c>
      <c r="AK92" s="6">
        <v>5.4</v>
      </c>
      <c r="AL92" s="6">
        <v>78.400000000000006</v>
      </c>
      <c r="AM92" s="6">
        <v>9.1</v>
      </c>
      <c r="AN92" s="16" t="s">
        <v>65</v>
      </c>
      <c r="AO92" s="12">
        <v>12</v>
      </c>
      <c r="AP92" s="7">
        <v>0.13</v>
      </c>
      <c r="AQ92" s="6">
        <v>9.1999999999999993</v>
      </c>
      <c r="AS92" t="s">
        <v>142</v>
      </c>
      <c r="AT92" s="4" t="str">
        <f>E92</f>
        <v>Machine</v>
      </c>
      <c r="AU92" s="15">
        <f>F92</f>
        <v>44880</v>
      </c>
      <c r="AV92" s="3">
        <f>SUM(H92:H93)</f>
        <v>40.200000000000003</v>
      </c>
      <c r="AW92" s="3">
        <f>AV92-2*$A$47</f>
        <v>39.28</v>
      </c>
      <c r="AX92" s="3">
        <f>SUM(J92:J93)</f>
        <v>1.7987499999999998</v>
      </c>
      <c r="AY92" s="3">
        <f>(AW92+AX92)*$A$48/(2*$A$49)*$A$50</f>
        <v>4584.8898548228344</v>
      </c>
      <c r="AZ92" s="4">
        <f>SUM(L92:L93)</f>
        <v>16.869999999999997</v>
      </c>
      <c r="BA92" s="4">
        <f>SUM(M92:M93)</f>
        <v>319.41999999999996</v>
      </c>
      <c r="BB92" s="4">
        <f>BA92-AZ92</f>
        <v>302.54999999999995</v>
      </c>
      <c r="BC92" s="4">
        <f>SUM(O92:O93)</f>
        <v>286.74</v>
      </c>
      <c r="BD92" s="4">
        <f>(BB92-BC92)/BB92*100</f>
        <v>5.2255825483390996</v>
      </c>
      <c r="BE92" s="3">
        <f>AY92*(1-BD92/100)</f>
        <v>4345.3026507086424</v>
      </c>
      <c r="BF92" s="15">
        <v>44883</v>
      </c>
      <c r="BG92" s="4">
        <f>SUM(S92:S93)</f>
        <v>17.93</v>
      </c>
      <c r="BH92" s="4">
        <f>SUM(T92:T93)</f>
        <v>6.9</v>
      </c>
      <c r="BI92" s="4">
        <f>SUM(U92:U93)</f>
        <v>12.32</v>
      </c>
      <c r="BJ92" s="9">
        <f>(BH92-2*$A$56)/(BG92-2*$A$47*$A$48)</f>
        <v>0.37344337154049601</v>
      </c>
      <c r="BK92" s="9">
        <f>(BI92-2*$A$57)/(BG92-2*$A$47*$A$48)</f>
        <v>0.50934478197878053</v>
      </c>
      <c r="BL92" s="9">
        <f>1-BJ92-BK92</f>
        <v>0.11721184648072347</v>
      </c>
      <c r="BM92" s="3">
        <f>AY92*BJ92</f>
        <v>1712.1967255268546</v>
      </c>
      <c r="BN92" s="3">
        <f>AY92*BK92</f>
        <v>2335.2897235014593</v>
      </c>
      <c r="BO92" s="3">
        <f>SUM(BM92:BN92)</f>
        <v>4047.4864490283139</v>
      </c>
      <c r="BP92" s="3">
        <f>BE92*BJ92</f>
        <v>1622.7244722444898</v>
      </c>
      <c r="BQ92" s="3">
        <f>BE92*BK92</f>
        <v>2213.2572312570105</v>
      </c>
      <c r="BR92" s="3">
        <f>SUM(BP92:BQ92)</f>
        <v>3835.9817035015003</v>
      </c>
      <c r="BS92" s="3"/>
      <c r="BT92" s="15">
        <f>AF93</f>
        <v>44980</v>
      </c>
      <c r="BU92" s="3">
        <f>AVERAGE(AG92:AG93)</f>
        <v>48.099999999999994</v>
      </c>
      <c r="BV92" s="13">
        <f t="shared" ref="BV92" si="123">AVERAGE(AH92:AH93)</f>
        <v>1.1145</v>
      </c>
      <c r="BW92" s="3">
        <f t="shared" ref="BW92" si="124">AVERAGE(AI92:AI93)</f>
        <v>80.05</v>
      </c>
      <c r="BX92" s="3">
        <f t="shared" ref="BX92" si="125">AVERAGE(AJ92:AJ93)</f>
        <v>29.2</v>
      </c>
      <c r="BY92" s="3">
        <f t="shared" ref="BY92" si="126">AVERAGE(AK92:AK93)</f>
        <v>5.4</v>
      </c>
      <c r="BZ92" s="3">
        <f t="shared" ref="BZ92" si="127">AVERAGE(AL92:AL93)</f>
        <v>78.650000000000006</v>
      </c>
      <c r="CA92" s="3">
        <f t="shared" ref="CA92" si="128">AVERAGE(AM92:AM93)</f>
        <v>9.35</v>
      </c>
      <c r="CB92" s="3"/>
      <c r="CC92" s="10">
        <f t="shared" ref="CC92" si="129">AVERAGE(AO92:AO93)</f>
        <v>9</v>
      </c>
      <c r="CD92" s="4">
        <f t="shared" ref="CD92" si="130">AVERAGE(AP92:AP93)</f>
        <v>0.1</v>
      </c>
      <c r="CE92" s="3">
        <f t="shared" ref="CE92" si="131">AVERAGE(AQ92:AQ93)</f>
        <v>9.3000000000000007</v>
      </c>
    </row>
    <row r="93" spans="1:83" x14ac:dyDescent="0.3">
      <c r="A93" s="2" t="s">
        <v>118</v>
      </c>
      <c r="B93" s="2" t="s">
        <v>122</v>
      </c>
      <c r="C93" t="s">
        <v>126</v>
      </c>
      <c r="D93" s="5" t="s">
        <v>111</v>
      </c>
      <c r="E93" s="5" t="s">
        <v>148</v>
      </c>
      <c r="F93" s="17">
        <v>44880</v>
      </c>
      <c r="G93">
        <v>4</v>
      </c>
      <c r="H93" s="3">
        <v>20.2</v>
      </c>
      <c r="I93" s="3">
        <f t="shared" si="1"/>
        <v>19.739999999999998</v>
      </c>
      <c r="J93" s="3">
        <f>($A$54-$A$47)*$A$55</f>
        <v>0.87749999999999995</v>
      </c>
      <c r="K93" s="6">
        <f t="shared" si="2"/>
        <v>4602.3292618110236</v>
      </c>
      <c r="L93" s="4">
        <v>8.26</v>
      </c>
      <c r="M93" s="4">
        <v>146.25</v>
      </c>
      <c r="N93" s="4">
        <f t="shared" si="3"/>
        <v>137.99</v>
      </c>
      <c r="O93" s="4">
        <v>130.94999999999999</v>
      </c>
      <c r="P93" s="7">
        <f t="shared" si="4"/>
        <v>5.1018189723893181</v>
      </c>
      <c r="Q93" s="6">
        <f t="shared" si="5"/>
        <v>4367.526754360124</v>
      </c>
      <c r="R93" s="14">
        <v>44883</v>
      </c>
      <c r="S93" s="4">
        <v>9.01</v>
      </c>
      <c r="T93" s="4">
        <v>3.42</v>
      </c>
      <c r="U93" s="4">
        <v>6.12</v>
      </c>
      <c r="V93" s="8">
        <f t="shared" si="6"/>
        <v>0.36812544144375853</v>
      </c>
      <c r="W93" s="8">
        <f t="shared" si="7"/>
        <v>0.50219581826586812</v>
      </c>
      <c r="X93" s="8">
        <f t="shared" si="8"/>
        <v>0.12967874029037341</v>
      </c>
      <c r="Y93" s="6">
        <f t="shared" si="9"/>
        <v>1694.2344911737105</v>
      </c>
      <c r="Z93" s="6">
        <f t="shared" si="10"/>
        <v>2311.2705095641359</v>
      </c>
      <c r="AA93" s="6">
        <f t="shared" si="11"/>
        <v>4005.5050007378463</v>
      </c>
      <c r="AB93" s="6">
        <f t="shared" si="12"/>
        <v>1607.7977144662466</v>
      </c>
      <c r="AC93" s="6">
        <f t="shared" si="13"/>
        <v>2193.3536722039535</v>
      </c>
      <c r="AD93" s="6">
        <f t="shared" si="14"/>
        <v>3801.1513866701998</v>
      </c>
      <c r="AE93" s="10">
        <v>991370262126</v>
      </c>
      <c r="AF93" s="14">
        <v>44980</v>
      </c>
      <c r="AG93" s="6">
        <v>48.6</v>
      </c>
      <c r="AH93" s="11">
        <v>1.1120000000000001</v>
      </c>
      <c r="AI93" s="6">
        <v>79.3</v>
      </c>
      <c r="AJ93" s="6">
        <v>28.9</v>
      </c>
      <c r="AK93" s="6">
        <v>5.4</v>
      </c>
      <c r="AL93" s="6">
        <v>78.900000000000006</v>
      </c>
      <c r="AM93" s="6">
        <v>9.6</v>
      </c>
      <c r="AN93" s="16" t="s">
        <v>79</v>
      </c>
      <c r="AO93" s="12">
        <v>6</v>
      </c>
      <c r="AP93" s="7">
        <v>7.0000000000000007E-2</v>
      </c>
      <c r="AQ93" s="6">
        <v>9.4</v>
      </c>
      <c r="AV93" s="3"/>
      <c r="AW93" s="3"/>
      <c r="AX93" s="3"/>
      <c r="AY93" s="3"/>
      <c r="AZ93" s="4"/>
      <c r="BA93" s="4"/>
      <c r="BB93" s="4"/>
      <c r="BC93" s="4"/>
      <c r="BD93" s="4"/>
      <c r="BE93" s="3"/>
      <c r="BF93" s="3"/>
      <c r="BG93" s="4"/>
      <c r="BH93" s="4"/>
      <c r="BI93" s="4"/>
      <c r="BJ93" s="9"/>
      <c r="BK93" s="9"/>
      <c r="BL93" s="9"/>
      <c r="BM93" s="3"/>
      <c r="BN93" s="3"/>
      <c r="BO93" s="3"/>
      <c r="BP93" s="3"/>
      <c r="BQ93" s="3"/>
      <c r="BR93" s="3"/>
      <c r="BT93" s="15"/>
      <c r="BU93" s="3"/>
      <c r="BV93" s="13"/>
      <c r="BW93" s="3"/>
      <c r="BX93" s="3"/>
      <c r="BY93" s="3"/>
      <c r="BZ93" s="3"/>
      <c r="CA93" s="3"/>
      <c r="CB93" s="10"/>
      <c r="CC93" s="10"/>
      <c r="CD93" s="4"/>
      <c r="CE93" s="3"/>
    </row>
    <row r="94" spans="1:83" x14ac:dyDescent="0.3">
      <c r="A94" s="2" t="s">
        <v>118</v>
      </c>
      <c r="B94" s="2" t="s">
        <v>123</v>
      </c>
      <c r="C94" t="s">
        <v>125</v>
      </c>
      <c r="D94" s="5" t="s">
        <v>112</v>
      </c>
      <c r="E94" s="5" t="s">
        <v>148</v>
      </c>
      <c r="F94" s="17">
        <v>44880</v>
      </c>
      <c r="G94">
        <v>2</v>
      </c>
      <c r="H94" s="3">
        <v>21.2</v>
      </c>
      <c r="I94" s="3">
        <f t="shared" si="1"/>
        <v>20.74</v>
      </c>
      <c r="J94" s="3">
        <f>($A$52-$A$47)*$A$55</f>
        <v>0.9212499999999999</v>
      </c>
      <c r="K94" s="6">
        <f t="shared" si="2"/>
        <v>4835.3197391732274</v>
      </c>
      <c r="L94" s="4">
        <v>8.65</v>
      </c>
      <c r="M94" s="4">
        <v>177.32</v>
      </c>
      <c r="N94" s="4">
        <f t="shared" si="3"/>
        <v>168.67</v>
      </c>
      <c r="O94" s="4">
        <v>159.26</v>
      </c>
      <c r="P94" s="7">
        <f t="shared" si="4"/>
        <v>5.5789411276456971</v>
      </c>
      <c r="Q94" s="6">
        <f t="shared" si="5"/>
        <v>4565.5600975913212</v>
      </c>
      <c r="R94" s="14">
        <v>44883</v>
      </c>
      <c r="S94" s="4">
        <v>9.43</v>
      </c>
      <c r="T94" s="4">
        <v>3.54</v>
      </c>
      <c r="U94" s="4">
        <v>6.12</v>
      </c>
      <c r="V94" s="8">
        <f t="shared" si="6"/>
        <v>0.3643719027412271</v>
      </c>
      <c r="W94" s="8">
        <f t="shared" si="7"/>
        <v>0.47932256253459044</v>
      </c>
      <c r="X94" s="8">
        <f t="shared" si="8"/>
        <v>0.15630553472418246</v>
      </c>
      <c r="Y94" s="6">
        <f t="shared" si="9"/>
        <v>1761.8546537247628</v>
      </c>
      <c r="Z94" s="6">
        <f t="shared" si="10"/>
        <v>2317.6778480545986</v>
      </c>
      <c r="AA94" s="6">
        <f t="shared" si="11"/>
        <v>4079.5325017793612</v>
      </c>
      <c r="AB94" s="6">
        <f t="shared" si="12"/>
        <v>1663.5618198387722</v>
      </c>
      <c r="AC94" s="6">
        <f t="shared" si="13"/>
        <v>2188.3759653831466</v>
      </c>
      <c r="AD94" s="6">
        <f t="shared" si="14"/>
        <v>3851.9377852219186</v>
      </c>
      <c r="AE94" s="10">
        <v>991370271111</v>
      </c>
      <c r="AF94" s="14">
        <v>44980</v>
      </c>
      <c r="AG94" s="6">
        <v>50.8</v>
      </c>
      <c r="AH94" s="11">
        <v>1.077</v>
      </c>
      <c r="AI94" s="6">
        <v>80.8</v>
      </c>
      <c r="AJ94" s="6">
        <v>30.4</v>
      </c>
      <c r="AK94" s="6">
        <v>5.3</v>
      </c>
      <c r="AL94" s="6">
        <v>78.2</v>
      </c>
      <c r="AM94" s="6">
        <v>9.4</v>
      </c>
      <c r="AN94" s="16" t="s">
        <v>79</v>
      </c>
      <c r="AO94" s="12">
        <v>23</v>
      </c>
      <c r="AP94" s="7">
        <v>0.27</v>
      </c>
      <c r="AQ94" s="6">
        <v>9.1</v>
      </c>
      <c r="AS94" t="s">
        <v>143</v>
      </c>
      <c r="AT94" s="4" t="str">
        <f>E94</f>
        <v>Machine</v>
      </c>
      <c r="AU94" s="15">
        <f>F94</f>
        <v>44880</v>
      </c>
      <c r="AV94" s="3">
        <f>SUM(H94:H95)</f>
        <v>39</v>
      </c>
      <c r="AW94" s="3">
        <f>AV94-2*$A$47</f>
        <v>38.08</v>
      </c>
      <c r="AX94" s="3">
        <f>SUM(J94:J95)</f>
        <v>1.7987499999999998</v>
      </c>
      <c r="AY94" s="3">
        <f>(AW94+AX94)*$A$48/(2*$A$49)*$A$50</f>
        <v>4450.9552091535434</v>
      </c>
      <c r="AZ94" s="4">
        <f>SUM(L94:L95)</f>
        <v>17.149999999999999</v>
      </c>
      <c r="BA94" s="4">
        <f>SUM(M94:M95)</f>
        <v>339.62</v>
      </c>
      <c r="BB94" s="4">
        <f>BA94-AZ94</f>
        <v>322.47000000000003</v>
      </c>
      <c r="BC94" s="4">
        <f>SUM(O94:O95)</f>
        <v>305.02</v>
      </c>
      <c r="BD94" s="4">
        <f>(BB94-BC94)/BB94*100</f>
        <v>5.411356095140647</v>
      </c>
      <c r="BE94" s="3">
        <f>AY94*(1-BD94/100)</f>
        <v>4210.0981731510328</v>
      </c>
      <c r="BF94" s="15">
        <v>44883</v>
      </c>
      <c r="BG94" s="4">
        <f>SUM(S94:S95)</f>
        <v>17.22</v>
      </c>
      <c r="BH94" s="4">
        <f>SUM(T94:T95)</f>
        <v>6.58</v>
      </c>
      <c r="BI94" s="4">
        <f>SUM(U94:U95)</f>
        <v>11.600000000000001</v>
      </c>
      <c r="BJ94" s="9">
        <f>(BH94-2*$A$56)/(BG94-2*$A$47*$A$48)</f>
        <v>0.37017870447185208</v>
      </c>
      <c r="BK94" s="9">
        <f>(BI94-2*$A$57)/(BG94-2*$A$47*$A$48)</f>
        <v>0.48801694158668613</v>
      </c>
      <c r="BL94" s="9">
        <f>1-BJ94-BK94</f>
        <v>0.14180435394146179</v>
      </c>
      <c r="BM94" s="3">
        <f>AY94*BJ94</f>
        <v>1647.6488329867002</v>
      </c>
      <c r="BN94" s="3">
        <f>AY94*BK94</f>
        <v>2172.1415483104411</v>
      </c>
      <c r="BO94" s="3">
        <f>SUM(BM94:BN94)</f>
        <v>3819.7903812971413</v>
      </c>
      <c r="BP94" s="3">
        <f>BE94*BJ94</f>
        <v>1558.4886874363606</v>
      </c>
      <c r="BQ94" s="3">
        <f>BE94*BK94</f>
        <v>2054.5992342408617</v>
      </c>
      <c r="BR94" s="3">
        <f>SUM(BP94:BQ94)</f>
        <v>3613.0879216772223</v>
      </c>
      <c r="BS94" s="3"/>
      <c r="BT94" s="15">
        <f>AF95</f>
        <v>44980</v>
      </c>
      <c r="BU94" s="3">
        <f>AVERAGE(AG94:AG95)</f>
        <v>53.25</v>
      </c>
      <c r="BV94" s="13">
        <f t="shared" ref="BV94" si="132">AVERAGE(AH94:AH95)</f>
        <v>1.04</v>
      </c>
      <c r="BW94" s="3">
        <f t="shared" ref="BW94" si="133">AVERAGE(AI94:AI95)</f>
        <v>79.5</v>
      </c>
      <c r="BX94" s="3">
        <f t="shared" ref="BX94" si="134">AVERAGE(AJ94:AJ95)</f>
        <v>28.6</v>
      </c>
      <c r="BY94" s="3">
        <f t="shared" ref="BY94" si="135">AVERAGE(AK94:AK95)</f>
        <v>5.5</v>
      </c>
      <c r="BZ94" s="3">
        <f t="shared" ref="BZ94" si="136">AVERAGE(AL94:AL95)</f>
        <v>77.45</v>
      </c>
      <c r="CA94" s="3">
        <f t="shared" ref="CA94" si="137">AVERAGE(AM94:AM95)</f>
        <v>9.75</v>
      </c>
      <c r="CB94" s="3"/>
      <c r="CC94" s="10">
        <f t="shared" ref="CC94" si="138">AVERAGE(AO94:AO95)</f>
        <v>16.5</v>
      </c>
      <c r="CD94" s="4">
        <f t="shared" ref="CD94" si="139">AVERAGE(AP94:AP95)</f>
        <v>0.185</v>
      </c>
      <c r="CE94" s="3">
        <f t="shared" ref="CE94" si="140">AVERAGE(AQ94:AQ95)</f>
        <v>10.8</v>
      </c>
    </row>
    <row r="95" spans="1:83" x14ac:dyDescent="0.3">
      <c r="A95" s="2" t="s">
        <v>118</v>
      </c>
      <c r="B95" s="2" t="s">
        <v>123</v>
      </c>
      <c r="C95" t="s">
        <v>126</v>
      </c>
      <c r="D95" s="5" t="s">
        <v>113</v>
      </c>
      <c r="E95" s="5" t="s">
        <v>148</v>
      </c>
      <c r="F95" s="17">
        <v>44880</v>
      </c>
      <c r="G95">
        <v>4</v>
      </c>
      <c r="H95" s="3">
        <v>17.8</v>
      </c>
      <c r="I95" s="3">
        <f t="shared" si="1"/>
        <v>17.34</v>
      </c>
      <c r="J95" s="3">
        <f>($A$54-$A$47)*$A$55</f>
        <v>0.87749999999999995</v>
      </c>
      <c r="K95" s="6">
        <f t="shared" si="2"/>
        <v>4066.5906791338584</v>
      </c>
      <c r="L95" s="4">
        <v>8.5</v>
      </c>
      <c r="M95" s="4">
        <v>162.30000000000001</v>
      </c>
      <c r="N95" s="4">
        <f t="shared" si="3"/>
        <v>153.80000000000001</v>
      </c>
      <c r="O95" s="4">
        <v>145.76</v>
      </c>
      <c r="P95" s="7">
        <f t="shared" si="4"/>
        <v>5.2275682704811572</v>
      </c>
      <c r="Q95" s="6">
        <f t="shared" si="5"/>
        <v>3854.0068751011127</v>
      </c>
      <c r="R95" s="14">
        <v>44883</v>
      </c>
      <c r="S95" s="4">
        <v>7.79</v>
      </c>
      <c r="T95" s="4">
        <v>3.04</v>
      </c>
      <c r="U95" s="4">
        <v>5.48</v>
      </c>
      <c r="V95" s="8">
        <f t="shared" si="6"/>
        <v>0.37724163575096714</v>
      </c>
      <c r="W95" s="8">
        <f t="shared" si="7"/>
        <v>0.49859209200652305</v>
      </c>
      <c r="X95" s="8">
        <f t="shared" si="8"/>
        <v>0.12416627224250981</v>
      </c>
      <c r="Y95" s="6">
        <f t="shared" si="9"/>
        <v>1534.087319726093</v>
      </c>
      <c r="Z95" s="6">
        <f t="shared" si="10"/>
        <v>2027.5699540435778</v>
      </c>
      <c r="AA95" s="6">
        <f t="shared" si="11"/>
        <v>3561.6572737696706</v>
      </c>
      <c r="AB95" s="6">
        <f t="shared" si="12"/>
        <v>1453.8918577586171</v>
      </c>
      <c r="AC95" s="6">
        <f t="shared" si="13"/>
        <v>1921.5773504641863</v>
      </c>
      <c r="AD95" s="6">
        <f t="shared" si="14"/>
        <v>3375.4692082228034</v>
      </c>
      <c r="AE95" s="10">
        <v>991370272127</v>
      </c>
      <c r="AF95" s="14">
        <v>44980</v>
      </c>
      <c r="AG95" s="6">
        <v>55.7</v>
      </c>
      <c r="AH95" s="11">
        <v>1.0029999999999999</v>
      </c>
      <c r="AI95" s="6">
        <v>78.2</v>
      </c>
      <c r="AJ95" s="6">
        <v>26.8</v>
      </c>
      <c r="AK95" s="6">
        <v>5.7</v>
      </c>
      <c r="AL95" s="6">
        <v>76.7</v>
      </c>
      <c r="AM95" s="6">
        <v>10.1</v>
      </c>
      <c r="AN95" s="16" t="s">
        <v>81</v>
      </c>
      <c r="AO95" s="12">
        <v>10</v>
      </c>
      <c r="AP95" s="7">
        <v>0.1</v>
      </c>
      <c r="AQ95" s="6">
        <v>12.5</v>
      </c>
      <c r="AV95" s="3"/>
      <c r="AW95" s="3"/>
      <c r="AX95" s="3"/>
      <c r="AY95" s="3"/>
      <c r="AZ95" s="4"/>
      <c r="BA95" s="4"/>
      <c r="BB95" s="4"/>
      <c r="BC95" s="4"/>
      <c r="BD95" s="4"/>
      <c r="BE95" s="3"/>
      <c r="BF95" s="3"/>
      <c r="BG95" s="4"/>
      <c r="BH95" s="4"/>
      <c r="BI95" s="4"/>
      <c r="BJ95" s="9"/>
      <c r="BK95" s="9"/>
      <c r="BL95" s="9"/>
      <c r="BM95" s="3"/>
      <c r="BN95" s="3"/>
      <c r="BO95" s="3"/>
      <c r="BP95" s="3"/>
      <c r="BQ95" s="3"/>
      <c r="BR95" s="3"/>
      <c r="BT95" s="15"/>
      <c r="BU95" s="3"/>
      <c r="BV95" s="13"/>
      <c r="BW95" s="3"/>
      <c r="BX95" s="3"/>
      <c r="BY95" s="3"/>
      <c r="BZ95" s="3"/>
      <c r="CA95" s="3"/>
      <c r="CB95" s="10"/>
      <c r="CC95" s="10"/>
      <c r="CD95" s="4"/>
      <c r="CE95" s="3"/>
    </row>
    <row r="96" spans="1:83" x14ac:dyDescent="0.3">
      <c r="A96" s="2" t="s">
        <v>118</v>
      </c>
      <c r="B96" s="2" t="s">
        <v>124</v>
      </c>
      <c r="C96" t="s">
        <v>125</v>
      </c>
      <c r="D96" s="5" t="s">
        <v>114</v>
      </c>
      <c r="E96" s="5" t="s">
        <v>148</v>
      </c>
      <c r="F96" s="17">
        <v>44880</v>
      </c>
      <c r="G96">
        <v>2</v>
      </c>
      <c r="H96" s="3">
        <v>6.1</v>
      </c>
      <c r="I96" s="3">
        <f t="shared" si="1"/>
        <v>5.64</v>
      </c>
      <c r="J96" s="3">
        <f>($A$52-$A$47)*$A$55</f>
        <v>0.9212499999999999</v>
      </c>
      <c r="K96" s="6">
        <f t="shared" si="2"/>
        <v>1464.6311564960627</v>
      </c>
      <c r="L96" s="4">
        <v>8.69</v>
      </c>
      <c r="M96" s="4">
        <v>177.53</v>
      </c>
      <c r="N96" s="4">
        <f t="shared" si="3"/>
        <v>168.84</v>
      </c>
      <c r="O96" s="4">
        <v>158.44</v>
      </c>
      <c r="P96" s="7">
        <f t="shared" si="4"/>
        <v>6.1596778014688498</v>
      </c>
      <c r="Q96" s="6">
        <f t="shared" si="5"/>
        <v>1374.4145962759781</v>
      </c>
      <c r="R96" s="14">
        <v>44883</v>
      </c>
      <c r="S96" s="4">
        <v>2.58</v>
      </c>
      <c r="T96" s="4">
        <v>1.06</v>
      </c>
      <c r="U96" s="4">
        <v>2.88</v>
      </c>
      <c r="V96" s="8">
        <f t="shared" si="6"/>
        <v>0.37109699578089711</v>
      </c>
      <c r="W96" s="8">
        <f t="shared" si="7"/>
        <v>0.4976073352516574</v>
      </c>
      <c r="X96" s="8">
        <f t="shared" si="8"/>
        <v>0.13129566896744543</v>
      </c>
      <c r="Y96" s="6">
        <f t="shared" si="9"/>
        <v>543.52022210278983</v>
      </c>
      <c r="Z96" s="6">
        <f t="shared" si="10"/>
        <v>728.81120691055889</v>
      </c>
      <c r="AA96" s="6">
        <f t="shared" si="11"/>
        <v>1272.3314290133487</v>
      </c>
      <c r="AB96" s="6">
        <f t="shared" si="12"/>
        <v>510.04112763543003</v>
      </c>
      <c r="AC96" s="6">
        <f t="shared" si="13"/>
        <v>683.91878478387196</v>
      </c>
      <c r="AD96" s="6">
        <f t="shared" si="14"/>
        <v>1193.9599124193019</v>
      </c>
      <c r="AE96" s="10">
        <v>991370281112</v>
      </c>
      <c r="AF96" s="14">
        <v>44980</v>
      </c>
      <c r="AG96" s="6">
        <v>52</v>
      </c>
      <c r="AH96" s="11">
        <v>1.016</v>
      </c>
      <c r="AI96" s="6">
        <v>80.2</v>
      </c>
      <c r="AJ96" s="6">
        <v>29.3</v>
      </c>
      <c r="AK96" s="6">
        <v>5.3</v>
      </c>
      <c r="AL96" s="6">
        <v>75.8</v>
      </c>
      <c r="AM96" s="6">
        <v>10.4</v>
      </c>
      <c r="AN96" s="16" t="s">
        <v>81</v>
      </c>
      <c r="AO96" s="12">
        <v>7</v>
      </c>
      <c r="AP96" s="7">
        <v>0.1</v>
      </c>
      <c r="AQ96" s="6">
        <v>9.6</v>
      </c>
      <c r="AS96" t="s">
        <v>144</v>
      </c>
      <c r="AT96" s="4" t="str">
        <f>E96</f>
        <v>Machine</v>
      </c>
      <c r="AU96" s="15">
        <f>F96</f>
        <v>44880</v>
      </c>
      <c r="AV96" s="3">
        <f>SUM(H96:H97)</f>
        <v>11.3</v>
      </c>
      <c r="AW96" s="3">
        <f>AV96-2*$A$47</f>
        <v>10.38</v>
      </c>
      <c r="AX96" s="3">
        <f>SUM(J96:J97)</f>
        <v>1.7987499999999998</v>
      </c>
      <c r="AY96" s="3">
        <f>(AW96+AX96)*$A$48/(2*$A$49)*$A$50</f>
        <v>1359.2971382874016</v>
      </c>
      <c r="AZ96" s="4">
        <f>SUM(L96:L97)</f>
        <v>17.29</v>
      </c>
      <c r="BA96" s="4">
        <f>SUM(M96:M97)</f>
        <v>304.58</v>
      </c>
      <c r="BB96" s="4">
        <f>BA96-AZ96</f>
        <v>287.28999999999996</v>
      </c>
      <c r="BC96" s="4">
        <f>SUM(O96:O97)</f>
        <v>268.62</v>
      </c>
      <c r="BD96" s="4">
        <f>(BB96-BC96)/BB96*100</f>
        <v>6.4986598907027613</v>
      </c>
      <c r="BE96" s="3">
        <f>AY96*(1-BD96/100)</f>
        <v>1270.9610403660477</v>
      </c>
      <c r="BF96" s="15">
        <v>44883</v>
      </c>
      <c r="BG96" s="4">
        <f>SUM(S96:S97)</f>
        <v>4.74</v>
      </c>
      <c r="BH96" s="4">
        <f>SUM(T96:T97)</f>
        <v>1.92</v>
      </c>
      <c r="BI96" s="4">
        <f>SUM(U96:U97)</f>
        <v>5.62</v>
      </c>
      <c r="BJ96" s="9">
        <f>(BH96-2*$A$56)/(BG96-2*$A$47*$A$48)</f>
        <v>0.36088594501371479</v>
      </c>
      <c r="BK96" s="9">
        <f>(BI96-2*$A$57)/(BG96-2*$A$47*$A$48)</f>
        <v>0.5135684602118249</v>
      </c>
      <c r="BL96" s="9">
        <f>1-BJ96-BK96</f>
        <v>0.12554559477446037</v>
      </c>
      <c r="BM96" s="3">
        <f>AY96*BJ96</f>
        <v>490.5512323052871</v>
      </c>
      <c r="BN96" s="3">
        <f>AY96*BK96</f>
        <v>698.09213828060081</v>
      </c>
      <c r="BO96" s="3">
        <f>SUM(BM96:BN96)</f>
        <v>1188.6433705858879</v>
      </c>
      <c r="BP96" s="3">
        <f>BE96*BJ96</f>
        <v>458.6719761281152</v>
      </c>
      <c r="BQ96" s="3">
        <f>BE96*BK96</f>
        <v>652.72550449001017</v>
      </c>
      <c r="BR96" s="3">
        <f>SUM(BP96:BQ96)</f>
        <v>1111.3974806181254</v>
      </c>
      <c r="BS96" s="3"/>
      <c r="BT96" s="15">
        <f>AF97</f>
        <v>44980</v>
      </c>
      <c r="BU96" s="3">
        <f>AVERAGE(AG96:AG97)</f>
        <v>52.8</v>
      </c>
      <c r="BV96" s="13">
        <f t="shared" ref="BV96" si="141">AVERAGE(AH96:AH97)</f>
        <v>1.022</v>
      </c>
      <c r="BW96" s="3">
        <f t="shared" ref="BW96" si="142">AVERAGE(AI96:AI97)</f>
        <v>79.599999999999994</v>
      </c>
      <c r="BX96" s="3">
        <f t="shared" ref="BX96" si="143">AVERAGE(AJ96:AJ97)</f>
        <v>28.200000000000003</v>
      </c>
      <c r="BY96" s="3">
        <f t="shared" ref="BY96" si="144">AVERAGE(AK96:AK97)</f>
        <v>5.4499999999999993</v>
      </c>
      <c r="BZ96" s="3">
        <f t="shared" ref="BZ96" si="145">AVERAGE(AL96:AL97)</f>
        <v>75.449999999999989</v>
      </c>
      <c r="CA96" s="3">
        <f t="shared" ref="CA96" si="146">AVERAGE(AM96:AM97)</f>
        <v>10.3</v>
      </c>
      <c r="CB96" s="3"/>
      <c r="CC96" s="10">
        <f t="shared" ref="CC96" si="147">AVERAGE(AO96:AO97)</f>
        <v>9.5</v>
      </c>
      <c r="CD96" s="4">
        <f t="shared" ref="CD96" si="148">AVERAGE(AP96:AP97)</f>
        <v>0.22499999999999998</v>
      </c>
      <c r="CE96" s="3">
        <f t="shared" ref="CE96" si="149">AVERAGE(AQ96:AQ97)</f>
        <v>9.75</v>
      </c>
    </row>
    <row r="97" spans="1:81" x14ac:dyDescent="0.3">
      <c r="A97" s="2" t="s">
        <v>118</v>
      </c>
      <c r="B97" s="2" t="s">
        <v>124</v>
      </c>
      <c r="C97" t="s">
        <v>126</v>
      </c>
      <c r="D97" s="5" t="s">
        <v>115</v>
      </c>
      <c r="E97" s="5" t="s">
        <v>148</v>
      </c>
      <c r="F97" s="17">
        <v>44880</v>
      </c>
      <c r="G97">
        <v>4</v>
      </c>
      <c r="H97" s="3">
        <v>5.2</v>
      </c>
      <c r="I97" s="3">
        <f t="shared" si="1"/>
        <v>4.74</v>
      </c>
      <c r="J97" s="3">
        <f>($A$54-$A$47)*$A$55</f>
        <v>0.87749999999999995</v>
      </c>
      <c r="K97" s="6">
        <f t="shared" si="2"/>
        <v>1253.9631200787401</v>
      </c>
      <c r="L97" s="4">
        <v>8.6</v>
      </c>
      <c r="M97" s="4">
        <v>127.05</v>
      </c>
      <c r="N97" s="4">
        <f t="shared" si="3"/>
        <v>118.45</v>
      </c>
      <c r="O97" s="4">
        <v>110.18</v>
      </c>
      <c r="P97" s="7">
        <f t="shared" si="4"/>
        <v>6.9818488813845478</v>
      </c>
      <c r="Q97" s="6">
        <f t="shared" si="5"/>
        <v>1166.4133100065478</v>
      </c>
      <c r="R97" s="14">
        <v>44883</v>
      </c>
      <c r="S97" s="4">
        <v>2.16</v>
      </c>
      <c r="T97" s="4">
        <v>0.86</v>
      </c>
      <c r="U97" s="4">
        <v>2.74</v>
      </c>
      <c r="V97" s="8">
        <f t="shared" si="6"/>
        <v>0.34847710993255693</v>
      </c>
      <c r="W97" s="8">
        <f t="shared" si="7"/>
        <v>0.53296499166155786</v>
      </c>
      <c r="X97" s="8">
        <f t="shared" si="8"/>
        <v>0.11855789840588515</v>
      </c>
      <c r="Y97" s="6">
        <f t="shared" si="9"/>
        <v>436.97744404705116</v>
      </c>
      <c r="Z97" s="6">
        <f t="shared" si="10"/>
        <v>668.3184438366668</v>
      </c>
      <c r="AA97" s="6">
        <f t="shared" si="11"/>
        <v>1105.295887883718</v>
      </c>
      <c r="AB97" s="6">
        <f t="shared" si="12"/>
        <v>406.46833925794937</v>
      </c>
      <c r="AC97" s="6">
        <f t="shared" si="13"/>
        <v>621.65746004156983</v>
      </c>
      <c r="AD97" s="6">
        <f t="shared" si="14"/>
        <v>1028.1257992995193</v>
      </c>
      <c r="AE97" s="10">
        <v>991370282128</v>
      </c>
      <c r="AF97" s="14">
        <v>44980</v>
      </c>
      <c r="AG97" s="6">
        <v>53.6</v>
      </c>
      <c r="AH97" s="11">
        <v>1.028</v>
      </c>
      <c r="AI97" s="6">
        <v>79</v>
      </c>
      <c r="AJ97" s="6">
        <v>27.1</v>
      </c>
      <c r="AK97" s="6">
        <v>5.6</v>
      </c>
      <c r="AL97" s="6">
        <v>75.099999999999994</v>
      </c>
      <c r="AM97" s="6">
        <v>10.199999999999999</v>
      </c>
      <c r="AN97" s="16" t="s">
        <v>128</v>
      </c>
      <c r="AO97" s="12">
        <v>12</v>
      </c>
      <c r="AP97" s="7">
        <v>0.35</v>
      </c>
      <c r="AQ97" s="6">
        <v>9.9</v>
      </c>
      <c r="AV97" s="3"/>
      <c r="AW97" s="3"/>
      <c r="AX97" s="4"/>
      <c r="AY97" s="4"/>
      <c r="AZ97" s="4"/>
      <c r="BA97" s="4"/>
      <c r="BB97" s="4"/>
      <c r="BC97" s="3"/>
      <c r="BD97" s="3"/>
      <c r="BE97" s="4"/>
      <c r="BF97" s="4"/>
      <c r="BG97" s="4"/>
      <c r="BH97" s="9"/>
      <c r="BI97" s="9"/>
      <c r="BJ97" s="9"/>
      <c r="BK97" s="3"/>
      <c r="BL97" s="3"/>
      <c r="BM97" s="3"/>
      <c r="BN97" s="3"/>
      <c r="BO97" s="3"/>
      <c r="BP97" s="3"/>
      <c r="BR97" s="15"/>
      <c r="BS97" s="3"/>
      <c r="BT97" s="13"/>
      <c r="BU97" s="3"/>
      <c r="BV97" s="3"/>
      <c r="BW97" s="3"/>
      <c r="BX97" s="3"/>
      <c r="BY97" s="3"/>
      <c r="BZ97" s="10"/>
      <c r="CA97" s="10"/>
      <c r="CB97" s="4"/>
      <c r="CC97" s="3"/>
    </row>
    <row r="98" spans="1:81" x14ac:dyDescent="0.3">
      <c r="J98" s="4"/>
      <c r="K98" s="4"/>
      <c r="L98" s="4"/>
      <c r="M98" s="4"/>
      <c r="Q98" s="4"/>
      <c r="R98" s="4"/>
      <c r="S98" s="4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81" x14ac:dyDescent="0.3">
      <c r="J99" s="4"/>
      <c r="K99" s="4"/>
      <c r="L99" s="4"/>
      <c r="M99" s="4"/>
      <c r="Q99" s="4"/>
      <c r="R99" s="4"/>
      <c r="S99" s="4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81" x14ac:dyDescent="0.3">
      <c r="J100" s="4"/>
      <c r="K100" s="4"/>
      <c r="L100" s="4"/>
      <c r="M100" s="4"/>
      <c r="Q100" s="4"/>
      <c r="R100" s="4"/>
      <c r="S100" s="4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81" x14ac:dyDescent="0.3">
      <c r="J101" s="4"/>
      <c r="K101" s="4"/>
      <c r="L101" s="4"/>
      <c r="M101" s="4"/>
      <c r="Q101" s="4"/>
      <c r="R101" s="4"/>
      <c r="S101" s="4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81" x14ac:dyDescent="0.3">
      <c r="J102" s="4"/>
      <c r="K102" s="4"/>
      <c r="L102" s="4"/>
      <c r="M102" s="4"/>
      <c r="Q102" s="4"/>
      <c r="R102" s="4"/>
      <c r="S102" s="4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81" x14ac:dyDescent="0.3">
      <c r="J103" s="4"/>
      <c r="K103" s="4"/>
      <c r="L103" s="4"/>
      <c r="M103" s="4"/>
      <c r="Q103" s="4"/>
      <c r="R103" s="4"/>
      <c r="S103" s="4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81" x14ac:dyDescent="0.3">
      <c r="J104" s="4"/>
      <c r="K104" s="4"/>
      <c r="L104" s="4"/>
      <c r="M104" s="4"/>
      <c r="Q104" s="4"/>
      <c r="R104" s="4"/>
      <c r="S104" s="4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81" x14ac:dyDescent="0.3">
      <c r="J105" s="4"/>
      <c r="K105" s="4"/>
      <c r="L105" s="4"/>
      <c r="M105" s="4"/>
      <c r="Q105" s="4"/>
      <c r="R105" s="4"/>
      <c r="S105" s="4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81" x14ac:dyDescent="0.3">
      <c r="J106" s="4"/>
      <c r="K106" s="4"/>
      <c r="L106" s="4"/>
      <c r="M106" s="4"/>
      <c r="Q106" s="4"/>
      <c r="R106" s="4"/>
      <c r="S106" s="4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81" x14ac:dyDescent="0.3">
      <c r="J107" s="4"/>
      <c r="K107" s="4"/>
      <c r="L107" s="4"/>
      <c r="M107" s="4"/>
      <c r="Q107" s="4"/>
      <c r="R107" s="4"/>
      <c r="S107" s="4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81" x14ac:dyDescent="0.3">
      <c r="J108" s="4"/>
      <c r="K108" s="4"/>
      <c r="L108" s="4"/>
      <c r="M108" s="4"/>
      <c r="Q108" s="4"/>
      <c r="R108" s="4"/>
      <c r="S108" s="4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81" x14ac:dyDescent="0.3">
      <c r="J109" s="4"/>
      <c r="K109" s="4"/>
      <c r="L109" s="4"/>
      <c r="M109" s="4"/>
      <c r="Q109" s="4"/>
      <c r="R109" s="4"/>
      <c r="S109" s="4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81" x14ac:dyDescent="0.3">
      <c r="J110" s="4"/>
      <c r="K110" s="4"/>
      <c r="L110" s="4"/>
      <c r="M110" s="4"/>
      <c r="Q110" s="4"/>
      <c r="R110" s="4"/>
      <c r="S110" s="4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81" x14ac:dyDescent="0.3">
      <c r="J111" s="4"/>
      <c r="K111" s="4"/>
      <c r="L111" s="4"/>
      <c r="M111" s="4"/>
      <c r="Q111" s="4"/>
      <c r="R111" s="4"/>
      <c r="S111" s="4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81" x14ac:dyDescent="0.3">
      <c r="J112" s="4"/>
      <c r="K112" s="4"/>
      <c r="L112" s="4"/>
      <c r="M112" s="4"/>
      <c r="Q112" s="4"/>
      <c r="R112" s="4"/>
      <c r="S112" s="4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0:41" x14ac:dyDescent="0.3">
      <c r="J113" s="3"/>
      <c r="K113" s="3"/>
      <c r="L113" s="3"/>
      <c r="M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0:41" x14ac:dyDescent="0.3">
      <c r="J114" s="3"/>
      <c r="K114" s="3"/>
      <c r="L114" s="3"/>
      <c r="M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0:41" x14ac:dyDescent="0.3">
      <c r="J115" s="3"/>
      <c r="K115" s="3"/>
      <c r="L115" s="3"/>
      <c r="M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0:41" x14ac:dyDescent="0.3">
      <c r="J116" s="3"/>
      <c r="K116" s="3"/>
      <c r="L116" s="3"/>
      <c r="M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0:41" x14ac:dyDescent="0.3">
      <c r="J117" s="3"/>
      <c r="K117" s="3"/>
      <c r="L117" s="3"/>
      <c r="M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0:41" x14ac:dyDescent="0.3">
      <c r="J118" s="3"/>
      <c r="K118" s="3"/>
      <c r="L118" s="3"/>
      <c r="M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0:41" x14ac:dyDescent="0.3">
      <c r="J119" s="3"/>
      <c r="K119" s="3"/>
      <c r="L119" s="3"/>
      <c r="M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0:41" x14ac:dyDescent="0.3">
      <c r="J120" s="3"/>
      <c r="K120" s="3"/>
      <c r="L120" s="3"/>
      <c r="M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0:41" x14ac:dyDescent="0.3">
      <c r="J121" s="3"/>
      <c r="K121" s="3"/>
      <c r="L121" s="3"/>
      <c r="M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0:41" x14ac:dyDescent="0.3">
      <c r="J122" s="3"/>
      <c r="K122" s="3"/>
      <c r="L122" s="3"/>
      <c r="M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0:41" x14ac:dyDescent="0.3">
      <c r="J123" s="3"/>
      <c r="K123" s="3"/>
      <c r="L123" s="3"/>
      <c r="M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0:41" x14ac:dyDescent="0.3">
      <c r="J124" s="3"/>
      <c r="K124" s="3"/>
      <c r="L124" s="3"/>
      <c r="M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0:41" x14ac:dyDescent="0.3">
      <c r="J125" s="3"/>
      <c r="K125" s="3"/>
      <c r="L125" s="3"/>
      <c r="M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0:41" x14ac:dyDescent="0.3">
      <c r="J126" s="3"/>
      <c r="K126" s="3"/>
      <c r="L126" s="3"/>
      <c r="M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0:41" x14ac:dyDescent="0.3">
      <c r="J127" s="3"/>
      <c r="K127" s="3"/>
      <c r="L127" s="3"/>
      <c r="M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0:41" x14ac:dyDescent="0.3">
      <c r="J128" s="3"/>
      <c r="K128" s="3"/>
      <c r="L128" s="3"/>
      <c r="M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0:41" x14ac:dyDescent="0.3">
      <c r="J129" s="3"/>
      <c r="K129" s="3"/>
      <c r="L129" s="3"/>
      <c r="M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0:41" x14ac:dyDescent="0.3">
      <c r="J130" s="3"/>
      <c r="K130" s="3"/>
      <c r="L130" s="3"/>
      <c r="M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0:41" x14ac:dyDescent="0.3">
      <c r="J131" s="3"/>
      <c r="K131" s="3"/>
      <c r="L131" s="3"/>
      <c r="M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0:41" x14ac:dyDescent="0.3">
      <c r="J132" s="3"/>
      <c r="K132" s="3"/>
      <c r="L132" s="3"/>
      <c r="M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0:41" x14ac:dyDescent="0.3">
      <c r="J133" s="3"/>
      <c r="K133" s="3"/>
      <c r="L133" s="3"/>
      <c r="M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0:41" x14ac:dyDescent="0.3">
      <c r="J134" s="3"/>
      <c r="K134" s="3"/>
      <c r="L134" s="3"/>
      <c r="M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0:41" x14ac:dyDescent="0.3">
      <c r="J135" s="3"/>
      <c r="K135" s="3"/>
      <c r="L135" s="3"/>
      <c r="M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0:41" x14ac:dyDescent="0.3">
      <c r="J136" s="3"/>
      <c r="K136" s="3"/>
      <c r="L136" s="3"/>
      <c r="M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0:41" x14ac:dyDescent="0.3">
      <c r="J137" s="3"/>
      <c r="K137" s="3"/>
      <c r="L137" s="3"/>
      <c r="M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0:41" x14ac:dyDescent="0.3">
      <c r="J138" s="3"/>
      <c r="K138" s="3"/>
      <c r="L138" s="3"/>
      <c r="M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0:41" x14ac:dyDescent="0.3">
      <c r="J139" s="3"/>
      <c r="K139" s="3"/>
      <c r="L139" s="3"/>
      <c r="M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0:41" x14ac:dyDescent="0.3">
      <c r="J140" s="3"/>
      <c r="K140" s="3"/>
      <c r="L140" s="3"/>
      <c r="M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0:41" x14ac:dyDescent="0.3">
      <c r="J141" s="3"/>
      <c r="K141" s="3"/>
      <c r="L141" s="3"/>
      <c r="M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0:41" x14ac:dyDescent="0.3">
      <c r="J142" s="3"/>
      <c r="K142" s="3"/>
      <c r="L142" s="3"/>
      <c r="M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0:41" x14ac:dyDescent="0.3">
      <c r="J143" s="3"/>
      <c r="K143" s="3"/>
      <c r="L143" s="3"/>
      <c r="M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0:41" x14ac:dyDescent="0.3">
      <c r="J144" s="3"/>
      <c r="K144" s="3"/>
      <c r="L144" s="3"/>
      <c r="M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0:41" x14ac:dyDescent="0.3">
      <c r="J145" s="3"/>
      <c r="K145" s="3"/>
      <c r="L145" s="3"/>
      <c r="M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0:41" x14ac:dyDescent="0.3">
      <c r="J146" s="3"/>
      <c r="K146" s="3"/>
      <c r="L146" s="3"/>
      <c r="M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0:41" x14ac:dyDescent="0.3">
      <c r="J147" s="3"/>
      <c r="K147" s="3"/>
      <c r="L147" s="3"/>
      <c r="M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0:41" x14ac:dyDescent="0.3">
      <c r="J148" s="3"/>
      <c r="K148" s="3"/>
      <c r="L148" s="3"/>
      <c r="M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0:41" x14ac:dyDescent="0.3">
      <c r="J149" s="3"/>
      <c r="K149" s="3"/>
      <c r="L149" s="3"/>
      <c r="M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0:41" x14ac:dyDescent="0.3">
      <c r="J150" s="3"/>
      <c r="K150" s="3"/>
      <c r="L150" s="3"/>
      <c r="M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0:41" x14ac:dyDescent="0.3">
      <c r="J151" s="3"/>
      <c r="K151" s="3"/>
      <c r="L151" s="3"/>
      <c r="M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0:41" x14ac:dyDescent="0.3">
      <c r="J152" s="3"/>
      <c r="K152" s="3"/>
      <c r="L152" s="3"/>
      <c r="M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0:41" x14ac:dyDescent="0.3">
      <c r="J153" s="3"/>
      <c r="K153" s="3"/>
      <c r="L153" s="3"/>
      <c r="M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0:41" x14ac:dyDescent="0.3">
      <c r="J154" s="3"/>
      <c r="K154" s="3"/>
      <c r="L154" s="3"/>
      <c r="M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0:41" x14ac:dyDescent="0.3">
      <c r="J155" s="3"/>
      <c r="K155" s="3"/>
      <c r="L155" s="3"/>
      <c r="M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0:41" x14ac:dyDescent="0.3">
      <c r="J156" s="3"/>
      <c r="K156" s="3"/>
      <c r="L156" s="3"/>
      <c r="M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0:41" x14ac:dyDescent="0.3">
      <c r="J157" s="3"/>
      <c r="K157" s="3"/>
      <c r="L157" s="3"/>
      <c r="M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0:41" x14ac:dyDescent="0.3">
      <c r="J158" s="3"/>
      <c r="K158" s="3"/>
      <c r="L158" s="3"/>
      <c r="M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0:41" x14ac:dyDescent="0.3">
      <c r="J159" s="3"/>
      <c r="K159" s="3"/>
      <c r="L159" s="3"/>
      <c r="M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0:41" x14ac:dyDescent="0.3">
      <c r="J160" s="3"/>
      <c r="K160" s="3"/>
      <c r="L160" s="3"/>
      <c r="M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0:41" x14ac:dyDescent="0.3">
      <c r="J161" s="3"/>
      <c r="K161" s="3"/>
      <c r="L161" s="3"/>
      <c r="M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0:41" x14ac:dyDescent="0.3">
      <c r="J162" s="3"/>
      <c r="K162" s="3"/>
      <c r="L162" s="3"/>
      <c r="M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0:41" x14ac:dyDescent="0.3">
      <c r="J163" s="3"/>
      <c r="K163" s="3"/>
      <c r="L163" s="3"/>
      <c r="M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0:41" x14ac:dyDescent="0.3">
      <c r="J164" s="3"/>
      <c r="K164" s="3"/>
      <c r="L164" s="3"/>
      <c r="M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0:41" x14ac:dyDescent="0.3">
      <c r="J165" s="3"/>
      <c r="K165" s="3"/>
      <c r="L165" s="3"/>
      <c r="M165" s="3"/>
    </row>
    <row r="166" spans="10:41" x14ac:dyDescent="0.3">
      <c r="J166" s="3"/>
      <c r="K166" s="3"/>
      <c r="L166" s="3"/>
      <c r="M166" s="3"/>
    </row>
    <row r="167" spans="10:41" x14ac:dyDescent="0.3">
      <c r="J167" s="3"/>
      <c r="K167" s="3"/>
      <c r="L167" s="3"/>
      <c r="M167" s="3"/>
    </row>
    <row r="168" spans="10:41" x14ac:dyDescent="0.3">
      <c r="J168" s="3"/>
      <c r="K168" s="3"/>
      <c r="L168" s="3"/>
      <c r="M168" s="3"/>
    </row>
    <row r="169" spans="10:41" x14ac:dyDescent="0.3">
      <c r="J169" s="3"/>
      <c r="K169" s="3"/>
      <c r="L169" s="3"/>
      <c r="M169" s="3"/>
    </row>
    <row r="170" spans="10:41" x14ac:dyDescent="0.3">
      <c r="J170" s="3"/>
      <c r="K170" s="3"/>
      <c r="L170" s="3"/>
      <c r="M170" s="3"/>
    </row>
    <row r="171" spans="10:41" x14ac:dyDescent="0.3">
      <c r="J171" s="3"/>
      <c r="K171" s="3"/>
      <c r="L171" s="3"/>
      <c r="M171" s="3"/>
    </row>
    <row r="172" spans="10:41" x14ac:dyDescent="0.3">
      <c r="J172" s="3"/>
      <c r="K172" s="3"/>
      <c r="L172" s="3"/>
      <c r="M172" s="3"/>
    </row>
    <row r="173" spans="10:41" x14ac:dyDescent="0.3">
      <c r="J173" s="3"/>
      <c r="K173" s="3"/>
      <c r="L173" s="3"/>
      <c r="M173" s="3"/>
    </row>
    <row r="174" spans="10:41" x14ac:dyDescent="0.3">
      <c r="J174" s="3"/>
      <c r="K174" s="3"/>
      <c r="L174" s="3"/>
      <c r="M174" s="3"/>
    </row>
    <row r="175" spans="10:41" x14ac:dyDescent="0.3">
      <c r="J175" s="3"/>
      <c r="K175" s="3"/>
      <c r="L175" s="3"/>
      <c r="M175" s="3"/>
    </row>
    <row r="176" spans="10:41" x14ac:dyDescent="0.3">
      <c r="J176" s="3"/>
      <c r="K176" s="3"/>
      <c r="L176" s="3"/>
      <c r="M176" s="3"/>
    </row>
    <row r="177" spans="10:13" x14ac:dyDescent="0.3">
      <c r="J177" s="3"/>
      <c r="K177" s="3"/>
      <c r="L177" s="3"/>
      <c r="M177" s="3"/>
    </row>
    <row r="178" spans="10:13" x14ac:dyDescent="0.3">
      <c r="J178" s="3"/>
      <c r="K178" s="3"/>
      <c r="L178" s="3"/>
      <c r="M178" s="3"/>
    </row>
    <row r="179" spans="10:13" x14ac:dyDescent="0.3">
      <c r="J179" s="3"/>
      <c r="K179" s="3"/>
      <c r="L179" s="3"/>
      <c r="M179" s="3"/>
    </row>
    <row r="180" spans="10:13" x14ac:dyDescent="0.3">
      <c r="J180" s="3"/>
      <c r="K180" s="3"/>
      <c r="L180" s="3"/>
      <c r="M180" s="3"/>
    </row>
    <row r="181" spans="10:13" x14ac:dyDescent="0.3">
      <c r="J181" s="3"/>
      <c r="K181" s="3"/>
      <c r="L181" s="3"/>
      <c r="M181" s="3"/>
    </row>
    <row r="182" spans="10:13" x14ac:dyDescent="0.3">
      <c r="J182" s="3"/>
      <c r="K182" s="3"/>
      <c r="L182" s="3"/>
      <c r="M182" s="3"/>
    </row>
    <row r="183" spans="10:13" x14ac:dyDescent="0.3">
      <c r="J183" s="3"/>
      <c r="K183" s="3"/>
      <c r="L183" s="3"/>
      <c r="M183" s="3"/>
    </row>
    <row r="184" spans="10:13" x14ac:dyDescent="0.3">
      <c r="J184" s="3"/>
      <c r="K184" s="3"/>
      <c r="L184" s="3"/>
      <c r="M184" s="3"/>
    </row>
    <row r="185" spans="10:13" x14ac:dyDescent="0.3">
      <c r="J185" s="3"/>
      <c r="K185" s="3"/>
      <c r="L185" s="3"/>
      <c r="M185" s="3"/>
    </row>
    <row r="186" spans="10:13" x14ac:dyDescent="0.3">
      <c r="J186" s="3"/>
      <c r="K186" s="3"/>
      <c r="L186" s="3"/>
      <c r="M186" s="3"/>
    </row>
    <row r="187" spans="10:13" x14ac:dyDescent="0.3">
      <c r="J187" s="3"/>
      <c r="K187" s="3"/>
      <c r="L187" s="3"/>
      <c r="M187" s="3"/>
    </row>
    <row r="188" spans="10:13" x14ac:dyDescent="0.3">
      <c r="J188" s="3"/>
      <c r="K188" s="3"/>
      <c r="L188" s="3"/>
      <c r="M188" s="3"/>
    </row>
    <row r="189" spans="10:13" x14ac:dyDescent="0.3">
      <c r="J189" s="3"/>
      <c r="K189" s="3"/>
      <c r="L189" s="3"/>
      <c r="M189" s="3"/>
    </row>
    <row r="190" spans="10:13" x14ac:dyDescent="0.3">
      <c r="J190" s="3"/>
      <c r="K190" s="3"/>
      <c r="L190" s="3"/>
      <c r="M190" s="3"/>
    </row>
    <row r="191" spans="10:13" x14ac:dyDescent="0.3">
      <c r="J191" s="3"/>
      <c r="K191" s="3"/>
      <c r="L191" s="3"/>
      <c r="M191" s="3"/>
    </row>
    <row r="192" spans="10:13" x14ac:dyDescent="0.3">
      <c r="J192" s="3"/>
      <c r="K192" s="3"/>
      <c r="L192" s="3"/>
      <c r="M192" s="3"/>
    </row>
    <row r="193" spans="10:13" x14ac:dyDescent="0.3">
      <c r="J193" s="3"/>
      <c r="K193" s="3"/>
      <c r="L193" s="3"/>
      <c r="M193" s="3"/>
    </row>
    <row r="194" spans="10:13" x14ac:dyDescent="0.3">
      <c r="J194" s="3"/>
      <c r="K194" s="3"/>
      <c r="L194" s="3"/>
      <c r="M194" s="3"/>
    </row>
    <row r="195" spans="10:13" x14ac:dyDescent="0.3">
      <c r="J195" s="3"/>
      <c r="K195" s="3"/>
      <c r="L195" s="3"/>
      <c r="M195" s="3"/>
    </row>
    <row r="196" spans="10:13" x14ac:dyDescent="0.3">
      <c r="J196" s="3"/>
      <c r="K196" s="3"/>
      <c r="L196" s="3"/>
      <c r="M196" s="3"/>
    </row>
    <row r="197" spans="10:13" x14ac:dyDescent="0.3">
      <c r="J197" s="3"/>
      <c r="K197" s="3"/>
      <c r="L197" s="3"/>
      <c r="M197" s="3"/>
    </row>
    <row r="198" spans="10:13" x14ac:dyDescent="0.3">
      <c r="J198" s="3"/>
      <c r="K198" s="3"/>
      <c r="L198" s="3"/>
      <c r="M198" s="3"/>
    </row>
    <row r="199" spans="10:13" x14ac:dyDescent="0.3">
      <c r="J199" s="3"/>
      <c r="K199" s="3"/>
      <c r="L199" s="3"/>
      <c r="M199" s="3"/>
    </row>
    <row r="200" spans="10:13" x14ac:dyDescent="0.3">
      <c r="J200" s="3"/>
      <c r="K200" s="3"/>
      <c r="L200" s="3"/>
      <c r="M200" s="3"/>
    </row>
    <row r="201" spans="10:13" x14ac:dyDescent="0.3">
      <c r="J201" s="3"/>
      <c r="K201" s="3"/>
      <c r="L201" s="3"/>
      <c r="M201" s="3"/>
    </row>
    <row r="202" spans="10:13" x14ac:dyDescent="0.3">
      <c r="J202" s="3"/>
      <c r="K202" s="3"/>
      <c r="L202" s="3"/>
      <c r="M202" s="3"/>
    </row>
    <row r="203" spans="10:13" x14ac:dyDescent="0.3">
      <c r="J203" s="3"/>
      <c r="K203" s="3"/>
      <c r="L203" s="3"/>
      <c r="M203" s="3"/>
    </row>
    <row r="204" spans="10:13" x14ac:dyDescent="0.3">
      <c r="J204" s="3"/>
      <c r="K204" s="3"/>
      <c r="L204" s="3"/>
      <c r="M204" s="3"/>
    </row>
    <row r="205" spans="10:13" x14ac:dyDescent="0.3">
      <c r="J205" s="3"/>
      <c r="K205" s="3"/>
      <c r="L205" s="3"/>
      <c r="M205" s="3"/>
    </row>
    <row r="206" spans="10:13" x14ac:dyDescent="0.3">
      <c r="J206" s="3"/>
      <c r="K206" s="3"/>
      <c r="L206" s="3"/>
      <c r="M206" s="3"/>
    </row>
    <row r="207" spans="10:13" x14ac:dyDescent="0.3">
      <c r="J207" s="3"/>
      <c r="K207" s="3"/>
      <c r="L207" s="3"/>
      <c r="M207" s="3"/>
    </row>
    <row r="208" spans="10:13" x14ac:dyDescent="0.3">
      <c r="J208" s="3"/>
      <c r="K208" s="3"/>
      <c r="L208" s="3"/>
      <c r="M208" s="3"/>
    </row>
    <row r="209" spans="10:13" x14ac:dyDescent="0.3">
      <c r="J209" s="3"/>
      <c r="K209" s="3"/>
      <c r="L209" s="3"/>
      <c r="M209" s="3"/>
    </row>
    <row r="210" spans="10:13" x14ac:dyDescent="0.3">
      <c r="J210" s="3"/>
      <c r="K210" s="3"/>
      <c r="L210" s="3"/>
      <c r="M210" s="3"/>
    </row>
    <row r="211" spans="10:13" x14ac:dyDescent="0.3">
      <c r="J211" s="3"/>
      <c r="K211" s="3"/>
      <c r="L211" s="3"/>
      <c r="M211" s="3"/>
    </row>
    <row r="212" spans="10:13" x14ac:dyDescent="0.3">
      <c r="J212" s="3"/>
      <c r="K212" s="3"/>
      <c r="L212" s="3"/>
      <c r="M212" s="3"/>
    </row>
    <row r="213" spans="10:13" x14ac:dyDescent="0.3">
      <c r="J213" s="3"/>
      <c r="K213" s="3"/>
      <c r="L213" s="3"/>
      <c r="M213" s="3"/>
    </row>
    <row r="214" spans="10:13" x14ac:dyDescent="0.3">
      <c r="J214" s="3"/>
      <c r="K214" s="3"/>
      <c r="L214" s="3"/>
      <c r="M214" s="3"/>
    </row>
    <row r="215" spans="10:13" x14ac:dyDescent="0.3">
      <c r="J215" s="3"/>
      <c r="K215" s="3"/>
      <c r="L215" s="3"/>
      <c r="M215" s="3"/>
    </row>
    <row r="216" spans="10:13" x14ac:dyDescent="0.3">
      <c r="J216" s="3"/>
      <c r="K216" s="3"/>
      <c r="L216" s="3"/>
      <c r="M216" s="3"/>
    </row>
    <row r="217" spans="10:13" x14ac:dyDescent="0.3">
      <c r="J217" s="3"/>
      <c r="K217" s="3"/>
      <c r="L217" s="3"/>
      <c r="M217" s="3"/>
    </row>
    <row r="218" spans="10:13" x14ac:dyDescent="0.3">
      <c r="J218" s="3"/>
      <c r="K218" s="3"/>
      <c r="L218" s="3"/>
      <c r="M218" s="3"/>
    </row>
    <row r="219" spans="10:13" x14ac:dyDescent="0.3">
      <c r="J219" s="3"/>
      <c r="K219" s="3"/>
      <c r="L219" s="3"/>
      <c r="M219" s="3"/>
    </row>
    <row r="220" spans="10:13" x14ac:dyDescent="0.3">
      <c r="J220" s="3"/>
      <c r="K220" s="3"/>
      <c r="L220" s="3"/>
      <c r="M220" s="3"/>
    </row>
    <row r="221" spans="10:13" x14ac:dyDescent="0.3">
      <c r="J221" s="3"/>
      <c r="K221" s="3"/>
      <c r="L221" s="3"/>
      <c r="M221" s="3"/>
    </row>
    <row r="222" spans="10:13" x14ac:dyDescent="0.3">
      <c r="J222" s="3"/>
      <c r="K222" s="3"/>
      <c r="L222" s="3"/>
      <c r="M222" s="3"/>
    </row>
    <row r="223" spans="10:13" x14ac:dyDescent="0.3">
      <c r="J223" s="3"/>
      <c r="K223" s="3"/>
      <c r="L223" s="3"/>
      <c r="M223" s="3"/>
    </row>
    <row r="224" spans="10:13" x14ac:dyDescent="0.3">
      <c r="J224" s="3"/>
      <c r="K224" s="3"/>
      <c r="L224" s="3"/>
      <c r="M224" s="3"/>
    </row>
    <row r="225" spans="10:13" x14ac:dyDescent="0.3">
      <c r="J225" s="3"/>
      <c r="K225" s="3"/>
      <c r="L225" s="3"/>
      <c r="M225" s="3"/>
    </row>
    <row r="226" spans="10:13" x14ac:dyDescent="0.3">
      <c r="J226" s="3"/>
      <c r="K226" s="3"/>
      <c r="L226" s="3"/>
      <c r="M226" s="3"/>
    </row>
    <row r="227" spans="10:13" x14ac:dyDescent="0.3">
      <c r="J227" s="3"/>
      <c r="K227" s="3"/>
      <c r="L227" s="3"/>
      <c r="M227" s="3"/>
    </row>
    <row r="228" spans="10:13" x14ac:dyDescent="0.3">
      <c r="J228" s="3"/>
      <c r="K228" s="3"/>
      <c r="L228" s="3"/>
      <c r="M228" s="3"/>
    </row>
    <row r="229" spans="10:13" x14ac:dyDescent="0.3">
      <c r="J229" s="3"/>
      <c r="K229" s="3"/>
      <c r="L229" s="3"/>
      <c r="M229" s="3"/>
    </row>
    <row r="230" spans="10:13" x14ac:dyDescent="0.3">
      <c r="J230" s="3"/>
      <c r="K230" s="3"/>
      <c r="L230" s="3"/>
      <c r="M230" s="3"/>
    </row>
    <row r="231" spans="10:13" x14ac:dyDescent="0.3">
      <c r="J231" s="3"/>
      <c r="K231" s="3"/>
      <c r="L231" s="3"/>
      <c r="M231" s="3"/>
    </row>
    <row r="232" spans="10:13" x14ac:dyDescent="0.3">
      <c r="J232" s="3"/>
      <c r="K232" s="3"/>
      <c r="L232" s="3"/>
      <c r="M232" s="3"/>
    </row>
    <row r="233" spans="10:13" x14ac:dyDescent="0.3">
      <c r="J233" s="3"/>
      <c r="K233" s="3"/>
      <c r="L233" s="3"/>
      <c r="M233" s="3"/>
    </row>
    <row r="234" spans="10:13" x14ac:dyDescent="0.3">
      <c r="J234" s="3"/>
      <c r="K234" s="3"/>
      <c r="L234" s="3"/>
      <c r="M234" s="3"/>
    </row>
    <row r="235" spans="10:13" x14ac:dyDescent="0.3">
      <c r="J235" s="3"/>
      <c r="K235" s="3"/>
      <c r="L235" s="3"/>
      <c r="M235" s="3"/>
    </row>
    <row r="236" spans="10:13" x14ac:dyDescent="0.3">
      <c r="J236" s="3"/>
      <c r="K236" s="3"/>
      <c r="L236" s="3"/>
      <c r="M236" s="3"/>
    </row>
    <row r="237" spans="10:13" x14ac:dyDescent="0.3">
      <c r="J237" s="3"/>
      <c r="K237" s="3"/>
      <c r="L237" s="3"/>
      <c r="M237" s="3"/>
    </row>
    <row r="238" spans="10:13" x14ac:dyDescent="0.3">
      <c r="J238" s="3"/>
      <c r="K238" s="3"/>
      <c r="L238" s="3"/>
      <c r="M238" s="3"/>
    </row>
    <row r="239" spans="10:13" x14ac:dyDescent="0.3">
      <c r="J239" s="3"/>
      <c r="K239" s="3"/>
      <c r="L239" s="3"/>
      <c r="M239" s="3"/>
    </row>
    <row r="240" spans="10:13" x14ac:dyDescent="0.3">
      <c r="J240" s="3"/>
      <c r="K240" s="3"/>
      <c r="L240" s="3"/>
      <c r="M240" s="3"/>
    </row>
    <row r="241" spans="10:13" x14ac:dyDescent="0.3">
      <c r="J241" s="3"/>
      <c r="K241" s="3"/>
      <c r="L241" s="3"/>
      <c r="M241" s="3"/>
    </row>
    <row r="242" spans="10:13" x14ac:dyDescent="0.3">
      <c r="J242" s="3"/>
      <c r="K242" s="3"/>
      <c r="L242" s="3"/>
      <c r="M242" s="3"/>
    </row>
    <row r="243" spans="10:13" x14ac:dyDescent="0.3">
      <c r="J243" s="3"/>
      <c r="K243" s="3"/>
      <c r="L243" s="3"/>
      <c r="M243" s="3"/>
    </row>
    <row r="244" spans="10:13" x14ac:dyDescent="0.3">
      <c r="J244" s="3"/>
      <c r="K244" s="3"/>
      <c r="L244" s="3"/>
      <c r="M244" s="3"/>
    </row>
    <row r="245" spans="10:13" x14ac:dyDescent="0.3">
      <c r="J245" s="3"/>
      <c r="K245" s="3"/>
      <c r="L245" s="3"/>
      <c r="M245" s="3"/>
    </row>
    <row r="246" spans="10:13" x14ac:dyDescent="0.3">
      <c r="J246" s="3"/>
      <c r="K246" s="3"/>
      <c r="L246" s="3"/>
      <c r="M246" s="3"/>
    </row>
    <row r="247" spans="10:13" x14ac:dyDescent="0.3">
      <c r="J247" s="3"/>
      <c r="K247" s="3"/>
      <c r="L247" s="3"/>
      <c r="M247" s="3"/>
    </row>
    <row r="248" spans="10:13" x14ac:dyDescent="0.3">
      <c r="J248" s="3"/>
      <c r="K248" s="3"/>
      <c r="L248" s="3"/>
      <c r="M248" s="3"/>
    </row>
    <row r="249" spans="10:13" x14ac:dyDescent="0.3">
      <c r="J249" s="3"/>
      <c r="K249" s="3"/>
      <c r="L249" s="3"/>
      <c r="M249" s="3"/>
    </row>
    <row r="250" spans="10:13" x14ac:dyDescent="0.3">
      <c r="J250" s="3"/>
      <c r="K250" s="3"/>
      <c r="L250" s="3"/>
      <c r="M250" s="3"/>
    </row>
    <row r="251" spans="10:13" x14ac:dyDescent="0.3">
      <c r="J251" s="3"/>
      <c r="K251" s="3"/>
      <c r="L251" s="3"/>
      <c r="M251" s="3"/>
    </row>
    <row r="252" spans="10:13" x14ac:dyDescent="0.3">
      <c r="J252" s="3"/>
      <c r="K252" s="3"/>
      <c r="L252" s="3"/>
      <c r="M252" s="3"/>
    </row>
    <row r="253" spans="10:13" x14ac:dyDescent="0.3">
      <c r="J253" s="3"/>
      <c r="K253" s="3"/>
      <c r="L253" s="3"/>
      <c r="M253" s="3"/>
    </row>
    <row r="254" spans="10:13" x14ac:dyDescent="0.3">
      <c r="J254" s="3"/>
      <c r="K254" s="3"/>
      <c r="L254" s="3"/>
      <c r="M254" s="3"/>
    </row>
    <row r="255" spans="10:13" x14ac:dyDescent="0.3">
      <c r="J255" s="3"/>
      <c r="K255" s="3"/>
      <c r="L255" s="3"/>
      <c r="M255" s="3"/>
    </row>
    <row r="256" spans="10:13" x14ac:dyDescent="0.3">
      <c r="J256" s="3"/>
      <c r="K256" s="3"/>
      <c r="L256" s="3"/>
      <c r="M256" s="3"/>
    </row>
    <row r="257" spans="10:13" x14ac:dyDescent="0.3">
      <c r="J257" s="3"/>
      <c r="K257" s="3"/>
      <c r="L257" s="3"/>
      <c r="M257" s="3"/>
    </row>
    <row r="258" spans="10:13" x14ac:dyDescent="0.3">
      <c r="J258" s="3"/>
      <c r="K258" s="3"/>
      <c r="L258" s="3"/>
      <c r="M258" s="3"/>
    </row>
    <row r="259" spans="10:13" x14ac:dyDescent="0.3">
      <c r="J259" s="3"/>
      <c r="K259" s="3"/>
      <c r="L259" s="3"/>
      <c r="M259" s="3"/>
    </row>
    <row r="260" spans="10:13" x14ac:dyDescent="0.3">
      <c r="J260" s="3"/>
      <c r="K260" s="3"/>
      <c r="L260" s="3"/>
      <c r="M260" s="3"/>
    </row>
    <row r="261" spans="10:13" x14ac:dyDescent="0.3">
      <c r="J261" s="3"/>
      <c r="K261" s="3"/>
      <c r="L261" s="3"/>
      <c r="M261" s="3"/>
    </row>
    <row r="262" spans="10:13" x14ac:dyDescent="0.3">
      <c r="J262" s="3"/>
      <c r="K262" s="3"/>
      <c r="L262" s="3"/>
      <c r="M262" s="3"/>
    </row>
    <row r="263" spans="10:13" x14ac:dyDescent="0.3">
      <c r="J263" s="3"/>
      <c r="K263" s="3"/>
      <c r="L263" s="3"/>
      <c r="M263" s="3"/>
    </row>
    <row r="264" spans="10:13" x14ac:dyDescent="0.3">
      <c r="J264" s="3"/>
      <c r="K264" s="3"/>
      <c r="L264" s="3"/>
      <c r="M264" s="3"/>
    </row>
    <row r="265" spans="10:13" x14ac:dyDescent="0.3">
      <c r="J265" s="3"/>
      <c r="K265" s="3"/>
      <c r="L265" s="3"/>
      <c r="M265" s="3"/>
    </row>
    <row r="266" spans="10:13" x14ac:dyDescent="0.3">
      <c r="J266" s="3"/>
      <c r="K266" s="3"/>
      <c r="L266" s="3"/>
      <c r="M266" s="3"/>
    </row>
    <row r="267" spans="10:13" x14ac:dyDescent="0.3">
      <c r="J267" s="3"/>
      <c r="K267" s="3"/>
      <c r="L267" s="3"/>
      <c r="M267" s="3"/>
    </row>
    <row r="268" spans="10:13" x14ac:dyDescent="0.3">
      <c r="J268" s="3"/>
      <c r="K268" s="3"/>
      <c r="L268" s="3"/>
      <c r="M268" s="3"/>
    </row>
    <row r="269" spans="10:13" x14ac:dyDescent="0.3">
      <c r="J269" s="3"/>
      <c r="K269" s="3"/>
      <c r="L269" s="3"/>
      <c r="M269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0E53-2333-44F3-BC6F-75F93AB74A0A}">
  <dimension ref="A1:AM22"/>
  <sheetViews>
    <sheetView workbookViewId="0"/>
  </sheetViews>
  <sheetFormatPr defaultRowHeight="14.4" x14ac:dyDescent="0.3"/>
  <cols>
    <col min="3" max="3" width="10.5546875" bestFit="1" customWidth="1"/>
    <col min="14" max="14" width="10.5546875" bestFit="1" customWidth="1"/>
    <col min="28" max="28" width="10.5546875" bestFit="1" customWidth="1"/>
  </cols>
  <sheetData>
    <row r="1" spans="1:39" x14ac:dyDescent="0.3">
      <c r="A1" s="5"/>
      <c r="B1" s="5" t="s">
        <v>2</v>
      </c>
      <c r="C1" s="5" t="s">
        <v>2</v>
      </c>
      <c r="D1" t="s">
        <v>2</v>
      </c>
      <c r="E1" t="s">
        <v>2</v>
      </c>
      <c r="F1" t="s">
        <v>2</v>
      </c>
      <c r="G1" s="5" t="s">
        <v>2</v>
      </c>
      <c r="H1" t="s">
        <v>27</v>
      </c>
      <c r="I1" t="s">
        <v>27</v>
      </c>
      <c r="J1" t="s">
        <v>27</v>
      </c>
      <c r="K1" t="s">
        <v>27</v>
      </c>
      <c r="L1" s="5" t="s">
        <v>27</v>
      </c>
      <c r="M1" s="5" t="s">
        <v>27</v>
      </c>
      <c r="N1" s="5" t="s">
        <v>28</v>
      </c>
      <c r="O1" t="s">
        <v>28</v>
      </c>
      <c r="P1" t="s">
        <v>28</v>
      </c>
      <c r="Q1" t="s">
        <v>28</v>
      </c>
      <c r="R1" s="5" t="s">
        <v>28</v>
      </c>
      <c r="S1" s="5" t="s">
        <v>28</v>
      </c>
      <c r="T1" s="5" t="s">
        <v>28</v>
      </c>
      <c r="U1" s="5" t="s">
        <v>46</v>
      </c>
      <c r="V1" s="5" t="s">
        <v>46</v>
      </c>
      <c r="W1" s="5" t="s">
        <v>46</v>
      </c>
      <c r="X1" s="5" t="s">
        <v>46</v>
      </c>
      <c r="Y1" s="5" t="s">
        <v>46</v>
      </c>
      <c r="Z1" s="5" t="s">
        <v>46</v>
      </c>
      <c r="AB1" s="5" t="s">
        <v>69</v>
      </c>
      <c r="AC1" s="5" t="s">
        <v>69</v>
      </c>
      <c r="AD1" s="5" t="s">
        <v>69</v>
      </c>
      <c r="AE1" s="5" t="s">
        <v>69</v>
      </c>
      <c r="AF1" s="5" t="s">
        <v>69</v>
      </c>
      <c r="AG1" s="5" t="s">
        <v>69</v>
      </c>
      <c r="AH1" s="5" t="s">
        <v>69</v>
      </c>
      <c r="AI1" s="5" t="s">
        <v>69</v>
      </c>
      <c r="AJ1" t="s">
        <v>69</v>
      </c>
      <c r="AK1" s="5" t="s">
        <v>69</v>
      </c>
      <c r="AL1" s="5" t="s">
        <v>69</v>
      </c>
      <c r="AM1" s="5" t="s">
        <v>69</v>
      </c>
    </row>
    <row r="2" spans="1:39" x14ac:dyDescent="0.3">
      <c r="A2" s="5"/>
      <c r="B2" s="5"/>
      <c r="C2" s="5"/>
      <c r="G2" s="5"/>
      <c r="I2" t="s">
        <v>36</v>
      </c>
      <c r="J2" t="s">
        <v>39</v>
      </c>
      <c r="K2" t="s">
        <v>40</v>
      </c>
      <c r="L2" s="5"/>
      <c r="M2" s="5"/>
      <c r="N2" s="5"/>
      <c r="R2" s="5"/>
      <c r="S2" s="5"/>
      <c r="T2" s="5"/>
      <c r="U2" s="5"/>
      <c r="V2" s="5"/>
      <c r="W2" s="5"/>
      <c r="X2" s="5"/>
      <c r="Y2" s="5"/>
      <c r="Z2" s="5"/>
      <c r="AB2" s="5"/>
      <c r="AC2" s="5"/>
      <c r="AD2" s="5"/>
      <c r="AE2" s="5"/>
      <c r="AF2" s="5"/>
      <c r="AG2" s="5"/>
      <c r="AH2" s="5"/>
      <c r="AI2" s="5"/>
      <c r="AK2" s="5"/>
      <c r="AL2" s="5"/>
      <c r="AM2" s="5"/>
    </row>
    <row r="3" spans="1:39" x14ac:dyDescent="0.3">
      <c r="A3" s="5"/>
      <c r="B3" s="5"/>
      <c r="C3" s="5"/>
      <c r="D3" t="s">
        <v>4</v>
      </c>
      <c r="E3" t="s">
        <v>4</v>
      </c>
      <c r="F3" t="s">
        <v>72</v>
      </c>
      <c r="G3" s="5"/>
      <c r="H3" t="s">
        <v>42</v>
      </c>
      <c r="I3" t="s">
        <v>38</v>
      </c>
      <c r="J3" t="s">
        <v>37</v>
      </c>
      <c r="K3" t="s">
        <v>37</v>
      </c>
      <c r="L3" s="5"/>
      <c r="M3" s="5"/>
      <c r="N3" s="5" t="s">
        <v>74</v>
      </c>
      <c r="O3" t="s">
        <v>29</v>
      </c>
      <c r="P3" t="s">
        <v>32</v>
      </c>
      <c r="Q3" t="s">
        <v>31</v>
      </c>
      <c r="R3" s="5"/>
      <c r="S3" s="5"/>
      <c r="T3" s="5"/>
      <c r="U3" s="5"/>
      <c r="V3" s="5"/>
      <c r="W3" s="5"/>
      <c r="X3" s="5"/>
      <c r="Y3" s="5"/>
      <c r="Z3" s="5"/>
      <c r="AB3" s="5"/>
      <c r="AC3" s="5"/>
      <c r="AD3" s="5"/>
      <c r="AE3" s="5"/>
      <c r="AF3" s="5"/>
      <c r="AG3" s="5"/>
      <c r="AH3" s="5"/>
      <c r="AI3" s="5"/>
      <c r="AK3" s="5"/>
      <c r="AL3" s="5"/>
      <c r="AM3" s="5"/>
    </row>
    <row r="4" spans="1:39" x14ac:dyDescent="0.3">
      <c r="A4" s="5" t="s">
        <v>50</v>
      </c>
      <c r="B4" s="5" t="s">
        <v>146</v>
      </c>
      <c r="C4" s="5" t="s">
        <v>147</v>
      </c>
      <c r="D4" t="s">
        <v>5</v>
      </c>
      <c r="E4" t="s">
        <v>15</v>
      </c>
      <c r="F4" t="s">
        <v>15</v>
      </c>
      <c r="G4" s="5" t="s">
        <v>19</v>
      </c>
      <c r="H4" t="s">
        <v>38</v>
      </c>
      <c r="I4" t="s">
        <v>5</v>
      </c>
      <c r="J4" t="s">
        <v>41</v>
      </c>
      <c r="K4" t="s">
        <v>41</v>
      </c>
      <c r="L4" s="5" t="s">
        <v>21</v>
      </c>
      <c r="M4" s="5" t="s">
        <v>22</v>
      </c>
      <c r="N4" s="5" t="s">
        <v>73</v>
      </c>
      <c r="O4" t="s">
        <v>5</v>
      </c>
      <c r="P4" t="s">
        <v>5</v>
      </c>
      <c r="Q4" t="s">
        <v>77</v>
      </c>
      <c r="R4" s="5" t="s">
        <v>24</v>
      </c>
      <c r="S4" s="5" t="s">
        <v>25</v>
      </c>
      <c r="T4" s="5" t="s">
        <v>26</v>
      </c>
      <c r="U4" s="5" t="s">
        <v>43</v>
      </c>
      <c r="V4" s="5" t="s">
        <v>44</v>
      </c>
      <c r="W4" s="5" t="s">
        <v>45</v>
      </c>
      <c r="X4" s="5" t="s">
        <v>47</v>
      </c>
      <c r="Y4" s="5" t="s">
        <v>48</v>
      </c>
      <c r="Z4" s="5" t="s">
        <v>49</v>
      </c>
      <c r="AA4" t="s">
        <v>70</v>
      </c>
      <c r="AB4" s="5" t="s">
        <v>75</v>
      </c>
      <c r="AC4" s="5" t="s">
        <v>55</v>
      </c>
      <c r="AD4" s="5" t="s">
        <v>56</v>
      </c>
      <c r="AE4" s="5" t="s">
        <v>57</v>
      </c>
      <c r="AF4" s="5" t="s">
        <v>58</v>
      </c>
      <c r="AG4" s="5" t="s">
        <v>59</v>
      </c>
      <c r="AH4" s="5" t="s">
        <v>60</v>
      </c>
      <c r="AI4" s="5" t="s">
        <v>61</v>
      </c>
      <c r="AJ4" t="s">
        <v>66</v>
      </c>
      <c r="AK4" s="5" t="s">
        <v>62</v>
      </c>
      <c r="AL4" s="5" t="s">
        <v>63</v>
      </c>
      <c r="AM4" s="5" t="s">
        <v>64</v>
      </c>
    </row>
    <row r="5" spans="1:39" x14ac:dyDescent="0.3">
      <c r="A5" s="5"/>
      <c r="B5" s="5"/>
      <c r="C5" s="5"/>
      <c r="D5" t="s">
        <v>6</v>
      </c>
      <c r="E5" t="s">
        <v>6</v>
      </c>
      <c r="F5" t="s">
        <v>6</v>
      </c>
      <c r="G5" s="5" t="s">
        <v>20</v>
      </c>
      <c r="H5" t="s">
        <v>35</v>
      </c>
      <c r="I5" t="s">
        <v>35</v>
      </c>
      <c r="J5" t="s">
        <v>35</v>
      </c>
      <c r="K5" t="s">
        <v>35</v>
      </c>
      <c r="L5" s="5" t="s">
        <v>23</v>
      </c>
      <c r="M5" s="5" t="s">
        <v>20</v>
      </c>
      <c r="N5" s="5"/>
      <c r="O5" t="s">
        <v>30</v>
      </c>
      <c r="P5" t="s">
        <v>30</v>
      </c>
      <c r="Q5" t="s">
        <v>30</v>
      </c>
      <c r="R5" s="5" t="s">
        <v>33</v>
      </c>
      <c r="S5" s="5" t="s">
        <v>33</v>
      </c>
      <c r="T5" s="5" t="s">
        <v>33</v>
      </c>
      <c r="U5" s="5" t="s">
        <v>20</v>
      </c>
      <c r="V5" s="5" t="s">
        <v>20</v>
      </c>
      <c r="W5" s="5" t="s">
        <v>20</v>
      </c>
      <c r="X5" s="5" t="s">
        <v>20</v>
      </c>
      <c r="Y5" s="5" t="s">
        <v>20</v>
      </c>
      <c r="Z5" s="5" t="s">
        <v>20</v>
      </c>
      <c r="AB5" s="5"/>
      <c r="AC5" s="5"/>
      <c r="AD5" s="5" t="s">
        <v>71</v>
      </c>
      <c r="AE5" s="5" t="s">
        <v>23</v>
      </c>
      <c r="AF5" s="5" t="s">
        <v>67</v>
      </c>
      <c r="AG5" s="5" t="s">
        <v>23</v>
      </c>
      <c r="AH5" s="5" t="s">
        <v>68</v>
      </c>
      <c r="AI5" s="5"/>
      <c r="AK5" s="5"/>
      <c r="AL5" s="5" t="s">
        <v>23</v>
      </c>
      <c r="AM5" s="5" t="s">
        <v>23</v>
      </c>
    </row>
    <row r="6" spans="1:39" x14ac:dyDescent="0.3">
      <c r="A6" s="5" t="s">
        <v>50</v>
      </c>
      <c r="B6" s="5" t="s">
        <v>146</v>
      </c>
      <c r="C6" s="5" t="s">
        <v>147</v>
      </c>
      <c r="G6" s="5" t="s">
        <v>19</v>
      </c>
      <c r="L6" s="5" t="s">
        <v>21</v>
      </c>
      <c r="M6" s="5" t="s">
        <v>22</v>
      </c>
      <c r="N6" s="5" t="s">
        <v>73</v>
      </c>
      <c r="R6" s="5" t="s">
        <v>24</v>
      </c>
      <c r="S6" s="5" t="s">
        <v>25</v>
      </c>
      <c r="T6" s="5" t="s">
        <v>26</v>
      </c>
      <c r="U6" s="5" t="s">
        <v>43</v>
      </c>
      <c r="V6" s="5" t="s">
        <v>44</v>
      </c>
      <c r="W6" s="5" t="s">
        <v>45</v>
      </c>
      <c r="X6" s="5" t="s">
        <v>47</v>
      </c>
      <c r="Y6" s="5" t="s">
        <v>48</v>
      </c>
      <c r="Z6" s="5" t="s">
        <v>49</v>
      </c>
      <c r="AB6" s="5" t="s">
        <v>75</v>
      </c>
      <c r="AC6" s="5" t="s">
        <v>55</v>
      </c>
      <c r="AD6" s="5" t="s">
        <v>56</v>
      </c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t="s">
        <v>66</v>
      </c>
      <c r="AK6" s="5" t="s">
        <v>62</v>
      </c>
      <c r="AL6" s="5" t="s">
        <v>63</v>
      </c>
      <c r="AM6" s="5" t="s">
        <v>64</v>
      </c>
    </row>
    <row r="7" spans="1:39" x14ac:dyDescent="0.3">
      <c r="A7" s="5" t="s">
        <v>129</v>
      </c>
      <c r="B7" s="5" t="s">
        <v>148</v>
      </c>
      <c r="C7" s="17">
        <v>44880</v>
      </c>
      <c r="D7" s="3">
        <v>14.5</v>
      </c>
      <c r="E7" s="3">
        <v>13.58</v>
      </c>
      <c r="F7" s="3">
        <v>1.73</v>
      </c>
      <c r="G7" s="6">
        <v>1708.7828543307087</v>
      </c>
      <c r="H7" s="4">
        <v>16.899999999999999</v>
      </c>
      <c r="I7" s="4">
        <v>332.45</v>
      </c>
      <c r="J7" s="4">
        <v>315.55</v>
      </c>
      <c r="K7" s="4">
        <v>296.68</v>
      </c>
      <c r="L7" s="7">
        <v>5.9800348597686588</v>
      </c>
      <c r="M7" s="6">
        <v>1606.5970439639825</v>
      </c>
      <c r="N7" s="14">
        <v>44883</v>
      </c>
      <c r="O7" s="4">
        <v>6.22</v>
      </c>
      <c r="P7" s="4">
        <v>2.46</v>
      </c>
      <c r="Q7" s="4">
        <v>6.26</v>
      </c>
      <c r="R7" s="8">
        <v>0.3619007839832557</v>
      </c>
      <c r="S7" s="8">
        <v>0.49287440104386249</v>
      </c>
      <c r="T7" s="8">
        <v>0.14522481497288176</v>
      </c>
      <c r="U7" s="6">
        <v>618.40985463942889</v>
      </c>
      <c r="V7" s="6">
        <v>842.21532584226975</v>
      </c>
      <c r="W7" s="6">
        <v>1460.6251804816986</v>
      </c>
      <c r="X7" s="6">
        <v>581.42872975574642</v>
      </c>
      <c r="Y7" s="6">
        <v>791.85055576258787</v>
      </c>
      <c r="Z7" s="6">
        <v>1373.2792855183343</v>
      </c>
      <c r="AA7" s="3"/>
      <c r="AB7" s="14">
        <v>44980</v>
      </c>
      <c r="AC7" s="6">
        <v>51.45</v>
      </c>
      <c r="AD7" s="11">
        <v>1.0329999999999999</v>
      </c>
      <c r="AE7" s="6">
        <v>80.800000000000011</v>
      </c>
      <c r="AF7" s="6">
        <v>28.65</v>
      </c>
      <c r="AG7" s="6">
        <v>5.1999999999999993</v>
      </c>
      <c r="AH7" s="6">
        <v>74.400000000000006</v>
      </c>
      <c r="AI7" s="6">
        <v>9.9499999999999993</v>
      </c>
      <c r="AK7" s="12">
        <v>16.5</v>
      </c>
      <c r="AL7" s="7">
        <v>0.26</v>
      </c>
      <c r="AM7" s="6">
        <v>8.85</v>
      </c>
    </row>
    <row r="8" spans="1:39" x14ac:dyDescent="0.3">
      <c r="A8" s="5" t="s">
        <v>130</v>
      </c>
      <c r="B8" s="5" t="s">
        <v>148</v>
      </c>
      <c r="C8" s="17">
        <v>44880</v>
      </c>
      <c r="D8" s="3">
        <v>32.200000000000003</v>
      </c>
      <c r="E8" s="3">
        <v>31.28</v>
      </c>
      <c r="F8" s="3">
        <v>1.73</v>
      </c>
      <c r="G8" s="6">
        <v>3684.3188779527559</v>
      </c>
      <c r="H8" s="4">
        <v>16.899999999999999</v>
      </c>
      <c r="I8" s="4">
        <v>337.08</v>
      </c>
      <c r="J8" s="4">
        <v>320.18</v>
      </c>
      <c r="K8" s="4">
        <v>308.33999999999997</v>
      </c>
      <c r="L8" s="7">
        <v>3.6979199200449848</v>
      </c>
      <c r="M8" s="6">
        <v>3548.0757162469627</v>
      </c>
      <c r="N8" s="14">
        <v>44883</v>
      </c>
      <c r="O8" s="4">
        <v>14.28</v>
      </c>
      <c r="P8" s="4">
        <v>5.5</v>
      </c>
      <c r="Q8" s="4">
        <v>10.44</v>
      </c>
      <c r="R8" s="8">
        <v>0.37077926525249705</v>
      </c>
      <c r="S8" s="8">
        <v>0.50783774851703867</v>
      </c>
      <c r="T8" s="8">
        <v>0.12138298623046428</v>
      </c>
      <c r="U8" s="6">
        <v>1366.0690465232271</v>
      </c>
      <c r="V8" s="6">
        <v>1871.0362037983498</v>
      </c>
      <c r="W8" s="6">
        <v>3237.1052503215769</v>
      </c>
      <c r="X8" s="6">
        <v>1315.552907130276</v>
      </c>
      <c r="Y8" s="6">
        <v>1801.8467833068369</v>
      </c>
      <c r="Z8" s="6">
        <v>3117.3996904371129</v>
      </c>
      <c r="AB8" s="14">
        <v>44980</v>
      </c>
      <c r="AC8" s="6">
        <v>48.45</v>
      </c>
      <c r="AD8" s="11">
        <v>1.0920000000000001</v>
      </c>
      <c r="AE8" s="6">
        <v>80.800000000000011</v>
      </c>
      <c r="AF8" s="6">
        <v>29.5</v>
      </c>
      <c r="AG8" s="6">
        <v>5.3</v>
      </c>
      <c r="AH8" s="6">
        <v>78.45</v>
      </c>
      <c r="AI8" s="6">
        <v>9.85</v>
      </c>
      <c r="AK8" s="12">
        <v>8</v>
      </c>
      <c r="AL8" s="7">
        <v>0.15000000000000002</v>
      </c>
      <c r="AM8" s="6">
        <v>9.5500000000000007</v>
      </c>
    </row>
    <row r="9" spans="1:39" x14ac:dyDescent="0.3">
      <c r="A9" s="5" t="s">
        <v>131</v>
      </c>
      <c r="B9" s="5" t="s">
        <v>148</v>
      </c>
      <c r="C9" s="17">
        <v>44880</v>
      </c>
      <c r="D9" s="3">
        <v>37.6</v>
      </c>
      <c r="E9" s="3">
        <v>36.68</v>
      </c>
      <c r="F9" s="3">
        <v>1.73</v>
      </c>
      <c r="G9" s="6">
        <v>4287.0247834645661</v>
      </c>
      <c r="H9" s="4">
        <v>16.98</v>
      </c>
      <c r="I9" s="4">
        <v>319.59000000000003</v>
      </c>
      <c r="J9" s="4">
        <v>302.61</v>
      </c>
      <c r="K9" s="4">
        <v>286.94</v>
      </c>
      <c r="L9" s="7">
        <v>5.1782822775189237</v>
      </c>
      <c r="M9" s="6">
        <v>4065.0305388695765</v>
      </c>
      <c r="N9" s="14">
        <v>44883</v>
      </c>
      <c r="O9" s="4">
        <v>16.689999999999998</v>
      </c>
      <c r="P9" s="4">
        <v>6.3800000000000008</v>
      </c>
      <c r="Q9" s="4">
        <v>11.58</v>
      </c>
      <c r="R9" s="8">
        <v>0.36994485958348339</v>
      </c>
      <c r="S9" s="8">
        <v>0.50268255006526474</v>
      </c>
      <c r="T9" s="8">
        <v>0.12737259035125192</v>
      </c>
      <c r="U9" s="6">
        <v>1585.9627815497122</v>
      </c>
      <c r="V9" s="6">
        <v>2155.0125503449576</v>
      </c>
      <c r="W9" s="6">
        <v>3740.9753318946696</v>
      </c>
      <c r="X9" s="6">
        <v>1503.8371519046773</v>
      </c>
      <c r="Y9" s="6">
        <v>2043.4199173721361</v>
      </c>
      <c r="Z9" s="6">
        <v>3547.2570692768131</v>
      </c>
      <c r="AB9" s="14">
        <v>44980</v>
      </c>
      <c r="AC9" s="6">
        <v>48.2</v>
      </c>
      <c r="AD9" s="11">
        <v>1.0819999999999999</v>
      </c>
      <c r="AE9" s="6">
        <v>81.699999999999989</v>
      </c>
      <c r="AF9" s="6">
        <v>29.85</v>
      </c>
      <c r="AG9" s="6">
        <v>5.35</v>
      </c>
      <c r="AH9" s="6">
        <v>77.949999999999989</v>
      </c>
      <c r="AI9" s="6">
        <v>9.9</v>
      </c>
      <c r="AK9" s="12">
        <v>15</v>
      </c>
      <c r="AL9" s="7">
        <v>0.26</v>
      </c>
      <c r="AM9" s="6">
        <v>8.9499999999999993</v>
      </c>
    </row>
    <row r="10" spans="1:39" x14ac:dyDescent="0.3">
      <c r="A10" s="5" t="s">
        <v>132</v>
      </c>
      <c r="B10" s="5" t="s">
        <v>148</v>
      </c>
      <c r="C10" s="17">
        <v>44880</v>
      </c>
      <c r="D10" s="3">
        <v>20.700000000000003</v>
      </c>
      <c r="E10" s="3">
        <v>19.78</v>
      </c>
      <c r="F10" s="3">
        <v>1.73</v>
      </c>
      <c r="G10" s="6">
        <v>2400.7785236220475</v>
      </c>
      <c r="H10" s="4">
        <v>16.920000000000002</v>
      </c>
      <c r="I10" s="4">
        <v>280.38</v>
      </c>
      <c r="J10" s="4">
        <v>263.45999999999998</v>
      </c>
      <c r="K10" s="4">
        <v>249.97</v>
      </c>
      <c r="L10" s="7">
        <v>5.1203218704926678</v>
      </c>
      <c r="M10" s="6">
        <v>2277.8509358149367</v>
      </c>
      <c r="N10" s="14">
        <v>44883</v>
      </c>
      <c r="O10" s="4">
        <v>9.07</v>
      </c>
      <c r="P10" s="4">
        <v>3.5</v>
      </c>
      <c r="Q10" s="4">
        <v>7.66</v>
      </c>
      <c r="R10" s="8">
        <v>0.36289270214177516</v>
      </c>
      <c r="S10" s="8">
        <v>0.49233213730062481</v>
      </c>
      <c r="T10" s="8">
        <v>0.14477516055760004</v>
      </c>
      <c r="U10" s="6">
        <v>871.2250056811464</v>
      </c>
      <c r="V10" s="6">
        <v>1181.9804217202811</v>
      </c>
      <c r="W10" s="6">
        <v>2053.2054274014276</v>
      </c>
      <c r="X10" s="6">
        <v>826.61548117405368</v>
      </c>
      <c r="Y10" s="6">
        <v>1121.459219681996</v>
      </c>
      <c r="Z10" s="6">
        <v>1948.0747008560497</v>
      </c>
      <c r="AB10" s="14">
        <v>44980</v>
      </c>
      <c r="AC10" s="6">
        <v>53.45</v>
      </c>
      <c r="AD10" s="11">
        <v>1.036</v>
      </c>
      <c r="AE10" s="6">
        <v>80.099999999999994</v>
      </c>
      <c r="AF10" s="6">
        <v>27.75</v>
      </c>
      <c r="AG10" s="6">
        <v>5.45</v>
      </c>
      <c r="AH10" s="6">
        <v>76.099999999999994</v>
      </c>
      <c r="AI10" s="6">
        <v>10.100000000000001</v>
      </c>
      <c r="AK10" s="12">
        <v>6</v>
      </c>
      <c r="AL10" s="7">
        <v>0.115</v>
      </c>
      <c r="AM10" s="6">
        <v>9.6</v>
      </c>
    </row>
    <row r="11" spans="1:39" x14ac:dyDescent="0.3">
      <c r="A11" s="5" t="s">
        <v>133</v>
      </c>
      <c r="B11" s="5" t="s">
        <v>148</v>
      </c>
      <c r="C11" s="17">
        <v>44880</v>
      </c>
      <c r="D11" s="3">
        <v>11</v>
      </c>
      <c r="E11" s="3">
        <v>10.08</v>
      </c>
      <c r="F11" s="3">
        <v>1.73</v>
      </c>
      <c r="G11" s="6">
        <v>1318.1401377952757</v>
      </c>
      <c r="H11" s="4">
        <v>16.850000000000001</v>
      </c>
      <c r="I11" s="4">
        <v>301.85000000000002</v>
      </c>
      <c r="J11" s="4">
        <v>285</v>
      </c>
      <c r="K11" s="4">
        <v>267.89999999999998</v>
      </c>
      <c r="L11" s="7">
        <v>6.000000000000008</v>
      </c>
      <c r="M11" s="6">
        <v>1239.051729527559</v>
      </c>
      <c r="N11" s="14">
        <v>44883</v>
      </c>
      <c r="O11" s="4">
        <v>4.7699999999999996</v>
      </c>
      <c r="P11" s="4">
        <v>1.88</v>
      </c>
      <c r="Q11" s="4">
        <v>5.6400000000000006</v>
      </c>
      <c r="R11" s="8">
        <v>0.34920890948821198</v>
      </c>
      <c r="S11" s="8">
        <v>0.51462365608789151</v>
      </c>
      <c r="T11" s="8">
        <v>0.13616743442389645</v>
      </c>
      <c r="U11" s="6">
        <v>460.30628007212971</v>
      </c>
      <c r="V11" s="6">
        <v>678.34609694840185</v>
      </c>
      <c r="W11" s="6">
        <v>1138.6523770205315</v>
      </c>
      <c r="X11" s="6">
        <v>432.68790326780186</v>
      </c>
      <c r="Y11" s="6">
        <v>637.64533113149776</v>
      </c>
      <c r="Z11" s="6">
        <v>1070.3332343992997</v>
      </c>
      <c r="AB11" s="14">
        <v>44980</v>
      </c>
      <c r="AC11" s="6">
        <v>54</v>
      </c>
      <c r="AD11" s="11">
        <v>1.036</v>
      </c>
      <c r="AE11" s="6">
        <v>79.7</v>
      </c>
      <c r="AF11" s="6">
        <v>28.75</v>
      </c>
      <c r="AG11" s="6">
        <v>5.3</v>
      </c>
      <c r="AH11" s="6">
        <v>76.3</v>
      </c>
      <c r="AI11" s="6">
        <v>9.8000000000000007</v>
      </c>
      <c r="AK11" s="12">
        <v>12.5</v>
      </c>
      <c r="AL11" s="7">
        <v>0.33999999999999997</v>
      </c>
      <c r="AM11" s="6">
        <v>10.1</v>
      </c>
    </row>
    <row r="12" spans="1:39" x14ac:dyDescent="0.3">
      <c r="A12" s="5" t="s">
        <v>134</v>
      </c>
      <c r="B12" s="5" t="s">
        <v>148</v>
      </c>
      <c r="C12" s="17">
        <v>44880</v>
      </c>
      <c r="D12" s="3">
        <v>26.400000000000002</v>
      </c>
      <c r="E12" s="3">
        <v>25.48</v>
      </c>
      <c r="F12" s="3">
        <v>1.73</v>
      </c>
      <c r="G12" s="6">
        <v>3036.9680905511809</v>
      </c>
      <c r="H12" s="4">
        <v>16.939999999999998</v>
      </c>
      <c r="I12" s="4">
        <v>302.68</v>
      </c>
      <c r="J12" s="4">
        <v>285.74</v>
      </c>
      <c r="K12" s="4">
        <v>270.76</v>
      </c>
      <c r="L12" s="7">
        <v>5.2425281724644845</v>
      </c>
      <c r="M12" s="6">
        <v>2877.7541828152785</v>
      </c>
      <c r="N12" s="14">
        <v>44883</v>
      </c>
      <c r="O12" s="4">
        <v>11.74</v>
      </c>
      <c r="P12" s="4">
        <v>4.5199999999999996</v>
      </c>
      <c r="Q12" s="4">
        <v>9.0399999999999991</v>
      </c>
      <c r="R12" s="8">
        <v>0.36740368505330862</v>
      </c>
      <c r="S12" s="8">
        <v>0.49811461146650493</v>
      </c>
      <c r="T12" s="8">
        <v>0.1344817034801864</v>
      </c>
      <c r="U12" s="6">
        <v>1115.793267857814</v>
      </c>
      <c r="V12" s="6">
        <v>1512.7581804610747</v>
      </c>
      <c r="W12" s="6">
        <v>2628.551448318889</v>
      </c>
      <c r="X12" s="6">
        <v>1057.297491443906</v>
      </c>
      <c r="Y12" s="6">
        <v>1433.4514066691418</v>
      </c>
      <c r="Z12" s="6">
        <v>2490.7488981130477</v>
      </c>
      <c r="AB12" s="14">
        <v>44980</v>
      </c>
      <c r="AC12" s="6">
        <v>48.849999999999994</v>
      </c>
      <c r="AD12" s="11">
        <v>1.0805</v>
      </c>
      <c r="AE12" s="6">
        <v>80.5</v>
      </c>
      <c r="AF12" s="6">
        <v>29.6</v>
      </c>
      <c r="AG12" s="6">
        <v>5.1999999999999993</v>
      </c>
      <c r="AH12" s="6">
        <v>77.5</v>
      </c>
      <c r="AI12" s="6">
        <v>10.35</v>
      </c>
      <c r="AK12" s="12">
        <v>11</v>
      </c>
      <c r="AL12" s="7">
        <v>0.16</v>
      </c>
      <c r="AM12" s="6">
        <v>9.1</v>
      </c>
    </row>
    <row r="13" spans="1:39" x14ac:dyDescent="0.3">
      <c r="A13" s="5" t="s">
        <v>135</v>
      </c>
      <c r="B13" s="5" t="s">
        <v>148</v>
      </c>
      <c r="C13" s="17">
        <v>44880</v>
      </c>
      <c r="D13" s="3">
        <v>46.5</v>
      </c>
      <c r="E13" s="3">
        <v>45.58</v>
      </c>
      <c r="F13" s="3">
        <v>1.73</v>
      </c>
      <c r="G13" s="6">
        <v>5280.3734055118102</v>
      </c>
      <c r="H13" s="4">
        <v>16.869999999999997</v>
      </c>
      <c r="I13" s="4">
        <v>369.89</v>
      </c>
      <c r="J13" s="4">
        <v>353.02</v>
      </c>
      <c r="K13" s="4">
        <v>334.75</v>
      </c>
      <c r="L13" s="7">
        <v>5.1753441731346621</v>
      </c>
      <c r="M13" s="6">
        <v>5007.0959081499022</v>
      </c>
      <c r="N13" s="14">
        <v>44883</v>
      </c>
      <c r="O13" s="4">
        <v>20.67</v>
      </c>
      <c r="P13" s="4">
        <v>7.76</v>
      </c>
      <c r="Q13" s="4">
        <v>13.52</v>
      </c>
      <c r="R13" s="8">
        <v>0.3653834646925731</v>
      </c>
      <c r="S13" s="8">
        <v>0.49968657603903244</v>
      </c>
      <c r="T13" s="8">
        <v>0.13492995926839446</v>
      </c>
      <c r="U13" s="6">
        <v>1929.3611297764264</v>
      </c>
      <c r="V13" s="6">
        <v>2638.5317072077619</v>
      </c>
      <c r="W13" s="6">
        <v>4567.8928369841888</v>
      </c>
      <c r="X13" s="6">
        <v>1829.5100509678171</v>
      </c>
      <c r="Y13" s="6">
        <v>2501.9786102424741</v>
      </c>
      <c r="Z13" s="6">
        <v>4331.488661210291</v>
      </c>
      <c r="AB13" s="14">
        <v>44980</v>
      </c>
      <c r="AC13" s="6">
        <v>48.65</v>
      </c>
      <c r="AD13" s="11">
        <v>1.1194999999999999</v>
      </c>
      <c r="AE13" s="6">
        <v>80.449999999999989</v>
      </c>
      <c r="AF13" s="6">
        <v>30.65</v>
      </c>
      <c r="AG13" s="6">
        <v>5.3</v>
      </c>
      <c r="AH13" s="6">
        <v>78.550000000000011</v>
      </c>
      <c r="AI13" s="6">
        <v>9.5</v>
      </c>
      <c r="AK13" s="12">
        <v>7</v>
      </c>
      <c r="AL13" s="7">
        <v>0.09</v>
      </c>
      <c r="AM13" s="6">
        <v>9.0500000000000007</v>
      </c>
    </row>
    <row r="14" spans="1:39" x14ac:dyDescent="0.3">
      <c r="A14" s="5" t="s">
        <v>136</v>
      </c>
      <c r="B14" s="5" t="s">
        <v>148</v>
      </c>
      <c r="C14" s="17">
        <v>44880</v>
      </c>
      <c r="D14" s="3">
        <v>17</v>
      </c>
      <c r="E14" s="3">
        <v>16.079999999999998</v>
      </c>
      <c r="F14" s="3">
        <v>1.73</v>
      </c>
      <c r="G14" s="6">
        <v>1987.8133661417321</v>
      </c>
      <c r="H14" s="4">
        <v>17.03</v>
      </c>
      <c r="I14" s="4">
        <v>291.55</v>
      </c>
      <c r="J14" s="4">
        <v>274.52</v>
      </c>
      <c r="K14" s="4">
        <v>259.54000000000002</v>
      </c>
      <c r="L14" s="7">
        <v>5.4567973189567107</v>
      </c>
      <c r="M14" s="6">
        <v>1879.3424196722469</v>
      </c>
      <c r="N14" s="14">
        <v>44883</v>
      </c>
      <c r="O14" s="4">
        <v>7.3999999999999995</v>
      </c>
      <c r="P14" s="4">
        <v>2.88</v>
      </c>
      <c r="Q14" s="4">
        <v>6.9</v>
      </c>
      <c r="R14" s="8">
        <v>0.36089215841144762</v>
      </c>
      <c r="S14" s="8">
        <v>0.5012391089047884</v>
      </c>
      <c r="T14" s="8">
        <v>0.13786873268376398</v>
      </c>
      <c r="U14" s="6">
        <v>717.38625622601489</v>
      </c>
      <c r="V14" s="6">
        <v>996.36980031390965</v>
      </c>
      <c r="W14" s="6">
        <v>1713.7560565399244</v>
      </c>
      <c r="X14" s="6">
        <v>678.23994222970975</v>
      </c>
      <c r="Y14" s="6">
        <v>941.99991976348588</v>
      </c>
      <c r="Z14" s="6">
        <v>1620.2398619931955</v>
      </c>
      <c r="AB14" s="14">
        <v>44980</v>
      </c>
      <c r="AC14" s="6">
        <v>52.199999999999996</v>
      </c>
      <c r="AD14" s="11">
        <v>1.0354999999999999</v>
      </c>
      <c r="AE14" s="6">
        <v>80</v>
      </c>
      <c r="AF14" s="6">
        <v>28.299999999999997</v>
      </c>
      <c r="AG14" s="6">
        <v>5.35</v>
      </c>
      <c r="AH14" s="6">
        <v>76.05</v>
      </c>
      <c r="AI14" s="6">
        <v>10.1</v>
      </c>
      <c r="AK14" s="12">
        <v>12</v>
      </c>
      <c r="AL14" s="7">
        <v>0.31</v>
      </c>
      <c r="AM14" s="6">
        <v>9.4</v>
      </c>
    </row>
    <row r="15" spans="1:39" x14ac:dyDescent="0.3">
      <c r="A15" s="5" t="s">
        <v>137</v>
      </c>
      <c r="B15" s="5" t="s">
        <v>148</v>
      </c>
      <c r="C15" s="17">
        <v>44880</v>
      </c>
      <c r="D15" s="3">
        <v>25.299999999999997</v>
      </c>
      <c r="E15" s="3">
        <v>24.379999999999995</v>
      </c>
      <c r="F15" s="3">
        <v>1.7987499999999998</v>
      </c>
      <c r="G15" s="6">
        <v>2921.8680044291327</v>
      </c>
      <c r="H15" s="4">
        <v>16.98</v>
      </c>
      <c r="I15" s="4">
        <v>414.73</v>
      </c>
      <c r="J15" s="4">
        <v>397.75</v>
      </c>
      <c r="K15" s="4">
        <v>374.17</v>
      </c>
      <c r="L15" s="7">
        <v>5.9283469516027614</v>
      </c>
      <c r="M15" s="6">
        <v>2748.649531658702</v>
      </c>
      <c r="N15" s="14">
        <v>44883</v>
      </c>
      <c r="O15" s="4">
        <v>10.99</v>
      </c>
      <c r="P15" s="4">
        <v>4.28</v>
      </c>
      <c r="Q15" s="4">
        <v>8.58</v>
      </c>
      <c r="R15" s="8">
        <v>0.37076638137429507</v>
      </c>
      <c r="S15" s="8">
        <v>0.48994128967317557</v>
      </c>
      <c r="T15" s="8">
        <v>0.13929232895252935</v>
      </c>
      <c r="U15" s="6">
        <v>1083.3304268555223</v>
      </c>
      <c r="V15" s="6">
        <v>1431.5437783447971</v>
      </c>
      <c r="W15" s="6">
        <v>2514.8742052003195</v>
      </c>
      <c r="X15" s="6">
        <v>1019.1068405192478</v>
      </c>
      <c r="Y15" s="6">
        <v>1346.6768964004345</v>
      </c>
      <c r="Z15" s="6">
        <v>2365.7837369196823</v>
      </c>
      <c r="AB15" s="14">
        <v>44980</v>
      </c>
      <c r="AC15" s="6">
        <v>56.35</v>
      </c>
      <c r="AD15" s="11">
        <v>1.024</v>
      </c>
      <c r="AE15" s="6">
        <v>79.599999999999994</v>
      </c>
      <c r="AF15" s="6">
        <v>28.1</v>
      </c>
      <c r="AG15" s="6">
        <v>5.35</v>
      </c>
      <c r="AH15" s="6">
        <v>76.300000000000011</v>
      </c>
      <c r="AI15" s="6">
        <v>10.1</v>
      </c>
      <c r="AK15" s="12">
        <v>10.5</v>
      </c>
      <c r="AL15" s="7">
        <v>0.16499999999999998</v>
      </c>
      <c r="AM15" s="6">
        <v>10.45</v>
      </c>
    </row>
    <row r="16" spans="1:39" x14ac:dyDescent="0.3">
      <c r="A16" s="5" t="s">
        <v>138</v>
      </c>
      <c r="B16" s="5" t="s">
        <v>148</v>
      </c>
      <c r="C16" s="17">
        <v>44880</v>
      </c>
      <c r="D16" s="3">
        <v>31.299999999999997</v>
      </c>
      <c r="E16" s="3">
        <v>30.379999999999995</v>
      </c>
      <c r="F16" s="3">
        <v>1.7987499999999998</v>
      </c>
      <c r="G16" s="6">
        <v>3591.5412327755898</v>
      </c>
      <c r="H16" s="4">
        <v>17.059999999999999</v>
      </c>
      <c r="I16" s="4">
        <v>411.68</v>
      </c>
      <c r="J16" s="4">
        <v>394.62</v>
      </c>
      <c r="K16" s="4">
        <v>373.89</v>
      </c>
      <c r="L16" s="7">
        <v>5.2531549338604275</v>
      </c>
      <c r="M16" s="6">
        <v>3402.8720073044074</v>
      </c>
      <c r="N16" s="14">
        <v>44883</v>
      </c>
      <c r="O16" s="4">
        <v>13.73</v>
      </c>
      <c r="P16" s="4">
        <v>5.32</v>
      </c>
      <c r="Q16" s="4">
        <v>10.039999999999999</v>
      </c>
      <c r="R16" s="8">
        <v>0.37257669208769451</v>
      </c>
      <c r="S16" s="8">
        <v>0.49877202327868775</v>
      </c>
      <c r="T16" s="8">
        <v>0.12865128463361775</v>
      </c>
      <c r="U16" s="6">
        <v>1338.1245520040898</v>
      </c>
      <c r="V16" s="6">
        <v>1791.3602873603134</v>
      </c>
      <c r="W16" s="6">
        <v>3129.4848393644033</v>
      </c>
      <c r="X16" s="6">
        <v>1267.830796079289</v>
      </c>
      <c r="Y16" s="6">
        <v>1697.2573560416288</v>
      </c>
      <c r="Z16" s="6">
        <v>2965.0881521209176</v>
      </c>
      <c r="AB16" s="14">
        <v>44980</v>
      </c>
      <c r="AC16" s="6">
        <v>52.9</v>
      </c>
      <c r="AD16" s="11">
        <v>1.0499999999999998</v>
      </c>
      <c r="AE16" s="6">
        <v>79.849999999999994</v>
      </c>
      <c r="AF16" s="6">
        <v>28.35</v>
      </c>
      <c r="AG16" s="6">
        <v>5.4</v>
      </c>
      <c r="AH16" s="6">
        <v>77.25</v>
      </c>
      <c r="AI16" s="6">
        <v>9.9499999999999993</v>
      </c>
      <c r="AK16" s="12">
        <v>4.5</v>
      </c>
      <c r="AL16" s="7">
        <v>6.0000000000000005E-2</v>
      </c>
      <c r="AM16" s="6">
        <v>10</v>
      </c>
    </row>
    <row r="17" spans="1:39" x14ac:dyDescent="0.3">
      <c r="A17" s="5" t="s">
        <v>139</v>
      </c>
      <c r="B17" s="5" t="s">
        <v>148</v>
      </c>
      <c r="C17" s="17">
        <v>44880</v>
      </c>
      <c r="D17" s="3">
        <v>19.399999999999999</v>
      </c>
      <c r="E17" s="3">
        <v>18.479999999999997</v>
      </c>
      <c r="F17" s="3">
        <v>1.7987499999999998</v>
      </c>
      <c r="G17" s="6">
        <v>2263.3559965551176</v>
      </c>
      <c r="H17" s="4">
        <v>16.939999999999998</v>
      </c>
      <c r="I17" s="4">
        <v>437.52</v>
      </c>
      <c r="J17" s="4">
        <v>420.58</v>
      </c>
      <c r="K17" s="4">
        <v>395.73</v>
      </c>
      <c r="L17" s="7">
        <v>5.9085072994436176</v>
      </c>
      <c r="M17" s="6">
        <v>2129.6254422862635</v>
      </c>
      <c r="N17" s="14">
        <v>44883</v>
      </c>
      <c r="O17" s="4">
        <v>8.36</v>
      </c>
      <c r="P17" s="4">
        <v>3.2800000000000002</v>
      </c>
      <c r="Q17" s="4">
        <v>7.34</v>
      </c>
      <c r="R17" s="8">
        <v>0.36763338736436202</v>
      </c>
      <c r="S17" s="8">
        <v>0.49605326925191301</v>
      </c>
      <c r="T17" s="8">
        <v>0.13631334338372497</v>
      </c>
      <c r="U17" s="6">
        <v>832.08523182499914</v>
      </c>
      <c r="V17" s="6">
        <v>1122.7451415720877</v>
      </c>
      <c r="W17" s="6">
        <v>1954.830373397087</v>
      </c>
      <c r="X17" s="6">
        <v>782.9214151650267</v>
      </c>
      <c r="Y17" s="6">
        <v>1056.4076629281521</v>
      </c>
      <c r="Z17" s="6">
        <v>1839.3290780931789</v>
      </c>
      <c r="AB17" s="14">
        <v>44980</v>
      </c>
      <c r="AC17" s="6">
        <v>54.400000000000006</v>
      </c>
      <c r="AD17" s="11">
        <v>1.0125</v>
      </c>
      <c r="AE17" s="6">
        <v>79.7</v>
      </c>
      <c r="AF17" s="6">
        <v>27.3</v>
      </c>
      <c r="AG17" s="6">
        <v>5.4</v>
      </c>
      <c r="AH17" s="6">
        <v>76.55</v>
      </c>
      <c r="AI17" s="6">
        <v>10.1</v>
      </c>
      <c r="AK17" s="12">
        <v>8</v>
      </c>
      <c r="AL17" s="7">
        <v>0.13</v>
      </c>
      <c r="AM17" s="6">
        <v>10.15</v>
      </c>
    </row>
    <row r="18" spans="1:39" x14ac:dyDescent="0.3">
      <c r="A18" s="5" t="s">
        <v>140</v>
      </c>
      <c r="B18" s="5" t="s">
        <v>148</v>
      </c>
      <c r="C18" s="17">
        <v>44880</v>
      </c>
      <c r="D18" s="3">
        <v>40.6</v>
      </c>
      <c r="E18" s="3">
        <v>39.68</v>
      </c>
      <c r="F18" s="3">
        <v>1.7987499999999998</v>
      </c>
      <c r="G18" s="6">
        <v>4629.5347367125987</v>
      </c>
      <c r="H18" s="4">
        <v>16.899999999999999</v>
      </c>
      <c r="I18" s="4">
        <v>361.12</v>
      </c>
      <c r="J18" s="4">
        <v>344.22</v>
      </c>
      <c r="K18" s="4">
        <v>325.83</v>
      </c>
      <c r="L18" s="7">
        <v>5.3425135088025222</v>
      </c>
      <c r="M18" s="6">
        <v>4382.2012180090223</v>
      </c>
      <c r="N18" s="14">
        <v>44883</v>
      </c>
      <c r="O18" s="4">
        <v>18.03</v>
      </c>
      <c r="P18" s="4">
        <v>6.94</v>
      </c>
      <c r="Q18" s="4">
        <v>12.24</v>
      </c>
      <c r="R18" s="8">
        <v>0.37359415271235352</v>
      </c>
      <c r="S18" s="8">
        <v>0.50191068540687001</v>
      </c>
      <c r="T18" s="8">
        <v>0.12449516188077647</v>
      </c>
      <c r="U18" s="6">
        <v>1729.5671074145519</v>
      </c>
      <c r="V18" s="6">
        <v>2323.6129528183337</v>
      </c>
      <c r="W18" s="6">
        <v>4053.1800602328858</v>
      </c>
      <c r="X18" s="6">
        <v>1637.1647510571242</v>
      </c>
      <c r="Y18" s="6">
        <v>2199.473616921729</v>
      </c>
      <c r="Z18" s="6">
        <v>3836.6383679788532</v>
      </c>
      <c r="AB18" s="14">
        <v>44980</v>
      </c>
      <c r="AC18" s="6">
        <v>49.1</v>
      </c>
      <c r="AD18" s="11">
        <v>1.0720000000000001</v>
      </c>
      <c r="AE18" s="6">
        <v>79.55</v>
      </c>
      <c r="AF18" s="6">
        <v>28.6</v>
      </c>
      <c r="AG18" s="6">
        <v>5.55</v>
      </c>
      <c r="AH18" s="6">
        <v>78.099999999999994</v>
      </c>
      <c r="AI18" s="6">
        <v>9.6</v>
      </c>
      <c r="AK18" s="12">
        <v>13</v>
      </c>
      <c r="AL18" s="7">
        <v>0.11000000000000001</v>
      </c>
      <c r="AM18" s="6">
        <v>10</v>
      </c>
    </row>
    <row r="19" spans="1:39" x14ac:dyDescent="0.3">
      <c r="A19" s="5" t="s">
        <v>141</v>
      </c>
      <c r="B19" s="5" t="s">
        <v>148</v>
      </c>
      <c r="C19" s="17">
        <v>44880</v>
      </c>
      <c r="D19" s="3">
        <v>21.5</v>
      </c>
      <c r="E19" s="3">
        <v>20.58</v>
      </c>
      <c r="F19" s="3">
        <v>1.7987499999999998</v>
      </c>
      <c r="G19" s="6">
        <v>2497.7416264763779</v>
      </c>
      <c r="H19" s="4">
        <v>17.060000000000002</v>
      </c>
      <c r="I19" s="4">
        <v>311.5</v>
      </c>
      <c r="J19" s="4">
        <v>294.44</v>
      </c>
      <c r="K19" s="4">
        <v>277.47000000000003</v>
      </c>
      <c r="L19" s="7">
        <v>5.7634832223882526</v>
      </c>
      <c r="M19" s="6">
        <v>2353.7847068958044</v>
      </c>
      <c r="N19" s="14">
        <v>44883</v>
      </c>
      <c r="O19" s="4">
        <v>9.43</v>
      </c>
      <c r="P19" s="4">
        <v>3.7</v>
      </c>
      <c r="Q19" s="4">
        <v>7.86</v>
      </c>
      <c r="R19" s="8">
        <v>0.3705883608164029</v>
      </c>
      <c r="S19" s="8">
        <v>0.4948575117488494</v>
      </c>
      <c r="T19" s="8">
        <v>0.13455412743474771</v>
      </c>
      <c r="U19" s="6">
        <v>925.633975098777</v>
      </c>
      <c r="V19" s="6">
        <v>1236.0262062696243</v>
      </c>
      <c r="W19" s="6">
        <v>2161.660181368401</v>
      </c>
      <c r="X19" s="6">
        <v>872.28521624323355</v>
      </c>
      <c r="Y19" s="6">
        <v>1164.7880432469526</v>
      </c>
      <c r="Z19" s="6">
        <v>2037.073259490186</v>
      </c>
      <c r="AB19" s="14">
        <v>44980</v>
      </c>
      <c r="AC19" s="6">
        <v>53.45</v>
      </c>
      <c r="AD19" s="11">
        <v>1.0305</v>
      </c>
      <c r="AE19" s="6">
        <v>80</v>
      </c>
      <c r="AF19" s="6">
        <v>28.3</v>
      </c>
      <c r="AG19" s="6">
        <v>5.25</v>
      </c>
      <c r="AH19" s="6">
        <v>76.8</v>
      </c>
      <c r="AI19" s="6">
        <v>9.9499999999999993</v>
      </c>
      <c r="AK19" s="12">
        <v>9</v>
      </c>
      <c r="AL19" s="7">
        <v>0.105</v>
      </c>
      <c r="AM19" s="6">
        <v>9.65</v>
      </c>
    </row>
    <row r="20" spans="1:39" x14ac:dyDescent="0.3">
      <c r="A20" s="5" t="s">
        <v>142</v>
      </c>
      <c r="B20" s="5" t="s">
        <v>148</v>
      </c>
      <c r="C20" s="17">
        <v>44880</v>
      </c>
      <c r="D20" s="3">
        <v>40.200000000000003</v>
      </c>
      <c r="E20" s="3">
        <v>39.28</v>
      </c>
      <c r="F20" s="3">
        <v>1.7987499999999998</v>
      </c>
      <c r="G20" s="6">
        <v>4584.8898548228344</v>
      </c>
      <c r="H20" s="4">
        <v>16.869999999999997</v>
      </c>
      <c r="I20" s="4">
        <v>319.41999999999996</v>
      </c>
      <c r="J20" s="4">
        <v>302.54999999999995</v>
      </c>
      <c r="K20" s="4">
        <v>286.74</v>
      </c>
      <c r="L20" s="7">
        <v>5.2255825483390996</v>
      </c>
      <c r="M20" s="6">
        <v>4345.3026507086424</v>
      </c>
      <c r="N20" s="14">
        <v>44883</v>
      </c>
      <c r="O20" s="4">
        <v>17.93</v>
      </c>
      <c r="P20" s="4">
        <v>6.9</v>
      </c>
      <c r="Q20" s="4">
        <v>12.32</v>
      </c>
      <c r="R20" s="8">
        <v>0.37344337154049601</v>
      </c>
      <c r="S20" s="8">
        <v>0.50934478197878053</v>
      </c>
      <c r="T20" s="8">
        <v>0.11721184648072347</v>
      </c>
      <c r="U20" s="6">
        <v>1712.1967255268546</v>
      </c>
      <c r="V20" s="6">
        <v>2335.2897235014593</v>
      </c>
      <c r="W20" s="6">
        <v>4047.4864490283139</v>
      </c>
      <c r="X20" s="6">
        <v>1622.7244722444898</v>
      </c>
      <c r="Y20" s="6">
        <v>2213.2572312570105</v>
      </c>
      <c r="Z20" s="6">
        <v>3835.9817035015003</v>
      </c>
      <c r="AB20" s="14">
        <v>44980</v>
      </c>
      <c r="AC20" s="6">
        <v>48.099999999999994</v>
      </c>
      <c r="AD20" s="11">
        <v>1.1145</v>
      </c>
      <c r="AE20" s="6">
        <v>80.05</v>
      </c>
      <c r="AF20" s="6">
        <v>29.2</v>
      </c>
      <c r="AG20" s="6">
        <v>5.4</v>
      </c>
      <c r="AH20" s="6">
        <v>78.650000000000006</v>
      </c>
      <c r="AI20" s="6">
        <v>9.35</v>
      </c>
      <c r="AK20" s="12">
        <v>9</v>
      </c>
      <c r="AL20" s="7">
        <v>0.1</v>
      </c>
      <c r="AM20" s="6">
        <v>9.3000000000000007</v>
      </c>
    </row>
    <row r="21" spans="1:39" x14ac:dyDescent="0.3">
      <c r="A21" s="5" t="s">
        <v>143</v>
      </c>
      <c r="B21" s="5" t="s">
        <v>148</v>
      </c>
      <c r="C21" s="17">
        <v>44880</v>
      </c>
      <c r="D21" s="3">
        <v>39</v>
      </c>
      <c r="E21" s="3">
        <v>38.08</v>
      </c>
      <c r="F21" s="3">
        <v>1.7987499999999998</v>
      </c>
      <c r="G21" s="6">
        <v>4450.9552091535434</v>
      </c>
      <c r="H21" s="4">
        <v>17.149999999999999</v>
      </c>
      <c r="I21" s="4">
        <v>339.62</v>
      </c>
      <c r="J21" s="4">
        <v>322.47000000000003</v>
      </c>
      <c r="K21" s="4">
        <v>305.02</v>
      </c>
      <c r="L21" s="7">
        <v>5.411356095140647</v>
      </c>
      <c r="M21" s="6">
        <v>4210.0981731510328</v>
      </c>
      <c r="N21" s="14">
        <v>44883</v>
      </c>
      <c r="O21" s="4">
        <v>17.22</v>
      </c>
      <c r="P21" s="4">
        <v>6.58</v>
      </c>
      <c r="Q21" s="4">
        <v>11.600000000000001</v>
      </c>
      <c r="R21" s="8">
        <v>0.37017870447185208</v>
      </c>
      <c r="S21" s="8">
        <v>0.48801694158668613</v>
      </c>
      <c r="T21" s="8">
        <v>0.14180435394146179</v>
      </c>
      <c r="U21" s="6">
        <v>1647.6488329867002</v>
      </c>
      <c r="V21" s="6">
        <v>2172.1415483104411</v>
      </c>
      <c r="W21" s="6">
        <v>3819.7903812971413</v>
      </c>
      <c r="X21" s="6">
        <v>1558.4886874363606</v>
      </c>
      <c r="Y21" s="6">
        <v>2054.5992342408617</v>
      </c>
      <c r="Z21" s="6">
        <v>3613.0879216772223</v>
      </c>
      <c r="AB21" s="14">
        <v>44980</v>
      </c>
      <c r="AC21" s="6">
        <v>53.25</v>
      </c>
      <c r="AD21" s="11">
        <v>1.04</v>
      </c>
      <c r="AE21" s="6">
        <v>79.5</v>
      </c>
      <c r="AF21" s="6">
        <v>28.6</v>
      </c>
      <c r="AG21" s="6">
        <v>5.5</v>
      </c>
      <c r="AH21" s="6">
        <v>77.45</v>
      </c>
      <c r="AI21" s="6">
        <v>9.75</v>
      </c>
      <c r="AK21" s="12">
        <v>16.5</v>
      </c>
      <c r="AL21" s="7">
        <v>0.185</v>
      </c>
      <c r="AM21" s="6">
        <v>10.8</v>
      </c>
    </row>
    <row r="22" spans="1:39" x14ac:dyDescent="0.3">
      <c r="A22" s="5" t="s">
        <v>144</v>
      </c>
      <c r="B22" s="5" t="s">
        <v>148</v>
      </c>
      <c r="C22" s="17">
        <v>44880</v>
      </c>
      <c r="D22" s="3">
        <v>11.3</v>
      </c>
      <c r="E22" s="3">
        <v>10.38</v>
      </c>
      <c r="F22" s="3">
        <v>1.7987499999999998</v>
      </c>
      <c r="G22" s="6">
        <v>1359.2971382874016</v>
      </c>
      <c r="H22" s="4">
        <v>17.29</v>
      </c>
      <c r="I22" s="4">
        <v>304.58</v>
      </c>
      <c r="J22" s="4">
        <v>287.28999999999996</v>
      </c>
      <c r="K22" s="4">
        <v>268.62</v>
      </c>
      <c r="L22" s="7">
        <v>6.4986598907027613</v>
      </c>
      <c r="M22" s="6">
        <v>1270.9610403660477</v>
      </c>
      <c r="N22" s="14">
        <v>44883</v>
      </c>
      <c r="O22" s="4">
        <v>4.74</v>
      </c>
      <c r="P22" s="4">
        <v>1.92</v>
      </c>
      <c r="Q22" s="4">
        <v>5.62</v>
      </c>
      <c r="R22" s="8">
        <v>0.36088594501371479</v>
      </c>
      <c r="S22" s="8">
        <v>0.5135684602118249</v>
      </c>
      <c r="T22" s="8">
        <v>0.12554559477446037</v>
      </c>
      <c r="U22" s="6">
        <v>490.5512323052871</v>
      </c>
      <c r="V22" s="6">
        <v>698.09213828060081</v>
      </c>
      <c r="W22" s="6">
        <v>1188.6433705858879</v>
      </c>
      <c r="X22" s="6">
        <v>458.6719761281152</v>
      </c>
      <c r="Y22" s="6">
        <v>652.72550449001017</v>
      </c>
      <c r="Z22" s="6">
        <v>1111.3974806181254</v>
      </c>
      <c r="AB22" s="14">
        <v>44980</v>
      </c>
      <c r="AC22" s="6">
        <v>52.8</v>
      </c>
      <c r="AD22" s="11">
        <v>1.022</v>
      </c>
      <c r="AE22" s="6">
        <v>79.599999999999994</v>
      </c>
      <c r="AF22" s="6">
        <v>28.200000000000003</v>
      </c>
      <c r="AG22" s="6">
        <v>5.4499999999999993</v>
      </c>
      <c r="AH22" s="6">
        <v>75.449999999999989</v>
      </c>
      <c r="AI22" s="6">
        <v>10.3</v>
      </c>
      <c r="AK22" s="12">
        <v>9.5</v>
      </c>
      <c r="AL22" s="7">
        <v>0.22499999999999998</v>
      </c>
      <c r="AM22" s="6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Scale</vt:lpstr>
      <vt:lpstr>Plot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2022-05-13T17:57:34Z</dcterms:created>
  <dcterms:modified xsi:type="dcterms:W3CDTF">2023-10-05T16:43:26Z</dcterms:modified>
</cp:coreProperties>
</file>