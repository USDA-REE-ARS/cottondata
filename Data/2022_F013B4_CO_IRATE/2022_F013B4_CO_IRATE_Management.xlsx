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2_F013B4_CO_IRATE\"/>
    </mc:Choice>
  </mc:AlternateContent>
  <xr:revisionPtr revIDLastSave="0" documentId="13_ncr:1_{7B00B4CC-C797-4EE9-A9FB-B7213C73D9A1}" xr6:coauthVersionLast="47" xr6:coauthVersionMax="47" xr10:uidLastSave="{00000000-0000-0000-0000-000000000000}"/>
  <bookViews>
    <workbookView xWindow="-810" yWindow="-24900" windowWidth="17145" windowHeight="19725" tabRatio="756" xr2:uid="{00000000-000D-0000-FFFF-FFFF00000000}"/>
  </bookViews>
  <sheets>
    <sheet name="Irrigation" sheetId="4" r:id="rId1"/>
    <sheet name="Fertigation" sheetId="10" r:id="rId2"/>
    <sheet name="Other" sheetId="2" r:id="rId3"/>
    <sheet name="IrrigationDF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62" i="4" l="1"/>
  <c r="R62" i="4"/>
  <c r="Q62" i="4"/>
  <c r="P62" i="4"/>
  <c r="K62" i="4"/>
  <c r="S61" i="4"/>
  <c r="R61" i="4"/>
  <c r="Q61" i="4"/>
  <c r="P61" i="4"/>
  <c r="K61" i="4"/>
  <c r="S60" i="4"/>
  <c r="R60" i="4"/>
  <c r="Q60" i="4"/>
  <c r="P60" i="4"/>
  <c r="K60" i="4"/>
  <c r="S59" i="4"/>
  <c r="R59" i="4"/>
  <c r="Q59" i="4"/>
  <c r="P59" i="4"/>
  <c r="K59" i="4"/>
  <c r="S58" i="4"/>
  <c r="R58" i="4"/>
  <c r="Q58" i="4"/>
  <c r="P58" i="4"/>
  <c r="K58" i="4"/>
  <c r="S57" i="4"/>
  <c r="R57" i="4"/>
  <c r="Q57" i="4"/>
  <c r="P57" i="4"/>
  <c r="K57" i="4"/>
  <c r="S56" i="4"/>
  <c r="R56" i="4"/>
  <c r="Q56" i="4"/>
  <c r="P56" i="4"/>
  <c r="K56" i="4"/>
  <c r="S55" i="4"/>
  <c r="R55" i="4"/>
  <c r="Q55" i="4"/>
  <c r="P55" i="4"/>
  <c r="K55" i="4"/>
  <c r="S54" i="4"/>
  <c r="R54" i="4"/>
  <c r="Q54" i="4"/>
  <c r="P54" i="4"/>
  <c r="K54" i="4"/>
  <c r="S53" i="4"/>
  <c r="R53" i="4"/>
  <c r="Q53" i="4"/>
  <c r="P53" i="4"/>
  <c r="K53" i="4"/>
  <c r="S52" i="4"/>
  <c r="R52" i="4"/>
  <c r="Q52" i="4"/>
  <c r="P52" i="4"/>
  <c r="K52" i="4"/>
  <c r="S51" i="4"/>
  <c r="R51" i="4"/>
  <c r="Q51" i="4"/>
  <c r="P51" i="4"/>
  <c r="K51" i="4"/>
  <c r="S50" i="4"/>
  <c r="R50" i="4"/>
  <c r="Q50" i="4"/>
  <c r="P50" i="4"/>
  <c r="K50" i="4"/>
  <c r="S49" i="4"/>
  <c r="R49" i="4"/>
  <c r="Q49" i="4"/>
  <c r="P49" i="4"/>
  <c r="K49" i="4"/>
  <c r="K48" i="4"/>
  <c r="S47" i="4"/>
  <c r="R47" i="4"/>
  <c r="Q47" i="4"/>
  <c r="P47" i="4"/>
  <c r="K47" i="4"/>
  <c r="S46" i="4"/>
  <c r="R46" i="4"/>
  <c r="Q46" i="4"/>
  <c r="P46" i="4"/>
  <c r="K46" i="4"/>
  <c r="S45" i="4"/>
  <c r="R45" i="4"/>
  <c r="Q45" i="4"/>
  <c r="P45" i="4"/>
  <c r="K45" i="4"/>
  <c r="S44" i="4"/>
  <c r="R44" i="4"/>
  <c r="Q44" i="4"/>
  <c r="P44" i="4"/>
  <c r="K44" i="4"/>
  <c r="S43" i="4"/>
  <c r="R43" i="4"/>
  <c r="Q43" i="4"/>
  <c r="P43" i="4"/>
  <c r="K43" i="4"/>
  <c r="S42" i="4"/>
  <c r="R42" i="4"/>
  <c r="Q42" i="4"/>
  <c r="P42" i="4"/>
  <c r="K42" i="4"/>
  <c r="S41" i="4"/>
  <c r="R41" i="4"/>
  <c r="Q41" i="4"/>
  <c r="P41" i="4"/>
  <c r="K41" i="4"/>
  <c r="S40" i="4"/>
  <c r="R40" i="4"/>
  <c r="Q40" i="4"/>
  <c r="P40" i="4"/>
  <c r="K40" i="4"/>
  <c r="S39" i="4"/>
  <c r="R39" i="4"/>
  <c r="Q39" i="4"/>
  <c r="P39" i="4"/>
  <c r="K39" i="4"/>
  <c r="S38" i="4"/>
  <c r="R38" i="4"/>
  <c r="Q38" i="4"/>
  <c r="P38" i="4"/>
  <c r="K38" i="4"/>
  <c r="S37" i="4"/>
  <c r="R37" i="4"/>
  <c r="Q37" i="4"/>
  <c r="P37" i="4"/>
  <c r="K37" i="4"/>
  <c r="S36" i="4"/>
  <c r="R36" i="4"/>
  <c r="Q36" i="4"/>
  <c r="P36" i="4"/>
  <c r="K36" i="4"/>
  <c r="S35" i="4"/>
  <c r="R35" i="4"/>
  <c r="Q35" i="4"/>
  <c r="P35" i="4"/>
  <c r="S34" i="4"/>
  <c r="R34" i="4"/>
  <c r="Q34" i="4"/>
  <c r="P34" i="4"/>
  <c r="K34" i="4"/>
  <c r="S33" i="4"/>
  <c r="R33" i="4"/>
  <c r="Q33" i="4"/>
  <c r="P33" i="4"/>
  <c r="K33" i="4"/>
  <c r="S32" i="4"/>
  <c r="R32" i="4"/>
  <c r="Q32" i="4"/>
  <c r="P32" i="4"/>
  <c r="K32" i="4"/>
  <c r="S31" i="4"/>
  <c r="R31" i="4"/>
  <c r="Q31" i="4"/>
  <c r="P31" i="4"/>
  <c r="K31" i="4"/>
  <c r="S30" i="4"/>
  <c r="R30" i="4"/>
  <c r="Q30" i="4"/>
  <c r="P30" i="4"/>
  <c r="K30" i="4"/>
  <c r="S29" i="4"/>
  <c r="R29" i="4"/>
  <c r="Q29" i="4"/>
  <c r="P29" i="4"/>
  <c r="K29" i="4"/>
  <c r="K28" i="4"/>
  <c r="K27" i="4"/>
  <c r="K26" i="4"/>
  <c r="K25" i="4"/>
  <c r="K24" i="4"/>
  <c r="K23" i="4"/>
  <c r="K22" i="4"/>
  <c r="K21" i="4"/>
  <c r="C5" i="4" l="1"/>
  <c r="C4" i="4"/>
  <c r="C3" i="4"/>
  <c r="F62" i="4" l="1"/>
  <c r="F61" i="4"/>
  <c r="F60" i="4"/>
  <c r="F59" i="4"/>
  <c r="F58" i="4"/>
  <c r="F57" i="4"/>
  <c r="F49" i="4" l="1"/>
  <c r="F50" i="4"/>
  <c r="F51" i="4"/>
  <c r="F52" i="4"/>
  <c r="F53" i="4"/>
  <c r="F54" i="4"/>
  <c r="F55" i="4"/>
  <c r="F56" i="4"/>
  <c r="E48" i="4"/>
  <c r="F47" i="4"/>
  <c r="F48" i="4" l="1"/>
  <c r="R48" i="4"/>
  <c r="Q48" i="4"/>
  <c r="P48" i="4"/>
  <c r="S48" i="4"/>
  <c r="K22" i="10"/>
  <c r="F46" i="4"/>
  <c r="F45" i="4"/>
  <c r="F43" i="4"/>
  <c r="F44" i="4"/>
  <c r="E42" i="4"/>
  <c r="F42" i="4" s="1"/>
  <c r="K17" i="10"/>
  <c r="F41" i="4"/>
  <c r="F40" i="4" l="1"/>
  <c r="F39" i="4"/>
  <c r="F38" i="4"/>
  <c r="F37" i="4"/>
  <c r="F36" i="4"/>
  <c r="K12" i="10" l="1"/>
  <c r="F34" i="4"/>
  <c r="F33" i="4"/>
  <c r="F35" i="4" l="1"/>
  <c r="F31" i="4"/>
  <c r="F32" i="4"/>
  <c r="F29" i="4" l="1"/>
  <c r="F30" i="4"/>
  <c r="E28" i="4" l="1"/>
  <c r="E27" i="4"/>
  <c r="E26" i="4"/>
  <c r="E25" i="4"/>
  <c r="Q25" i="4" l="1"/>
  <c r="P25" i="4"/>
  <c r="R25" i="4"/>
  <c r="S25" i="4"/>
  <c r="R26" i="4"/>
  <c r="P26" i="4"/>
  <c r="S26" i="4"/>
  <c r="Q26" i="4"/>
  <c r="F27" i="4"/>
  <c r="S27" i="4"/>
  <c r="R27" i="4"/>
  <c r="Q27" i="4"/>
  <c r="P27" i="4"/>
  <c r="F28" i="4"/>
  <c r="S28" i="4"/>
  <c r="R28" i="4"/>
  <c r="Q28" i="4"/>
  <c r="P28" i="4"/>
  <c r="F25" i="4"/>
  <c r="F26" i="4"/>
  <c r="E24" i="4"/>
  <c r="E23" i="4"/>
  <c r="E22" i="4"/>
  <c r="R22" i="4" l="1"/>
  <c r="P22" i="4"/>
  <c r="S22" i="4"/>
  <c r="Q22" i="4"/>
  <c r="S23" i="4"/>
  <c r="R23" i="4"/>
  <c r="Q23" i="4"/>
  <c r="P23" i="4"/>
  <c r="P24" i="4"/>
  <c r="R24" i="4"/>
  <c r="Q24" i="4"/>
  <c r="S24" i="4"/>
  <c r="F23" i="4"/>
  <c r="F24" i="4"/>
  <c r="F22" i="4"/>
  <c r="E21" i="4"/>
  <c r="E17" i="4"/>
  <c r="F17" i="4" s="1"/>
  <c r="F15" i="4"/>
  <c r="E16" i="4"/>
  <c r="F16" i="4" s="1"/>
  <c r="E14" i="4"/>
  <c r="F14" i="4" s="1"/>
  <c r="P21" i="4" l="1"/>
  <c r="S21" i="4"/>
  <c r="R21" i="4"/>
  <c r="Q21" i="4"/>
  <c r="F21" i="4"/>
  <c r="F63" i="4" s="1"/>
  <c r="E63" i="4"/>
  <c r="E10" i="4"/>
  <c r="E13" i="4"/>
  <c r="F13" i="4" s="1"/>
  <c r="E12" i="4" l="1"/>
  <c r="F12" i="4" s="1"/>
  <c r="E11" i="4" l="1"/>
  <c r="E18" i="4" s="1"/>
  <c r="F11" i="4" l="1"/>
  <c r="E23" i="10" l="1"/>
  <c r="E18" i="10"/>
  <c r="E13" i="10"/>
  <c r="E8" i="10"/>
  <c r="G23" i="10" l="1"/>
  <c r="G22" i="10"/>
  <c r="G18" i="10"/>
  <c r="G17" i="10"/>
  <c r="G13" i="10"/>
  <c r="G12" i="10"/>
  <c r="H17" i="10" l="1"/>
  <c r="H12" i="10"/>
  <c r="H22" i="10"/>
  <c r="I22" i="10" s="1"/>
  <c r="I17" i="10" l="1"/>
  <c r="H25" i="10"/>
  <c r="I12" i="10"/>
  <c r="I25" i="10" l="1"/>
  <c r="G7" i="10"/>
  <c r="G8" i="10"/>
  <c r="H7" i="10" l="1"/>
  <c r="I7" i="10" s="1"/>
  <c r="F10" i="4" l="1"/>
  <c r="F18" i="4" s="1"/>
</calcChain>
</file>

<file path=xl/sharedStrings.xml><?xml version="1.0" encoding="utf-8"?>
<sst xmlns="http://schemas.openxmlformats.org/spreadsheetml/2006/main" count="228" uniqueCount="125">
  <si>
    <t>kg/ha</t>
  </si>
  <si>
    <t>DOY</t>
  </si>
  <si>
    <t>mm</t>
  </si>
  <si>
    <t>Speed</t>
  </si>
  <si>
    <t>Depth (mm)</t>
  </si>
  <si>
    <t>Depth (in)</t>
  </si>
  <si>
    <t>Depth</t>
  </si>
  <si>
    <t>Linear</t>
  </si>
  <si>
    <t>Date</t>
  </si>
  <si>
    <t>inch</t>
  </si>
  <si>
    <t>100%*4</t>
  </si>
  <si>
    <t>lb/gal</t>
  </si>
  <si>
    <t>kg/lb</t>
  </si>
  <si>
    <t>Lateral</t>
  </si>
  <si>
    <t>m2/ha</t>
  </si>
  <si>
    <t>Application</t>
  </si>
  <si>
    <t>Rate</t>
  </si>
  <si>
    <t>UAN32</t>
  </si>
  <si>
    <t>Length</t>
  </si>
  <si>
    <t>3.55 lb N</t>
  </si>
  <si>
    <t>1 kg N</t>
  </si>
  <si>
    <t>10000 m2</t>
  </si>
  <si>
    <t>kg</t>
  </si>
  <si>
    <t>1 gal</t>
  </si>
  <si>
    <t>2.20462 lb N</t>
  </si>
  <si>
    <t>ha</t>
  </si>
  <si>
    <t>Next year:</t>
  </si>
  <si>
    <t>lb</t>
  </si>
  <si>
    <t>ac</t>
  </si>
  <si>
    <t>155 gal</t>
  </si>
  <si>
    <t>175 m</t>
  </si>
  <si>
    <t>Total</t>
  </si>
  <si>
    <t>Gallons</t>
  </si>
  <si>
    <t>Travel</t>
  </si>
  <si>
    <t>349 nozzles * 1.016 m</t>
  </si>
  <si>
    <t>Fertilizer</t>
  </si>
  <si>
    <t>ug/g</t>
  </si>
  <si>
    <t>In the future, try for three splits of 175 gallons.</t>
  </si>
  <si>
    <t>Try stroke length of #8.</t>
  </si>
  <si>
    <t>Stroke</t>
  </si>
  <si>
    <t>gallons</t>
  </si>
  <si>
    <t>Plant triticale (Americot Nextrit) cover crop</t>
  </si>
  <si>
    <t>Triticale Cover</t>
  </si>
  <si>
    <t>Strip tillage</t>
  </si>
  <si>
    <t>Apply glyphosate to Span 4-7</t>
  </si>
  <si>
    <t>Initial N (Top 120 cm)</t>
  </si>
  <si>
    <t>This is for 2019-2020 generator/intake</t>
  </si>
  <si>
    <t>Seems to output more now.</t>
  </si>
  <si>
    <t>#8 seems to put out 200 gallons now.</t>
  </si>
  <si>
    <t>100%*3</t>
  </si>
  <si>
    <t>50%*2</t>
  </si>
  <si>
    <t>50%*3</t>
  </si>
  <si>
    <t>50%*1</t>
  </si>
  <si>
    <t>100%*3 &amp; 50%*1</t>
  </si>
  <si>
    <t>Last triticale irrigation</t>
  </si>
  <si>
    <t>Terminate cover crop with glyphosate</t>
  </si>
  <si>
    <t>Cotton</t>
  </si>
  <si>
    <t>100%*2</t>
  </si>
  <si>
    <t>Water in Prowl</t>
  </si>
  <si>
    <t xml:space="preserve">Cotton </t>
  </si>
  <si>
    <t>Applied Prowl preemergent on strip-till side (sprayer)</t>
  </si>
  <si>
    <t>Applied Prowl preemergent on breeder side (S-tine)</t>
  </si>
  <si>
    <t>4/18-19/2022</t>
  </si>
  <si>
    <t>Install 64 neutron tubes, Span 4-7</t>
  </si>
  <si>
    <t>Plant Span 1-2</t>
  </si>
  <si>
    <t>Plant Span 3</t>
  </si>
  <si>
    <t>Plant Spans 4-7</t>
  </si>
  <si>
    <t>50%*2+100%*2</t>
  </si>
  <si>
    <t>Fertigation #1 (6/7/2022) - Main line injection using Inject-O-Meter pump - Stroke Length #7</t>
  </si>
  <si>
    <t>From Bronson (2021), optimum rate is 146 kg/ha.</t>
  </si>
  <si>
    <t>Install neutron tubes, Span 1-3</t>
  </si>
  <si>
    <t>Irrigate on afternoon after Span 1-3 neutron install.</t>
  </si>
  <si>
    <t>Apply glyphosate to Span 5-7</t>
  </si>
  <si>
    <t>Apply glyphosate to Span 4</t>
  </si>
  <si>
    <t>95%*4</t>
  </si>
  <si>
    <t>95%*6</t>
  </si>
  <si>
    <t>99%*6</t>
  </si>
  <si>
    <t>Median VRI %</t>
  </si>
  <si>
    <t>98%*6</t>
  </si>
  <si>
    <t>92%*8</t>
  </si>
  <si>
    <t>83%*6</t>
  </si>
  <si>
    <t>86%*6</t>
  </si>
  <si>
    <t>86%*3+25%</t>
  </si>
  <si>
    <t>Fertigation #2 (7/1/2022) - Main line injection using Inject-O-Meter pump - Stroke Length #8</t>
  </si>
  <si>
    <t>Span 7 treatments started</t>
  </si>
  <si>
    <t>77%*6</t>
  </si>
  <si>
    <t>Fertigation #3 (7/22/2022) - Main line injection using Inject-O-Meter pump - Stroke Length #8</t>
  </si>
  <si>
    <t>72%*6</t>
  </si>
  <si>
    <t>80%*4</t>
  </si>
  <si>
    <t>70%*6</t>
  </si>
  <si>
    <t>50%+25%</t>
  </si>
  <si>
    <t>Apply PGR (Gin Out) and Lygus insecticide (Transform) to all Spans</t>
  </si>
  <si>
    <t>Apply glyphosate, PGR (Gin Out), and Lygus insecticide (Transform) to Span 4-7</t>
  </si>
  <si>
    <t>Delay treatments until crop firmly established.</t>
  </si>
  <si>
    <t>93%*6</t>
  </si>
  <si>
    <t>89%*6</t>
  </si>
  <si>
    <t>97%*6</t>
  </si>
  <si>
    <t>92%*4</t>
  </si>
  <si>
    <t>93%*4</t>
  </si>
  <si>
    <t>87%*6</t>
  </si>
  <si>
    <t>88%*6</t>
  </si>
  <si>
    <t>Apply thidiazuron (8 oz/ac Ginstar)</t>
  </si>
  <si>
    <t>Apply thidiazuron (6 oz/ac Ginstar) and urea sulfate, ethephon (CottonQuik)</t>
  </si>
  <si>
    <t>Harvest Span 1 and Span 7</t>
  </si>
  <si>
    <t>Harvest Span 4-6</t>
  </si>
  <si>
    <t>#13.5 nozzles</t>
  </si>
  <si>
    <t>Otherwise</t>
  </si>
  <si>
    <t>(488.72*Speed%^-0.989)</t>
  </si>
  <si>
    <t>Span 7</t>
  </si>
  <si>
    <t>Speed*Passes</t>
  </si>
  <si>
    <t>100% Field</t>
  </si>
  <si>
    <t>100% VRI</t>
  </si>
  <si>
    <t>80% VRI</t>
  </si>
  <si>
    <t>60% VRI</t>
  </si>
  <si>
    <t>40% VRI</t>
  </si>
  <si>
    <t>100% Plots</t>
  </si>
  <si>
    <t>80% Plots</t>
  </si>
  <si>
    <t>60% Plots</t>
  </si>
  <si>
    <t>40% Plots</t>
  </si>
  <si>
    <t>%</t>
  </si>
  <si>
    <t>Year</t>
  </si>
  <si>
    <t>IRVAL100</t>
  </si>
  <si>
    <t>IRVAL080</t>
  </si>
  <si>
    <t>IRVAL060</t>
  </si>
  <si>
    <t>IRVAL040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</si>
</sst>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</cellStyleXfs>
  <cellXfs count="12">
    <xf numFmtId="0" fontId="0" fillId="0" borderId="0" xfId="0"/>
    <xf numFmtId="0" fontId="0" fillId="2" borderId="0" xfId="0" applyFill="1"/>
    <xf numFmtId="14" fontId="0" fillId="0" borderId="0" xfId="0" applyNumberFormat="1"/>
    <xf numFmtId="9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 applyAlignment="1">
      <alignment horizontal="right"/>
    </xf>
    <xf numFmtId="164" fontId="0" fillId="2" borderId="0" xfId="0" applyNumberFormat="1" applyFill="1"/>
    <xf numFmtId="165" fontId="0" fillId="0" borderId="0" xfId="0" applyNumberFormat="1"/>
    <xf numFmtId="1" fontId="0" fillId="0" borderId="0" xfId="0" applyNumberFormat="1"/>
    <xf numFmtId="9" fontId="0" fillId="2" borderId="0" xfId="0" applyNumberFormat="1" applyFill="1"/>
    <xf numFmtId="164" fontId="0" fillId="0" borderId="0" xfId="0" applyNumberFormat="1" applyFill="1"/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 xr:uid="{00000000-0005-0000-0000-000031000000}"/>
    <cellStyle name="60% - Accent2" xfId="25" builtinId="36" customBuiltin="1"/>
    <cellStyle name="60% - Accent2 2" xfId="44" xr:uid="{00000000-0005-0000-0000-000032000000}"/>
    <cellStyle name="60% - Accent3" xfId="29" builtinId="40" customBuiltin="1"/>
    <cellStyle name="60% - Accent3 2" xfId="45" xr:uid="{00000000-0005-0000-0000-000033000000}"/>
    <cellStyle name="60% - Accent4" xfId="33" builtinId="44" customBuiltin="1"/>
    <cellStyle name="60% - Accent4 2" xfId="46" xr:uid="{00000000-0005-0000-0000-000034000000}"/>
    <cellStyle name="60% - Accent5" xfId="37" builtinId="48" customBuiltin="1"/>
    <cellStyle name="60% - Accent5 2" xfId="47" xr:uid="{00000000-0005-0000-0000-000035000000}"/>
    <cellStyle name="60% - Accent6" xfId="41" builtinId="52" customBuiltin="1"/>
    <cellStyle name="60% - Accent6 2" xfId="48" xr:uid="{00000000-0005-0000-0000-00003600000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00000000-0005-0000-0000-000037000000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47"/>
  <sheetViews>
    <sheetView tabSelected="1" workbookViewId="0"/>
  </sheetViews>
  <sheetFormatPr defaultRowHeight="15" x14ac:dyDescent="0.25"/>
  <cols>
    <col min="1" max="1" width="13.42578125" bestFit="1" customWidth="1"/>
    <col min="2" max="2" width="10.7109375" bestFit="1" customWidth="1"/>
    <col min="4" max="4" width="16.42578125" bestFit="1" customWidth="1"/>
    <col min="5" max="5" width="11.28515625" bestFit="1" customWidth="1"/>
    <col min="8" max="8" width="9.7109375" bestFit="1" customWidth="1"/>
    <col min="61" max="61" width="9.7109375" bestFit="1" customWidth="1"/>
    <col min="63" max="63" width="14.28515625" bestFit="1" customWidth="1"/>
  </cols>
  <sheetData>
    <row r="1" spans="1:8" x14ac:dyDescent="0.25">
      <c r="A1" t="s">
        <v>3</v>
      </c>
      <c r="B1" t="s">
        <v>4</v>
      </c>
      <c r="C1" t="s">
        <v>5</v>
      </c>
    </row>
    <row r="2" spans="1:8" x14ac:dyDescent="0.25">
      <c r="B2" t="s">
        <v>105</v>
      </c>
      <c r="C2" t="s">
        <v>105</v>
      </c>
    </row>
    <row r="3" spans="1:8" x14ac:dyDescent="0.25">
      <c r="A3" s="3">
        <v>1</v>
      </c>
      <c r="B3" s="5">
        <v>5.0999999999999996</v>
      </c>
      <c r="C3" s="4">
        <f>B3/25.4</f>
        <v>0.20078740157480315</v>
      </c>
      <c r="D3" s="4"/>
    </row>
    <row r="4" spans="1:8" x14ac:dyDescent="0.25">
      <c r="A4" s="3">
        <v>0.5</v>
      </c>
      <c r="B4" s="5">
        <v>10.1</v>
      </c>
      <c r="C4" s="4">
        <f>B4/25.4</f>
        <v>0.39763779527559057</v>
      </c>
      <c r="D4" s="4"/>
    </row>
    <row r="5" spans="1:8" x14ac:dyDescent="0.25">
      <c r="A5" s="3">
        <v>0.25</v>
      </c>
      <c r="B5" s="5">
        <v>20.2</v>
      </c>
      <c r="C5" s="4">
        <f>B5/25.4</f>
        <v>0.79527559055118113</v>
      </c>
      <c r="D5" s="4"/>
    </row>
    <row r="6" spans="1:8" x14ac:dyDescent="0.25">
      <c r="A6" t="s">
        <v>106</v>
      </c>
      <c r="B6" t="s">
        <v>107</v>
      </c>
    </row>
    <row r="7" spans="1:8" x14ac:dyDescent="0.25">
      <c r="H7" s="5"/>
    </row>
    <row r="8" spans="1:8" x14ac:dyDescent="0.25">
      <c r="D8" t="s">
        <v>7</v>
      </c>
      <c r="E8" t="s">
        <v>6</v>
      </c>
      <c r="F8" t="s">
        <v>6</v>
      </c>
    </row>
    <row r="9" spans="1:8" x14ac:dyDescent="0.25">
      <c r="B9" t="s">
        <v>8</v>
      </c>
      <c r="C9" t="s">
        <v>1</v>
      </c>
      <c r="D9" t="s">
        <v>109</v>
      </c>
      <c r="E9" t="s">
        <v>2</v>
      </c>
      <c r="F9" t="s">
        <v>9</v>
      </c>
    </row>
    <row r="10" spans="1:8" x14ac:dyDescent="0.25">
      <c r="A10" t="s">
        <v>42</v>
      </c>
      <c r="B10" s="2">
        <v>44580</v>
      </c>
      <c r="C10">
        <v>19</v>
      </c>
      <c r="D10" s="6" t="s">
        <v>49</v>
      </c>
      <c r="E10" s="5">
        <f>5.1*3</f>
        <v>15.299999999999999</v>
      </c>
      <c r="F10" s="5">
        <f t="shared" ref="F10:F12" si="0">E10/25.4</f>
        <v>0.60236220472440949</v>
      </c>
    </row>
    <row r="11" spans="1:8" x14ac:dyDescent="0.25">
      <c r="A11" t="s">
        <v>42</v>
      </c>
      <c r="B11" s="2">
        <v>44587</v>
      </c>
      <c r="C11">
        <v>26</v>
      </c>
      <c r="D11" s="6" t="s">
        <v>10</v>
      </c>
      <c r="E11" s="5">
        <f>5.1*4</f>
        <v>20.399999999999999</v>
      </c>
      <c r="F11" s="5">
        <f t="shared" si="0"/>
        <v>0.80314960629921262</v>
      </c>
    </row>
    <row r="12" spans="1:8" x14ac:dyDescent="0.25">
      <c r="A12" t="s">
        <v>42</v>
      </c>
      <c r="B12" s="2">
        <v>44595</v>
      </c>
      <c r="C12">
        <v>34</v>
      </c>
      <c r="D12" s="6" t="s">
        <v>10</v>
      </c>
      <c r="E12" s="5">
        <f>5.1*4</f>
        <v>20.399999999999999</v>
      </c>
      <c r="F12" s="5">
        <f t="shared" si="0"/>
        <v>0.80314960629921262</v>
      </c>
    </row>
    <row r="13" spans="1:8" x14ac:dyDescent="0.25">
      <c r="A13" t="s">
        <v>42</v>
      </c>
      <c r="B13" s="2">
        <v>44602</v>
      </c>
      <c r="C13">
        <v>41</v>
      </c>
      <c r="D13" s="6" t="s">
        <v>10</v>
      </c>
      <c r="E13" s="5">
        <f>5.1*4</f>
        <v>20.399999999999999</v>
      </c>
      <c r="F13" s="5">
        <f t="shared" ref="F13:F17" si="1">E13/25.4</f>
        <v>0.80314960629921262</v>
      </c>
    </row>
    <row r="14" spans="1:8" x14ac:dyDescent="0.25">
      <c r="A14" t="s">
        <v>42</v>
      </c>
      <c r="B14" s="2">
        <v>44609</v>
      </c>
      <c r="C14">
        <v>48</v>
      </c>
      <c r="D14" s="6" t="s">
        <v>50</v>
      </c>
      <c r="E14" s="5">
        <f>10.1*2</f>
        <v>20.2</v>
      </c>
      <c r="F14" s="5">
        <f t="shared" si="1"/>
        <v>0.79527559055118113</v>
      </c>
    </row>
    <row r="15" spans="1:8" x14ac:dyDescent="0.25">
      <c r="A15" t="s">
        <v>42</v>
      </c>
      <c r="B15" s="2">
        <v>44616</v>
      </c>
      <c r="C15">
        <v>55</v>
      </c>
      <c r="D15" s="6" t="s">
        <v>52</v>
      </c>
      <c r="E15" s="5">
        <v>10.1</v>
      </c>
      <c r="F15" s="5">
        <f t="shared" si="1"/>
        <v>0.39763779527559057</v>
      </c>
    </row>
    <row r="16" spans="1:8" x14ac:dyDescent="0.25">
      <c r="A16" t="s">
        <v>42</v>
      </c>
      <c r="B16" s="2">
        <v>44624</v>
      </c>
      <c r="C16">
        <v>63</v>
      </c>
      <c r="D16" s="6" t="s">
        <v>51</v>
      </c>
      <c r="E16" s="5">
        <f>10.1*3</f>
        <v>30.299999999999997</v>
      </c>
      <c r="F16" s="5">
        <f t="shared" si="1"/>
        <v>1.1929133858267715</v>
      </c>
    </row>
    <row r="17" spans="1:19" x14ac:dyDescent="0.25">
      <c r="A17" t="s">
        <v>42</v>
      </c>
      <c r="B17" s="2">
        <v>44630</v>
      </c>
      <c r="C17">
        <v>69</v>
      </c>
      <c r="D17" s="6" t="s">
        <v>53</v>
      </c>
      <c r="E17" s="5">
        <f>10.1+5.1*3</f>
        <v>25.4</v>
      </c>
      <c r="F17" s="5">
        <f t="shared" si="1"/>
        <v>1</v>
      </c>
    </row>
    <row r="18" spans="1:19" x14ac:dyDescent="0.25">
      <c r="B18" s="2"/>
      <c r="D18" s="6"/>
      <c r="E18" s="5">
        <f>SUM(E10:E17)</f>
        <v>162.5</v>
      </c>
      <c r="F18" s="5">
        <f>SUM(F10:F17)</f>
        <v>6.3976377952755898</v>
      </c>
      <c r="L18" t="s">
        <v>108</v>
      </c>
      <c r="M18" t="s">
        <v>108</v>
      </c>
      <c r="N18" t="s">
        <v>108</v>
      </c>
      <c r="O18" t="s">
        <v>108</v>
      </c>
      <c r="P18" s="1" t="s">
        <v>108</v>
      </c>
      <c r="Q18" s="1" t="s">
        <v>108</v>
      </c>
      <c r="R18" s="1" t="s">
        <v>108</v>
      </c>
      <c r="S18" s="1" t="s">
        <v>108</v>
      </c>
    </row>
    <row r="19" spans="1:19" x14ac:dyDescent="0.25">
      <c r="B19" s="2"/>
      <c r="D19" s="6"/>
      <c r="E19" s="5"/>
      <c r="F19" s="5"/>
      <c r="K19" t="s">
        <v>110</v>
      </c>
      <c r="L19" t="s">
        <v>111</v>
      </c>
      <c r="M19" t="s">
        <v>112</v>
      </c>
      <c r="N19" t="s">
        <v>113</v>
      </c>
      <c r="O19" t="s">
        <v>114</v>
      </c>
      <c r="P19" s="10" t="s">
        <v>115</v>
      </c>
      <c r="Q19" s="1" t="s">
        <v>116</v>
      </c>
      <c r="R19" s="1" t="s">
        <v>117</v>
      </c>
      <c r="S19" s="1" t="s">
        <v>118</v>
      </c>
    </row>
    <row r="20" spans="1:19" x14ac:dyDescent="0.25">
      <c r="B20" s="2"/>
      <c r="D20" s="6"/>
      <c r="E20" s="5"/>
      <c r="F20" s="5"/>
      <c r="K20" t="s">
        <v>2</v>
      </c>
      <c r="L20" t="s">
        <v>119</v>
      </c>
      <c r="M20" t="s">
        <v>119</v>
      </c>
      <c r="N20" t="s">
        <v>119</v>
      </c>
      <c r="O20" t="s">
        <v>119</v>
      </c>
      <c r="P20" s="10" t="s">
        <v>2</v>
      </c>
      <c r="Q20" s="1" t="s">
        <v>2</v>
      </c>
      <c r="R20" s="1" t="s">
        <v>2</v>
      </c>
      <c r="S20" s="1" t="s">
        <v>2</v>
      </c>
    </row>
    <row r="21" spans="1:19" x14ac:dyDescent="0.25">
      <c r="A21" t="s">
        <v>56</v>
      </c>
      <c r="B21" s="2">
        <v>44666</v>
      </c>
      <c r="C21">
        <v>105</v>
      </c>
      <c r="D21" s="6" t="s">
        <v>57</v>
      </c>
      <c r="E21" s="5">
        <f>5.1*2</f>
        <v>10.199999999999999</v>
      </c>
      <c r="F21" s="5">
        <f t="shared" ref="F21:F22" si="2">E21/25.4</f>
        <v>0.40157480314960631</v>
      </c>
      <c r="G21" t="s">
        <v>58</v>
      </c>
      <c r="H21" s="5"/>
      <c r="K21" s="5">
        <f>5.1*2</f>
        <v>10.199999999999999</v>
      </c>
      <c r="L21" s="9">
        <v>100</v>
      </c>
      <c r="M21" s="9">
        <v>100</v>
      </c>
      <c r="N21" s="9">
        <v>100</v>
      </c>
      <c r="O21" s="9">
        <v>100</v>
      </c>
      <c r="P21" s="7">
        <f>$E21*L21/100</f>
        <v>10.199999999999999</v>
      </c>
      <c r="Q21" s="7">
        <f t="shared" ref="Q21:S36" si="3">$E21*M21/100</f>
        <v>10.199999999999999</v>
      </c>
      <c r="R21" s="7">
        <f t="shared" si="3"/>
        <v>10.199999999999999</v>
      </c>
      <c r="S21" s="7">
        <f t="shared" si="3"/>
        <v>10.199999999999999</v>
      </c>
    </row>
    <row r="22" spans="1:19" x14ac:dyDescent="0.25">
      <c r="A22" t="s">
        <v>59</v>
      </c>
      <c r="B22" s="2">
        <v>44673</v>
      </c>
      <c r="C22">
        <v>112</v>
      </c>
      <c r="D22" s="6" t="s">
        <v>67</v>
      </c>
      <c r="E22" s="5">
        <f>10.1*2+5.1*2</f>
        <v>30.4</v>
      </c>
      <c r="F22" s="5">
        <f t="shared" si="2"/>
        <v>1.1968503937007875</v>
      </c>
      <c r="I22" s="5"/>
      <c r="K22" s="5">
        <f>10.1*2+5.1*2</f>
        <v>30.4</v>
      </c>
      <c r="L22" s="9">
        <v>100</v>
      </c>
      <c r="M22" s="9">
        <v>100</v>
      </c>
      <c r="N22" s="9">
        <v>100</v>
      </c>
      <c r="O22" s="9">
        <v>100</v>
      </c>
      <c r="P22" s="7">
        <f t="shared" ref="P22:S62" si="4">$E22*L22/100</f>
        <v>30.4</v>
      </c>
      <c r="Q22" s="7">
        <f t="shared" si="3"/>
        <v>30.4</v>
      </c>
      <c r="R22" s="7">
        <f t="shared" si="3"/>
        <v>30.4</v>
      </c>
      <c r="S22" s="7">
        <f t="shared" si="3"/>
        <v>30.4</v>
      </c>
    </row>
    <row r="23" spans="1:19" x14ac:dyDescent="0.25">
      <c r="A23" t="s">
        <v>56</v>
      </c>
      <c r="B23" s="2">
        <v>44677</v>
      </c>
      <c r="C23">
        <v>116</v>
      </c>
      <c r="D23" s="6" t="s">
        <v>67</v>
      </c>
      <c r="E23" s="5">
        <f>10.1*2+5.1*2</f>
        <v>30.4</v>
      </c>
      <c r="F23" s="5">
        <f t="shared" ref="F23" si="5">E23/25.4</f>
        <v>1.1968503937007875</v>
      </c>
      <c r="I23" s="5"/>
      <c r="K23" s="5">
        <f>10.1*2+5.1*2</f>
        <v>30.4</v>
      </c>
      <c r="L23" s="9">
        <v>100</v>
      </c>
      <c r="M23" s="9">
        <v>100</v>
      </c>
      <c r="N23" s="9">
        <v>100</v>
      </c>
      <c r="O23" s="9">
        <v>100</v>
      </c>
      <c r="P23" s="7">
        <f t="shared" si="4"/>
        <v>30.4</v>
      </c>
      <c r="Q23" s="7">
        <f t="shared" si="3"/>
        <v>30.4</v>
      </c>
      <c r="R23" s="7">
        <f t="shared" si="3"/>
        <v>30.4</v>
      </c>
      <c r="S23" s="7">
        <f t="shared" si="3"/>
        <v>30.4</v>
      </c>
    </row>
    <row r="24" spans="1:19" x14ac:dyDescent="0.25">
      <c r="A24" t="s">
        <v>56</v>
      </c>
      <c r="B24" s="2">
        <v>44680</v>
      </c>
      <c r="C24">
        <v>119</v>
      </c>
      <c r="D24" s="6" t="s">
        <v>67</v>
      </c>
      <c r="E24" s="5">
        <f>10.1*2+5.1*2</f>
        <v>30.4</v>
      </c>
      <c r="F24" s="5">
        <f t="shared" ref="F24:F27" si="6">E24/25.4</f>
        <v>1.1968503937007875</v>
      </c>
      <c r="I24" s="5"/>
      <c r="K24" s="5">
        <f>10.1*2+5.1*2</f>
        <v>30.4</v>
      </c>
      <c r="L24" s="9">
        <v>100</v>
      </c>
      <c r="M24" s="9">
        <v>100</v>
      </c>
      <c r="N24" s="9">
        <v>100</v>
      </c>
      <c r="O24" s="9">
        <v>100</v>
      </c>
      <c r="P24" s="7">
        <f t="shared" si="4"/>
        <v>30.4</v>
      </c>
      <c r="Q24" s="7">
        <f t="shared" si="3"/>
        <v>30.4</v>
      </c>
      <c r="R24" s="7">
        <f t="shared" si="3"/>
        <v>30.4</v>
      </c>
      <c r="S24" s="7">
        <f t="shared" si="3"/>
        <v>30.4</v>
      </c>
    </row>
    <row r="25" spans="1:19" x14ac:dyDescent="0.25">
      <c r="A25" t="s">
        <v>56</v>
      </c>
      <c r="B25" s="2">
        <v>44683</v>
      </c>
      <c r="C25">
        <v>122</v>
      </c>
      <c r="D25" s="6" t="s">
        <v>57</v>
      </c>
      <c r="E25" s="5">
        <f>5.1*2</f>
        <v>10.199999999999999</v>
      </c>
      <c r="F25" s="5">
        <f t="shared" si="6"/>
        <v>0.40157480314960631</v>
      </c>
      <c r="I25" s="5"/>
      <c r="K25" s="5">
        <f>5.1*2</f>
        <v>10.199999999999999</v>
      </c>
      <c r="L25" s="9">
        <v>100</v>
      </c>
      <c r="M25" s="9">
        <v>100</v>
      </c>
      <c r="N25" s="9">
        <v>100</v>
      </c>
      <c r="O25" s="9">
        <v>100</v>
      </c>
      <c r="P25" s="7">
        <f t="shared" si="4"/>
        <v>10.199999999999999</v>
      </c>
      <c r="Q25" s="7">
        <f t="shared" si="3"/>
        <v>10.199999999999999</v>
      </c>
      <c r="R25" s="7">
        <f t="shared" si="3"/>
        <v>10.199999999999999</v>
      </c>
      <c r="S25" s="7">
        <f t="shared" si="3"/>
        <v>10.199999999999999</v>
      </c>
    </row>
    <row r="26" spans="1:19" x14ac:dyDescent="0.25">
      <c r="A26" t="s">
        <v>56</v>
      </c>
      <c r="B26" s="2">
        <v>44685</v>
      </c>
      <c r="C26">
        <v>124</v>
      </c>
      <c r="D26" s="6" t="s">
        <v>50</v>
      </c>
      <c r="E26" s="5">
        <f>10.1*2</f>
        <v>20.2</v>
      </c>
      <c r="F26" s="5">
        <f t="shared" si="6"/>
        <v>0.79527559055118113</v>
      </c>
      <c r="G26" s="5"/>
      <c r="I26" s="5"/>
      <c r="K26" s="5">
        <f>10.1*2</f>
        <v>20.2</v>
      </c>
      <c r="L26" s="9">
        <v>100</v>
      </c>
      <c r="M26" s="9">
        <v>100</v>
      </c>
      <c r="N26" s="9">
        <v>100</v>
      </c>
      <c r="O26" s="9">
        <v>100</v>
      </c>
      <c r="P26" s="7">
        <f t="shared" si="4"/>
        <v>20.2</v>
      </c>
      <c r="Q26" s="7">
        <f t="shared" si="3"/>
        <v>20.2</v>
      </c>
      <c r="R26" s="7">
        <f t="shared" si="3"/>
        <v>20.2</v>
      </c>
      <c r="S26" s="7">
        <f t="shared" si="3"/>
        <v>20.2</v>
      </c>
    </row>
    <row r="27" spans="1:19" x14ac:dyDescent="0.25">
      <c r="A27" t="s">
        <v>56</v>
      </c>
      <c r="B27" s="2">
        <v>44687</v>
      </c>
      <c r="C27">
        <v>126</v>
      </c>
      <c r="D27" s="6" t="s">
        <v>50</v>
      </c>
      <c r="E27" s="5">
        <f>10.1*2</f>
        <v>20.2</v>
      </c>
      <c r="F27" s="5">
        <f t="shared" si="6"/>
        <v>0.79527559055118113</v>
      </c>
      <c r="G27" s="5"/>
      <c r="I27" s="5"/>
      <c r="K27" s="5">
        <f>10.1*2</f>
        <v>20.2</v>
      </c>
      <c r="L27" s="9">
        <v>100</v>
      </c>
      <c r="M27" s="9">
        <v>100</v>
      </c>
      <c r="N27" s="9">
        <v>100</v>
      </c>
      <c r="O27" s="9">
        <v>100</v>
      </c>
      <c r="P27" s="7">
        <f t="shared" si="4"/>
        <v>20.2</v>
      </c>
      <c r="Q27" s="7">
        <f t="shared" si="3"/>
        <v>20.2</v>
      </c>
      <c r="R27" s="7">
        <f t="shared" si="3"/>
        <v>20.2</v>
      </c>
      <c r="S27" s="7">
        <f t="shared" si="3"/>
        <v>20.2</v>
      </c>
    </row>
    <row r="28" spans="1:19" x14ac:dyDescent="0.25">
      <c r="A28" t="s">
        <v>56</v>
      </c>
      <c r="B28" s="2">
        <v>44693</v>
      </c>
      <c r="C28">
        <v>132</v>
      </c>
      <c r="D28" s="6" t="s">
        <v>67</v>
      </c>
      <c r="E28" s="5">
        <f>10.1*2+5.1*2</f>
        <v>30.4</v>
      </c>
      <c r="F28" s="5">
        <f t="shared" ref="F28:F34" si="7">E28/25.4</f>
        <v>1.1968503937007875</v>
      </c>
      <c r="G28" s="5" t="s">
        <v>77</v>
      </c>
      <c r="I28" s="5"/>
      <c r="K28" s="5">
        <f>10.1*2+5.1*2</f>
        <v>30.4</v>
      </c>
      <c r="L28" s="9">
        <v>100</v>
      </c>
      <c r="M28" s="9">
        <v>100</v>
      </c>
      <c r="N28" s="9">
        <v>100</v>
      </c>
      <c r="O28" s="9">
        <v>100</v>
      </c>
      <c r="P28" s="7">
        <f t="shared" si="4"/>
        <v>30.4</v>
      </c>
      <c r="Q28" s="7">
        <f t="shared" si="3"/>
        <v>30.4</v>
      </c>
      <c r="R28" s="7">
        <f t="shared" si="3"/>
        <v>30.4</v>
      </c>
      <c r="S28" s="7">
        <f t="shared" si="3"/>
        <v>30.4</v>
      </c>
    </row>
    <row r="29" spans="1:19" x14ac:dyDescent="0.25">
      <c r="A29" t="s">
        <v>56</v>
      </c>
      <c r="B29" s="2">
        <v>44698</v>
      </c>
      <c r="C29">
        <v>137</v>
      </c>
      <c r="D29" s="6" t="s">
        <v>74</v>
      </c>
      <c r="E29" s="5">
        <v>13</v>
      </c>
      <c r="F29" s="5">
        <f t="shared" si="7"/>
        <v>0.51181102362204722</v>
      </c>
      <c r="G29" s="9">
        <v>60</v>
      </c>
      <c r="I29" s="5"/>
      <c r="K29" s="5">
        <f>(488.72*95^-0.989)*4</f>
        <v>21.634728914967031</v>
      </c>
      <c r="L29" s="9">
        <v>100</v>
      </c>
      <c r="M29" s="9">
        <v>100</v>
      </c>
      <c r="N29" s="9">
        <v>100</v>
      </c>
      <c r="O29" s="9">
        <v>100</v>
      </c>
      <c r="P29" s="7">
        <f t="shared" si="4"/>
        <v>13</v>
      </c>
      <c r="Q29" s="7">
        <f t="shared" si="3"/>
        <v>13</v>
      </c>
      <c r="R29" s="7">
        <f t="shared" si="3"/>
        <v>13</v>
      </c>
      <c r="S29" s="7">
        <f t="shared" si="3"/>
        <v>13</v>
      </c>
    </row>
    <row r="30" spans="1:19" x14ac:dyDescent="0.25">
      <c r="A30" t="s">
        <v>56</v>
      </c>
      <c r="B30" s="2">
        <v>44701</v>
      </c>
      <c r="C30">
        <v>140</v>
      </c>
      <c r="D30" s="6" t="s">
        <v>75</v>
      </c>
      <c r="E30" s="5">
        <v>19.5</v>
      </c>
      <c r="F30" s="5">
        <f t="shared" si="7"/>
        <v>0.76771653543307095</v>
      </c>
      <c r="G30" s="9">
        <v>60</v>
      </c>
      <c r="I30" s="5"/>
      <c r="K30" s="5">
        <f>(488.72*95^-0.989)*6</f>
        <v>32.452093372450548</v>
      </c>
      <c r="L30" s="9">
        <v>100</v>
      </c>
      <c r="M30" s="9">
        <v>100</v>
      </c>
      <c r="N30" s="9">
        <v>100</v>
      </c>
      <c r="O30" s="9">
        <v>100</v>
      </c>
      <c r="P30" s="7">
        <f t="shared" si="4"/>
        <v>19.5</v>
      </c>
      <c r="Q30" s="7">
        <f t="shared" si="3"/>
        <v>19.5</v>
      </c>
      <c r="R30" s="7">
        <f t="shared" si="3"/>
        <v>19.5</v>
      </c>
      <c r="S30" s="7">
        <f t="shared" si="3"/>
        <v>19.5</v>
      </c>
    </row>
    <row r="31" spans="1:19" x14ac:dyDescent="0.25">
      <c r="A31" t="s">
        <v>56</v>
      </c>
      <c r="B31" s="2">
        <v>44705</v>
      </c>
      <c r="C31">
        <v>144</v>
      </c>
      <c r="D31" s="6" t="s">
        <v>76</v>
      </c>
      <c r="E31" s="5">
        <v>15</v>
      </c>
      <c r="F31" s="5">
        <f t="shared" si="7"/>
        <v>0.59055118110236227</v>
      </c>
      <c r="G31" s="9">
        <v>48</v>
      </c>
      <c r="K31" s="5">
        <f>(488.72*99^-0.989)*6</f>
        <v>31.155028656079114</v>
      </c>
      <c r="L31" s="9">
        <v>48</v>
      </c>
      <c r="M31" s="9">
        <v>48</v>
      </c>
      <c r="N31" s="9">
        <v>48</v>
      </c>
      <c r="O31" s="9">
        <v>48</v>
      </c>
      <c r="P31" s="7">
        <f t="shared" si="4"/>
        <v>7.2</v>
      </c>
      <c r="Q31" s="7">
        <f t="shared" si="3"/>
        <v>7.2</v>
      </c>
      <c r="R31" s="7">
        <f t="shared" si="3"/>
        <v>7.2</v>
      </c>
      <c r="S31" s="7">
        <f t="shared" si="3"/>
        <v>7.2</v>
      </c>
    </row>
    <row r="32" spans="1:19" x14ac:dyDescent="0.25">
      <c r="A32" t="s">
        <v>56</v>
      </c>
      <c r="B32" s="2">
        <v>44708</v>
      </c>
      <c r="C32">
        <v>147</v>
      </c>
      <c r="D32" s="6" t="s">
        <v>76</v>
      </c>
      <c r="E32" s="5">
        <v>15</v>
      </c>
      <c r="F32" s="5">
        <f t="shared" si="7"/>
        <v>0.59055118110236227</v>
      </c>
      <c r="G32" s="9">
        <v>48</v>
      </c>
      <c r="K32" s="5">
        <f>(488.72*99^-0.989)*6</f>
        <v>31.155028656079114</v>
      </c>
      <c r="L32" s="9">
        <v>48</v>
      </c>
      <c r="M32" s="9">
        <v>48</v>
      </c>
      <c r="N32" s="9">
        <v>48</v>
      </c>
      <c r="O32" s="9">
        <v>48</v>
      </c>
      <c r="P32" s="7">
        <f t="shared" si="4"/>
        <v>7.2</v>
      </c>
      <c r="Q32" s="7">
        <f t="shared" si="3"/>
        <v>7.2</v>
      </c>
      <c r="R32" s="7">
        <f t="shared" si="3"/>
        <v>7.2</v>
      </c>
      <c r="S32" s="7">
        <f t="shared" si="3"/>
        <v>7.2</v>
      </c>
    </row>
    <row r="33" spans="1:19" x14ac:dyDescent="0.25">
      <c r="A33" t="s">
        <v>56</v>
      </c>
      <c r="B33" s="2">
        <v>44714</v>
      </c>
      <c r="C33">
        <v>153</v>
      </c>
      <c r="D33" s="6" t="s">
        <v>78</v>
      </c>
      <c r="E33" s="5">
        <v>19</v>
      </c>
      <c r="F33" s="5">
        <f t="shared" si="7"/>
        <v>0.74803149606299213</v>
      </c>
      <c r="G33" s="9"/>
      <c r="K33" s="5">
        <f>(488.72*98^-0.989)*6</f>
        <v>31.469422533569333</v>
      </c>
      <c r="L33" s="9">
        <v>60</v>
      </c>
      <c r="M33" s="9">
        <v>60</v>
      </c>
      <c r="N33" s="9">
        <v>60</v>
      </c>
      <c r="O33" s="9">
        <v>60</v>
      </c>
      <c r="P33" s="7">
        <f t="shared" si="4"/>
        <v>11.4</v>
      </c>
      <c r="Q33" s="7">
        <f t="shared" si="3"/>
        <v>11.4</v>
      </c>
      <c r="R33" s="7">
        <f t="shared" si="3"/>
        <v>11.4</v>
      </c>
      <c r="S33" s="7">
        <f t="shared" si="3"/>
        <v>11.4</v>
      </c>
    </row>
    <row r="34" spans="1:19" x14ac:dyDescent="0.25">
      <c r="A34" t="s">
        <v>56</v>
      </c>
      <c r="B34" s="2">
        <v>44715</v>
      </c>
      <c r="C34">
        <v>154</v>
      </c>
      <c r="D34" s="6" t="s">
        <v>78</v>
      </c>
      <c r="E34" s="5">
        <v>19</v>
      </c>
      <c r="F34" s="5">
        <f t="shared" si="7"/>
        <v>0.74803149606299213</v>
      </c>
      <c r="G34" s="9"/>
      <c r="K34" s="5">
        <f>(488.72*98^-0.989)*6</f>
        <v>31.469422533569333</v>
      </c>
      <c r="L34" s="9">
        <v>60</v>
      </c>
      <c r="M34" s="9">
        <v>60</v>
      </c>
      <c r="N34" s="9">
        <v>60</v>
      </c>
      <c r="O34" s="9">
        <v>60</v>
      </c>
      <c r="P34" s="7">
        <f t="shared" si="4"/>
        <v>11.4</v>
      </c>
      <c r="Q34" s="7">
        <f t="shared" si="3"/>
        <v>11.4</v>
      </c>
      <c r="R34" s="7">
        <f t="shared" si="3"/>
        <v>11.4</v>
      </c>
      <c r="S34" s="7">
        <f t="shared" si="3"/>
        <v>11.4</v>
      </c>
    </row>
    <row r="35" spans="1:19" x14ac:dyDescent="0.25">
      <c r="A35" t="s">
        <v>56</v>
      </c>
      <c r="B35" s="2">
        <v>44719</v>
      </c>
      <c r="C35">
        <v>158</v>
      </c>
      <c r="D35" s="6">
        <v>0.25</v>
      </c>
      <c r="E35" s="5">
        <v>20.2</v>
      </c>
      <c r="F35" s="5">
        <f t="shared" ref="F35:F62" si="8">E35/25.4</f>
        <v>0.79527559055118113</v>
      </c>
      <c r="G35" s="9"/>
      <c r="K35" s="5">
        <v>20.2</v>
      </c>
      <c r="L35" s="9">
        <v>100</v>
      </c>
      <c r="M35" s="9">
        <v>100</v>
      </c>
      <c r="N35" s="9">
        <v>100</v>
      </c>
      <c r="O35" s="9">
        <v>100</v>
      </c>
      <c r="P35" s="7">
        <f t="shared" si="4"/>
        <v>20.2</v>
      </c>
      <c r="Q35" s="7">
        <f t="shared" si="3"/>
        <v>20.2</v>
      </c>
      <c r="R35" s="7">
        <f t="shared" si="3"/>
        <v>20.2</v>
      </c>
      <c r="S35" s="7">
        <f t="shared" si="3"/>
        <v>20.2</v>
      </c>
    </row>
    <row r="36" spans="1:19" x14ac:dyDescent="0.25">
      <c r="A36" t="s">
        <v>56</v>
      </c>
      <c r="B36" s="2">
        <v>44722</v>
      </c>
      <c r="C36">
        <v>161</v>
      </c>
      <c r="D36" s="6" t="s">
        <v>79</v>
      </c>
      <c r="E36" s="5">
        <v>26.1</v>
      </c>
      <c r="F36" s="5">
        <f t="shared" si="8"/>
        <v>1.0275590551181104</v>
      </c>
      <c r="G36" s="9"/>
      <c r="I36" s="5"/>
      <c r="K36" s="5">
        <f>(488.72*92^-0.989)*8</f>
        <v>44.66465028183547</v>
      </c>
      <c r="L36" s="9">
        <v>58</v>
      </c>
      <c r="M36" s="9">
        <v>58</v>
      </c>
      <c r="N36" s="9">
        <v>58</v>
      </c>
      <c r="O36" s="9">
        <v>58</v>
      </c>
      <c r="P36" s="7">
        <f t="shared" si="4"/>
        <v>15.138000000000002</v>
      </c>
      <c r="Q36" s="7">
        <f t="shared" si="3"/>
        <v>15.138000000000002</v>
      </c>
      <c r="R36" s="7">
        <f t="shared" si="3"/>
        <v>15.138000000000002</v>
      </c>
      <c r="S36" s="7">
        <f t="shared" si="3"/>
        <v>15.138000000000002</v>
      </c>
    </row>
    <row r="37" spans="1:19" x14ac:dyDescent="0.25">
      <c r="A37" t="s">
        <v>56</v>
      </c>
      <c r="B37" s="2">
        <v>44726</v>
      </c>
      <c r="C37">
        <v>165</v>
      </c>
      <c r="D37" s="6" t="s">
        <v>80</v>
      </c>
      <c r="E37" s="5">
        <v>24.3</v>
      </c>
      <c r="F37" s="5">
        <f t="shared" si="8"/>
        <v>0.95669291338582685</v>
      </c>
      <c r="G37" s="9"/>
      <c r="K37" s="5">
        <f>(488.72*83^-0.989)*6</f>
        <v>37.088829641929173</v>
      </c>
      <c r="L37" s="9">
        <v>66</v>
      </c>
      <c r="M37" s="9">
        <v>66</v>
      </c>
      <c r="N37" s="9">
        <v>66</v>
      </c>
      <c r="O37" s="9">
        <v>66</v>
      </c>
      <c r="P37" s="7">
        <f t="shared" si="4"/>
        <v>16.038</v>
      </c>
      <c r="Q37" s="7">
        <f t="shared" si="4"/>
        <v>16.038</v>
      </c>
      <c r="R37" s="7">
        <f t="shared" si="4"/>
        <v>16.038</v>
      </c>
      <c r="S37" s="7">
        <f t="shared" si="4"/>
        <v>16.038</v>
      </c>
    </row>
    <row r="38" spans="1:19" x14ac:dyDescent="0.25">
      <c r="A38" t="s">
        <v>56</v>
      </c>
      <c r="B38" s="2">
        <v>44729</v>
      </c>
      <c r="C38">
        <v>168</v>
      </c>
      <c r="D38" s="6" t="s">
        <v>80</v>
      </c>
      <c r="E38" s="5">
        <v>24.3</v>
      </c>
      <c r="F38" s="5">
        <f t="shared" si="8"/>
        <v>0.95669291338582685</v>
      </c>
      <c r="G38" s="9"/>
      <c r="K38" s="5">
        <f>(488.72*83^-0.989)*6</f>
        <v>37.088829641929173</v>
      </c>
      <c r="L38" s="9">
        <v>66</v>
      </c>
      <c r="M38" s="9">
        <v>66</v>
      </c>
      <c r="N38" s="9">
        <v>66</v>
      </c>
      <c r="O38" s="9">
        <v>66</v>
      </c>
      <c r="P38" s="7">
        <f t="shared" si="4"/>
        <v>16.038</v>
      </c>
      <c r="Q38" s="7">
        <f t="shared" si="4"/>
        <v>16.038</v>
      </c>
      <c r="R38" s="7">
        <f t="shared" si="4"/>
        <v>16.038</v>
      </c>
      <c r="S38" s="7">
        <f t="shared" si="4"/>
        <v>16.038</v>
      </c>
    </row>
    <row r="39" spans="1:19" x14ac:dyDescent="0.25">
      <c r="A39" t="s">
        <v>56</v>
      </c>
      <c r="B39" s="2">
        <v>44734</v>
      </c>
      <c r="C39">
        <v>173</v>
      </c>
      <c r="D39" s="6" t="s">
        <v>80</v>
      </c>
      <c r="E39" s="5">
        <v>28</v>
      </c>
      <c r="F39" s="5">
        <f t="shared" si="8"/>
        <v>1.1023622047244095</v>
      </c>
      <c r="G39" s="9"/>
      <c r="K39" s="5">
        <f>(488.72*83^-0.989)*6</f>
        <v>37.088829641929173</v>
      </c>
      <c r="L39" s="9">
        <v>75</v>
      </c>
      <c r="M39" s="9">
        <v>75</v>
      </c>
      <c r="N39" s="9">
        <v>75</v>
      </c>
      <c r="O39" s="9">
        <v>75</v>
      </c>
      <c r="P39" s="7">
        <f t="shared" si="4"/>
        <v>21</v>
      </c>
      <c r="Q39" s="7">
        <f t="shared" si="4"/>
        <v>21</v>
      </c>
      <c r="R39" s="7">
        <f t="shared" si="4"/>
        <v>21</v>
      </c>
      <c r="S39" s="7">
        <f t="shared" si="4"/>
        <v>21</v>
      </c>
    </row>
    <row r="40" spans="1:19" x14ac:dyDescent="0.25">
      <c r="A40" t="s">
        <v>56</v>
      </c>
      <c r="B40" s="2">
        <v>44736</v>
      </c>
      <c r="C40">
        <v>175</v>
      </c>
      <c r="D40" s="6" t="s">
        <v>80</v>
      </c>
      <c r="E40" s="5">
        <v>28</v>
      </c>
      <c r="F40" s="5">
        <f t="shared" si="8"/>
        <v>1.1023622047244095</v>
      </c>
      <c r="G40" s="9"/>
      <c r="K40" s="5">
        <f>(488.72*83^-0.989)*6</f>
        <v>37.088829641929173</v>
      </c>
      <c r="L40" s="9">
        <v>75</v>
      </c>
      <c r="M40" s="9">
        <v>75</v>
      </c>
      <c r="N40" s="9">
        <v>75</v>
      </c>
      <c r="O40" s="9">
        <v>75</v>
      </c>
      <c r="P40" s="7">
        <f t="shared" si="4"/>
        <v>21</v>
      </c>
      <c r="Q40" s="7">
        <f t="shared" si="4"/>
        <v>21</v>
      </c>
      <c r="R40" s="7">
        <f t="shared" si="4"/>
        <v>21</v>
      </c>
      <c r="S40" s="7">
        <f t="shared" si="4"/>
        <v>21</v>
      </c>
    </row>
    <row r="41" spans="1:19" x14ac:dyDescent="0.25">
      <c r="A41" t="s">
        <v>56</v>
      </c>
      <c r="B41" s="2">
        <v>44741</v>
      </c>
      <c r="C41">
        <v>180</v>
      </c>
      <c r="D41" s="6" t="s">
        <v>81</v>
      </c>
      <c r="E41" s="5">
        <v>20.5</v>
      </c>
      <c r="F41" s="5">
        <f t="shared" si="8"/>
        <v>0.80708661417322836</v>
      </c>
      <c r="G41" s="9"/>
      <c r="K41" s="5">
        <f>(488.72*86^-0.989)*6</f>
        <v>35.809016583688553</v>
      </c>
      <c r="L41" s="9">
        <v>57</v>
      </c>
      <c r="M41" s="9">
        <v>57</v>
      </c>
      <c r="N41" s="9">
        <v>57</v>
      </c>
      <c r="O41" s="9">
        <v>57</v>
      </c>
      <c r="P41" s="7">
        <f t="shared" si="4"/>
        <v>11.685</v>
      </c>
      <c r="Q41" s="7">
        <f t="shared" si="4"/>
        <v>11.685</v>
      </c>
      <c r="R41" s="7">
        <f t="shared" si="4"/>
        <v>11.685</v>
      </c>
      <c r="S41" s="7">
        <f t="shared" si="4"/>
        <v>11.685</v>
      </c>
    </row>
    <row r="42" spans="1:19" x14ac:dyDescent="0.25">
      <c r="A42" t="s">
        <v>56</v>
      </c>
      <c r="B42" s="2">
        <v>44743</v>
      </c>
      <c r="C42">
        <v>182</v>
      </c>
      <c r="D42" s="6" t="s">
        <v>82</v>
      </c>
      <c r="E42" s="5">
        <f>10.3+20.2</f>
        <v>30.5</v>
      </c>
      <c r="F42" s="5">
        <f t="shared" si="8"/>
        <v>1.2007874015748032</v>
      </c>
      <c r="G42" s="9"/>
      <c r="K42" s="5">
        <f>(488.72*86^-0.989)*3+20.2</f>
        <v>38.104508291844276</v>
      </c>
      <c r="L42" s="9">
        <v>57</v>
      </c>
      <c r="M42" s="9">
        <v>57</v>
      </c>
      <c r="N42" s="9">
        <v>57</v>
      </c>
      <c r="O42" s="9">
        <v>57</v>
      </c>
      <c r="P42" s="7">
        <f>(488.72*86^-0.989)*3*L42/100+20.2</f>
        <v>30.405569726351239</v>
      </c>
      <c r="Q42" s="7">
        <f t="shared" ref="Q42:S42" si="9">(488.72*86^-0.989)*3*M42/100+20.2</f>
        <v>30.405569726351239</v>
      </c>
      <c r="R42" s="7">
        <f t="shared" si="9"/>
        <v>30.405569726351239</v>
      </c>
      <c r="S42" s="7">
        <f t="shared" si="9"/>
        <v>30.405569726351239</v>
      </c>
    </row>
    <row r="43" spans="1:19" x14ac:dyDescent="0.25">
      <c r="A43" t="s">
        <v>56</v>
      </c>
      <c r="B43" s="2">
        <v>44749</v>
      </c>
      <c r="C43">
        <v>188</v>
      </c>
      <c r="D43" s="6" t="s">
        <v>85</v>
      </c>
      <c r="E43" s="5">
        <v>29.8</v>
      </c>
      <c r="F43" s="5">
        <f t="shared" si="8"/>
        <v>1.173228346456693</v>
      </c>
      <c r="G43" s="9" t="s">
        <v>84</v>
      </c>
      <c r="K43" s="5">
        <f>(488.72*77^-0.989)*6</f>
        <v>39.945883889661545</v>
      </c>
      <c r="L43" s="9">
        <v>75</v>
      </c>
      <c r="M43" s="9">
        <v>60</v>
      </c>
      <c r="N43" s="9">
        <v>45</v>
      </c>
      <c r="O43" s="9">
        <v>30</v>
      </c>
      <c r="P43" s="7">
        <f t="shared" si="4"/>
        <v>22.35</v>
      </c>
      <c r="Q43" s="7">
        <f t="shared" si="4"/>
        <v>17.88</v>
      </c>
      <c r="R43" s="7">
        <f t="shared" si="4"/>
        <v>13.41</v>
      </c>
      <c r="S43" s="7">
        <f t="shared" si="4"/>
        <v>8.94</v>
      </c>
    </row>
    <row r="44" spans="1:19" x14ac:dyDescent="0.25">
      <c r="A44" t="s">
        <v>56</v>
      </c>
      <c r="B44" s="2">
        <v>44750</v>
      </c>
      <c r="C44">
        <v>189</v>
      </c>
      <c r="D44" s="6" t="s">
        <v>85</v>
      </c>
      <c r="E44" s="5">
        <v>29.8</v>
      </c>
      <c r="F44" s="5">
        <f t="shared" si="8"/>
        <v>1.173228346456693</v>
      </c>
      <c r="G44" s="9"/>
      <c r="K44" s="5">
        <f>(488.72*77^-0.989)*6</f>
        <v>39.945883889661545</v>
      </c>
      <c r="L44" s="9">
        <v>75</v>
      </c>
      <c r="M44" s="9">
        <v>60</v>
      </c>
      <c r="N44" s="9">
        <v>45</v>
      </c>
      <c r="O44" s="9">
        <v>30</v>
      </c>
      <c r="P44" s="7">
        <f t="shared" si="4"/>
        <v>22.35</v>
      </c>
      <c r="Q44" s="7">
        <f t="shared" si="4"/>
        <v>17.88</v>
      </c>
      <c r="R44" s="7">
        <f t="shared" si="4"/>
        <v>13.41</v>
      </c>
      <c r="S44" s="7">
        <f t="shared" si="4"/>
        <v>8.94</v>
      </c>
    </row>
    <row r="45" spans="1:19" x14ac:dyDescent="0.25">
      <c r="A45" t="s">
        <v>56</v>
      </c>
      <c r="B45" s="2">
        <v>44754</v>
      </c>
      <c r="C45">
        <v>193</v>
      </c>
      <c r="D45" s="6" t="s">
        <v>87</v>
      </c>
      <c r="E45" s="5">
        <v>33.9</v>
      </c>
      <c r="F45" s="5">
        <f t="shared" si="8"/>
        <v>1.3346456692913387</v>
      </c>
      <c r="G45" s="9"/>
      <c r="K45" s="5">
        <f>(488.72*72^-0.989)*6</f>
        <v>42.688365221714406</v>
      </c>
      <c r="L45" s="9">
        <v>79</v>
      </c>
      <c r="M45" s="9">
        <v>64</v>
      </c>
      <c r="N45" s="9">
        <v>48</v>
      </c>
      <c r="O45" s="9">
        <v>32</v>
      </c>
      <c r="P45" s="7">
        <f t="shared" si="4"/>
        <v>26.780999999999999</v>
      </c>
      <c r="Q45" s="7">
        <f t="shared" si="4"/>
        <v>21.695999999999998</v>
      </c>
      <c r="R45" s="7">
        <f t="shared" si="4"/>
        <v>16.271999999999998</v>
      </c>
      <c r="S45" s="7">
        <f t="shared" si="4"/>
        <v>10.847999999999999</v>
      </c>
    </row>
    <row r="46" spans="1:19" x14ac:dyDescent="0.25">
      <c r="A46" t="s">
        <v>56</v>
      </c>
      <c r="B46" s="2">
        <v>44757</v>
      </c>
      <c r="C46">
        <v>196</v>
      </c>
      <c r="D46" s="6" t="s">
        <v>88</v>
      </c>
      <c r="E46" s="5">
        <v>16.899999999999999</v>
      </c>
      <c r="F46" s="5">
        <f t="shared" si="8"/>
        <v>0.66535433070866135</v>
      </c>
      <c r="G46" s="9"/>
      <c r="K46" s="5">
        <f>(488.72*80^-0.989)*4</f>
        <v>25.642720951335434</v>
      </c>
      <c r="L46" s="9">
        <v>67</v>
      </c>
      <c r="M46" s="9">
        <v>40</v>
      </c>
      <c r="N46" s="9">
        <v>14</v>
      </c>
      <c r="O46" s="9">
        <v>0</v>
      </c>
      <c r="P46" s="7">
        <f t="shared" si="4"/>
        <v>11.323</v>
      </c>
      <c r="Q46" s="7">
        <f t="shared" si="4"/>
        <v>6.76</v>
      </c>
      <c r="R46" s="7">
        <f t="shared" si="4"/>
        <v>2.3659999999999997</v>
      </c>
      <c r="S46" s="7">
        <f t="shared" si="4"/>
        <v>0</v>
      </c>
    </row>
    <row r="47" spans="1:19" x14ac:dyDescent="0.25">
      <c r="A47" t="s">
        <v>56</v>
      </c>
      <c r="B47" s="2">
        <v>44762</v>
      </c>
      <c r="C47">
        <v>201</v>
      </c>
      <c r="D47" s="6" t="s">
        <v>89</v>
      </c>
      <c r="E47" s="5">
        <v>32.1</v>
      </c>
      <c r="F47" s="5">
        <f t="shared" si="8"/>
        <v>1.2637795275590553</v>
      </c>
      <c r="G47" s="9"/>
      <c r="K47" s="5">
        <f>(488.72*70^-0.989)*6</f>
        <v>43.894428701714752</v>
      </c>
      <c r="L47" s="9">
        <v>73</v>
      </c>
      <c r="M47" s="9">
        <v>59</v>
      </c>
      <c r="N47" s="9">
        <v>44</v>
      </c>
      <c r="O47" s="9">
        <v>29</v>
      </c>
      <c r="P47" s="7">
        <f t="shared" si="4"/>
        <v>23.433000000000003</v>
      </c>
      <c r="Q47" s="7">
        <f t="shared" si="4"/>
        <v>18.939</v>
      </c>
      <c r="R47" s="7">
        <f t="shared" si="4"/>
        <v>14.124000000000001</v>
      </c>
      <c r="S47" s="7">
        <f t="shared" si="4"/>
        <v>9.3090000000000011</v>
      </c>
    </row>
    <row r="48" spans="1:19" x14ac:dyDescent="0.25">
      <c r="A48" t="s">
        <v>56</v>
      </c>
      <c r="B48" s="2">
        <v>44764</v>
      </c>
      <c r="C48">
        <v>203</v>
      </c>
      <c r="D48" s="6" t="s">
        <v>90</v>
      </c>
      <c r="E48" s="5">
        <f>10.1+20.2</f>
        <v>30.299999999999997</v>
      </c>
      <c r="F48" s="5">
        <f t="shared" si="8"/>
        <v>1.1929133858267715</v>
      </c>
      <c r="G48" s="9"/>
      <c r="K48" s="5">
        <f>10.1+20.2</f>
        <v>30.299999999999997</v>
      </c>
      <c r="L48" s="9">
        <v>100</v>
      </c>
      <c r="M48" s="9">
        <v>100</v>
      </c>
      <c r="N48" s="9">
        <v>100</v>
      </c>
      <c r="O48" s="9">
        <v>100</v>
      </c>
      <c r="P48" s="7">
        <f t="shared" si="4"/>
        <v>30.299999999999997</v>
      </c>
      <c r="Q48" s="7">
        <f t="shared" si="4"/>
        <v>30.299999999999997</v>
      </c>
      <c r="R48" s="7">
        <f t="shared" si="4"/>
        <v>30.299999999999997</v>
      </c>
      <c r="S48" s="7">
        <f t="shared" si="4"/>
        <v>30.299999999999997</v>
      </c>
    </row>
    <row r="49" spans="1:19" x14ac:dyDescent="0.25">
      <c r="A49" t="s">
        <v>56</v>
      </c>
      <c r="B49" s="2">
        <v>44768</v>
      </c>
      <c r="C49">
        <v>207</v>
      </c>
      <c r="D49" s="6" t="s">
        <v>94</v>
      </c>
      <c r="E49" s="5">
        <v>29.4</v>
      </c>
      <c r="F49" s="5">
        <f t="shared" si="8"/>
        <v>1.1574803149606299</v>
      </c>
      <c r="G49" s="9"/>
      <c r="K49" s="5">
        <f>(488.72*93^-0.989)*6</f>
        <v>33.142229960985759</v>
      </c>
      <c r="L49" s="9">
        <v>89</v>
      </c>
      <c r="M49" s="9">
        <v>71</v>
      </c>
      <c r="N49" s="9">
        <v>53</v>
      </c>
      <c r="O49" s="9">
        <v>35</v>
      </c>
      <c r="P49" s="7">
        <f t="shared" si="4"/>
        <v>26.166</v>
      </c>
      <c r="Q49" s="7">
        <f t="shared" si="4"/>
        <v>20.874000000000002</v>
      </c>
      <c r="R49" s="7">
        <f t="shared" si="4"/>
        <v>15.581999999999999</v>
      </c>
      <c r="S49" s="7">
        <f t="shared" si="4"/>
        <v>10.29</v>
      </c>
    </row>
    <row r="50" spans="1:19" x14ac:dyDescent="0.25">
      <c r="A50" t="s">
        <v>56</v>
      </c>
      <c r="B50" s="2">
        <v>44771</v>
      </c>
      <c r="C50">
        <v>210</v>
      </c>
      <c r="D50" s="6" t="s">
        <v>94</v>
      </c>
      <c r="E50" s="5">
        <v>29.4</v>
      </c>
      <c r="F50" s="5">
        <f t="shared" si="8"/>
        <v>1.1574803149606299</v>
      </c>
      <c r="G50" s="9"/>
      <c r="K50" s="5">
        <f>(488.72*93^-0.989)*6</f>
        <v>33.142229960985759</v>
      </c>
      <c r="L50" s="9">
        <v>89</v>
      </c>
      <c r="M50" s="9">
        <v>71</v>
      </c>
      <c r="N50" s="9">
        <v>53</v>
      </c>
      <c r="O50" s="9">
        <v>35</v>
      </c>
      <c r="P50" s="7">
        <f t="shared" si="4"/>
        <v>26.166</v>
      </c>
      <c r="Q50" s="7">
        <f t="shared" si="4"/>
        <v>20.874000000000002</v>
      </c>
      <c r="R50" s="7">
        <f t="shared" si="4"/>
        <v>15.581999999999999</v>
      </c>
      <c r="S50" s="7">
        <f t="shared" si="4"/>
        <v>10.29</v>
      </c>
    </row>
    <row r="51" spans="1:19" x14ac:dyDescent="0.25">
      <c r="A51" t="s">
        <v>56</v>
      </c>
      <c r="B51" s="2">
        <v>44775</v>
      </c>
      <c r="C51">
        <v>214</v>
      </c>
      <c r="D51" s="6" t="s">
        <v>95</v>
      </c>
      <c r="E51" s="5">
        <v>25.3</v>
      </c>
      <c r="F51" s="5">
        <f t="shared" si="8"/>
        <v>0.99606299212598437</v>
      </c>
      <c r="G51" s="9"/>
      <c r="K51" s="5">
        <f>(488.72*89^-0.989)*6</f>
        <v>34.615024707312841</v>
      </c>
      <c r="L51" s="9">
        <v>73</v>
      </c>
      <c r="M51" s="9">
        <v>58</v>
      </c>
      <c r="N51" s="9">
        <v>44</v>
      </c>
      <c r="O51" s="9">
        <v>29</v>
      </c>
      <c r="P51" s="7">
        <f t="shared" si="4"/>
        <v>18.469000000000001</v>
      </c>
      <c r="Q51" s="7">
        <f t="shared" si="4"/>
        <v>14.674000000000001</v>
      </c>
      <c r="R51" s="7">
        <f t="shared" si="4"/>
        <v>11.132</v>
      </c>
      <c r="S51" s="7">
        <f t="shared" si="4"/>
        <v>7.3370000000000006</v>
      </c>
    </row>
    <row r="52" spans="1:19" x14ac:dyDescent="0.25">
      <c r="A52" t="s">
        <v>56</v>
      </c>
      <c r="B52" s="2">
        <v>44778</v>
      </c>
      <c r="C52">
        <v>217</v>
      </c>
      <c r="D52" s="6" t="s">
        <v>97</v>
      </c>
      <c r="E52" s="5">
        <v>13</v>
      </c>
      <c r="F52" s="5">
        <f t="shared" si="8"/>
        <v>0.51181102362204722</v>
      </c>
      <c r="G52" s="9"/>
      <c r="K52" s="5">
        <f>(488.72*92^-0.989)*4</f>
        <v>22.332325140917735</v>
      </c>
      <c r="L52" s="9">
        <v>58</v>
      </c>
      <c r="M52" s="9">
        <v>36</v>
      </c>
      <c r="N52" s="9">
        <v>13</v>
      </c>
      <c r="O52" s="9">
        <v>0</v>
      </c>
      <c r="P52" s="7">
        <f t="shared" si="4"/>
        <v>7.54</v>
      </c>
      <c r="Q52" s="7">
        <f t="shared" si="4"/>
        <v>4.68</v>
      </c>
      <c r="R52" s="7">
        <f t="shared" si="4"/>
        <v>1.69</v>
      </c>
      <c r="S52" s="7">
        <f t="shared" si="4"/>
        <v>0</v>
      </c>
    </row>
    <row r="53" spans="1:19" x14ac:dyDescent="0.25">
      <c r="A53" t="s">
        <v>56</v>
      </c>
      <c r="B53" s="2">
        <v>44783</v>
      </c>
      <c r="C53">
        <v>222</v>
      </c>
      <c r="D53" s="6" t="s">
        <v>96</v>
      </c>
      <c r="E53" s="5">
        <v>26</v>
      </c>
      <c r="F53" s="5">
        <f t="shared" si="8"/>
        <v>1.0236220472440944</v>
      </c>
      <c r="G53" s="9"/>
      <c r="K53" s="5">
        <f>(488.72*97^-0.989)*6</f>
        <v>31.790262742479612</v>
      </c>
      <c r="L53" s="9">
        <v>82</v>
      </c>
      <c r="M53" s="9">
        <v>65</v>
      </c>
      <c r="N53" s="9">
        <v>49</v>
      </c>
      <c r="O53" s="9">
        <v>33</v>
      </c>
      <c r="P53" s="7">
        <f t="shared" si="4"/>
        <v>21.32</v>
      </c>
      <c r="Q53" s="7">
        <f t="shared" si="4"/>
        <v>16.899999999999999</v>
      </c>
      <c r="R53" s="7">
        <f t="shared" si="4"/>
        <v>12.74</v>
      </c>
      <c r="S53" s="7">
        <f t="shared" si="4"/>
        <v>8.58</v>
      </c>
    </row>
    <row r="54" spans="1:19" x14ac:dyDescent="0.25">
      <c r="A54" t="s">
        <v>56</v>
      </c>
      <c r="B54" s="2">
        <v>44785</v>
      </c>
      <c r="C54">
        <v>224</v>
      </c>
      <c r="D54" s="6" t="s">
        <v>96</v>
      </c>
      <c r="E54" s="5">
        <v>26</v>
      </c>
      <c r="F54" s="5">
        <f t="shared" si="8"/>
        <v>1.0236220472440944</v>
      </c>
      <c r="G54" s="9"/>
      <c r="K54" s="5">
        <f>(488.72*97^-0.989)*6</f>
        <v>31.790262742479612</v>
      </c>
      <c r="L54" s="9">
        <v>82</v>
      </c>
      <c r="M54" s="9">
        <v>65</v>
      </c>
      <c r="N54" s="9">
        <v>49</v>
      </c>
      <c r="O54" s="9">
        <v>33</v>
      </c>
      <c r="P54" s="7">
        <f t="shared" si="4"/>
        <v>21.32</v>
      </c>
      <c r="Q54" s="7">
        <f t="shared" si="4"/>
        <v>16.899999999999999</v>
      </c>
      <c r="R54" s="7">
        <f t="shared" si="4"/>
        <v>12.74</v>
      </c>
      <c r="S54" s="7">
        <f t="shared" si="4"/>
        <v>8.58</v>
      </c>
    </row>
    <row r="55" spans="1:19" x14ac:dyDescent="0.25">
      <c r="A55" t="s">
        <v>56</v>
      </c>
      <c r="B55" s="2">
        <v>44789</v>
      </c>
      <c r="C55">
        <v>228</v>
      </c>
      <c r="D55" s="6" t="s">
        <v>75</v>
      </c>
      <c r="E55" s="5">
        <v>21.9</v>
      </c>
      <c r="F55" s="5">
        <f t="shared" si="8"/>
        <v>0.86220472440944884</v>
      </c>
      <c r="G55" s="9"/>
      <c r="K55" s="5">
        <f>(488.72*95^-0.989)*6</f>
        <v>32.452093372450548</v>
      </c>
      <c r="L55" s="9">
        <v>67</v>
      </c>
      <c r="M55" s="9">
        <v>54</v>
      </c>
      <c r="N55" s="9">
        <v>40</v>
      </c>
      <c r="O55" s="9">
        <v>27</v>
      </c>
      <c r="P55" s="7">
        <f t="shared" si="4"/>
        <v>14.673</v>
      </c>
      <c r="Q55" s="7">
        <f t="shared" si="4"/>
        <v>11.825999999999999</v>
      </c>
      <c r="R55" s="7">
        <f t="shared" si="4"/>
        <v>8.76</v>
      </c>
      <c r="S55" s="7">
        <f t="shared" si="4"/>
        <v>5.9129999999999994</v>
      </c>
    </row>
    <row r="56" spans="1:19" x14ac:dyDescent="0.25">
      <c r="A56" t="s">
        <v>56</v>
      </c>
      <c r="B56" s="2">
        <v>44792</v>
      </c>
      <c r="C56">
        <v>231</v>
      </c>
      <c r="D56" s="6" t="s">
        <v>75</v>
      </c>
      <c r="E56" s="5">
        <v>21.9</v>
      </c>
      <c r="F56" s="5">
        <f t="shared" si="8"/>
        <v>0.86220472440944884</v>
      </c>
      <c r="G56" s="9"/>
      <c r="K56" s="5">
        <f>(488.72*95^-0.989)*6</f>
        <v>32.452093372450548</v>
      </c>
      <c r="L56" s="9">
        <v>67</v>
      </c>
      <c r="M56" s="9">
        <v>54</v>
      </c>
      <c r="N56" s="9">
        <v>40</v>
      </c>
      <c r="O56" s="9">
        <v>27</v>
      </c>
      <c r="P56" s="7">
        <f t="shared" si="4"/>
        <v>14.673</v>
      </c>
      <c r="Q56" s="7">
        <f t="shared" si="4"/>
        <v>11.825999999999999</v>
      </c>
      <c r="R56" s="7">
        <f t="shared" si="4"/>
        <v>8.76</v>
      </c>
      <c r="S56" s="7">
        <f t="shared" si="4"/>
        <v>5.9129999999999994</v>
      </c>
    </row>
    <row r="57" spans="1:19" x14ac:dyDescent="0.25">
      <c r="A57" t="s">
        <v>56</v>
      </c>
      <c r="B57" s="2">
        <v>44796</v>
      </c>
      <c r="C57">
        <v>235</v>
      </c>
      <c r="D57" s="6" t="s">
        <v>98</v>
      </c>
      <c r="E57" s="5">
        <v>16.600000000000001</v>
      </c>
      <c r="F57" s="5">
        <f t="shared" si="8"/>
        <v>0.65354330708661423</v>
      </c>
      <c r="G57" s="9"/>
      <c r="K57" s="5">
        <f>(488.72*93^-0.989)*4</f>
        <v>22.094819973990504</v>
      </c>
      <c r="L57" s="9">
        <v>75</v>
      </c>
      <c r="M57" s="9">
        <v>60</v>
      </c>
      <c r="N57" s="9">
        <v>45</v>
      </c>
      <c r="O57" s="9">
        <v>30</v>
      </c>
      <c r="P57" s="7">
        <f t="shared" si="4"/>
        <v>12.45</v>
      </c>
      <c r="Q57" s="7">
        <f t="shared" si="4"/>
        <v>9.9600000000000009</v>
      </c>
      <c r="R57" s="7">
        <f t="shared" si="4"/>
        <v>7.4700000000000015</v>
      </c>
      <c r="S57" s="7">
        <f t="shared" si="4"/>
        <v>4.9800000000000004</v>
      </c>
    </row>
    <row r="58" spans="1:19" x14ac:dyDescent="0.25">
      <c r="A58" t="s">
        <v>56</v>
      </c>
      <c r="B58" s="2">
        <v>44799</v>
      </c>
      <c r="C58">
        <v>238</v>
      </c>
      <c r="D58" s="6" t="s">
        <v>94</v>
      </c>
      <c r="E58" s="5">
        <v>24.8</v>
      </c>
      <c r="F58" s="5">
        <f t="shared" si="8"/>
        <v>0.97637795275590555</v>
      </c>
      <c r="G58" s="9"/>
      <c r="K58" s="5">
        <f>(488.72*93^-0.989)*6</f>
        <v>33.142229960985759</v>
      </c>
      <c r="L58" s="9">
        <v>75</v>
      </c>
      <c r="M58" s="9">
        <v>60</v>
      </c>
      <c r="N58" s="9">
        <v>45</v>
      </c>
      <c r="O58" s="9">
        <v>30</v>
      </c>
      <c r="P58" s="7">
        <f t="shared" si="4"/>
        <v>18.600000000000001</v>
      </c>
      <c r="Q58" s="7">
        <f t="shared" si="4"/>
        <v>14.88</v>
      </c>
      <c r="R58" s="7">
        <f t="shared" si="4"/>
        <v>11.16</v>
      </c>
      <c r="S58" s="7">
        <f t="shared" si="4"/>
        <v>7.44</v>
      </c>
    </row>
    <row r="59" spans="1:19" x14ac:dyDescent="0.25">
      <c r="A59" t="s">
        <v>56</v>
      </c>
      <c r="B59" s="2">
        <v>44803</v>
      </c>
      <c r="C59">
        <v>242</v>
      </c>
      <c r="D59" s="6" t="s">
        <v>99</v>
      </c>
      <c r="E59" s="5">
        <v>22.3</v>
      </c>
      <c r="F59" s="5">
        <f t="shared" si="8"/>
        <v>0.87795275590551192</v>
      </c>
      <c r="G59" s="9"/>
      <c r="K59" s="5">
        <f>(488.72*87^-0.989)*6</f>
        <v>35.401920434137551</v>
      </c>
      <c r="L59" s="9">
        <v>63</v>
      </c>
      <c r="M59" s="9">
        <v>50</v>
      </c>
      <c r="N59" s="9">
        <v>38</v>
      </c>
      <c r="O59" s="9">
        <v>25</v>
      </c>
      <c r="P59" s="7">
        <f t="shared" si="4"/>
        <v>14.049000000000001</v>
      </c>
      <c r="Q59" s="7">
        <f t="shared" si="4"/>
        <v>11.15</v>
      </c>
      <c r="R59" s="7">
        <f t="shared" si="4"/>
        <v>8.4740000000000002</v>
      </c>
      <c r="S59" s="7">
        <f t="shared" si="4"/>
        <v>5.5750000000000002</v>
      </c>
    </row>
    <row r="60" spans="1:19" x14ac:dyDescent="0.25">
      <c r="A60" t="s">
        <v>56</v>
      </c>
      <c r="B60" s="2">
        <v>44806</v>
      </c>
      <c r="C60">
        <v>245</v>
      </c>
      <c r="D60" s="6" t="s">
        <v>99</v>
      </c>
      <c r="E60" s="5">
        <v>22.3</v>
      </c>
      <c r="F60" s="5">
        <f t="shared" si="8"/>
        <v>0.87795275590551192</v>
      </c>
      <c r="G60" s="9"/>
      <c r="K60" s="5">
        <f>(488.72*87^-0.989)*6</f>
        <v>35.401920434137551</v>
      </c>
      <c r="L60" s="9">
        <v>63</v>
      </c>
      <c r="M60" s="9">
        <v>50</v>
      </c>
      <c r="N60" s="9">
        <v>38</v>
      </c>
      <c r="O60" s="9">
        <v>25</v>
      </c>
      <c r="P60" s="7">
        <f t="shared" si="4"/>
        <v>14.049000000000001</v>
      </c>
      <c r="Q60" s="7">
        <f t="shared" si="4"/>
        <v>11.15</v>
      </c>
      <c r="R60" s="7">
        <f t="shared" si="4"/>
        <v>8.4740000000000002</v>
      </c>
      <c r="S60" s="7">
        <f t="shared" si="4"/>
        <v>5.5750000000000002</v>
      </c>
    </row>
    <row r="61" spans="1:19" x14ac:dyDescent="0.25">
      <c r="A61" t="s">
        <v>56</v>
      </c>
      <c r="B61" s="2">
        <v>44811</v>
      </c>
      <c r="C61">
        <v>250</v>
      </c>
      <c r="D61" s="6" t="s">
        <v>100</v>
      </c>
      <c r="E61" s="5">
        <v>18.100000000000001</v>
      </c>
      <c r="F61" s="5">
        <f t="shared" si="8"/>
        <v>0.71259842519685046</v>
      </c>
      <c r="G61" s="9"/>
      <c r="K61" s="5">
        <f>(488.72*88^-0.989)*6</f>
        <v>35.004026161195526</v>
      </c>
      <c r="L61" s="9">
        <v>52</v>
      </c>
      <c r="M61" s="9">
        <v>41</v>
      </c>
      <c r="N61" s="9">
        <v>31</v>
      </c>
      <c r="O61" s="9">
        <v>21</v>
      </c>
      <c r="P61" s="7">
        <f t="shared" si="4"/>
        <v>9.4120000000000008</v>
      </c>
      <c r="Q61" s="7">
        <f t="shared" si="4"/>
        <v>7.4210000000000003</v>
      </c>
      <c r="R61" s="7">
        <f t="shared" si="4"/>
        <v>5.6110000000000007</v>
      </c>
      <c r="S61" s="7">
        <f t="shared" si="4"/>
        <v>3.8010000000000002</v>
      </c>
    </row>
    <row r="62" spans="1:19" x14ac:dyDescent="0.25">
      <c r="A62" t="s">
        <v>56</v>
      </c>
      <c r="B62" s="2">
        <v>44813</v>
      </c>
      <c r="C62">
        <v>252</v>
      </c>
      <c r="D62" s="6" t="s">
        <v>100</v>
      </c>
      <c r="E62" s="5">
        <v>18.100000000000001</v>
      </c>
      <c r="F62" s="5">
        <f t="shared" si="8"/>
        <v>0.71259842519685046</v>
      </c>
      <c r="G62" s="9"/>
      <c r="K62" s="5">
        <f>(488.72*88^-0.989)*6</f>
        <v>35.004026161195526</v>
      </c>
      <c r="L62" s="9">
        <v>52</v>
      </c>
      <c r="M62" s="9">
        <v>41</v>
      </c>
      <c r="N62" s="9">
        <v>31</v>
      </c>
      <c r="O62" s="9">
        <v>21</v>
      </c>
      <c r="P62" s="7">
        <f t="shared" si="4"/>
        <v>9.4120000000000008</v>
      </c>
      <c r="Q62" s="7">
        <f t="shared" si="4"/>
        <v>7.4210000000000003</v>
      </c>
      <c r="R62" s="7">
        <f t="shared" si="4"/>
        <v>5.6110000000000007</v>
      </c>
      <c r="S62" s="7">
        <f t="shared" si="4"/>
        <v>3.8010000000000002</v>
      </c>
    </row>
    <row r="63" spans="1:19" x14ac:dyDescent="0.25">
      <c r="B63" s="2"/>
      <c r="D63" s="6"/>
      <c r="E63" s="5">
        <f>SUM(E21:E62)</f>
        <v>972.6999999999997</v>
      </c>
      <c r="F63" s="5">
        <f>SUM(F21:F62)</f>
        <v>38.295275590551192</v>
      </c>
      <c r="G63" s="5"/>
    </row>
    <row r="64" spans="1:19" x14ac:dyDescent="0.25">
      <c r="B64" s="2"/>
      <c r="D64" s="6"/>
      <c r="F64" s="5"/>
      <c r="G64" s="5"/>
    </row>
    <row r="65" spans="2:11" x14ac:dyDescent="0.25">
      <c r="B65" s="2"/>
      <c r="D65" s="6"/>
      <c r="E65" s="5"/>
      <c r="F65" s="5"/>
      <c r="G65" s="5"/>
    </row>
    <row r="66" spans="2:11" x14ac:dyDescent="0.25">
      <c r="B66" s="2"/>
      <c r="D66" s="6"/>
      <c r="E66" s="5"/>
      <c r="F66" s="5"/>
      <c r="G66" s="5"/>
    </row>
    <row r="67" spans="2:11" x14ac:dyDescent="0.25">
      <c r="B67" s="2"/>
      <c r="D67" s="6"/>
      <c r="E67" s="5"/>
      <c r="F67" s="5"/>
      <c r="G67" s="5"/>
    </row>
    <row r="68" spans="2:11" x14ac:dyDescent="0.25">
      <c r="B68" s="2"/>
      <c r="D68" s="6"/>
      <c r="E68" s="5"/>
      <c r="F68" s="5"/>
      <c r="G68" s="5"/>
      <c r="H68" s="5"/>
    </row>
    <row r="69" spans="2:11" x14ac:dyDescent="0.25">
      <c r="B69" s="2"/>
      <c r="D69" s="6"/>
      <c r="E69" s="5"/>
      <c r="F69" s="5"/>
      <c r="G69" s="5"/>
    </row>
    <row r="70" spans="2:11" x14ac:dyDescent="0.25">
      <c r="B70" s="2"/>
      <c r="D70" s="6"/>
      <c r="E70" s="5"/>
      <c r="F70" s="5"/>
      <c r="G70" s="5"/>
      <c r="H70" s="5"/>
      <c r="I70" s="5"/>
    </row>
    <row r="71" spans="2:11" x14ac:dyDescent="0.25">
      <c r="B71" s="2"/>
      <c r="D71" s="6"/>
      <c r="E71" s="5"/>
      <c r="F71" s="5"/>
      <c r="G71" s="5"/>
      <c r="H71" s="5"/>
      <c r="I71" s="5"/>
      <c r="J71" s="5"/>
      <c r="K71" s="5"/>
    </row>
    <row r="72" spans="2:11" x14ac:dyDescent="0.25">
      <c r="B72" s="2"/>
      <c r="D72" s="6"/>
      <c r="E72" s="5"/>
      <c r="F72" s="5"/>
      <c r="G72" s="5"/>
      <c r="H72" s="5"/>
      <c r="I72" s="5"/>
      <c r="J72" s="5"/>
      <c r="K72" s="5"/>
    </row>
    <row r="73" spans="2:11" x14ac:dyDescent="0.25">
      <c r="B73" s="2"/>
      <c r="D73" s="6"/>
      <c r="E73" s="5"/>
      <c r="F73" s="5"/>
      <c r="G73" s="5"/>
      <c r="H73" s="5"/>
      <c r="I73" s="5"/>
      <c r="J73" s="5"/>
      <c r="K73" s="5"/>
    </row>
    <row r="74" spans="2:11" x14ac:dyDescent="0.25">
      <c r="B74" s="2"/>
      <c r="D74" s="6"/>
      <c r="E74" s="5"/>
      <c r="F74" s="5"/>
      <c r="G74" s="5"/>
      <c r="H74" s="5"/>
      <c r="I74" s="5"/>
      <c r="J74" s="5"/>
      <c r="K74" s="5"/>
    </row>
    <row r="75" spans="2:11" x14ac:dyDescent="0.25">
      <c r="B75" s="2"/>
      <c r="D75" s="6"/>
      <c r="E75" s="5"/>
      <c r="F75" s="5"/>
      <c r="G75" s="5"/>
      <c r="H75" s="5"/>
      <c r="I75" s="5"/>
      <c r="J75" s="5"/>
      <c r="K75" s="5"/>
    </row>
    <row r="76" spans="2:11" x14ac:dyDescent="0.25">
      <c r="B76" s="2"/>
      <c r="D76" s="6"/>
      <c r="E76" s="5"/>
      <c r="F76" s="5"/>
      <c r="G76" s="5"/>
      <c r="H76" s="5"/>
      <c r="I76" s="5"/>
      <c r="J76" s="5"/>
      <c r="K76" s="5"/>
    </row>
    <row r="77" spans="2:11" x14ac:dyDescent="0.25">
      <c r="B77" s="2"/>
      <c r="D77" s="6"/>
      <c r="E77" s="5"/>
      <c r="F77" s="5"/>
      <c r="G77" s="5"/>
      <c r="H77" s="5"/>
      <c r="I77" s="5"/>
      <c r="J77" s="5"/>
    </row>
    <row r="78" spans="2:11" x14ac:dyDescent="0.25">
      <c r="B78" s="2"/>
      <c r="D78" s="6"/>
      <c r="E78" s="5"/>
      <c r="F78" s="5"/>
      <c r="G78" s="5"/>
      <c r="H78" s="5"/>
      <c r="I78" s="5"/>
      <c r="J78" s="5"/>
    </row>
    <row r="79" spans="2:11" x14ac:dyDescent="0.25">
      <c r="B79" s="2"/>
      <c r="D79" s="6"/>
      <c r="E79" s="5"/>
      <c r="F79" s="5"/>
      <c r="G79" s="5"/>
      <c r="H79" s="5"/>
      <c r="I79" s="5"/>
      <c r="J79" s="5"/>
    </row>
    <row r="80" spans="2:11" x14ac:dyDescent="0.25">
      <c r="B80" s="2"/>
      <c r="D80" s="6"/>
      <c r="E80" s="5"/>
      <c r="F80" s="5"/>
      <c r="G80" s="5"/>
      <c r="J80" s="5"/>
    </row>
    <row r="81" spans="2:10" x14ac:dyDescent="0.25">
      <c r="B81" s="2"/>
      <c r="D81" s="6"/>
      <c r="E81" s="5"/>
      <c r="F81" s="5"/>
      <c r="G81" s="5"/>
    </row>
    <row r="82" spans="2:10" x14ac:dyDescent="0.25">
      <c r="B82" s="2"/>
      <c r="D82" s="6"/>
      <c r="E82" s="5"/>
      <c r="F82" s="5"/>
      <c r="G82" s="5"/>
      <c r="H82" s="5"/>
      <c r="I82" s="5"/>
    </row>
    <row r="83" spans="2:10" x14ac:dyDescent="0.25">
      <c r="B83" s="2"/>
      <c r="D83" s="6"/>
      <c r="E83" s="5"/>
      <c r="F83" s="5"/>
      <c r="G83" s="5"/>
      <c r="H83" s="5"/>
      <c r="I83" s="5"/>
      <c r="J83" s="5"/>
    </row>
    <row r="84" spans="2:10" x14ac:dyDescent="0.25">
      <c r="B84" s="2"/>
      <c r="D84" s="6"/>
      <c r="E84" s="5"/>
      <c r="F84" s="5"/>
      <c r="G84" s="5"/>
      <c r="H84" s="5"/>
      <c r="I84" s="5"/>
      <c r="J84" s="5"/>
    </row>
    <row r="85" spans="2:10" x14ac:dyDescent="0.25">
      <c r="B85" s="2"/>
      <c r="D85" s="6"/>
      <c r="E85" s="5"/>
      <c r="F85" s="5"/>
      <c r="G85" s="5"/>
      <c r="H85" s="5"/>
      <c r="I85" s="5"/>
      <c r="J85" s="5"/>
    </row>
    <row r="86" spans="2:10" x14ac:dyDescent="0.25">
      <c r="B86" s="2"/>
      <c r="D86" s="6"/>
      <c r="E86" s="5"/>
      <c r="F86" s="5"/>
      <c r="G86" s="5"/>
      <c r="H86" s="5"/>
      <c r="I86" s="5"/>
      <c r="J86" s="5"/>
    </row>
    <row r="87" spans="2:10" x14ac:dyDescent="0.25">
      <c r="B87" s="2"/>
      <c r="D87" s="6"/>
      <c r="E87" s="5"/>
      <c r="F87" s="5"/>
      <c r="G87" s="5"/>
      <c r="H87" s="5"/>
      <c r="I87" s="5"/>
      <c r="J87" s="5"/>
    </row>
    <row r="88" spans="2:10" x14ac:dyDescent="0.25">
      <c r="B88" s="2"/>
      <c r="D88" s="6"/>
      <c r="E88" s="5"/>
      <c r="F88" s="5"/>
      <c r="G88" s="5"/>
      <c r="H88" s="5"/>
      <c r="I88" s="5"/>
      <c r="J88" s="5"/>
    </row>
    <row r="89" spans="2:10" x14ac:dyDescent="0.25">
      <c r="B89" s="2"/>
      <c r="D89" s="6"/>
      <c r="E89" s="5"/>
      <c r="F89" s="5"/>
      <c r="G89" s="5"/>
      <c r="H89" s="5"/>
      <c r="I89" s="5"/>
      <c r="J89" s="5"/>
    </row>
    <row r="90" spans="2:10" x14ac:dyDescent="0.25">
      <c r="B90" s="2"/>
      <c r="D90" s="6"/>
      <c r="E90" s="5"/>
      <c r="F90" s="5"/>
      <c r="G90" s="5"/>
      <c r="H90" s="5"/>
      <c r="I90" s="5"/>
      <c r="J90" s="5"/>
    </row>
    <row r="91" spans="2:10" x14ac:dyDescent="0.25">
      <c r="B91" s="2"/>
      <c r="D91" s="6"/>
      <c r="E91" s="5"/>
      <c r="F91" s="5"/>
      <c r="G91" s="5"/>
      <c r="H91" s="5"/>
      <c r="I91" s="5"/>
      <c r="J91" s="5"/>
    </row>
    <row r="92" spans="2:10" x14ac:dyDescent="0.25">
      <c r="B92" s="2"/>
      <c r="D92" s="6"/>
      <c r="E92" s="5"/>
      <c r="F92" s="5"/>
      <c r="G92" s="5"/>
      <c r="H92" s="5"/>
      <c r="I92" s="5"/>
      <c r="J92" s="5"/>
    </row>
    <row r="93" spans="2:10" x14ac:dyDescent="0.25">
      <c r="B93" s="2"/>
      <c r="D93" s="6"/>
      <c r="E93" s="5"/>
      <c r="F93" s="5"/>
      <c r="G93" s="5"/>
      <c r="H93" s="5"/>
      <c r="I93" s="5"/>
      <c r="J93" s="5"/>
    </row>
    <row r="94" spans="2:10" x14ac:dyDescent="0.25">
      <c r="B94" s="2"/>
      <c r="D94" s="6"/>
      <c r="E94" s="5"/>
      <c r="F94" s="5"/>
      <c r="G94" s="5"/>
      <c r="H94" s="5"/>
      <c r="I94" s="5"/>
      <c r="J94" s="5"/>
    </row>
    <row r="95" spans="2:10" x14ac:dyDescent="0.25">
      <c r="B95" s="2"/>
      <c r="D95" s="6"/>
      <c r="E95" s="5"/>
      <c r="F95" s="5"/>
      <c r="G95" s="5"/>
      <c r="H95" s="5"/>
      <c r="I95" s="9"/>
      <c r="J95" s="5"/>
    </row>
    <row r="96" spans="2:10" x14ac:dyDescent="0.25">
      <c r="B96" s="2"/>
      <c r="D96" s="6"/>
      <c r="E96" s="5"/>
      <c r="F96" s="5"/>
      <c r="G96" s="5"/>
      <c r="H96" s="5"/>
      <c r="I96" s="9"/>
      <c r="J96" s="5"/>
    </row>
    <row r="97" spans="2:10" x14ac:dyDescent="0.25">
      <c r="B97" s="2"/>
      <c r="D97" s="6"/>
      <c r="E97" s="5"/>
      <c r="F97" s="5"/>
      <c r="G97" s="5"/>
      <c r="H97" s="5"/>
      <c r="I97" s="9"/>
      <c r="J97" s="5"/>
    </row>
    <row r="98" spans="2:10" x14ac:dyDescent="0.25">
      <c r="B98" s="2"/>
      <c r="D98" s="6"/>
      <c r="E98" s="5"/>
      <c r="F98" s="5"/>
      <c r="G98" s="5"/>
      <c r="H98" s="5"/>
      <c r="I98" s="9"/>
      <c r="J98" s="5"/>
    </row>
    <row r="99" spans="2:10" x14ac:dyDescent="0.25">
      <c r="B99" s="2"/>
      <c r="E99" s="5"/>
      <c r="F99" s="5"/>
      <c r="G99" s="5"/>
      <c r="H99" s="5"/>
      <c r="I99" s="9"/>
      <c r="J99" s="5"/>
    </row>
    <row r="100" spans="2:10" x14ac:dyDescent="0.25">
      <c r="B100" s="2"/>
      <c r="E100" s="5"/>
      <c r="F100" s="5"/>
      <c r="G100" s="5"/>
      <c r="H100" s="5"/>
      <c r="I100" s="9"/>
      <c r="J100" s="5"/>
    </row>
    <row r="101" spans="2:10" x14ac:dyDescent="0.25">
      <c r="B101" s="2"/>
      <c r="E101" s="5"/>
      <c r="F101" s="5"/>
      <c r="G101" s="5"/>
      <c r="H101" s="5"/>
      <c r="I101" s="9"/>
      <c r="J101" s="5"/>
    </row>
    <row r="102" spans="2:10" x14ac:dyDescent="0.25">
      <c r="B102" s="2"/>
      <c r="E102" s="5"/>
      <c r="F102" s="5"/>
      <c r="G102" s="5"/>
      <c r="H102" s="5"/>
      <c r="I102" s="9"/>
      <c r="J102" s="5"/>
    </row>
    <row r="103" spans="2:10" x14ac:dyDescent="0.25">
      <c r="B103" s="2"/>
      <c r="E103" s="5"/>
      <c r="F103" s="5"/>
      <c r="G103" s="5"/>
      <c r="H103" s="5"/>
      <c r="I103" s="5"/>
      <c r="J103" s="5"/>
    </row>
    <row r="104" spans="2:10" x14ac:dyDescent="0.25">
      <c r="B104" s="2"/>
      <c r="E104" s="5"/>
      <c r="F104" s="5"/>
      <c r="G104" s="5"/>
      <c r="H104" s="5"/>
      <c r="I104" s="5"/>
      <c r="J104" s="5"/>
    </row>
    <row r="105" spans="2:10" x14ac:dyDescent="0.25">
      <c r="B105" s="2"/>
      <c r="E105" s="5"/>
      <c r="F105" s="5"/>
      <c r="G105" s="5"/>
      <c r="H105" s="5"/>
      <c r="I105" s="5"/>
      <c r="J105" s="5"/>
    </row>
    <row r="106" spans="2:10" x14ac:dyDescent="0.25">
      <c r="B106" s="2"/>
      <c r="E106" s="5"/>
      <c r="F106" s="5"/>
      <c r="G106" s="5"/>
      <c r="H106" s="5"/>
      <c r="I106" s="5"/>
      <c r="J106" s="5"/>
    </row>
    <row r="107" spans="2:10" x14ac:dyDescent="0.25">
      <c r="B107" s="2"/>
      <c r="E107" s="5"/>
      <c r="F107" s="5"/>
      <c r="G107" s="5"/>
      <c r="H107" s="5"/>
      <c r="I107" s="5"/>
      <c r="J107" s="5"/>
    </row>
    <row r="108" spans="2:10" x14ac:dyDescent="0.25">
      <c r="B108" s="2"/>
      <c r="E108" s="5"/>
      <c r="F108" s="5"/>
      <c r="G108" s="5"/>
      <c r="H108" s="5"/>
      <c r="I108" s="5"/>
      <c r="J108" s="5"/>
    </row>
    <row r="109" spans="2:10" x14ac:dyDescent="0.25">
      <c r="B109" s="2"/>
      <c r="E109" s="5"/>
      <c r="F109" s="5"/>
      <c r="G109" s="5"/>
      <c r="H109" s="5"/>
      <c r="I109" s="5"/>
      <c r="J109" s="5"/>
    </row>
    <row r="110" spans="2:10" x14ac:dyDescent="0.25">
      <c r="B110" s="2"/>
      <c r="E110" s="5"/>
      <c r="F110" s="5"/>
      <c r="G110" s="5"/>
      <c r="H110" s="5"/>
      <c r="I110" s="5"/>
      <c r="J110" s="5"/>
    </row>
    <row r="111" spans="2:10" x14ac:dyDescent="0.25">
      <c r="B111" s="2"/>
      <c r="E111" s="5"/>
      <c r="F111" s="5"/>
      <c r="G111" s="5"/>
      <c r="H111" s="5"/>
      <c r="I111" s="5"/>
      <c r="J111" s="5"/>
    </row>
    <row r="112" spans="2:10" x14ac:dyDescent="0.25">
      <c r="B112" s="2"/>
      <c r="E112" s="5"/>
      <c r="F112" s="5"/>
      <c r="G112" s="5"/>
      <c r="H112" s="5"/>
      <c r="I112" s="5"/>
      <c r="J112" s="5"/>
    </row>
    <row r="113" spans="2:14" x14ac:dyDescent="0.25">
      <c r="B113" s="2"/>
      <c r="E113" s="5"/>
      <c r="F113" s="5"/>
      <c r="G113" s="5"/>
      <c r="H113" s="5"/>
      <c r="I113" s="5"/>
      <c r="J113" s="5"/>
    </row>
    <row r="114" spans="2:14" x14ac:dyDescent="0.25">
      <c r="B114" s="2"/>
      <c r="E114" s="5"/>
      <c r="F114" s="5"/>
      <c r="G114" s="5"/>
      <c r="H114" s="5"/>
      <c r="I114" s="5"/>
      <c r="J114" s="5"/>
    </row>
    <row r="115" spans="2:14" x14ac:dyDescent="0.25">
      <c r="B115" s="2"/>
      <c r="E115" s="5"/>
      <c r="F115" s="5"/>
      <c r="G115" s="5"/>
      <c r="H115" s="5"/>
      <c r="I115" s="5"/>
      <c r="J115" s="5"/>
      <c r="N115" s="8"/>
    </row>
    <row r="116" spans="2:14" x14ac:dyDescent="0.25">
      <c r="B116" s="2"/>
      <c r="E116" s="5"/>
      <c r="F116" s="5"/>
      <c r="G116" s="5"/>
      <c r="H116" s="5"/>
      <c r="I116" s="5"/>
      <c r="J116" s="5"/>
      <c r="N116" s="8"/>
    </row>
    <row r="117" spans="2:14" x14ac:dyDescent="0.25">
      <c r="B117" s="2"/>
      <c r="E117" s="5"/>
      <c r="F117" s="5"/>
      <c r="G117" s="5"/>
      <c r="H117" s="5"/>
      <c r="I117" s="5"/>
      <c r="J117" s="5"/>
      <c r="N117" s="8"/>
    </row>
    <row r="118" spans="2:14" x14ac:dyDescent="0.25">
      <c r="E118" s="5"/>
      <c r="F118" s="5"/>
      <c r="G118" s="5"/>
      <c r="H118" s="5"/>
      <c r="I118" s="5"/>
      <c r="J118" s="5"/>
      <c r="N118" s="8"/>
    </row>
    <row r="119" spans="2:14" x14ac:dyDescent="0.25">
      <c r="E119" s="5"/>
      <c r="F119" s="5"/>
      <c r="G119" s="5"/>
      <c r="H119" s="5"/>
      <c r="I119" s="5"/>
      <c r="J119" s="5"/>
      <c r="N119" s="8"/>
    </row>
    <row r="120" spans="2:14" x14ac:dyDescent="0.25">
      <c r="E120" s="5"/>
      <c r="F120" s="5"/>
      <c r="G120" s="5"/>
      <c r="H120" s="5"/>
      <c r="I120" s="5"/>
      <c r="J120" s="5"/>
      <c r="N120" s="8"/>
    </row>
    <row r="121" spans="2:14" x14ac:dyDescent="0.25">
      <c r="E121" s="5"/>
      <c r="F121" s="5"/>
      <c r="G121" s="5"/>
      <c r="H121" s="5"/>
      <c r="I121" s="5"/>
      <c r="J121" s="5"/>
      <c r="N121" s="5"/>
    </row>
    <row r="122" spans="2:14" x14ac:dyDescent="0.25">
      <c r="E122" s="5"/>
      <c r="F122" s="5"/>
      <c r="G122" s="5"/>
      <c r="H122" s="5"/>
      <c r="I122" s="5"/>
      <c r="J122" s="5"/>
      <c r="N122" s="8"/>
    </row>
    <row r="123" spans="2:14" x14ac:dyDescent="0.25">
      <c r="E123" s="5"/>
      <c r="F123" s="5"/>
      <c r="G123" s="5"/>
      <c r="H123" s="5"/>
      <c r="I123" s="5"/>
      <c r="J123" s="5"/>
      <c r="N123" s="8"/>
    </row>
    <row r="124" spans="2:14" x14ac:dyDescent="0.25">
      <c r="E124" s="5"/>
      <c r="F124" s="5"/>
      <c r="G124" s="5"/>
      <c r="H124" s="5"/>
      <c r="I124" s="5"/>
      <c r="J124" s="5"/>
      <c r="N124" s="8"/>
    </row>
    <row r="125" spans="2:14" x14ac:dyDescent="0.25">
      <c r="E125" s="5"/>
      <c r="F125" s="5"/>
      <c r="G125" s="5"/>
      <c r="H125" s="5"/>
      <c r="I125" s="5"/>
      <c r="J125" s="5"/>
      <c r="N125" s="8"/>
    </row>
    <row r="126" spans="2:14" x14ac:dyDescent="0.25">
      <c r="E126" s="5"/>
      <c r="F126" s="5"/>
      <c r="G126" s="5"/>
      <c r="H126" s="5"/>
      <c r="I126" s="5"/>
      <c r="J126" s="5"/>
      <c r="N126" s="8"/>
    </row>
    <row r="127" spans="2:14" x14ac:dyDescent="0.25">
      <c r="E127" s="5"/>
      <c r="F127" s="5"/>
      <c r="G127" s="5"/>
      <c r="H127" s="5"/>
      <c r="I127" s="5"/>
      <c r="J127" s="5"/>
      <c r="N127" s="8"/>
    </row>
    <row r="128" spans="2:14" x14ac:dyDescent="0.25">
      <c r="E128" s="5"/>
      <c r="F128" s="5"/>
      <c r="G128" s="5"/>
      <c r="H128" s="5"/>
      <c r="I128" s="5"/>
      <c r="J128" s="5"/>
      <c r="N128" s="8"/>
    </row>
    <row r="129" spans="5:14" x14ac:dyDescent="0.25">
      <c r="E129" s="5"/>
      <c r="F129" s="5"/>
      <c r="G129" s="5"/>
      <c r="H129" s="5"/>
      <c r="I129" s="5"/>
      <c r="J129" s="5"/>
      <c r="N129" s="8"/>
    </row>
    <row r="130" spans="5:14" x14ac:dyDescent="0.25">
      <c r="E130" s="5"/>
      <c r="F130" s="5"/>
      <c r="G130" s="5"/>
      <c r="H130" s="5"/>
      <c r="I130" s="5"/>
      <c r="J130" s="5"/>
      <c r="N130" s="8"/>
    </row>
    <row r="131" spans="5:14" x14ac:dyDescent="0.25">
      <c r="E131" s="5"/>
      <c r="F131" s="5"/>
      <c r="G131" s="5"/>
      <c r="H131" s="5"/>
      <c r="I131" s="5"/>
      <c r="J131" s="5"/>
      <c r="N131" s="8"/>
    </row>
    <row r="132" spans="5:14" x14ac:dyDescent="0.25">
      <c r="E132" s="5"/>
      <c r="F132" s="5"/>
      <c r="G132" s="5"/>
      <c r="H132" s="5"/>
      <c r="I132" s="5"/>
      <c r="J132" s="5"/>
      <c r="N132" s="8"/>
    </row>
    <row r="133" spans="5:14" x14ac:dyDescent="0.25">
      <c r="E133" s="5"/>
      <c r="F133" s="5"/>
      <c r="G133" s="5"/>
      <c r="H133" s="5"/>
      <c r="I133" s="5"/>
      <c r="J133" s="5"/>
      <c r="N133" s="8"/>
    </row>
    <row r="134" spans="5:14" x14ac:dyDescent="0.25">
      <c r="E134" s="5"/>
      <c r="F134" s="5"/>
      <c r="G134" s="5"/>
      <c r="H134" s="5"/>
      <c r="I134" s="5"/>
      <c r="J134" s="5"/>
    </row>
    <row r="135" spans="5:14" x14ac:dyDescent="0.25">
      <c r="E135" s="5"/>
      <c r="F135" s="5"/>
      <c r="G135" s="5"/>
      <c r="H135" s="5"/>
      <c r="I135" s="5"/>
      <c r="J135" s="5"/>
    </row>
    <row r="136" spans="5:14" x14ac:dyDescent="0.25">
      <c r="E136" s="5"/>
      <c r="F136" s="5"/>
      <c r="G136" s="5"/>
      <c r="H136" s="5"/>
      <c r="I136" s="5"/>
      <c r="J136" s="5"/>
    </row>
    <row r="137" spans="5:14" x14ac:dyDescent="0.25">
      <c r="E137" s="5"/>
      <c r="F137" s="5"/>
      <c r="G137" s="5"/>
      <c r="H137" s="5"/>
      <c r="I137" s="5"/>
      <c r="J137" s="5"/>
    </row>
    <row r="138" spans="5:14" x14ac:dyDescent="0.25">
      <c r="E138" s="5"/>
      <c r="F138" s="5"/>
      <c r="G138" s="5"/>
      <c r="H138" s="5"/>
      <c r="I138" s="5"/>
      <c r="J138" s="5"/>
    </row>
    <row r="139" spans="5:14" x14ac:dyDescent="0.25">
      <c r="E139" s="5"/>
      <c r="F139" s="5"/>
      <c r="G139" s="5"/>
      <c r="H139" s="5"/>
      <c r="I139" s="5"/>
      <c r="J139" s="5"/>
    </row>
    <row r="140" spans="5:14" x14ac:dyDescent="0.25">
      <c r="F140" s="5"/>
      <c r="G140" s="5"/>
      <c r="H140" s="5"/>
      <c r="I140" s="5"/>
      <c r="J140" s="5"/>
    </row>
    <row r="141" spans="5:14" x14ac:dyDescent="0.25">
      <c r="F141" s="5"/>
      <c r="G141" s="5"/>
      <c r="H141" s="5"/>
      <c r="I141" s="5"/>
      <c r="J141" s="5"/>
    </row>
    <row r="142" spans="5:14" x14ac:dyDescent="0.25">
      <c r="F142" s="5"/>
      <c r="G142" s="5"/>
      <c r="H142" s="5"/>
      <c r="I142" s="5"/>
      <c r="J142" s="5"/>
    </row>
    <row r="143" spans="5:14" x14ac:dyDescent="0.25">
      <c r="F143" s="5"/>
      <c r="G143" s="5"/>
      <c r="H143" s="5"/>
      <c r="I143" s="5"/>
      <c r="J143" s="5"/>
    </row>
    <row r="144" spans="5:14" x14ac:dyDescent="0.25">
      <c r="F144" s="5"/>
      <c r="I144" s="5"/>
      <c r="J144" s="5"/>
    </row>
    <row r="145" spans="9:10" x14ac:dyDescent="0.25">
      <c r="I145" s="5"/>
      <c r="J145" s="5"/>
    </row>
    <row r="146" spans="9:10" x14ac:dyDescent="0.25">
      <c r="I146" s="5"/>
      <c r="J146" s="5"/>
    </row>
    <row r="147" spans="9:10" x14ac:dyDescent="0.25">
      <c r="J147" s="5"/>
    </row>
  </sheetData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2"/>
  <sheetViews>
    <sheetView workbookViewId="0"/>
  </sheetViews>
  <sheetFormatPr defaultRowHeight="15" x14ac:dyDescent="0.25"/>
  <sheetData>
    <row r="1" spans="1:14" x14ac:dyDescent="0.25">
      <c r="A1" t="s">
        <v>31</v>
      </c>
      <c r="B1" t="s">
        <v>11</v>
      </c>
      <c r="C1" t="s">
        <v>12</v>
      </c>
      <c r="D1" t="s">
        <v>33</v>
      </c>
      <c r="E1" t="s">
        <v>13</v>
      </c>
      <c r="F1" t="s">
        <v>14</v>
      </c>
      <c r="H1" t="s">
        <v>15</v>
      </c>
    </row>
    <row r="2" spans="1:14" x14ac:dyDescent="0.25">
      <c r="A2" t="s">
        <v>32</v>
      </c>
      <c r="B2" t="s">
        <v>17</v>
      </c>
      <c r="D2" t="s">
        <v>18</v>
      </c>
      <c r="E2" t="s">
        <v>18</v>
      </c>
      <c r="H2" t="s">
        <v>16</v>
      </c>
    </row>
    <row r="4" spans="1:14" x14ac:dyDescent="0.25">
      <c r="A4" t="s">
        <v>29</v>
      </c>
      <c r="B4" t="s">
        <v>19</v>
      </c>
      <c r="C4" t="s">
        <v>20</v>
      </c>
      <c r="D4">
        <v>1</v>
      </c>
      <c r="E4">
        <v>1</v>
      </c>
      <c r="F4" t="s">
        <v>21</v>
      </c>
      <c r="H4" t="s">
        <v>22</v>
      </c>
      <c r="I4" t="s">
        <v>27</v>
      </c>
    </row>
    <row r="5" spans="1:14" x14ac:dyDescent="0.25">
      <c r="B5" t="s">
        <v>23</v>
      </c>
      <c r="C5" t="s">
        <v>24</v>
      </c>
      <c r="D5" t="s">
        <v>30</v>
      </c>
      <c r="E5" t="s">
        <v>34</v>
      </c>
      <c r="F5" t="s">
        <v>25</v>
      </c>
      <c r="H5" t="s">
        <v>25</v>
      </c>
      <c r="I5" t="s">
        <v>28</v>
      </c>
    </row>
    <row r="6" spans="1:14" x14ac:dyDescent="0.25">
      <c r="I6" s="5"/>
    </row>
    <row r="7" spans="1:14" x14ac:dyDescent="0.25">
      <c r="A7">
        <v>225</v>
      </c>
      <c r="B7">
        <v>3.55</v>
      </c>
      <c r="C7">
        <v>1</v>
      </c>
      <c r="D7">
        <v>1</v>
      </c>
      <c r="E7">
        <v>1</v>
      </c>
      <c r="F7">
        <v>10000</v>
      </c>
      <c r="G7">
        <f>PRODUCT(A7:F7)</f>
        <v>7987500</v>
      </c>
      <c r="H7" s="11">
        <f>G7/G8</f>
        <v>58.387508647834757</v>
      </c>
      <c r="I7">
        <f>H7*0.892179</f>
        <v>52.092109077916568</v>
      </c>
    </row>
    <row r="8" spans="1:14" x14ac:dyDescent="0.25">
      <c r="A8">
        <v>1</v>
      </c>
      <c r="B8">
        <v>1</v>
      </c>
      <c r="C8">
        <v>2.2046199999999998</v>
      </c>
      <c r="D8">
        <v>175</v>
      </c>
      <c r="E8">
        <f>349*1.016</f>
        <v>354.584</v>
      </c>
      <c r="F8">
        <v>1</v>
      </c>
      <c r="G8">
        <f>PRODUCT(A8:F8)</f>
        <v>136801.52116400001</v>
      </c>
    </row>
    <row r="11" spans="1:14" x14ac:dyDescent="0.25">
      <c r="A11" t="s">
        <v>68</v>
      </c>
      <c r="I11" s="5"/>
      <c r="M11" t="s">
        <v>37</v>
      </c>
    </row>
    <row r="12" spans="1:14" x14ac:dyDescent="0.25">
      <c r="A12">
        <v>175</v>
      </c>
      <c r="B12">
        <v>3.55</v>
      </c>
      <c r="C12">
        <v>1</v>
      </c>
      <c r="D12">
        <v>1</v>
      </c>
      <c r="E12">
        <v>1</v>
      </c>
      <c r="F12">
        <v>10000</v>
      </c>
      <c r="G12">
        <f>PRODUCT(A12:F12)</f>
        <v>6212500</v>
      </c>
      <c r="H12" s="7">
        <f>G12/G13</f>
        <v>45.412506726093703</v>
      </c>
      <c r="I12">
        <f>H12*0.892179</f>
        <v>40.516084838379555</v>
      </c>
      <c r="K12" s="5">
        <f>H12+20.2*0.02</f>
        <v>45.816506726093706</v>
      </c>
      <c r="M12" t="s">
        <v>38</v>
      </c>
    </row>
    <row r="13" spans="1:14" x14ac:dyDescent="0.25">
      <c r="A13">
        <v>1</v>
      </c>
      <c r="B13">
        <v>1</v>
      </c>
      <c r="C13">
        <v>2.2046199999999998</v>
      </c>
      <c r="D13">
        <v>175</v>
      </c>
      <c r="E13">
        <f>349*1.016</f>
        <v>354.584</v>
      </c>
      <c r="F13">
        <v>1</v>
      </c>
      <c r="G13">
        <f>PRODUCT(A13:F13)</f>
        <v>136801.52116400001</v>
      </c>
      <c r="M13" t="s">
        <v>48</v>
      </c>
    </row>
    <row r="16" spans="1:14" x14ac:dyDescent="0.25">
      <c r="A16" t="s">
        <v>83</v>
      </c>
      <c r="I16" s="5"/>
      <c r="L16" s="5"/>
      <c r="N16" t="s">
        <v>46</v>
      </c>
    </row>
    <row r="17" spans="1:15" x14ac:dyDescent="0.25">
      <c r="A17">
        <v>200</v>
      </c>
      <c r="B17">
        <v>3.55</v>
      </c>
      <c r="C17">
        <v>1</v>
      </c>
      <c r="D17">
        <v>1</v>
      </c>
      <c r="E17">
        <v>1</v>
      </c>
      <c r="F17">
        <v>10000</v>
      </c>
      <c r="G17">
        <f>PRODUCT(A17:F17)</f>
        <v>7100000</v>
      </c>
      <c r="H17" s="7">
        <f>G17/G18</f>
        <v>51.90000768696423</v>
      </c>
      <c r="I17">
        <f>H17*0.892179</f>
        <v>46.304096958148065</v>
      </c>
      <c r="K17" s="5">
        <f>H17+0.6</f>
        <v>52.500007686964231</v>
      </c>
      <c r="N17" t="s">
        <v>47</v>
      </c>
    </row>
    <row r="18" spans="1:15" x14ac:dyDescent="0.25">
      <c r="A18">
        <v>1</v>
      </c>
      <c r="B18">
        <v>1</v>
      </c>
      <c r="C18">
        <v>2.2046199999999998</v>
      </c>
      <c r="D18">
        <v>175</v>
      </c>
      <c r="E18">
        <f>349*1.016</f>
        <v>354.584</v>
      </c>
      <c r="F18">
        <v>1</v>
      </c>
      <c r="G18">
        <f>PRODUCT(A18:F18)</f>
        <v>136801.52116400001</v>
      </c>
      <c r="N18" t="s">
        <v>39</v>
      </c>
      <c r="O18" t="s">
        <v>40</v>
      </c>
    </row>
    <row r="19" spans="1:15" x14ac:dyDescent="0.25">
      <c r="I19" s="5"/>
      <c r="N19">
        <v>10</v>
      </c>
      <c r="O19">
        <v>225</v>
      </c>
    </row>
    <row r="20" spans="1:15" x14ac:dyDescent="0.25">
      <c r="N20">
        <v>9</v>
      </c>
      <c r="O20">
        <v>200</v>
      </c>
    </row>
    <row r="21" spans="1:15" x14ac:dyDescent="0.25">
      <c r="A21" t="s">
        <v>86</v>
      </c>
      <c r="N21">
        <v>8</v>
      </c>
      <c r="O21">
        <v>175</v>
      </c>
    </row>
    <row r="22" spans="1:15" x14ac:dyDescent="0.25">
      <c r="A22">
        <v>200</v>
      </c>
      <c r="B22">
        <v>3.55</v>
      </c>
      <c r="C22">
        <v>1</v>
      </c>
      <c r="D22">
        <v>1</v>
      </c>
      <c r="E22">
        <v>1</v>
      </c>
      <c r="F22">
        <v>10000</v>
      </c>
      <c r="G22">
        <f>PRODUCT(A22:F22)</f>
        <v>7100000</v>
      </c>
      <c r="H22" s="7">
        <f>G22/G23</f>
        <v>51.90000768696423</v>
      </c>
      <c r="I22">
        <f>H22*0.892179</f>
        <v>46.304096958148065</v>
      </c>
      <c r="K22" s="5">
        <f>H22+0.6</f>
        <v>52.500007686964231</v>
      </c>
      <c r="N22" s="9">
        <v>7</v>
      </c>
      <c r="O22">
        <v>150</v>
      </c>
    </row>
    <row r="23" spans="1:15" x14ac:dyDescent="0.25">
      <c r="A23">
        <v>1</v>
      </c>
      <c r="B23">
        <v>1</v>
      </c>
      <c r="C23">
        <v>2.2046199999999998</v>
      </c>
      <c r="D23">
        <v>175</v>
      </c>
      <c r="E23">
        <f>349*1.016</f>
        <v>354.584</v>
      </c>
      <c r="F23">
        <v>1</v>
      </c>
      <c r="G23">
        <f>PRODUCT(A23:F23)</f>
        <v>136801.52116400001</v>
      </c>
    </row>
    <row r="25" spans="1:15" x14ac:dyDescent="0.25">
      <c r="H25" s="5">
        <f>SUM(H12:H22)</f>
        <v>149.21252210002217</v>
      </c>
      <c r="I25" s="5">
        <f>SUM(I12:I22)</f>
        <v>133.12427875467569</v>
      </c>
    </row>
    <row r="32" spans="1:15" x14ac:dyDescent="0.25">
      <c r="F32" t="s">
        <v>35</v>
      </c>
      <c r="J32" t="s">
        <v>45</v>
      </c>
    </row>
    <row r="33" spans="5:11" x14ac:dyDescent="0.25">
      <c r="E33">
        <v>2015</v>
      </c>
      <c r="F33">
        <v>130.5</v>
      </c>
      <c r="G33" t="s">
        <v>0</v>
      </c>
      <c r="I33">
        <v>2016</v>
      </c>
      <c r="J33">
        <v>4.2</v>
      </c>
      <c r="K33" t="s">
        <v>36</v>
      </c>
    </row>
    <row r="34" spans="5:11" x14ac:dyDescent="0.25">
      <c r="E34">
        <v>2016</v>
      </c>
      <c r="F34">
        <v>111</v>
      </c>
      <c r="G34" t="s">
        <v>0</v>
      </c>
      <c r="I34">
        <v>2017</v>
      </c>
      <c r="J34">
        <v>1</v>
      </c>
      <c r="K34" t="s">
        <v>36</v>
      </c>
    </row>
    <row r="35" spans="5:11" x14ac:dyDescent="0.25">
      <c r="E35">
        <v>2017</v>
      </c>
      <c r="F35">
        <v>148</v>
      </c>
      <c r="G35" t="s">
        <v>0</v>
      </c>
      <c r="I35">
        <v>2018</v>
      </c>
      <c r="J35">
        <v>7.6</v>
      </c>
      <c r="K35" t="s">
        <v>36</v>
      </c>
    </row>
    <row r="36" spans="5:11" x14ac:dyDescent="0.25">
      <c r="E36">
        <v>2018</v>
      </c>
      <c r="F36">
        <v>179.3</v>
      </c>
      <c r="G36" t="s">
        <v>0</v>
      </c>
      <c r="I36">
        <v>2019</v>
      </c>
      <c r="J36">
        <v>8.3000000000000007</v>
      </c>
      <c r="K36" t="s">
        <v>36</v>
      </c>
    </row>
    <row r="37" spans="5:11" x14ac:dyDescent="0.25">
      <c r="E37">
        <v>2019</v>
      </c>
      <c r="F37">
        <v>149.1</v>
      </c>
      <c r="G37" t="s">
        <v>0</v>
      </c>
      <c r="I37">
        <v>2020</v>
      </c>
      <c r="J37">
        <v>5.0999999999999996</v>
      </c>
      <c r="K37" t="s">
        <v>36</v>
      </c>
    </row>
    <row r="38" spans="5:11" x14ac:dyDescent="0.25">
      <c r="E38">
        <v>2020</v>
      </c>
      <c r="F38">
        <v>136.19999999999999</v>
      </c>
      <c r="G38" t="s">
        <v>0</v>
      </c>
      <c r="I38">
        <v>2021</v>
      </c>
      <c r="J38">
        <v>2.59</v>
      </c>
      <c r="K38" t="s">
        <v>36</v>
      </c>
    </row>
    <row r="39" spans="5:11" x14ac:dyDescent="0.25">
      <c r="E39">
        <v>2021</v>
      </c>
      <c r="F39">
        <v>149.19999999999999</v>
      </c>
      <c r="G39" t="s">
        <v>0</v>
      </c>
      <c r="I39">
        <v>2022</v>
      </c>
      <c r="J39">
        <v>7.18</v>
      </c>
      <c r="K39" t="s">
        <v>36</v>
      </c>
    </row>
    <row r="42" spans="5:11" x14ac:dyDescent="0.25">
      <c r="E42" t="s">
        <v>69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39"/>
  <sheetViews>
    <sheetView workbookViewId="0"/>
  </sheetViews>
  <sheetFormatPr defaultRowHeight="15" x14ac:dyDescent="0.25"/>
  <cols>
    <col min="1" max="1" width="12.28515625" bestFit="1" customWidth="1"/>
    <col min="8" max="8" width="10.5703125" bestFit="1" customWidth="1"/>
    <col min="15" max="15" width="10.5703125" bestFit="1" customWidth="1"/>
    <col min="22" max="22" width="13.140625" customWidth="1"/>
    <col min="29" max="29" width="10.7109375" bestFit="1" customWidth="1"/>
    <col min="37" max="37" width="10.7109375" bestFit="1" customWidth="1"/>
    <col min="44" max="44" width="10.7109375" bestFit="1" customWidth="1"/>
    <col min="45" max="45" width="24.7109375" bestFit="1" customWidth="1"/>
  </cols>
  <sheetData>
    <row r="1" spans="1:44" x14ac:dyDescent="0.25">
      <c r="A1">
        <v>2022</v>
      </c>
    </row>
    <row r="3" spans="1:44" x14ac:dyDescent="0.25">
      <c r="A3" s="2">
        <v>44579</v>
      </c>
      <c r="B3" t="s">
        <v>41</v>
      </c>
      <c r="H3" s="2"/>
      <c r="O3" s="2"/>
      <c r="V3" s="2"/>
      <c r="AC3" s="2"/>
      <c r="AK3" s="2"/>
      <c r="AR3" s="2"/>
    </row>
    <row r="4" spans="1:44" x14ac:dyDescent="0.25">
      <c r="A4" s="2">
        <v>44630</v>
      </c>
      <c r="B4" t="s">
        <v>54</v>
      </c>
      <c r="H4" s="2"/>
      <c r="O4" s="2"/>
      <c r="V4" s="2"/>
      <c r="AC4" s="2"/>
      <c r="AK4" s="2"/>
      <c r="AR4" s="2"/>
    </row>
    <row r="5" spans="1:44" x14ac:dyDescent="0.25">
      <c r="A5" s="2">
        <v>44641</v>
      </c>
      <c r="B5" t="s">
        <v>55</v>
      </c>
      <c r="H5" s="2"/>
      <c r="O5" s="2"/>
      <c r="V5" s="2"/>
      <c r="AC5" s="2"/>
      <c r="AK5" s="2"/>
      <c r="AR5" s="2"/>
    </row>
    <row r="6" spans="1:44" x14ac:dyDescent="0.25">
      <c r="A6" s="2">
        <v>44665</v>
      </c>
      <c r="B6" t="s">
        <v>43</v>
      </c>
      <c r="H6" s="2"/>
      <c r="O6" s="2"/>
      <c r="V6" s="2"/>
      <c r="AC6" s="2"/>
      <c r="AR6" s="2"/>
    </row>
    <row r="7" spans="1:44" x14ac:dyDescent="0.25">
      <c r="A7" s="2">
        <v>44665</v>
      </c>
      <c r="B7" t="s">
        <v>60</v>
      </c>
      <c r="H7" s="2"/>
      <c r="O7" s="2"/>
      <c r="V7" s="2"/>
      <c r="AC7" s="2"/>
      <c r="AK7" s="2"/>
      <c r="AR7" s="2"/>
    </row>
    <row r="8" spans="1:44" x14ac:dyDescent="0.25">
      <c r="A8" s="2">
        <v>44666</v>
      </c>
      <c r="B8" t="s">
        <v>61</v>
      </c>
      <c r="H8" s="2"/>
      <c r="O8" s="2"/>
      <c r="V8" s="2"/>
      <c r="AC8" s="2"/>
      <c r="AK8" s="2"/>
      <c r="AR8" s="2"/>
    </row>
    <row r="9" spans="1:44" x14ac:dyDescent="0.25">
      <c r="A9" s="2">
        <v>44666</v>
      </c>
      <c r="B9" t="s">
        <v>58</v>
      </c>
      <c r="O9" s="2"/>
      <c r="V9" s="2"/>
      <c r="AC9" s="2"/>
      <c r="AK9" s="2"/>
      <c r="AR9" s="2"/>
    </row>
    <row r="10" spans="1:44" x14ac:dyDescent="0.25">
      <c r="A10" t="s">
        <v>62</v>
      </c>
      <c r="B10" t="s">
        <v>63</v>
      </c>
      <c r="O10" s="2"/>
      <c r="V10" s="2"/>
      <c r="AC10" s="2"/>
      <c r="AK10" s="2"/>
      <c r="AR10" s="2"/>
    </row>
    <row r="11" spans="1:44" x14ac:dyDescent="0.25">
      <c r="A11" t="s">
        <v>62</v>
      </c>
      <c r="B11" t="s">
        <v>64</v>
      </c>
      <c r="H11" s="2"/>
      <c r="O11" s="2"/>
      <c r="V11" s="2"/>
      <c r="AC11" s="2"/>
      <c r="AK11" s="2"/>
      <c r="AR11" s="2"/>
    </row>
    <row r="12" spans="1:44" x14ac:dyDescent="0.25">
      <c r="A12" s="2">
        <v>44670</v>
      </c>
      <c r="B12" t="s">
        <v>65</v>
      </c>
      <c r="H12" s="2"/>
      <c r="O12" s="2"/>
      <c r="V12" s="2"/>
      <c r="AC12" s="2"/>
      <c r="AK12" s="2"/>
      <c r="AR12" s="2"/>
    </row>
    <row r="13" spans="1:44" x14ac:dyDescent="0.25">
      <c r="A13" s="2">
        <v>44672</v>
      </c>
      <c r="B13" t="s">
        <v>66</v>
      </c>
      <c r="H13" s="2"/>
      <c r="V13" s="2"/>
      <c r="AC13" s="2"/>
      <c r="AK13" s="2"/>
      <c r="AR13" s="2"/>
    </row>
    <row r="14" spans="1:44" x14ac:dyDescent="0.25">
      <c r="A14" s="2">
        <v>44691</v>
      </c>
      <c r="B14" t="s">
        <v>70</v>
      </c>
      <c r="H14" s="2"/>
      <c r="O14" s="2"/>
      <c r="V14" s="2"/>
      <c r="AC14" s="2"/>
      <c r="AK14" s="2"/>
      <c r="AR14" s="2"/>
    </row>
    <row r="15" spans="1:44" x14ac:dyDescent="0.25">
      <c r="A15" s="2">
        <v>44697</v>
      </c>
      <c r="B15" t="s">
        <v>72</v>
      </c>
      <c r="H15" s="2"/>
      <c r="O15" s="2"/>
      <c r="V15" s="2"/>
      <c r="AC15" s="2"/>
      <c r="AK15" s="2"/>
      <c r="AR15" s="2"/>
    </row>
    <row r="16" spans="1:44" x14ac:dyDescent="0.25">
      <c r="A16" s="2">
        <v>44700</v>
      </c>
      <c r="B16" t="s">
        <v>73</v>
      </c>
      <c r="H16" s="2"/>
      <c r="O16" s="2"/>
      <c r="V16" s="2"/>
      <c r="AC16" s="2"/>
      <c r="AK16" s="2"/>
      <c r="AR16" s="2"/>
    </row>
    <row r="17" spans="1:44" x14ac:dyDescent="0.25">
      <c r="A17" s="2">
        <v>44728</v>
      </c>
      <c r="B17" t="s">
        <v>44</v>
      </c>
      <c r="H17" s="2"/>
      <c r="O17" s="2"/>
      <c r="AC17" s="2"/>
      <c r="AK17" s="2"/>
      <c r="AR17" s="2"/>
    </row>
    <row r="18" spans="1:44" x14ac:dyDescent="0.25">
      <c r="A18" s="2">
        <v>44760</v>
      </c>
      <c r="B18" t="s">
        <v>92</v>
      </c>
      <c r="H18" s="2"/>
      <c r="O18" s="2"/>
      <c r="V18" s="2"/>
      <c r="AC18" s="2"/>
      <c r="AK18" s="2"/>
      <c r="AR18" s="2"/>
    </row>
    <row r="19" spans="1:44" x14ac:dyDescent="0.25">
      <c r="A19" s="2">
        <v>44782</v>
      </c>
      <c r="B19" t="s">
        <v>91</v>
      </c>
      <c r="AK19" s="2"/>
      <c r="AR19" s="2"/>
    </row>
    <row r="20" spans="1:44" x14ac:dyDescent="0.25">
      <c r="A20" s="2">
        <v>44798</v>
      </c>
      <c r="B20" t="s">
        <v>91</v>
      </c>
      <c r="O20" s="2"/>
      <c r="V20" s="2"/>
      <c r="AC20" s="2"/>
      <c r="AK20" s="2"/>
      <c r="AR20" s="2"/>
    </row>
    <row r="21" spans="1:44" x14ac:dyDescent="0.25">
      <c r="A21" s="2">
        <v>44834</v>
      </c>
      <c r="B21" t="s">
        <v>102</v>
      </c>
      <c r="V21" s="2"/>
      <c r="AC21" s="2"/>
      <c r="AK21" s="2"/>
      <c r="AR21" s="2"/>
    </row>
    <row r="22" spans="1:44" x14ac:dyDescent="0.25">
      <c r="A22" s="2">
        <v>44848</v>
      </c>
      <c r="B22" t="s">
        <v>101</v>
      </c>
      <c r="V22" s="2"/>
      <c r="AC22" s="2"/>
      <c r="AK22" s="2"/>
      <c r="AR22" s="2"/>
    </row>
    <row r="23" spans="1:44" x14ac:dyDescent="0.25">
      <c r="A23" s="2">
        <v>44880</v>
      </c>
      <c r="B23" t="s">
        <v>103</v>
      </c>
      <c r="O23" s="2"/>
      <c r="AC23" s="2"/>
      <c r="AK23" s="2"/>
      <c r="AR23" s="2"/>
    </row>
    <row r="24" spans="1:44" x14ac:dyDescent="0.25">
      <c r="A24" s="2">
        <v>44881</v>
      </c>
      <c r="B24" t="s">
        <v>104</v>
      </c>
      <c r="AC24" s="2"/>
      <c r="AK24" s="2"/>
      <c r="AR24" s="2"/>
    </row>
    <row r="25" spans="1:44" x14ac:dyDescent="0.25">
      <c r="AC25" s="2"/>
      <c r="AK25" s="2"/>
      <c r="AR25" s="2"/>
    </row>
    <row r="26" spans="1:44" x14ac:dyDescent="0.25">
      <c r="A26" t="s">
        <v>26</v>
      </c>
      <c r="AC26" s="2"/>
      <c r="AK26" s="2"/>
      <c r="AR26" s="2"/>
    </row>
    <row r="27" spans="1:44" x14ac:dyDescent="0.25">
      <c r="A27" t="s">
        <v>71</v>
      </c>
      <c r="AC27" s="2"/>
      <c r="AK27" s="2"/>
      <c r="AR27" s="2"/>
    </row>
    <row r="28" spans="1:44" x14ac:dyDescent="0.25">
      <c r="A28" t="s">
        <v>93</v>
      </c>
      <c r="AC28" s="2"/>
      <c r="AK28" s="2"/>
      <c r="AR28" s="2"/>
    </row>
    <row r="29" spans="1:44" x14ac:dyDescent="0.25">
      <c r="AC29" s="2"/>
      <c r="AK29" s="2"/>
      <c r="AR29" s="2"/>
    </row>
    <row r="30" spans="1:44" x14ac:dyDescent="0.25">
      <c r="AC30" s="2"/>
      <c r="AK30" s="2"/>
      <c r="AR30" s="2"/>
    </row>
    <row r="31" spans="1:44" x14ac:dyDescent="0.25">
      <c r="AC31" s="2"/>
      <c r="AK31" s="2"/>
      <c r="AR31" s="2"/>
    </row>
    <row r="32" spans="1:44" x14ac:dyDescent="0.25">
      <c r="AK32" s="2"/>
      <c r="AR32" s="2"/>
    </row>
    <row r="33" spans="29:44" x14ac:dyDescent="0.25">
      <c r="AC33" s="2"/>
      <c r="AK33" s="2"/>
      <c r="AR33" s="2"/>
    </row>
    <row r="34" spans="29:44" x14ac:dyDescent="0.25">
      <c r="AC34" s="2"/>
      <c r="AK34" s="2"/>
      <c r="AR34" s="2"/>
    </row>
    <row r="35" spans="29:44" x14ac:dyDescent="0.25">
      <c r="AK35" s="2"/>
      <c r="AR35" s="2"/>
    </row>
    <row r="36" spans="29:44" x14ac:dyDescent="0.25">
      <c r="AR36" s="2"/>
    </row>
    <row r="37" spans="29:44" x14ac:dyDescent="0.25">
      <c r="AC37" s="2"/>
      <c r="AR37" s="2"/>
    </row>
    <row r="38" spans="29:44" x14ac:dyDescent="0.25">
      <c r="AC38" s="2"/>
    </row>
    <row r="39" spans="29:44" x14ac:dyDescent="0.25">
      <c r="AC39" s="2"/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6A92-11BB-4BDC-966C-F9D5E29CDE35}">
  <dimension ref="A1:F43"/>
  <sheetViews>
    <sheetView workbookViewId="0"/>
  </sheetViews>
  <sheetFormatPr defaultRowHeight="15" x14ac:dyDescent="0.25"/>
  <sheetData>
    <row r="1" spans="1:6" x14ac:dyDescent="0.25">
      <c r="A1" t="s">
        <v>120</v>
      </c>
      <c r="B1" t="s">
        <v>1</v>
      </c>
      <c r="C1" t="s">
        <v>121</v>
      </c>
      <c r="D1" t="s">
        <v>122</v>
      </c>
      <c r="E1" t="s">
        <v>123</v>
      </c>
      <c r="F1" t="s">
        <v>124</v>
      </c>
    </row>
    <row r="2" spans="1:6" x14ac:dyDescent="0.25">
      <c r="A2">
        <v>2022</v>
      </c>
      <c r="B2">
        <v>105</v>
      </c>
      <c r="C2" s="5">
        <v>10.199999999999999</v>
      </c>
      <c r="D2" s="5">
        <v>10.199999999999999</v>
      </c>
      <c r="E2" s="5">
        <v>10.199999999999999</v>
      </c>
      <c r="F2" s="5">
        <v>10.199999999999999</v>
      </c>
    </row>
    <row r="3" spans="1:6" x14ac:dyDescent="0.25">
      <c r="A3">
        <v>2022</v>
      </c>
      <c r="B3">
        <v>112</v>
      </c>
      <c r="C3" s="5">
        <v>30.4</v>
      </c>
      <c r="D3" s="5">
        <v>30.4</v>
      </c>
      <c r="E3" s="5">
        <v>30.4</v>
      </c>
      <c r="F3" s="5">
        <v>30.4</v>
      </c>
    </row>
    <row r="4" spans="1:6" x14ac:dyDescent="0.25">
      <c r="A4">
        <v>2022</v>
      </c>
      <c r="B4">
        <v>116</v>
      </c>
      <c r="C4" s="5">
        <v>30.4</v>
      </c>
      <c r="D4" s="5">
        <v>30.4</v>
      </c>
      <c r="E4" s="5">
        <v>30.4</v>
      </c>
      <c r="F4" s="5">
        <v>30.4</v>
      </c>
    </row>
    <row r="5" spans="1:6" x14ac:dyDescent="0.25">
      <c r="A5">
        <v>2022</v>
      </c>
      <c r="B5">
        <v>119</v>
      </c>
      <c r="C5" s="5">
        <v>30.4</v>
      </c>
      <c r="D5" s="5">
        <v>30.4</v>
      </c>
      <c r="E5" s="5">
        <v>30.4</v>
      </c>
      <c r="F5" s="5">
        <v>30.4</v>
      </c>
    </row>
    <row r="6" spans="1:6" x14ac:dyDescent="0.25">
      <c r="A6">
        <v>2022</v>
      </c>
      <c r="B6">
        <v>122</v>
      </c>
      <c r="C6" s="5">
        <v>10.199999999999999</v>
      </c>
      <c r="D6" s="5">
        <v>10.199999999999999</v>
      </c>
      <c r="E6" s="5">
        <v>10.199999999999999</v>
      </c>
      <c r="F6" s="5">
        <v>10.199999999999999</v>
      </c>
    </row>
    <row r="7" spans="1:6" x14ac:dyDescent="0.25">
      <c r="A7">
        <v>2022</v>
      </c>
      <c r="B7">
        <v>124</v>
      </c>
      <c r="C7" s="5">
        <v>20.2</v>
      </c>
      <c r="D7" s="5">
        <v>20.2</v>
      </c>
      <c r="E7" s="5">
        <v>20.2</v>
      </c>
      <c r="F7" s="5">
        <v>20.2</v>
      </c>
    </row>
    <row r="8" spans="1:6" x14ac:dyDescent="0.25">
      <c r="A8">
        <v>2022</v>
      </c>
      <c r="B8">
        <v>126</v>
      </c>
      <c r="C8" s="5">
        <v>20.2</v>
      </c>
      <c r="D8" s="5">
        <v>20.2</v>
      </c>
      <c r="E8" s="5">
        <v>20.2</v>
      </c>
      <c r="F8" s="5">
        <v>20.2</v>
      </c>
    </row>
    <row r="9" spans="1:6" x14ac:dyDescent="0.25">
      <c r="A9">
        <v>2022</v>
      </c>
      <c r="B9">
        <v>132</v>
      </c>
      <c r="C9" s="5">
        <v>30.4</v>
      </c>
      <c r="D9" s="5">
        <v>30.4</v>
      </c>
      <c r="E9" s="5">
        <v>30.4</v>
      </c>
      <c r="F9" s="5">
        <v>30.4</v>
      </c>
    </row>
    <row r="10" spans="1:6" x14ac:dyDescent="0.25">
      <c r="A10">
        <v>2022</v>
      </c>
      <c r="B10">
        <v>137</v>
      </c>
      <c r="C10" s="5">
        <v>13</v>
      </c>
      <c r="D10" s="5">
        <v>13</v>
      </c>
      <c r="E10" s="5">
        <v>13</v>
      </c>
      <c r="F10" s="5">
        <v>13</v>
      </c>
    </row>
    <row r="11" spans="1:6" x14ac:dyDescent="0.25">
      <c r="A11">
        <v>2022</v>
      </c>
      <c r="B11">
        <v>140</v>
      </c>
      <c r="C11" s="5">
        <v>19.5</v>
      </c>
      <c r="D11" s="5">
        <v>19.5</v>
      </c>
      <c r="E11" s="5">
        <v>19.5</v>
      </c>
      <c r="F11" s="5">
        <v>19.5</v>
      </c>
    </row>
    <row r="12" spans="1:6" x14ac:dyDescent="0.25">
      <c r="A12">
        <v>2022</v>
      </c>
      <c r="B12">
        <v>144</v>
      </c>
      <c r="C12" s="5">
        <v>7.2</v>
      </c>
      <c r="D12" s="5">
        <v>7.2</v>
      </c>
      <c r="E12" s="5">
        <v>7.2</v>
      </c>
      <c r="F12" s="5">
        <v>7.2</v>
      </c>
    </row>
    <row r="13" spans="1:6" x14ac:dyDescent="0.25">
      <c r="A13">
        <v>2022</v>
      </c>
      <c r="B13">
        <v>147</v>
      </c>
      <c r="C13" s="5">
        <v>7.2</v>
      </c>
      <c r="D13" s="5">
        <v>7.2</v>
      </c>
      <c r="E13" s="5">
        <v>7.2</v>
      </c>
      <c r="F13" s="5">
        <v>7.2</v>
      </c>
    </row>
    <row r="14" spans="1:6" x14ac:dyDescent="0.25">
      <c r="A14">
        <v>2022</v>
      </c>
      <c r="B14">
        <v>153</v>
      </c>
      <c r="C14" s="5">
        <v>11.4</v>
      </c>
      <c r="D14" s="5">
        <v>11.4</v>
      </c>
      <c r="E14" s="5">
        <v>11.4</v>
      </c>
      <c r="F14" s="5">
        <v>11.4</v>
      </c>
    </row>
    <row r="15" spans="1:6" x14ac:dyDescent="0.25">
      <c r="A15">
        <v>2022</v>
      </c>
      <c r="B15">
        <v>154</v>
      </c>
      <c r="C15" s="5">
        <v>11.4</v>
      </c>
      <c r="D15" s="5">
        <v>11.4</v>
      </c>
      <c r="E15" s="5">
        <v>11.4</v>
      </c>
      <c r="F15" s="5">
        <v>11.4</v>
      </c>
    </row>
    <row r="16" spans="1:6" x14ac:dyDescent="0.25">
      <c r="A16">
        <v>2022</v>
      </c>
      <c r="B16">
        <v>158</v>
      </c>
      <c r="C16" s="5">
        <v>20.2</v>
      </c>
      <c r="D16" s="5">
        <v>20.2</v>
      </c>
      <c r="E16" s="5">
        <v>20.2</v>
      </c>
      <c r="F16" s="5">
        <v>20.2</v>
      </c>
    </row>
    <row r="17" spans="1:6" x14ac:dyDescent="0.25">
      <c r="A17">
        <v>2022</v>
      </c>
      <c r="B17">
        <v>161</v>
      </c>
      <c r="C17" s="5">
        <v>15.138000000000002</v>
      </c>
      <c r="D17" s="5">
        <v>15.138000000000002</v>
      </c>
      <c r="E17" s="5">
        <v>15.138000000000002</v>
      </c>
      <c r="F17" s="5">
        <v>15.138000000000002</v>
      </c>
    </row>
    <row r="18" spans="1:6" x14ac:dyDescent="0.25">
      <c r="A18">
        <v>2022</v>
      </c>
      <c r="B18">
        <v>165</v>
      </c>
      <c r="C18" s="5">
        <v>16.038</v>
      </c>
      <c r="D18" s="5">
        <v>16.038</v>
      </c>
      <c r="E18" s="5">
        <v>16.038</v>
      </c>
      <c r="F18" s="5">
        <v>16.038</v>
      </c>
    </row>
    <row r="19" spans="1:6" x14ac:dyDescent="0.25">
      <c r="A19">
        <v>2022</v>
      </c>
      <c r="B19">
        <v>168</v>
      </c>
      <c r="C19" s="5">
        <v>16.038</v>
      </c>
      <c r="D19" s="5">
        <v>16.038</v>
      </c>
      <c r="E19" s="5">
        <v>16.038</v>
      </c>
      <c r="F19" s="5">
        <v>16.038</v>
      </c>
    </row>
    <row r="20" spans="1:6" x14ac:dyDescent="0.25">
      <c r="A20">
        <v>2022</v>
      </c>
      <c r="B20">
        <v>173</v>
      </c>
      <c r="C20" s="5">
        <v>21</v>
      </c>
      <c r="D20" s="5">
        <v>21</v>
      </c>
      <c r="E20" s="5">
        <v>21</v>
      </c>
      <c r="F20" s="5">
        <v>21</v>
      </c>
    </row>
    <row r="21" spans="1:6" x14ac:dyDescent="0.25">
      <c r="A21">
        <v>2022</v>
      </c>
      <c r="B21">
        <v>175</v>
      </c>
      <c r="C21" s="5">
        <v>21</v>
      </c>
      <c r="D21" s="5">
        <v>21</v>
      </c>
      <c r="E21" s="5">
        <v>21</v>
      </c>
      <c r="F21" s="5">
        <v>21</v>
      </c>
    </row>
    <row r="22" spans="1:6" x14ac:dyDescent="0.25">
      <c r="A22">
        <v>2022</v>
      </c>
      <c r="B22">
        <v>180</v>
      </c>
      <c r="C22" s="5">
        <v>11.685</v>
      </c>
      <c r="D22" s="5">
        <v>11.685</v>
      </c>
      <c r="E22" s="5">
        <v>11.685</v>
      </c>
      <c r="F22" s="5">
        <v>11.685</v>
      </c>
    </row>
    <row r="23" spans="1:6" x14ac:dyDescent="0.25">
      <c r="A23">
        <v>2022</v>
      </c>
      <c r="B23">
        <v>182</v>
      </c>
      <c r="C23" s="5">
        <v>30.405569726351239</v>
      </c>
      <c r="D23" s="5">
        <v>30.405569726351239</v>
      </c>
      <c r="E23" s="5">
        <v>30.405569726351239</v>
      </c>
      <c r="F23" s="5">
        <v>30.405569726351239</v>
      </c>
    </row>
    <row r="24" spans="1:6" x14ac:dyDescent="0.25">
      <c r="A24">
        <v>2022</v>
      </c>
      <c r="B24">
        <v>188</v>
      </c>
      <c r="C24" s="5">
        <v>22.35</v>
      </c>
      <c r="D24" s="5">
        <v>17.88</v>
      </c>
      <c r="E24" s="5">
        <v>13.41</v>
      </c>
      <c r="F24" s="5">
        <v>8.94</v>
      </c>
    </row>
    <row r="25" spans="1:6" x14ac:dyDescent="0.25">
      <c r="A25">
        <v>2022</v>
      </c>
      <c r="B25">
        <v>189</v>
      </c>
      <c r="C25" s="5">
        <v>22.35</v>
      </c>
      <c r="D25" s="5">
        <v>17.88</v>
      </c>
      <c r="E25" s="5">
        <v>13.41</v>
      </c>
      <c r="F25" s="5">
        <v>8.94</v>
      </c>
    </row>
    <row r="26" spans="1:6" x14ac:dyDescent="0.25">
      <c r="A26">
        <v>2022</v>
      </c>
      <c r="B26">
        <v>193</v>
      </c>
      <c r="C26" s="5">
        <v>26.780999999999999</v>
      </c>
      <c r="D26" s="5">
        <v>21.695999999999998</v>
      </c>
      <c r="E26" s="5">
        <v>16.271999999999998</v>
      </c>
      <c r="F26" s="5">
        <v>10.847999999999999</v>
      </c>
    </row>
    <row r="27" spans="1:6" x14ac:dyDescent="0.25">
      <c r="A27">
        <v>2022</v>
      </c>
      <c r="B27">
        <v>196</v>
      </c>
      <c r="C27" s="5">
        <v>11.323</v>
      </c>
      <c r="D27" s="5">
        <v>6.76</v>
      </c>
      <c r="E27" s="5">
        <v>2.3659999999999997</v>
      </c>
      <c r="F27" s="5">
        <v>0</v>
      </c>
    </row>
    <row r="28" spans="1:6" x14ac:dyDescent="0.25">
      <c r="A28">
        <v>2022</v>
      </c>
      <c r="B28">
        <v>201</v>
      </c>
      <c r="C28" s="5">
        <v>23.433000000000003</v>
      </c>
      <c r="D28" s="5">
        <v>18.939</v>
      </c>
      <c r="E28" s="5">
        <v>14.124000000000001</v>
      </c>
      <c r="F28" s="5">
        <v>9.3090000000000011</v>
      </c>
    </row>
    <row r="29" spans="1:6" x14ac:dyDescent="0.25">
      <c r="A29">
        <v>2022</v>
      </c>
      <c r="B29">
        <v>203</v>
      </c>
      <c r="C29" s="5">
        <v>30.299999999999997</v>
      </c>
      <c r="D29" s="5">
        <v>30.299999999999997</v>
      </c>
      <c r="E29" s="5">
        <v>30.299999999999997</v>
      </c>
      <c r="F29" s="5">
        <v>30.299999999999997</v>
      </c>
    </row>
    <row r="30" spans="1:6" x14ac:dyDescent="0.25">
      <c r="A30">
        <v>2022</v>
      </c>
      <c r="B30">
        <v>207</v>
      </c>
      <c r="C30" s="5">
        <v>26.166</v>
      </c>
      <c r="D30" s="5">
        <v>20.874000000000002</v>
      </c>
      <c r="E30" s="5">
        <v>15.581999999999999</v>
      </c>
      <c r="F30" s="5">
        <v>10.29</v>
      </c>
    </row>
    <row r="31" spans="1:6" x14ac:dyDescent="0.25">
      <c r="A31">
        <v>2022</v>
      </c>
      <c r="B31">
        <v>210</v>
      </c>
      <c r="C31" s="5">
        <v>26.166</v>
      </c>
      <c r="D31" s="5">
        <v>20.874000000000002</v>
      </c>
      <c r="E31" s="5">
        <v>15.581999999999999</v>
      </c>
      <c r="F31" s="5">
        <v>10.29</v>
      </c>
    </row>
    <row r="32" spans="1:6" x14ac:dyDescent="0.25">
      <c r="A32">
        <v>2022</v>
      </c>
      <c r="B32">
        <v>214</v>
      </c>
      <c r="C32" s="5">
        <v>18.469000000000001</v>
      </c>
      <c r="D32" s="5">
        <v>14.674000000000001</v>
      </c>
      <c r="E32" s="5">
        <v>11.132</v>
      </c>
      <c r="F32" s="5">
        <v>7.3370000000000006</v>
      </c>
    </row>
    <row r="33" spans="1:6" x14ac:dyDescent="0.25">
      <c r="A33">
        <v>2022</v>
      </c>
      <c r="B33">
        <v>217</v>
      </c>
      <c r="C33" s="5">
        <v>7.54</v>
      </c>
      <c r="D33" s="5">
        <v>4.68</v>
      </c>
      <c r="E33" s="5">
        <v>1.69</v>
      </c>
      <c r="F33" s="5">
        <v>0</v>
      </c>
    </row>
    <row r="34" spans="1:6" x14ac:dyDescent="0.25">
      <c r="A34">
        <v>2022</v>
      </c>
      <c r="B34">
        <v>222</v>
      </c>
      <c r="C34" s="5">
        <v>21.32</v>
      </c>
      <c r="D34" s="5">
        <v>16.899999999999999</v>
      </c>
      <c r="E34" s="5">
        <v>12.74</v>
      </c>
      <c r="F34" s="5">
        <v>8.58</v>
      </c>
    </row>
    <row r="35" spans="1:6" x14ac:dyDescent="0.25">
      <c r="A35">
        <v>2022</v>
      </c>
      <c r="B35">
        <v>224</v>
      </c>
      <c r="C35" s="5">
        <v>21.32</v>
      </c>
      <c r="D35" s="5">
        <v>16.899999999999999</v>
      </c>
      <c r="E35" s="5">
        <v>12.74</v>
      </c>
      <c r="F35" s="5">
        <v>8.58</v>
      </c>
    </row>
    <row r="36" spans="1:6" x14ac:dyDescent="0.25">
      <c r="A36">
        <v>2022</v>
      </c>
      <c r="B36">
        <v>228</v>
      </c>
      <c r="C36" s="5">
        <v>14.673</v>
      </c>
      <c r="D36" s="5">
        <v>11.825999999999999</v>
      </c>
      <c r="E36" s="5">
        <v>8.76</v>
      </c>
      <c r="F36" s="5">
        <v>5.9129999999999994</v>
      </c>
    </row>
    <row r="37" spans="1:6" x14ac:dyDescent="0.25">
      <c r="A37">
        <v>2022</v>
      </c>
      <c r="B37">
        <v>231</v>
      </c>
      <c r="C37" s="5">
        <v>14.673</v>
      </c>
      <c r="D37" s="5">
        <v>11.825999999999999</v>
      </c>
      <c r="E37" s="5">
        <v>8.76</v>
      </c>
      <c r="F37" s="5">
        <v>5.9129999999999994</v>
      </c>
    </row>
    <row r="38" spans="1:6" x14ac:dyDescent="0.25">
      <c r="A38">
        <v>2022</v>
      </c>
      <c r="B38">
        <v>235</v>
      </c>
      <c r="C38" s="5">
        <v>12.45</v>
      </c>
      <c r="D38" s="5">
        <v>9.9600000000000009</v>
      </c>
      <c r="E38" s="5">
        <v>7.4700000000000015</v>
      </c>
      <c r="F38" s="5">
        <v>4.9800000000000004</v>
      </c>
    </row>
    <row r="39" spans="1:6" x14ac:dyDescent="0.25">
      <c r="A39">
        <v>2022</v>
      </c>
      <c r="B39">
        <v>238</v>
      </c>
      <c r="C39" s="5">
        <v>18.600000000000001</v>
      </c>
      <c r="D39" s="5">
        <v>14.88</v>
      </c>
      <c r="E39" s="5">
        <v>11.16</v>
      </c>
      <c r="F39" s="5">
        <v>7.44</v>
      </c>
    </row>
    <row r="40" spans="1:6" x14ac:dyDescent="0.25">
      <c r="A40">
        <v>2022</v>
      </c>
      <c r="B40">
        <v>242</v>
      </c>
      <c r="C40" s="5">
        <v>14.049000000000001</v>
      </c>
      <c r="D40" s="5">
        <v>11.15</v>
      </c>
      <c r="E40" s="5">
        <v>8.4740000000000002</v>
      </c>
      <c r="F40" s="5">
        <v>5.5750000000000002</v>
      </c>
    </row>
    <row r="41" spans="1:6" x14ac:dyDescent="0.25">
      <c r="A41">
        <v>2022</v>
      </c>
      <c r="B41">
        <v>245</v>
      </c>
      <c r="C41" s="5">
        <v>14.049000000000001</v>
      </c>
      <c r="D41" s="5">
        <v>11.15</v>
      </c>
      <c r="E41" s="5">
        <v>8.4740000000000002</v>
      </c>
      <c r="F41" s="5">
        <v>5.5750000000000002</v>
      </c>
    </row>
    <row r="42" spans="1:6" x14ac:dyDescent="0.25">
      <c r="A42">
        <v>2022</v>
      </c>
      <c r="B42">
        <v>250</v>
      </c>
      <c r="C42" s="5">
        <v>9.4120000000000008</v>
      </c>
      <c r="D42" s="5">
        <v>7.4210000000000003</v>
      </c>
      <c r="E42" s="5">
        <v>5.6110000000000007</v>
      </c>
      <c r="F42" s="5">
        <v>3.8010000000000002</v>
      </c>
    </row>
    <row r="43" spans="1:6" x14ac:dyDescent="0.25">
      <c r="A43">
        <v>2022</v>
      </c>
      <c r="B43">
        <v>252</v>
      </c>
      <c r="C43" s="5">
        <v>9.4120000000000008</v>
      </c>
      <c r="D43" s="5">
        <v>7.4210000000000003</v>
      </c>
      <c r="E43" s="5">
        <v>5.6110000000000007</v>
      </c>
      <c r="F43" s="5">
        <v>3.8010000000000002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Irrigation</vt:lpstr>
      <vt:lpstr>Fertigation</vt:lpstr>
      <vt:lpstr>Other</vt:lpstr>
      <vt:lpstr>IrrigationDF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Thorp, Kelly</dc:creator>
  <cp:keywords/>
  <dc:description/>
  <cp:lastModifiedBy>Reviewer</cp:lastModifiedBy>
  <cp:revision/>
  <dcterms:created xsi:type="dcterms:W3CDTF">2016-01-29T00:15:18Z</dcterms:created>
  <dcterms:modified xsi:type="dcterms:W3CDTF">2024-12-11T22:31:35Z</dcterms:modified>
  <cp:category/>
  <cp:contentStatus/>
</cp:coreProperties>
</file>