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tool\tool\Data\2011_F033_CO_RSIS\"/>
    </mc:Choice>
  </mc:AlternateContent>
  <xr:revisionPtr revIDLastSave="0" documentId="13_ncr:1_{2DEFF906-1041-450F-833A-A26B9FFE51EF}" xr6:coauthVersionLast="47" xr6:coauthVersionMax="47" xr10:uidLastSave="{00000000-0000-0000-0000-000000000000}"/>
  <bookViews>
    <workbookView xWindow="-4590" yWindow="-28920" windowWidth="18240" windowHeight="29040" xr2:uid="{5485CBB2-C13A-4C0B-BAC8-38661C175E52}"/>
  </bookViews>
  <sheets>
    <sheet name="Raw Scale" sheetId="1" r:id="rId1"/>
    <sheet name="Plot Scale" sheetId="2" r:id="rId2"/>
    <sheet name="Comp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34" i="1" l="1"/>
  <c r="V594" i="1"/>
  <c r="V554" i="1"/>
  <c r="V514" i="1"/>
  <c r="V474" i="1"/>
  <c r="V434" i="1"/>
  <c r="V394" i="1"/>
  <c r="V354" i="1"/>
  <c r="V314" i="1"/>
  <c r="V274" i="1"/>
  <c r="V234" i="1"/>
  <c r="V194" i="1"/>
  <c r="V154" i="1"/>
  <c r="V114" i="1"/>
  <c r="V74" i="1"/>
  <c r="V34" i="1"/>
  <c r="AB634" i="1" l="1"/>
  <c r="AA634" i="1"/>
  <c r="Y634" i="1"/>
  <c r="X634" i="1"/>
  <c r="U634" i="1"/>
  <c r="AB594" i="1"/>
  <c r="AA594" i="1"/>
  <c r="Y594" i="1"/>
  <c r="X594" i="1"/>
  <c r="U594" i="1"/>
  <c r="AB554" i="1"/>
  <c r="AA554" i="1"/>
  <c r="Y554" i="1"/>
  <c r="X554" i="1"/>
  <c r="U554" i="1"/>
  <c r="AB514" i="1"/>
  <c r="AA514" i="1"/>
  <c r="Y514" i="1"/>
  <c r="X514" i="1"/>
  <c r="U514" i="1"/>
  <c r="AB474" i="1"/>
  <c r="AA474" i="1"/>
  <c r="Y474" i="1"/>
  <c r="X474" i="1"/>
  <c r="U474" i="1"/>
  <c r="AB434" i="1"/>
  <c r="AA434" i="1"/>
  <c r="Y434" i="1"/>
  <c r="X434" i="1"/>
  <c r="U434" i="1"/>
  <c r="AB394" i="1"/>
  <c r="AA394" i="1"/>
  <c r="Y394" i="1"/>
  <c r="X394" i="1"/>
  <c r="U394" i="1"/>
  <c r="AB354" i="1"/>
  <c r="AA354" i="1"/>
  <c r="Y354" i="1"/>
  <c r="X354" i="1"/>
  <c r="U354" i="1"/>
  <c r="AB314" i="1"/>
  <c r="AA314" i="1"/>
  <c r="Y314" i="1"/>
  <c r="X314" i="1"/>
  <c r="U314" i="1"/>
  <c r="AB274" i="1"/>
  <c r="AA274" i="1"/>
  <c r="Y274" i="1"/>
  <c r="X274" i="1"/>
  <c r="U274" i="1"/>
  <c r="AB234" i="1"/>
  <c r="AA234" i="1"/>
  <c r="Y234" i="1"/>
  <c r="X234" i="1"/>
  <c r="U234" i="1"/>
  <c r="AB194" i="1"/>
  <c r="AA194" i="1"/>
  <c r="Y194" i="1"/>
  <c r="X194" i="1"/>
  <c r="U194" i="1"/>
  <c r="AB154" i="1"/>
  <c r="AA154" i="1"/>
  <c r="Y154" i="1"/>
  <c r="X154" i="1"/>
  <c r="U154" i="1"/>
  <c r="AB114" i="1"/>
  <c r="AA114" i="1"/>
  <c r="Y114" i="1"/>
  <c r="X114" i="1"/>
  <c r="U114" i="1"/>
  <c r="AB74" i="1"/>
  <c r="AA74" i="1"/>
  <c r="Y74" i="1"/>
  <c r="X74" i="1"/>
  <c r="U74" i="1"/>
  <c r="AB34" i="1"/>
  <c r="AA34" i="1"/>
  <c r="Y34" i="1"/>
  <c r="X34" i="1"/>
  <c r="U34" i="1"/>
  <c r="I592" i="1"/>
  <c r="I575" i="1"/>
  <c r="M575" i="1" s="1"/>
  <c r="L235" i="1"/>
  <c r="N235" i="1" s="1"/>
  <c r="L385" i="1"/>
  <c r="N385" i="1" s="1"/>
  <c r="L435" i="1"/>
  <c r="M467" i="1"/>
  <c r="L511" i="1"/>
  <c r="N511" i="1" s="1"/>
  <c r="M538" i="1"/>
  <c r="L553" i="1"/>
  <c r="L565" i="1"/>
  <c r="L575" i="1"/>
  <c r="N575" i="1" s="1"/>
  <c r="L576" i="1"/>
  <c r="L592" i="1"/>
  <c r="M592" i="1"/>
  <c r="M607" i="1"/>
  <c r="M621" i="1"/>
  <c r="L636" i="1"/>
  <c r="L651" i="1"/>
  <c r="N651" i="1" s="1"/>
  <c r="M660" i="1"/>
  <c r="M663" i="1"/>
  <c r="L668" i="1"/>
  <c r="I34" i="1"/>
  <c r="I673" i="1"/>
  <c r="L673" i="1" s="1"/>
  <c r="I672" i="1"/>
  <c r="I671" i="1"/>
  <c r="L671" i="1" s="1"/>
  <c r="I670" i="1"/>
  <c r="L670" i="1" s="1"/>
  <c r="I669" i="1"/>
  <c r="L669" i="1" s="1"/>
  <c r="I668" i="1"/>
  <c r="M668" i="1" s="1"/>
  <c r="I667" i="1"/>
  <c r="L667" i="1" s="1"/>
  <c r="I666" i="1"/>
  <c r="M666" i="1" s="1"/>
  <c r="I665" i="1"/>
  <c r="L665" i="1" s="1"/>
  <c r="I664" i="1"/>
  <c r="I663" i="1"/>
  <c r="L663" i="1" s="1"/>
  <c r="I662" i="1"/>
  <c r="L662" i="1" s="1"/>
  <c r="I661" i="1"/>
  <c r="L661" i="1" s="1"/>
  <c r="I660" i="1"/>
  <c r="L660" i="1" s="1"/>
  <c r="I659" i="1"/>
  <c r="M659" i="1" s="1"/>
  <c r="I658" i="1"/>
  <c r="I657" i="1"/>
  <c r="L657" i="1" s="1"/>
  <c r="I656" i="1"/>
  <c r="I655" i="1"/>
  <c r="L655" i="1" s="1"/>
  <c r="I654" i="1"/>
  <c r="M654" i="1" s="1"/>
  <c r="I653" i="1"/>
  <c r="M653" i="1" s="1"/>
  <c r="I652" i="1"/>
  <c r="L652" i="1" s="1"/>
  <c r="I651" i="1"/>
  <c r="M651" i="1" s="1"/>
  <c r="I650" i="1"/>
  <c r="I649" i="1"/>
  <c r="M649" i="1" s="1"/>
  <c r="I648" i="1"/>
  <c r="L648" i="1" s="1"/>
  <c r="I647" i="1"/>
  <c r="M647" i="1" s="1"/>
  <c r="I646" i="1"/>
  <c r="L646" i="1" s="1"/>
  <c r="I645" i="1"/>
  <c r="L645" i="1" s="1"/>
  <c r="I644" i="1"/>
  <c r="L644" i="1" s="1"/>
  <c r="I643" i="1"/>
  <c r="L643" i="1" s="1"/>
  <c r="I642" i="1"/>
  <c r="I641" i="1"/>
  <c r="M641" i="1" s="1"/>
  <c r="I640" i="1"/>
  <c r="I639" i="1"/>
  <c r="M639" i="1" s="1"/>
  <c r="I638" i="1"/>
  <c r="L638" i="1" s="1"/>
  <c r="I637" i="1"/>
  <c r="L637" i="1" s="1"/>
  <c r="I636" i="1"/>
  <c r="M636" i="1" s="1"/>
  <c r="I635" i="1"/>
  <c r="L635" i="1" s="1"/>
  <c r="I634" i="1"/>
  <c r="I633" i="1"/>
  <c r="L633" i="1" s="1"/>
  <c r="I632" i="1"/>
  <c r="I631" i="1"/>
  <c r="L631" i="1" s="1"/>
  <c r="I630" i="1"/>
  <c r="L630" i="1" s="1"/>
  <c r="I629" i="1"/>
  <c r="L629" i="1" s="1"/>
  <c r="I628" i="1"/>
  <c r="L628" i="1" s="1"/>
  <c r="I627" i="1"/>
  <c r="M627" i="1" s="1"/>
  <c r="I626" i="1"/>
  <c r="I625" i="1"/>
  <c r="L625" i="1" s="1"/>
  <c r="I624" i="1"/>
  <c r="I623" i="1"/>
  <c r="L623" i="1" s="1"/>
  <c r="I622" i="1"/>
  <c r="M622" i="1" s="1"/>
  <c r="I621" i="1"/>
  <c r="L621" i="1" s="1"/>
  <c r="I620" i="1"/>
  <c r="L620" i="1" s="1"/>
  <c r="I619" i="1"/>
  <c r="L619" i="1" s="1"/>
  <c r="I618" i="1"/>
  <c r="I617" i="1"/>
  <c r="L617" i="1" s="1"/>
  <c r="I616" i="1"/>
  <c r="I615" i="1"/>
  <c r="M615" i="1" s="1"/>
  <c r="I614" i="1"/>
  <c r="L614" i="1" s="1"/>
  <c r="I613" i="1"/>
  <c r="L613" i="1" s="1"/>
  <c r="I612" i="1"/>
  <c r="L612" i="1" s="1"/>
  <c r="I611" i="1"/>
  <c r="L611" i="1" s="1"/>
  <c r="I610" i="1"/>
  <c r="I609" i="1"/>
  <c r="L609" i="1" s="1"/>
  <c r="I608" i="1"/>
  <c r="I607" i="1"/>
  <c r="L607" i="1" s="1"/>
  <c r="I606" i="1"/>
  <c r="L606" i="1" s="1"/>
  <c r="I605" i="1"/>
  <c r="L605" i="1" s="1"/>
  <c r="I604" i="1"/>
  <c r="L604" i="1" s="1"/>
  <c r="I603" i="1"/>
  <c r="L603" i="1" s="1"/>
  <c r="I602" i="1"/>
  <c r="I601" i="1"/>
  <c r="L601" i="1" s="1"/>
  <c r="I600" i="1"/>
  <c r="M600" i="1" s="1"/>
  <c r="I599" i="1"/>
  <c r="L599" i="1" s="1"/>
  <c r="I598" i="1"/>
  <c r="M598" i="1" s="1"/>
  <c r="I597" i="1"/>
  <c r="L597" i="1" s="1"/>
  <c r="I596" i="1"/>
  <c r="L596" i="1" s="1"/>
  <c r="I595" i="1"/>
  <c r="M595" i="1" s="1"/>
  <c r="I594" i="1"/>
  <c r="I593" i="1"/>
  <c r="M593" i="1" s="1"/>
  <c r="I591" i="1"/>
  <c r="I590" i="1"/>
  <c r="L590" i="1" s="1"/>
  <c r="I589" i="1"/>
  <c r="L589" i="1" s="1"/>
  <c r="I588" i="1"/>
  <c r="L588" i="1" s="1"/>
  <c r="I587" i="1"/>
  <c r="L587" i="1" s="1"/>
  <c r="I586" i="1"/>
  <c r="M586" i="1" s="1"/>
  <c r="I585" i="1"/>
  <c r="I584" i="1"/>
  <c r="L584" i="1" s="1"/>
  <c r="I583" i="1"/>
  <c r="L583" i="1" s="1"/>
  <c r="I582" i="1"/>
  <c r="L582" i="1" s="1"/>
  <c r="I581" i="1"/>
  <c r="L581" i="1" s="1"/>
  <c r="I580" i="1"/>
  <c r="M580" i="1" s="1"/>
  <c r="I579" i="1"/>
  <c r="M579" i="1" s="1"/>
  <c r="I578" i="1"/>
  <c r="M578" i="1" s="1"/>
  <c r="I577" i="1"/>
  <c r="I576" i="1"/>
  <c r="M576" i="1" s="1"/>
  <c r="I574" i="1"/>
  <c r="I573" i="1"/>
  <c r="M573" i="1" s="1"/>
  <c r="I572" i="1"/>
  <c r="M572" i="1" s="1"/>
  <c r="I571" i="1"/>
  <c r="L571" i="1" s="1"/>
  <c r="I570" i="1"/>
  <c r="L570" i="1" s="1"/>
  <c r="I569" i="1"/>
  <c r="L569" i="1" s="1"/>
  <c r="I568" i="1"/>
  <c r="I567" i="1"/>
  <c r="L567" i="1" s="1"/>
  <c r="I566" i="1"/>
  <c r="I565" i="1"/>
  <c r="M565" i="1" s="1"/>
  <c r="I564" i="1"/>
  <c r="L564" i="1" s="1"/>
  <c r="I563" i="1"/>
  <c r="M563" i="1" s="1"/>
  <c r="I562" i="1"/>
  <c r="L562" i="1" s="1"/>
  <c r="I561" i="1"/>
  <c r="L561" i="1" s="1"/>
  <c r="I560" i="1"/>
  <c r="I559" i="1"/>
  <c r="L559" i="1" s="1"/>
  <c r="I558" i="1"/>
  <c r="M558" i="1" s="1"/>
  <c r="I557" i="1"/>
  <c r="L557" i="1" s="1"/>
  <c r="I556" i="1"/>
  <c r="L556" i="1" s="1"/>
  <c r="I555" i="1"/>
  <c r="L555" i="1" s="1"/>
  <c r="I554" i="1"/>
  <c r="I553" i="1"/>
  <c r="M553" i="1" s="1"/>
  <c r="I552" i="1"/>
  <c r="I551" i="1"/>
  <c r="M551" i="1" s="1"/>
  <c r="I550" i="1"/>
  <c r="I549" i="1"/>
  <c r="M549" i="1" s="1"/>
  <c r="I548" i="1"/>
  <c r="M548" i="1" s="1"/>
  <c r="I547" i="1"/>
  <c r="L547" i="1" s="1"/>
  <c r="I546" i="1"/>
  <c r="L546" i="1" s="1"/>
  <c r="I545" i="1"/>
  <c r="M545" i="1" s="1"/>
  <c r="I544" i="1"/>
  <c r="L544" i="1" s="1"/>
  <c r="I543" i="1"/>
  <c r="I542" i="1"/>
  <c r="I541" i="1"/>
  <c r="I540" i="1"/>
  <c r="L540" i="1" s="1"/>
  <c r="I539" i="1"/>
  <c r="M539" i="1" s="1"/>
  <c r="I538" i="1"/>
  <c r="L538" i="1" s="1"/>
  <c r="I537" i="1"/>
  <c r="L537" i="1" s="1"/>
  <c r="I536" i="1"/>
  <c r="I535" i="1"/>
  <c r="L535" i="1" s="1"/>
  <c r="I534" i="1"/>
  <c r="L534" i="1" s="1"/>
  <c r="I533" i="1"/>
  <c r="L533" i="1" s="1"/>
  <c r="I532" i="1"/>
  <c r="L532" i="1" s="1"/>
  <c r="I531" i="1"/>
  <c r="I530" i="1"/>
  <c r="M530" i="1" s="1"/>
  <c r="I529" i="1"/>
  <c r="I528" i="1"/>
  <c r="L528" i="1" s="1"/>
  <c r="I527" i="1"/>
  <c r="L527" i="1" s="1"/>
  <c r="I526" i="1"/>
  <c r="I525" i="1"/>
  <c r="L525" i="1" s="1"/>
  <c r="I524" i="1"/>
  <c r="I523" i="1"/>
  <c r="L523" i="1" s="1"/>
  <c r="I522" i="1"/>
  <c r="M522" i="1" s="1"/>
  <c r="I521" i="1"/>
  <c r="L521" i="1" s="1"/>
  <c r="I520" i="1"/>
  <c r="I519" i="1"/>
  <c r="I518" i="1"/>
  <c r="I517" i="1"/>
  <c r="I516" i="1"/>
  <c r="M516" i="1" s="1"/>
  <c r="I515" i="1"/>
  <c r="L515" i="1" s="1"/>
  <c r="I514" i="1"/>
  <c r="I513" i="1"/>
  <c r="L513" i="1" s="1"/>
  <c r="I512" i="1"/>
  <c r="I511" i="1"/>
  <c r="M511" i="1" s="1"/>
  <c r="I510" i="1"/>
  <c r="I509" i="1"/>
  <c r="M509" i="1" s="1"/>
  <c r="I508" i="1"/>
  <c r="I507" i="1"/>
  <c r="I506" i="1"/>
  <c r="L506" i="1" s="1"/>
  <c r="I505" i="1"/>
  <c r="I504" i="1"/>
  <c r="I503" i="1"/>
  <c r="I502" i="1"/>
  <c r="I501" i="1"/>
  <c r="I500" i="1"/>
  <c r="M500" i="1" s="1"/>
  <c r="I499" i="1"/>
  <c r="M499" i="1" s="1"/>
  <c r="I498" i="1"/>
  <c r="L498" i="1" s="1"/>
  <c r="I497" i="1"/>
  <c r="M497" i="1" s="1"/>
  <c r="I496" i="1"/>
  <c r="I495" i="1"/>
  <c r="M495" i="1" s="1"/>
  <c r="I494" i="1"/>
  <c r="I493" i="1"/>
  <c r="M493" i="1" s="1"/>
  <c r="I492" i="1"/>
  <c r="M492" i="1" s="1"/>
  <c r="I491" i="1"/>
  <c r="L491" i="1" s="1"/>
  <c r="I490" i="1"/>
  <c r="I489" i="1"/>
  <c r="I488" i="1"/>
  <c r="I487" i="1"/>
  <c r="L487" i="1" s="1"/>
  <c r="I486" i="1"/>
  <c r="I485" i="1"/>
  <c r="M485" i="1" s="1"/>
  <c r="I484" i="1"/>
  <c r="I483" i="1"/>
  <c r="M483" i="1" s="1"/>
  <c r="I482" i="1"/>
  <c r="I481" i="1"/>
  <c r="L481" i="1" s="1"/>
  <c r="I480" i="1"/>
  <c r="I479" i="1"/>
  <c r="M479" i="1" s="1"/>
  <c r="I478" i="1"/>
  <c r="M478" i="1" s="1"/>
  <c r="I477" i="1"/>
  <c r="I476" i="1"/>
  <c r="M476" i="1" s="1"/>
  <c r="I475" i="1"/>
  <c r="I474" i="1"/>
  <c r="L474" i="1" s="1"/>
  <c r="I473" i="1"/>
  <c r="L473" i="1" s="1"/>
  <c r="I472" i="1"/>
  <c r="L472" i="1" s="1"/>
  <c r="I471" i="1"/>
  <c r="L471" i="1" s="1"/>
  <c r="I470" i="1"/>
  <c r="I469" i="1"/>
  <c r="M469" i="1" s="1"/>
  <c r="I468" i="1"/>
  <c r="L468" i="1" s="1"/>
  <c r="I467" i="1"/>
  <c r="L467" i="1" s="1"/>
  <c r="I466" i="1"/>
  <c r="I465" i="1"/>
  <c r="M465" i="1" s="1"/>
  <c r="I464" i="1"/>
  <c r="I463" i="1"/>
  <c r="M463" i="1" s="1"/>
  <c r="I462" i="1"/>
  <c r="I461" i="1"/>
  <c r="I460" i="1"/>
  <c r="M460" i="1" s="1"/>
  <c r="I459" i="1"/>
  <c r="I458" i="1"/>
  <c r="L458" i="1" s="1"/>
  <c r="I457" i="1"/>
  <c r="L457" i="1" s="1"/>
  <c r="I456" i="1"/>
  <c r="I455" i="1"/>
  <c r="M455" i="1" s="1"/>
  <c r="I454" i="1"/>
  <c r="I453" i="1"/>
  <c r="M453" i="1" s="1"/>
  <c r="I452" i="1"/>
  <c r="L452" i="1" s="1"/>
  <c r="I451" i="1"/>
  <c r="M451" i="1" s="1"/>
  <c r="I450" i="1"/>
  <c r="L450" i="1" s="1"/>
  <c r="I449" i="1"/>
  <c r="I448" i="1"/>
  <c r="M448" i="1" s="1"/>
  <c r="I447" i="1"/>
  <c r="I446" i="1"/>
  <c r="I445" i="1"/>
  <c r="L445" i="1" s="1"/>
  <c r="I444" i="1"/>
  <c r="I443" i="1"/>
  <c r="M443" i="1" s="1"/>
  <c r="I442" i="1"/>
  <c r="L442" i="1" s="1"/>
  <c r="I441" i="1"/>
  <c r="M441" i="1" s="1"/>
  <c r="I440" i="1"/>
  <c r="M440" i="1" s="1"/>
  <c r="I439" i="1"/>
  <c r="I438" i="1"/>
  <c r="I437" i="1"/>
  <c r="L437" i="1" s="1"/>
  <c r="I436" i="1"/>
  <c r="I435" i="1"/>
  <c r="M435" i="1" s="1"/>
  <c r="I434" i="1"/>
  <c r="M434" i="1" s="1"/>
  <c r="I433" i="1"/>
  <c r="M433" i="1" s="1"/>
  <c r="I432" i="1"/>
  <c r="I431" i="1"/>
  <c r="I430" i="1"/>
  <c r="I429" i="1"/>
  <c r="L429" i="1" s="1"/>
  <c r="I428" i="1"/>
  <c r="I427" i="1"/>
  <c r="M427" i="1" s="1"/>
  <c r="I426" i="1"/>
  <c r="L426" i="1" s="1"/>
  <c r="I425" i="1"/>
  <c r="M425" i="1" s="1"/>
  <c r="I424" i="1"/>
  <c r="I423" i="1"/>
  <c r="I422" i="1"/>
  <c r="I421" i="1"/>
  <c r="L421" i="1" s="1"/>
  <c r="I420" i="1"/>
  <c r="I419" i="1"/>
  <c r="L419" i="1" s="1"/>
  <c r="I418" i="1"/>
  <c r="I417" i="1"/>
  <c r="I416" i="1"/>
  <c r="I415" i="1"/>
  <c r="I414" i="1"/>
  <c r="I413" i="1"/>
  <c r="I412" i="1"/>
  <c r="M412" i="1" s="1"/>
  <c r="I411" i="1"/>
  <c r="L411" i="1" s="1"/>
  <c r="I410" i="1"/>
  <c r="I409" i="1"/>
  <c r="I408" i="1"/>
  <c r="I407" i="1"/>
  <c r="I406" i="1"/>
  <c r="M406" i="1" s="1"/>
  <c r="I405" i="1"/>
  <c r="I404" i="1"/>
  <c r="I403" i="1"/>
  <c r="L403" i="1" s="1"/>
  <c r="I402" i="1"/>
  <c r="I401" i="1"/>
  <c r="I400" i="1"/>
  <c r="I399" i="1"/>
  <c r="I398" i="1"/>
  <c r="I397" i="1"/>
  <c r="L397" i="1" s="1"/>
  <c r="I396" i="1"/>
  <c r="I395" i="1"/>
  <c r="M395" i="1" s="1"/>
  <c r="I394" i="1"/>
  <c r="I393" i="1"/>
  <c r="I392" i="1"/>
  <c r="I391" i="1"/>
  <c r="I390" i="1"/>
  <c r="I389" i="1"/>
  <c r="I388" i="1"/>
  <c r="L388" i="1" s="1"/>
  <c r="I387" i="1"/>
  <c r="I386" i="1"/>
  <c r="I385" i="1"/>
  <c r="M385" i="1" s="1"/>
  <c r="I384" i="1"/>
  <c r="I383" i="1"/>
  <c r="I382" i="1"/>
  <c r="I381" i="1"/>
  <c r="M381" i="1" s="1"/>
  <c r="I380" i="1"/>
  <c r="I379" i="1"/>
  <c r="I378" i="1"/>
  <c r="L378" i="1" s="1"/>
  <c r="I377" i="1"/>
  <c r="I376" i="1"/>
  <c r="I375" i="1"/>
  <c r="I374" i="1"/>
  <c r="I373" i="1"/>
  <c r="I372" i="1"/>
  <c r="M372" i="1" s="1"/>
  <c r="I371" i="1"/>
  <c r="I370" i="1"/>
  <c r="I369" i="1"/>
  <c r="M369" i="1" s="1"/>
  <c r="I368" i="1"/>
  <c r="I367" i="1"/>
  <c r="I366" i="1"/>
  <c r="I365" i="1"/>
  <c r="I364" i="1"/>
  <c r="I363" i="1"/>
  <c r="M363" i="1" s="1"/>
  <c r="I362" i="1"/>
  <c r="M362" i="1" s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M347" i="1" s="1"/>
  <c r="I346" i="1"/>
  <c r="I345" i="1"/>
  <c r="I344" i="1"/>
  <c r="I343" i="1"/>
  <c r="I342" i="1"/>
  <c r="I341" i="1"/>
  <c r="I340" i="1"/>
  <c r="I339" i="1"/>
  <c r="L339" i="1" s="1"/>
  <c r="I338" i="1"/>
  <c r="L338" i="1" s="1"/>
  <c r="I337" i="1"/>
  <c r="M337" i="1" s="1"/>
  <c r="I336" i="1"/>
  <c r="I335" i="1"/>
  <c r="I334" i="1"/>
  <c r="I333" i="1"/>
  <c r="I332" i="1"/>
  <c r="I331" i="1"/>
  <c r="M331" i="1" s="1"/>
  <c r="I330" i="1"/>
  <c r="L330" i="1" s="1"/>
  <c r="I329" i="1"/>
  <c r="I328" i="1"/>
  <c r="I327" i="1"/>
  <c r="I326" i="1"/>
  <c r="I325" i="1"/>
  <c r="I324" i="1"/>
  <c r="M324" i="1" s="1"/>
  <c r="I323" i="1"/>
  <c r="L323" i="1" s="1"/>
  <c r="I322" i="1"/>
  <c r="I321" i="1"/>
  <c r="I320" i="1"/>
  <c r="I319" i="1"/>
  <c r="I318" i="1"/>
  <c r="I317" i="1"/>
  <c r="I316" i="1"/>
  <c r="L316" i="1" s="1"/>
  <c r="I315" i="1"/>
  <c r="I314" i="1"/>
  <c r="I313" i="1"/>
  <c r="I312" i="1"/>
  <c r="I311" i="1"/>
  <c r="M311" i="1" s="1"/>
  <c r="I310" i="1"/>
  <c r="I309" i="1"/>
  <c r="I308" i="1"/>
  <c r="I307" i="1"/>
  <c r="I306" i="1"/>
  <c r="L306" i="1" s="1"/>
  <c r="I305" i="1"/>
  <c r="M305" i="1" s="1"/>
  <c r="I304" i="1"/>
  <c r="I303" i="1"/>
  <c r="I302" i="1"/>
  <c r="I301" i="1"/>
  <c r="I300" i="1"/>
  <c r="I299" i="1"/>
  <c r="M299" i="1" s="1"/>
  <c r="I298" i="1"/>
  <c r="L298" i="1" s="1"/>
  <c r="I297" i="1"/>
  <c r="M297" i="1" s="1"/>
  <c r="I296" i="1"/>
  <c r="I295" i="1"/>
  <c r="I294" i="1"/>
  <c r="I293" i="1"/>
  <c r="I292" i="1"/>
  <c r="I291" i="1"/>
  <c r="I290" i="1"/>
  <c r="L290" i="1" s="1"/>
  <c r="I289" i="1"/>
  <c r="I288" i="1"/>
  <c r="I287" i="1"/>
  <c r="I286" i="1"/>
  <c r="I285" i="1"/>
  <c r="I284" i="1"/>
  <c r="I283" i="1"/>
  <c r="M283" i="1" s="1"/>
  <c r="I282" i="1"/>
  <c r="I281" i="1"/>
  <c r="I280" i="1"/>
  <c r="I279" i="1"/>
  <c r="I278" i="1"/>
  <c r="I277" i="1"/>
  <c r="I276" i="1"/>
  <c r="I275" i="1"/>
  <c r="M275" i="1" s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M257" i="1" s="1"/>
  <c r="I256" i="1"/>
  <c r="I255" i="1"/>
  <c r="I254" i="1"/>
  <c r="I253" i="1"/>
  <c r="I252" i="1"/>
  <c r="I251" i="1"/>
  <c r="I250" i="1"/>
  <c r="L250" i="1" s="1"/>
  <c r="I249" i="1"/>
  <c r="I248" i="1"/>
  <c r="L248" i="1" s="1"/>
  <c r="I247" i="1"/>
  <c r="I246" i="1"/>
  <c r="I245" i="1"/>
  <c r="I244" i="1"/>
  <c r="I243" i="1"/>
  <c r="I242" i="1"/>
  <c r="I241" i="1"/>
  <c r="M241" i="1" s="1"/>
  <c r="I240" i="1"/>
  <c r="I239" i="1"/>
  <c r="I238" i="1"/>
  <c r="I237" i="1"/>
  <c r="I236" i="1"/>
  <c r="I235" i="1"/>
  <c r="M235" i="1" s="1"/>
  <c r="I234" i="1"/>
  <c r="I233" i="1"/>
  <c r="I232" i="1"/>
  <c r="I231" i="1"/>
  <c r="I230" i="1"/>
  <c r="M230" i="1" s="1"/>
  <c r="I229" i="1"/>
  <c r="I228" i="1"/>
  <c r="M228" i="1" s="1"/>
  <c r="I227" i="1"/>
  <c r="I226" i="1"/>
  <c r="I225" i="1"/>
  <c r="I224" i="1"/>
  <c r="I223" i="1"/>
  <c r="M223" i="1" s="1"/>
  <c r="I222" i="1"/>
  <c r="I221" i="1"/>
  <c r="L221" i="1" s="1"/>
  <c r="I220" i="1"/>
  <c r="I219" i="1"/>
  <c r="I218" i="1"/>
  <c r="I217" i="1"/>
  <c r="I216" i="1"/>
  <c r="I215" i="1"/>
  <c r="I214" i="1"/>
  <c r="I213" i="1"/>
  <c r="I212" i="1"/>
  <c r="I211" i="1"/>
  <c r="I210" i="1"/>
  <c r="I209" i="1"/>
  <c r="M209" i="1" s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M194" i="1" s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M153" i="1" s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M100" i="1" s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63" i="1"/>
  <c r="I62" i="1"/>
  <c r="I61" i="1"/>
  <c r="I60" i="1"/>
  <c r="I59" i="1"/>
  <c r="I58" i="1"/>
  <c r="I57" i="1"/>
  <c r="I56" i="1"/>
  <c r="I55" i="1"/>
  <c r="I54" i="1"/>
  <c r="I43" i="1"/>
  <c r="I42" i="1"/>
  <c r="I41" i="1"/>
  <c r="I40" i="1"/>
  <c r="I39" i="1"/>
  <c r="I38" i="1"/>
  <c r="I37" i="1"/>
  <c r="I36" i="1"/>
  <c r="I35" i="1"/>
  <c r="L654" i="1" l="1"/>
  <c r="L641" i="1"/>
  <c r="L627" i="1"/>
  <c r="N627" i="1" s="1"/>
  <c r="M609" i="1"/>
  <c r="L598" i="1"/>
  <c r="L580" i="1"/>
  <c r="M555" i="1"/>
  <c r="M540" i="1"/>
  <c r="L516" i="1"/>
  <c r="N516" i="1" s="1"/>
  <c r="M442" i="1"/>
  <c r="M411" i="1"/>
  <c r="L305" i="1"/>
  <c r="N305" i="1" s="1"/>
  <c r="N663" i="1"/>
  <c r="N671" i="1"/>
  <c r="L653" i="1"/>
  <c r="N653" i="1" s="1"/>
  <c r="L639" i="1"/>
  <c r="L622" i="1"/>
  <c r="L593" i="1"/>
  <c r="L579" i="1"/>
  <c r="N579" i="1" s="1"/>
  <c r="M567" i="1"/>
  <c r="N567" i="1" s="1"/>
  <c r="L539" i="1"/>
  <c r="N539" i="1" s="1"/>
  <c r="M515" i="1"/>
  <c r="M472" i="1"/>
  <c r="L440" i="1"/>
  <c r="N440" i="1" s="1"/>
  <c r="M388" i="1"/>
  <c r="L283" i="1"/>
  <c r="N283" i="1" s="1"/>
  <c r="M662" i="1"/>
  <c r="N662" i="1" s="1"/>
  <c r="L649" i="1"/>
  <c r="M633" i="1"/>
  <c r="M619" i="1"/>
  <c r="L563" i="1"/>
  <c r="L551" i="1"/>
  <c r="M535" i="1"/>
  <c r="L460" i="1"/>
  <c r="L433" i="1"/>
  <c r="N433" i="1" s="1"/>
  <c r="L381" i="1"/>
  <c r="N381" i="1" s="1"/>
  <c r="L230" i="1"/>
  <c r="N230" i="1" s="1"/>
  <c r="M661" i="1"/>
  <c r="L647" i="1"/>
  <c r="M631" i="1"/>
  <c r="M617" i="1"/>
  <c r="M605" i="1"/>
  <c r="M588" i="1"/>
  <c r="N588" i="1" s="1"/>
  <c r="L573" i="1"/>
  <c r="M562" i="1"/>
  <c r="L548" i="1"/>
  <c r="M534" i="1"/>
  <c r="L509" i="1"/>
  <c r="N509" i="1" s="1"/>
  <c r="L455" i="1"/>
  <c r="M426" i="1"/>
  <c r="L362" i="1"/>
  <c r="N362" i="1" s="1"/>
  <c r="L228" i="1"/>
  <c r="N603" i="1"/>
  <c r="M671" i="1"/>
  <c r="M646" i="1"/>
  <c r="L615" i="1"/>
  <c r="M604" i="1"/>
  <c r="N604" i="1" s="1"/>
  <c r="L586" i="1"/>
  <c r="L572" i="1"/>
  <c r="N572" i="1" s="1"/>
  <c r="M547" i="1"/>
  <c r="M528" i="1"/>
  <c r="N528" i="1" s="1"/>
  <c r="M498" i="1"/>
  <c r="L453" i="1"/>
  <c r="N453" i="1" s="1"/>
  <c r="M421" i="1"/>
  <c r="M339" i="1"/>
  <c r="N339" i="1" s="1"/>
  <c r="N612" i="1"/>
  <c r="N628" i="1"/>
  <c r="N644" i="1"/>
  <c r="M670" i="1"/>
  <c r="N670" i="1" s="1"/>
  <c r="M644" i="1"/>
  <c r="M629" i="1"/>
  <c r="M614" i="1"/>
  <c r="N614" i="1" s="1"/>
  <c r="M603" i="1"/>
  <c r="M581" i="1"/>
  <c r="M570" i="1"/>
  <c r="N570" i="1" s="1"/>
  <c r="M561" i="1"/>
  <c r="N561" i="1" s="1"/>
  <c r="L545" i="1"/>
  <c r="M523" i="1"/>
  <c r="L497" i="1"/>
  <c r="N497" i="1" s="1"/>
  <c r="M452" i="1"/>
  <c r="N452" i="1" s="1"/>
  <c r="M419" i="1"/>
  <c r="N419" i="1" s="1"/>
  <c r="M338" i="1"/>
  <c r="M669" i="1"/>
  <c r="N669" i="1" s="1"/>
  <c r="L659" i="1"/>
  <c r="M628" i="1"/>
  <c r="M612" i="1"/>
  <c r="M556" i="1"/>
  <c r="N556" i="1" s="1"/>
  <c r="M544" i="1"/>
  <c r="L522" i="1"/>
  <c r="L492" i="1"/>
  <c r="L448" i="1"/>
  <c r="M323" i="1"/>
  <c r="L60" i="1"/>
  <c r="M60" i="1"/>
  <c r="M94" i="1"/>
  <c r="L94" i="1"/>
  <c r="L126" i="1"/>
  <c r="M126" i="1"/>
  <c r="L158" i="1"/>
  <c r="M158" i="1"/>
  <c r="L198" i="1"/>
  <c r="M198" i="1"/>
  <c r="L254" i="1"/>
  <c r="M254" i="1"/>
  <c r="L286" i="1"/>
  <c r="M286" i="1"/>
  <c r="L318" i="1"/>
  <c r="M318" i="1"/>
  <c r="M350" i="1"/>
  <c r="L350" i="1"/>
  <c r="L374" i="1"/>
  <c r="M374" i="1"/>
  <c r="L390" i="1"/>
  <c r="M390" i="1"/>
  <c r="M422" i="1"/>
  <c r="L422" i="1"/>
  <c r="M438" i="1"/>
  <c r="L438" i="1"/>
  <c r="L470" i="1"/>
  <c r="M470" i="1"/>
  <c r="M502" i="1"/>
  <c r="L502" i="1"/>
  <c r="L526" i="1"/>
  <c r="M526" i="1"/>
  <c r="M550" i="1"/>
  <c r="L550" i="1"/>
  <c r="L566" i="1"/>
  <c r="M566" i="1"/>
  <c r="L591" i="1"/>
  <c r="M591" i="1"/>
  <c r="M616" i="1"/>
  <c r="L616" i="1"/>
  <c r="L640" i="1"/>
  <c r="M640" i="1"/>
  <c r="L664" i="1"/>
  <c r="M664" i="1"/>
  <c r="L600" i="1"/>
  <c r="N600" i="1" s="1"/>
  <c r="N548" i="1"/>
  <c r="L42" i="1"/>
  <c r="N42" i="1" s="1"/>
  <c r="M42" i="1"/>
  <c r="M102" i="1"/>
  <c r="L102" i="1"/>
  <c r="M142" i="1"/>
  <c r="L142" i="1"/>
  <c r="M182" i="1"/>
  <c r="L182" i="1"/>
  <c r="L222" i="1"/>
  <c r="N222" i="1" s="1"/>
  <c r="M222" i="1"/>
  <c r="L262" i="1"/>
  <c r="N262" i="1" s="1"/>
  <c r="M262" i="1"/>
  <c r="L310" i="1"/>
  <c r="N310" i="1" s="1"/>
  <c r="M310" i="1"/>
  <c r="L358" i="1"/>
  <c r="M358" i="1"/>
  <c r="M446" i="1"/>
  <c r="N446" i="1" s="1"/>
  <c r="L446" i="1"/>
  <c r="L486" i="1"/>
  <c r="M486" i="1"/>
  <c r="L574" i="1"/>
  <c r="M574" i="1"/>
  <c r="L36" i="1"/>
  <c r="M36" i="1"/>
  <c r="L88" i="1"/>
  <c r="M88" i="1"/>
  <c r="L136" i="1"/>
  <c r="M136" i="1"/>
  <c r="L184" i="1"/>
  <c r="M184" i="1"/>
  <c r="L296" i="1"/>
  <c r="M296" i="1"/>
  <c r="L328" i="1"/>
  <c r="M328" i="1"/>
  <c r="N328" i="1" s="1"/>
  <c r="L368" i="1"/>
  <c r="M368" i="1"/>
  <c r="L400" i="1"/>
  <c r="M400" i="1"/>
  <c r="M432" i="1"/>
  <c r="L432" i="1"/>
  <c r="L456" i="1"/>
  <c r="M456" i="1"/>
  <c r="L480" i="1"/>
  <c r="M480" i="1"/>
  <c r="L488" i="1"/>
  <c r="M488" i="1"/>
  <c r="L496" i="1"/>
  <c r="N496" i="1" s="1"/>
  <c r="M496" i="1"/>
  <c r="M504" i="1"/>
  <c r="L504" i="1"/>
  <c r="N504" i="1" s="1"/>
  <c r="L512" i="1"/>
  <c r="M512" i="1"/>
  <c r="L520" i="1"/>
  <c r="M520" i="1"/>
  <c r="L536" i="1"/>
  <c r="N536" i="1" s="1"/>
  <c r="M536" i="1"/>
  <c r="N544" i="1"/>
  <c r="L552" i="1"/>
  <c r="M552" i="1"/>
  <c r="L560" i="1"/>
  <c r="M560" i="1"/>
  <c r="L568" i="1"/>
  <c r="N568" i="1" s="1"/>
  <c r="M568" i="1"/>
  <c r="L577" i="1"/>
  <c r="M577" i="1"/>
  <c r="M585" i="1"/>
  <c r="L585" i="1"/>
  <c r="Z594" i="1"/>
  <c r="M594" i="1"/>
  <c r="L594" i="1"/>
  <c r="L602" i="1"/>
  <c r="M602" i="1"/>
  <c r="L610" i="1"/>
  <c r="M610" i="1"/>
  <c r="L618" i="1"/>
  <c r="M618" i="1"/>
  <c r="M626" i="1"/>
  <c r="L626" i="1"/>
  <c r="Z634" i="1"/>
  <c r="AD634" i="1" s="1"/>
  <c r="M634" i="1"/>
  <c r="L642" i="1"/>
  <c r="N642" i="1" s="1"/>
  <c r="M642" i="1"/>
  <c r="L650" i="1"/>
  <c r="M650" i="1"/>
  <c r="L658" i="1"/>
  <c r="M658" i="1"/>
  <c r="M34" i="1"/>
  <c r="L34" i="1"/>
  <c r="M648" i="1"/>
  <c r="N648" i="1" s="1"/>
  <c r="N639" i="1"/>
  <c r="N565" i="1"/>
  <c r="N622" i="1"/>
  <c r="L78" i="1"/>
  <c r="N78" i="1" s="1"/>
  <c r="M78" i="1"/>
  <c r="L118" i="1"/>
  <c r="M118" i="1"/>
  <c r="L150" i="1"/>
  <c r="M150" i="1"/>
  <c r="L174" i="1"/>
  <c r="M174" i="1"/>
  <c r="L214" i="1"/>
  <c r="N214" i="1" s="1"/>
  <c r="M214" i="1"/>
  <c r="L246" i="1"/>
  <c r="M246" i="1"/>
  <c r="L270" i="1"/>
  <c r="M270" i="1"/>
  <c r="L302" i="1"/>
  <c r="M302" i="1"/>
  <c r="L342" i="1"/>
  <c r="M342" i="1"/>
  <c r="M382" i="1"/>
  <c r="L382" i="1"/>
  <c r="L414" i="1"/>
  <c r="M414" i="1"/>
  <c r="L510" i="1"/>
  <c r="N510" i="1" s="1"/>
  <c r="M510" i="1"/>
  <c r="L632" i="1"/>
  <c r="N632" i="1" s="1"/>
  <c r="M632" i="1"/>
  <c r="L672" i="1"/>
  <c r="N672" i="1" s="1"/>
  <c r="M672" i="1"/>
  <c r="L62" i="1"/>
  <c r="M62" i="1"/>
  <c r="L96" i="1"/>
  <c r="N96" i="1" s="1"/>
  <c r="M96" i="1"/>
  <c r="L112" i="1"/>
  <c r="M112" i="1"/>
  <c r="L128" i="1"/>
  <c r="M128" i="1"/>
  <c r="L152" i="1"/>
  <c r="M152" i="1"/>
  <c r="L168" i="1"/>
  <c r="N168" i="1" s="1"/>
  <c r="M168" i="1"/>
  <c r="L192" i="1"/>
  <c r="M192" i="1"/>
  <c r="L208" i="1"/>
  <c r="M208" i="1"/>
  <c r="L224" i="1"/>
  <c r="M224" i="1"/>
  <c r="M256" i="1"/>
  <c r="L256" i="1"/>
  <c r="L280" i="1"/>
  <c r="M280" i="1"/>
  <c r="L304" i="1"/>
  <c r="N304" i="1" s="1"/>
  <c r="M304" i="1"/>
  <c r="L336" i="1"/>
  <c r="M336" i="1"/>
  <c r="L360" i="1"/>
  <c r="N360" i="1" s="1"/>
  <c r="M360" i="1"/>
  <c r="L384" i="1"/>
  <c r="M384" i="1"/>
  <c r="L416" i="1"/>
  <c r="M416" i="1"/>
  <c r="N619" i="1"/>
  <c r="L666" i="1"/>
  <c r="N666" i="1" s="1"/>
  <c r="N659" i="1"/>
  <c r="N647" i="1"/>
  <c r="N636" i="1"/>
  <c r="N607" i="1"/>
  <c r="N598" i="1"/>
  <c r="N586" i="1"/>
  <c r="N623" i="1"/>
  <c r="N631" i="1"/>
  <c r="M86" i="1"/>
  <c r="L86" i="1"/>
  <c r="M110" i="1"/>
  <c r="L110" i="1"/>
  <c r="M134" i="1"/>
  <c r="L134" i="1"/>
  <c r="L166" i="1"/>
  <c r="N166" i="1" s="1"/>
  <c r="M166" i="1"/>
  <c r="M190" i="1"/>
  <c r="L190" i="1"/>
  <c r="M206" i="1"/>
  <c r="L206" i="1"/>
  <c r="M238" i="1"/>
  <c r="L238" i="1"/>
  <c r="L278" i="1"/>
  <c r="N278" i="1" s="1"/>
  <c r="M278" i="1"/>
  <c r="L294" i="1"/>
  <c r="M294" i="1"/>
  <c r="M326" i="1"/>
  <c r="L326" i="1"/>
  <c r="L334" i="1"/>
  <c r="M334" i="1"/>
  <c r="M366" i="1"/>
  <c r="N366" i="1" s="1"/>
  <c r="L366" i="1"/>
  <c r="M398" i="1"/>
  <c r="L398" i="1"/>
  <c r="M430" i="1"/>
  <c r="L430" i="1"/>
  <c r="L454" i="1"/>
  <c r="M454" i="1"/>
  <c r="M462" i="1"/>
  <c r="L462" i="1"/>
  <c r="L494" i="1"/>
  <c r="M494" i="1"/>
  <c r="M518" i="1"/>
  <c r="L518" i="1"/>
  <c r="L542" i="1"/>
  <c r="M542" i="1"/>
  <c r="N583" i="1"/>
  <c r="L608" i="1"/>
  <c r="M608" i="1"/>
  <c r="L624" i="1"/>
  <c r="M624" i="1"/>
  <c r="L656" i="1"/>
  <c r="M656" i="1"/>
  <c r="L558" i="1"/>
  <c r="N558" i="1" s="1"/>
  <c r="L406" i="1"/>
  <c r="L54" i="1"/>
  <c r="M54" i="1"/>
  <c r="L80" i="1"/>
  <c r="M80" i="1"/>
  <c r="M104" i="1"/>
  <c r="L104" i="1"/>
  <c r="L120" i="1"/>
  <c r="M120" i="1"/>
  <c r="L144" i="1"/>
  <c r="M144" i="1"/>
  <c r="L160" i="1"/>
  <c r="M160" i="1"/>
  <c r="L176" i="1"/>
  <c r="M176" i="1"/>
  <c r="L216" i="1"/>
  <c r="M216" i="1"/>
  <c r="N216" i="1" s="1"/>
  <c r="L240" i="1"/>
  <c r="M240" i="1"/>
  <c r="L264" i="1"/>
  <c r="M264" i="1"/>
  <c r="L288" i="1"/>
  <c r="M288" i="1"/>
  <c r="L312" i="1"/>
  <c r="M312" i="1"/>
  <c r="L344" i="1"/>
  <c r="M344" i="1"/>
  <c r="L376" i="1"/>
  <c r="M376" i="1"/>
  <c r="L408" i="1"/>
  <c r="M408" i="1"/>
  <c r="N646" i="1"/>
  <c r="L634" i="1"/>
  <c r="M583" i="1"/>
  <c r="M248" i="1"/>
  <c r="L200" i="1"/>
  <c r="M200" i="1"/>
  <c r="L232" i="1"/>
  <c r="M232" i="1"/>
  <c r="M272" i="1"/>
  <c r="L272" i="1"/>
  <c r="L320" i="1"/>
  <c r="N320" i="1" s="1"/>
  <c r="M320" i="1"/>
  <c r="L352" i="1"/>
  <c r="M352" i="1"/>
  <c r="L392" i="1"/>
  <c r="M392" i="1"/>
  <c r="M424" i="1"/>
  <c r="L424" i="1"/>
  <c r="L464" i="1"/>
  <c r="M464" i="1"/>
  <c r="N547" i="1"/>
  <c r="N661" i="1"/>
  <c r="N551" i="1"/>
  <c r="L478" i="1"/>
  <c r="N576" i="1"/>
  <c r="L209" i="1"/>
  <c r="L35" i="1"/>
  <c r="M35" i="1"/>
  <c r="L43" i="1"/>
  <c r="M43" i="1"/>
  <c r="M61" i="1"/>
  <c r="L61" i="1"/>
  <c r="L79" i="1"/>
  <c r="M79" i="1"/>
  <c r="L87" i="1"/>
  <c r="M87" i="1"/>
  <c r="M95" i="1"/>
  <c r="N95" i="1" s="1"/>
  <c r="L95" i="1"/>
  <c r="L103" i="1"/>
  <c r="M103" i="1"/>
  <c r="L111" i="1"/>
  <c r="M111" i="1"/>
  <c r="M119" i="1"/>
  <c r="L119" i="1"/>
  <c r="M127" i="1"/>
  <c r="L127" i="1"/>
  <c r="L135" i="1"/>
  <c r="M135" i="1"/>
  <c r="L143" i="1"/>
  <c r="N143" i="1" s="1"/>
  <c r="M143" i="1"/>
  <c r="L151" i="1"/>
  <c r="M151" i="1"/>
  <c r="L159" i="1"/>
  <c r="N159" i="1" s="1"/>
  <c r="M159" i="1"/>
  <c r="L167" i="1"/>
  <c r="M167" i="1"/>
  <c r="M175" i="1"/>
  <c r="L175" i="1"/>
  <c r="L183" i="1"/>
  <c r="M183" i="1"/>
  <c r="L191" i="1"/>
  <c r="N191" i="1" s="1"/>
  <c r="M191" i="1"/>
  <c r="L199" i="1"/>
  <c r="M199" i="1"/>
  <c r="L207" i="1"/>
  <c r="N207" i="1" s="1"/>
  <c r="M207" i="1"/>
  <c r="L215" i="1"/>
  <c r="M215" i="1"/>
  <c r="L231" i="1"/>
  <c r="N231" i="1" s="1"/>
  <c r="M231" i="1"/>
  <c r="L239" i="1"/>
  <c r="N239" i="1" s="1"/>
  <c r="M239" i="1"/>
  <c r="L247" i="1"/>
  <c r="M247" i="1"/>
  <c r="L255" i="1"/>
  <c r="N255" i="1" s="1"/>
  <c r="M255" i="1"/>
  <c r="L263" i="1"/>
  <c r="N263" i="1" s="1"/>
  <c r="M263" i="1"/>
  <c r="L271" i="1"/>
  <c r="N271" i="1" s="1"/>
  <c r="M271" i="1"/>
  <c r="L279" i="1"/>
  <c r="M279" i="1"/>
  <c r="L287" i="1"/>
  <c r="N287" i="1" s="1"/>
  <c r="M287" i="1"/>
  <c r="L295" i="1"/>
  <c r="N295" i="1" s="1"/>
  <c r="M295" i="1"/>
  <c r="L303" i="1"/>
  <c r="N303" i="1" s="1"/>
  <c r="M303" i="1"/>
  <c r="L319" i="1"/>
  <c r="M319" i="1"/>
  <c r="L327" i="1"/>
  <c r="M327" i="1"/>
  <c r="L335" i="1"/>
  <c r="M335" i="1"/>
  <c r="L343" i="1"/>
  <c r="N343" i="1" s="1"/>
  <c r="M343" i="1"/>
  <c r="L351" i="1"/>
  <c r="M351" i="1"/>
  <c r="L359" i="1"/>
  <c r="N359" i="1" s="1"/>
  <c r="M359" i="1"/>
  <c r="L367" i="1"/>
  <c r="M367" i="1"/>
  <c r="L375" i="1"/>
  <c r="M375" i="1"/>
  <c r="L383" i="1"/>
  <c r="M383" i="1"/>
  <c r="L391" i="1"/>
  <c r="N391" i="1" s="1"/>
  <c r="M391" i="1"/>
  <c r="L399" i="1"/>
  <c r="M399" i="1"/>
  <c r="L407" i="1"/>
  <c r="M407" i="1"/>
  <c r="L415" i="1"/>
  <c r="M415" i="1"/>
  <c r="L423" i="1"/>
  <c r="M423" i="1"/>
  <c r="L431" i="1"/>
  <c r="M431" i="1"/>
  <c r="L439" i="1"/>
  <c r="M439" i="1"/>
  <c r="L447" i="1"/>
  <c r="M447" i="1"/>
  <c r="L503" i="1"/>
  <c r="M503" i="1"/>
  <c r="L519" i="1"/>
  <c r="M519" i="1"/>
  <c r="N535" i="1"/>
  <c r="L543" i="1"/>
  <c r="M543" i="1"/>
  <c r="M491" i="1"/>
  <c r="L485" i="1"/>
  <c r="L479" i="1"/>
  <c r="M473" i="1"/>
  <c r="L441" i="1"/>
  <c r="L427" i="1"/>
  <c r="N427" i="1" s="1"/>
  <c r="L363" i="1"/>
  <c r="N363" i="1" s="1"/>
  <c r="L324" i="1"/>
  <c r="N324" i="1" s="1"/>
  <c r="M306" i="1"/>
  <c r="M290" i="1"/>
  <c r="N290" i="1" s="1"/>
  <c r="M250" i="1"/>
  <c r="N250" i="1" s="1"/>
  <c r="L81" i="1"/>
  <c r="M81" i="1"/>
  <c r="M105" i="1"/>
  <c r="L105" i="1"/>
  <c r="M137" i="1"/>
  <c r="L137" i="1"/>
  <c r="L169" i="1"/>
  <c r="M169" i="1"/>
  <c r="L201" i="1"/>
  <c r="M201" i="1"/>
  <c r="M289" i="1"/>
  <c r="L289" i="1"/>
  <c r="L321" i="1"/>
  <c r="M321" i="1"/>
  <c r="L449" i="1"/>
  <c r="M449" i="1"/>
  <c r="L505" i="1"/>
  <c r="M505" i="1"/>
  <c r="L529" i="1"/>
  <c r="M529" i="1"/>
  <c r="L106" i="1"/>
  <c r="M106" i="1"/>
  <c r="L146" i="1"/>
  <c r="N146" i="1" s="1"/>
  <c r="M146" i="1"/>
  <c r="L178" i="1"/>
  <c r="M178" i="1"/>
  <c r="Z194" i="1"/>
  <c r="AC194" i="1" s="1"/>
  <c r="AE194" i="1" s="1"/>
  <c r="L194" i="1"/>
  <c r="N194" i="1" s="1"/>
  <c r="L202" i="1"/>
  <c r="M202" i="1"/>
  <c r="L210" i="1"/>
  <c r="N210" i="1" s="1"/>
  <c r="M210" i="1"/>
  <c r="L218" i="1"/>
  <c r="M218" i="1"/>
  <c r="L226" i="1"/>
  <c r="N226" i="1" s="1"/>
  <c r="M226" i="1"/>
  <c r="Z234" i="1"/>
  <c r="AD234" i="1" s="1"/>
  <c r="L234" i="1"/>
  <c r="M234" i="1"/>
  <c r="L242" i="1"/>
  <c r="N242" i="1" s="1"/>
  <c r="M242" i="1"/>
  <c r="L258" i="1"/>
  <c r="N258" i="1" s="1"/>
  <c r="M258" i="1"/>
  <c r="L266" i="1"/>
  <c r="M266" i="1"/>
  <c r="Z274" i="1"/>
  <c r="AD274" i="1" s="1"/>
  <c r="L274" i="1"/>
  <c r="N274" i="1" s="1"/>
  <c r="M274" i="1"/>
  <c r="L282" i="1"/>
  <c r="M282" i="1"/>
  <c r="N306" i="1"/>
  <c r="Z314" i="1"/>
  <c r="AC314" i="1" s="1"/>
  <c r="L314" i="1"/>
  <c r="N314" i="1" s="1"/>
  <c r="M314" i="1"/>
  <c r="L322" i="1"/>
  <c r="N322" i="1" s="1"/>
  <c r="M322" i="1"/>
  <c r="L346" i="1"/>
  <c r="M346" i="1"/>
  <c r="Z354" i="1"/>
  <c r="AD354" i="1" s="1"/>
  <c r="L354" i="1"/>
  <c r="M354" i="1"/>
  <c r="L370" i="1"/>
  <c r="M370" i="1"/>
  <c r="L386" i="1"/>
  <c r="M386" i="1"/>
  <c r="Z394" i="1"/>
  <c r="AC394" i="1" s="1"/>
  <c r="L394" i="1"/>
  <c r="L402" i="1"/>
  <c r="M402" i="1"/>
  <c r="L410" i="1"/>
  <c r="M410" i="1"/>
  <c r="L418" i="1"/>
  <c r="N418" i="1" s="1"/>
  <c r="M418" i="1"/>
  <c r="Z434" i="1"/>
  <c r="AD434" i="1" s="1"/>
  <c r="L434" i="1"/>
  <c r="L466" i="1"/>
  <c r="M466" i="1"/>
  <c r="Z474" i="1"/>
  <c r="AD474" i="1" s="1"/>
  <c r="M474" i="1"/>
  <c r="N474" i="1" s="1"/>
  <c r="L482" i="1"/>
  <c r="M482" i="1"/>
  <c r="L490" i="1"/>
  <c r="N490" i="1" s="1"/>
  <c r="M490" i="1"/>
  <c r="Z514" i="1"/>
  <c r="AC514" i="1" s="1"/>
  <c r="L514" i="1"/>
  <c r="M514" i="1"/>
  <c r="Z554" i="1"/>
  <c r="AC554" i="1" s="1"/>
  <c r="M673" i="1"/>
  <c r="N673" i="1" s="1"/>
  <c r="M667" i="1"/>
  <c r="N667" i="1" s="1"/>
  <c r="M665" i="1"/>
  <c r="N665" i="1" s="1"/>
  <c r="M655" i="1"/>
  <c r="N655" i="1" s="1"/>
  <c r="M652" i="1"/>
  <c r="M638" i="1"/>
  <c r="N638" i="1" s="1"/>
  <c r="M611" i="1"/>
  <c r="N611" i="1" s="1"/>
  <c r="M597" i="1"/>
  <c r="L595" i="1"/>
  <c r="N595" i="1" s="1"/>
  <c r="N592" i="1"/>
  <c r="M590" i="1"/>
  <c r="N590" i="1" s="1"/>
  <c r="L578" i="1"/>
  <c r="M569" i="1"/>
  <c r="M564" i="1"/>
  <c r="N564" i="1" s="1"/>
  <c r="M533" i="1"/>
  <c r="M527" i="1"/>
  <c r="L495" i="1"/>
  <c r="N495" i="1" s="1"/>
  <c r="L483" i="1"/>
  <c r="N483" i="1" s="1"/>
  <c r="M471" i="1"/>
  <c r="M458" i="1"/>
  <c r="M403" i="1"/>
  <c r="N403" i="1" s="1"/>
  <c r="M378" i="1"/>
  <c r="N378" i="1" s="1"/>
  <c r="L337" i="1"/>
  <c r="N337" i="1" s="1"/>
  <c r="L299" i="1"/>
  <c r="N299" i="1" s="1"/>
  <c r="M265" i="1"/>
  <c r="L265" i="1"/>
  <c r="L56" i="1"/>
  <c r="M56" i="1"/>
  <c r="L83" i="1"/>
  <c r="M83" i="1"/>
  <c r="M187" i="1"/>
  <c r="L187" i="1"/>
  <c r="L227" i="1"/>
  <c r="N227" i="1" s="1"/>
  <c r="M227" i="1"/>
  <c r="M259" i="1"/>
  <c r="L259" i="1"/>
  <c r="M291" i="1"/>
  <c r="L291" i="1"/>
  <c r="L307" i="1"/>
  <c r="M307" i="1"/>
  <c r="L315" i="1"/>
  <c r="M315" i="1"/>
  <c r="N323" i="1"/>
  <c r="L355" i="1"/>
  <c r="N355" i="1" s="1"/>
  <c r="M355" i="1"/>
  <c r="L371" i="1"/>
  <c r="N371" i="1" s="1"/>
  <c r="M371" i="1"/>
  <c r="M379" i="1"/>
  <c r="L379" i="1"/>
  <c r="L387" i="1"/>
  <c r="M387" i="1"/>
  <c r="N435" i="1"/>
  <c r="L459" i="1"/>
  <c r="N459" i="1" s="1"/>
  <c r="M459" i="1"/>
  <c r="N467" i="1"/>
  <c r="L475" i="1"/>
  <c r="M475" i="1"/>
  <c r="L507" i="1"/>
  <c r="N507" i="1" s="1"/>
  <c r="M507" i="1"/>
  <c r="N515" i="1"/>
  <c r="N523" i="1"/>
  <c r="L531" i="1"/>
  <c r="M531" i="1"/>
  <c r="M645" i="1"/>
  <c r="M643" i="1"/>
  <c r="N643" i="1" s="1"/>
  <c r="M635" i="1"/>
  <c r="N635" i="1" s="1"/>
  <c r="M625" i="1"/>
  <c r="N625" i="1" s="1"/>
  <c r="M623" i="1"/>
  <c r="M613" i="1"/>
  <c r="M587" i="1"/>
  <c r="N587" i="1" s="1"/>
  <c r="M584" i="1"/>
  <c r="M557" i="1"/>
  <c r="M546" i="1"/>
  <c r="M537" i="1"/>
  <c r="N537" i="1" s="1"/>
  <c r="M506" i="1"/>
  <c r="L476" i="1"/>
  <c r="M457" i="1"/>
  <c r="N457" i="1" s="1"/>
  <c r="L451" i="1"/>
  <c r="N451" i="1" s="1"/>
  <c r="M445" i="1"/>
  <c r="M397" i="1"/>
  <c r="M316" i="1"/>
  <c r="M298" i="1"/>
  <c r="N298" i="1" s="1"/>
  <c r="L241" i="1"/>
  <c r="N241" i="1" s="1"/>
  <c r="L223" i="1"/>
  <c r="N223" i="1" s="1"/>
  <c r="L153" i="1"/>
  <c r="N153" i="1" s="1"/>
  <c r="M55" i="1"/>
  <c r="L55" i="1"/>
  <c r="M89" i="1"/>
  <c r="L89" i="1"/>
  <c r="L113" i="1"/>
  <c r="N113" i="1" s="1"/>
  <c r="M113" i="1"/>
  <c r="L129" i="1"/>
  <c r="M129" i="1"/>
  <c r="L145" i="1"/>
  <c r="M145" i="1"/>
  <c r="M161" i="1"/>
  <c r="L161" i="1"/>
  <c r="L185" i="1"/>
  <c r="N185" i="1" s="1"/>
  <c r="M185" i="1"/>
  <c r="L193" i="1"/>
  <c r="M193" i="1"/>
  <c r="M217" i="1"/>
  <c r="L217" i="1"/>
  <c r="L233" i="1"/>
  <c r="M233" i="1"/>
  <c r="M249" i="1"/>
  <c r="L249" i="1"/>
  <c r="M273" i="1"/>
  <c r="L273" i="1"/>
  <c r="L313" i="1"/>
  <c r="M313" i="1"/>
  <c r="M329" i="1"/>
  <c r="L329" i="1"/>
  <c r="L345" i="1"/>
  <c r="N345" i="1" s="1"/>
  <c r="M345" i="1"/>
  <c r="L393" i="1"/>
  <c r="M393" i="1"/>
  <c r="L409" i="1"/>
  <c r="M409" i="1"/>
  <c r="N409" i="1" s="1"/>
  <c r="L489" i="1"/>
  <c r="M489" i="1"/>
  <c r="N545" i="1"/>
  <c r="N668" i="1"/>
  <c r="N660" i="1"/>
  <c r="N580" i="1"/>
  <c r="M521" i="1"/>
  <c r="L465" i="1"/>
  <c r="N465" i="1" s="1"/>
  <c r="L425" i="1"/>
  <c r="L38" i="1"/>
  <c r="M38" i="1"/>
  <c r="L82" i="1"/>
  <c r="M82" i="1"/>
  <c r="L98" i="1"/>
  <c r="N98" i="1" s="1"/>
  <c r="M98" i="1"/>
  <c r="L114" i="1"/>
  <c r="Z114" i="1"/>
  <c r="AD114" i="1" s="1"/>
  <c r="M114" i="1"/>
  <c r="L138" i="1"/>
  <c r="N138" i="1" s="1"/>
  <c r="M138" i="1"/>
  <c r="L162" i="1"/>
  <c r="N162" i="1" s="1"/>
  <c r="M162" i="1"/>
  <c r="M170" i="1"/>
  <c r="L170" i="1"/>
  <c r="N170" i="1" s="1"/>
  <c r="L39" i="1"/>
  <c r="M39" i="1"/>
  <c r="N39" i="1" s="1"/>
  <c r="L75" i="1"/>
  <c r="N75" i="1" s="1"/>
  <c r="M75" i="1"/>
  <c r="L107" i="1"/>
  <c r="N107" i="1" s="1"/>
  <c r="M107" i="1"/>
  <c r="L123" i="1"/>
  <c r="M123" i="1"/>
  <c r="L131" i="1"/>
  <c r="M131" i="1"/>
  <c r="N131" i="1" s="1"/>
  <c r="L147" i="1"/>
  <c r="N147" i="1" s="1"/>
  <c r="M147" i="1"/>
  <c r="L163" i="1"/>
  <c r="N163" i="1" s="1"/>
  <c r="M163" i="1"/>
  <c r="M179" i="1"/>
  <c r="L179" i="1"/>
  <c r="N179" i="1" s="1"/>
  <c r="M203" i="1"/>
  <c r="L203" i="1"/>
  <c r="N203" i="1" s="1"/>
  <c r="M211" i="1"/>
  <c r="L211" i="1"/>
  <c r="L219" i="1"/>
  <c r="N219" i="1" s="1"/>
  <c r="M219" i="1"/>
  <c r="M243" i="1"/>
  <c r="L243" i="1"/>
  <c r="N243" i="1" s="1"/>
  <c r="M251" i="1"/>
  <c r="L251" i="1"/>
  <c r="N251" i="1" s="1"/>
  <c r="M267" i="1"/>
  <c r="L267" i="1"/>
  <c r="L40" i="1"/>
  <c r="M40" i="1"/>
  <c r="L58" i="1"/>
  <c r="M58" i="1"/>
  <c r="L76" i="1"/>
  <c r="M76" i="1"/>
  <c r="L84" i="1"/>
  <c r="M84" i="1"/>
  <c r="M92" i="1"/>
  <c r="L92" i="1"/>
  <c r="L108" i="1"/>
  <c r="M108" i="1"/>
  <c r="L116" i="1"/>
  <c r="M116" i="1"/>
  <c r="M124" i="1"/>
  <c r="L124" i="1"/>
  <c r="M132" i="1"/>
  <c r="L132" i="1"/>
  <c r="L140" i="1"/>
  <c r="M140" i="1"/>
  <c r="M148" i="1"/>
  <c r="L148" i="1"/>
  <c r="N148" i="1" s="1"/>
  <c r="L156" i="1"/>
  <c r="M156" i="1"/>
  <c r="L164" i="1"/>
  <c r="M164" i="1"/>
  <c r="L172" i="1"/>
  <c r="M172" i="1"/>
  <c r="N172" i="1" s="1"/>
  <c r="L180" i="1"/>
  <c r="M180" i="1"/>
  <c r="L188" i="1"/>
  <c r="M188" i="1"/>
  <c r="M196" i="1"/>
  <c r="L196" i="1"/>
  <c r="L204" i="1"/>
  <c r="M204" i="1"/>
  <c r="L212" i="1"/>
  <c r="N212" i="1" s="1"/>
  <c r="M212" i="1"/>
  <c r="L220" i="1"/>
  <c r="M220" i="1"/>
  <c r="L236" i="1"/>
  <c r="M236" i="1"/>
  <c r="L244" i="1"/>
  <c r="M244" i="1"/>
  <c r="N244" i="1" s="1"/>
  <c r="L252" i="1"/>
  <c r="M252" i="1"/>
  <c r="L260" i="1"/>
  <c r="N260" i="1" s="1"/>
  <c r="M260" i="1"/>
  <c r="L268" i="1"/>
  <c r="M268" i="1"/>
  <c r="L276" i="1"/>
  <c r="M276" i="1"/>
  <c r="L284" i="1"/>
  <c r="M284" i="1"/>
  <c r="L292" i="1"/>
  <c r="N292" i="1" s="1"/>
  <c r="M292" i="1"/>
  <c r="L300" i="1"/>
  <c r="M300" i="1"/>
  <c r="L308" i="1"/>
  <c r="M308" i="1"/>
  <c r="N316" i="1"/>
  <c r="L332" i="1"/>
  <c r="M332" i="1"/>
  <c r="N332" i="1" s="1"/>
  <c r="L340" i="1"/>
  <c r="M340" i="1"/>
  <c r="L348" i="1"/>
  <c r="M348" i="1"/>
  <c r="L356" i="1"/>
  <c r="M356" i="1"/>
  <c r="L364" i="1"/>
  <c r="M364" i="1"/>
  <c r="L380" i="1"/>
  <c r="N380" i="1" s="1"/>
  <c r="M380" i="1"/>
  <c r="N388" i="1"/>
  <c r="L396" i="1"/>
  <c r="M396" i="1"/>
  <c r="L404" i="1"/>
  <c r="M404" i="1"/>
  <c r="L420" i="1"/>
  <c r="N420" i="1" s="1"/>
  <c r="M420" i="1"/>
  <c r="L428" i="1"/>
  <c r="N428" i="1" s="1"/>
  <c r="M428" i="1"/>
  <c r="L436" i="1"/>
  <c r="M436" i="1"/>
  <c r="L444" i="1"/>
  <c r="M444" i="1"/>
  <c r="L484" i="1"/>
  <c r="N484" i="1" s="1"/>
  <c r="M484" i="1"/>
  <c r="L508" i="1"/>
  <c r="M508" i="1"/>
  <c r="L524" i="1"/>
  <c r="M524" i="1"/>
  <c r="M657" i="1"/>
  <c r="M637" i="1"/>
  <c r="M630" i="1"/>
  <c r="N630" i="1" s="1"/>
  <c r="M620" i="1"/>
  <c r="N620" i="1" s="1"/>
  <c r="N615" i="1"/>
  <c r="M606" i="1"/>
  <c r="N606" i="1" s="1"/>
  <c r="M601" i="1"/>
  <c r="N601" i="1" s="1"/>
  <c r="M599" i="1"/>
  <c r="N599" i="1" s="1"/>
  <c r="M596" i="1"/>
  <c r="M589" i="1"/>
  <c r="M582" i="1"/>
  <c r="N582" i="1" s="1"/>
  <c r="M571" i="1"/>
  <c r="N571" i="1" s="1"/>
  <c r="N563" i="1"/>
  <c r="M559" i="1"/>
  <c r="M554" i="1"/>
  <c r="M532" i="1"/>
  <c r="M513" i="1"/>
  <c r="N513" i="1" s="1"/>
  <c r="L500" i="1"/>
  <c r="N500" i="1" s="1"/>
  <c r="M481" i="1"/>
  <c r="L469" i="1"/>
  <c r="N469" i="1" s="1"/>
  <c r="L463" i="1"/>
  <c r="N463" i="1" s="1"/>
  <c r="M437" i="1"/>
  <c r="N437" i="1" s="1"/>
  <c r="L395" i="1"/>
  <c r="N395" i="1" s="1"/>
  <c r="L372" i="1"/>
  <c r="N372" i="1" s="1"/>
  <c r="L331" i="1"/>
  <c r="L297" i="1"/>
  <c r="N297" i="1" s="1"/>
  <c r="L257" i="1"/>
  <c r="N257" i="1" s="1"/>
  <c r="M221" i="1"/>
  <c r="N221" i="1" s="1"/>
  <c r="M37" i="1"/>
  <c r="L37" i="1"/>
  <c r="M63" i="1"/>
  <c r="L63" i="1"/>
  <c r="M97" i="1"/>
  <c r="L97" i="1"/>
  <c r="L121" i="1"/>
  <c r="M121" i="1"/>
  <c r="M177" i="1"/>
  <c r="L177" i="1"/>
  <c r="L225" i="1"/>
  <c r="M225" i="1"/>
  <c r="M281" i="1"/>
  <c r="L281" i="1"/>
  <c r="M353" i="1"/>
  <c r="L353" i="1"/>
  <c r="L361" i="1"/>
  <c r="M361" i="1"/>
  <c r="L377" i="1"/>
  <c r="M377" i="1"/>
  <c r="L401" i="1"/>
  <c r="N401" i="1" s="1"/>
  <c r="M401" i="1"/>
  <c r="L417" i="1"/>
  <c r="M417" i="1"/>
  <c r="N521" i="1"/>
  <c r="N555" i="1"/>
  <c r="Z74" i="1"/>
  <c r="L74" i="1"/>
  <c r="M74" i="1"/>
  <c r="L90" i="1"/>
  <c r="M90" i="1"/>
  <c r="L122" i="1"/>
  <c r="N122" i="1" s="1"/>
  <c r="M122" i="1"/>
  <c r="M130" i="1"/>
  <c r="L130" i="1"/>
  <c r="Z154" i="1"/>
  <c r="L154" i="1"/>
  <c r="N154" i="1" s="1"/>
  <c r="M154" i="1"/>
  <c r="L186" i="1"/>
  <c r="N186" i="1" s="1"/>
  <c r="M186" i="1"/>
  <c r="L57" i="1"/>
  <c r="M57" i="1"/>
  <c r="L91" i="1"/>
  <c r="M91" i="1"/>
  <c r="N91" i="1" s="1"/>
  <c r="L99" i="1"/>
  <c r="M99" i="1"/>
  <c r="L115" i="1"/>
  <c r="M115" i="1"/>
  <c r="L139" i="1"/>
  <c r="M139" i="1"/>
  <c r="L155" i="1"/>
  <c r="M155" i="1"/>
  <c r="L171" i="1"/>
  <c r="N171" i="1" s="1"/>
  <c r="M171" i="1"/>
  <c r="L195" i="1"/>
  <c r="M195" i="1"/>
  <c r="L41" i="1"/>
  <c r="M41" i="1"/>
  <c r="L59" i="1"/>
  <c r="M59" i="1"/>
  <c r="M77" i="1"/>
  <c r="L77" i="1"/>
  <c r="L85" i="1"/>
  <c r="N85" i="1" s="1"/>
  <c r="M85" i="1"/>
  <c r="L93" i="1"/>
  <c r="M93" i="1"/>
  <c r="L101" i="1"/>
  <c r="M101" i="1"/>
  <c r="L109" i="1"/>
  <c r="M109" i="1"/>
  <c r="M117" i="1"/>
  <c r="L117" i="1"/>
  <c r="L125" i="1"/>
  <c r="M125" i="1"/>
  <c r="L133" i="1"/>
  <c r="M133" i="1"/>
  <c r="L141" i="1"/>
  <c r="M141" i="1"/>
  <c r="L149" i="1"/>
  <c r="N149" i="1" s="1"/>
  <c r="M149" i="1"/>
  <c r="M157" i="1"/>
  <c r="L157" i="1"/>
  <c r="N157" i="1" s="1"/>
  <c r="M165" i="1"/>
  <c r="L165" i="1"/>
  <c r="M173" i="1"/>
  <c r="L173" i="1"/>
  <c r="L181" i="1"/>
  <c r="N181" i="1" s="1"/>
  <c r="M181" i="1"/>
  <c r="L189" i="1"/>
  <c r="M189" i="1"/>
  <c r="L197" i="1"/>
  <c r="M197" i="1"/>
  <c r="L205" i="1"/>
  <c r="M205" i="1"/>
  <c r="L213" i="1"/>
  <c r="N213" i="1" s="1"/>
  <c r="M213" i="1"/>
  <c r="L229" i="1"/>
  <c r="M229" i="1"/>
  <c r="L237" i="1"/>
  <c r="M237" i="1"/>
  <c r="L245" i="1"/>
  <c r="M245" i="1"/>
  <c r="L253" i="1"/>
  <c r="N253" i="1" s="1"/>
  <c r="M253" i="1"/>
  <c r="L261" i="1"/>
  <c r="M261" i="1"/>
  <c r="L269" i="1"/>
  <c r="M269" i="1"/>
  <c r="L277" i="1"/>
  <c r="M277" i="1"/>
  <c r="L285" i="1"/>
  <c r="N285" i="1" s="1"/>
  <c r="M285" i="1"/>
  <c r="L293" i="1"/>
  <c r="M293" i="1"/>
  <c r="L301" i="1"/>
  <c r="M301" i="1"/>
  <c r="M309" i="1"/>
  <c r="L309" i="1"/>
  <c r="L317" i="1"/>
  <c r="N317" i="1" s="1"/>
  <c r="M317" i="1"/>
  <c r="L325" i="1"/>
  <c r="M325" i="1"/>
  <c r="L333" i="1"/>
  <c r="N333" i="1" s="1"/>
  <c r="M333" i="1"/>
  <c r="L341" i="1"/>
  <c r="M341" i="1"/>
  <c r="L349" i="1"/>
  <c r="N349" i="1" s="1"/>
  <c r="M349" i="1"/>
  <c r="L357" i="1"/>
  <c r="M357" i="1"/>
  <c r="L365" i="1"/>
  <c r="N365" i="1" s="1"/>
  <c r="M365" i="1"/>
  <c r="L373" i="1"/>
  <c r="M373" i="1"/>
  <c r="L389" i="1"/>
  <c r="N389" i="1" s="1"/>
  <c r="M389" i="1"/>
  <c r="N397" i="1"/>
  <c r="L405" i="1"/>
  <c r="N405" i="1" s="1"/>
  <c r="M405" i="1"/>
  <c r="L413" i="1"/>
  <c r="M413" i="1"/>
  <c r="L461" i="1"/>
  <c r="N461" i="1" s="1"/>
  <c r="M461" i="1"/>
  <c r="L477" i="1"/>
  <c r="M477" i="1"/>
  <c r="L501" i="1"/>
  <c r="M501" i="1"/>
  <c r="L517" i="1"/>
  <c r="M517" i="1"/>
  <c r="N533" i="1"/>
  <c r="L541" i="1"/>
  <c r="M541" i="1"/>
  <c r="L554" i="1"/>
  <c r="L549" i="1"/>
  <c r="N549" i="1" s="1"/>
  <c r="L530" i="1"/>
  <c r="N530" i="1" s="1"/>
  <c r="M525" i="1"/>
  <c r="N525" i="1" s="1"/>
  <c r="L499" i="1"/>
  <c r="N499" i="1" s="1"/>
  <c r="L493" i="1"/>
  <c r="N493" i="1" s="1"/>
  <c r="M487" i="1"/>
  <c r="M468" i="1"/>
  <c r="M450" i="1"/>
  <c r="N450" i="1" s="1"/>
  <c r="L443" i="1"/>
  <c r="N443" i="1" s="1"/>
  <c r="M429" i="1"/>
  <c r="N421" i="1"/>
  <c r="L412" i="1"/>
  <c r="N412" i="1" s="1"/>
  <c r="M394" i="1"/>
  <c r="N394" i="1" s="1"/>
  <c r="L369" i="1"/>
  <c r="N369" i="1" s="1"/>
  <c r="L347" i="1"/>
  <c r="N347" i="1" s="1"/>
  <c r="M330" i="1"/>
  <c r="N330" i="1" s="1"/>
  <c r="L311" i="1"/>
  <c r="N311" i="1" s="1"/>
  <c r="L275" i="1"/>
  <c r="N275" i="1" s="1"/>
  <c r="L100" i="1"/>
  <c r="N100" i="1" s="1"/>
  <c r="AD554" i="1"/>
  <c r="AC274" i="1"/>
  <c r="AE274" i="1" s="1"/>
  <c r="AC234" i="1"/>
  <c r="AD194" i="1"/>
  <c r="AD314" i="1"/>
  <c r="AC74" i="1"/>
  <c r="AD74" i="1"/>
  <c r="AC634" i="1"/>
  <c r="AC474" i="1"/>
  <c r="AE474" i="1" s="1"/>
  <c r="AD514" i="1"/>
  <c r="N617" i="1"/>
  <c r="N656" i="1"/>
  <c r="N654" i="1"/>
  <c r="N641" i="1"/>
  <c r="N593" i="1"/>
  <c r="N629" i="1"/>
  <c r="N581" i="1"/>
  <c r="N652" i="1"/>
  <c r="N609" i="1"/>
  <c r="N573" i="1"/>
  <c r="N492" i="1"/>
  <c r="N633" i="1"/>
  <c r="N621" i="1"/>
  <c r="N585" i="1"/>
  <c r="N540" i="1"/>
  <c r="N524" i="1"/>
  <c r="N458" i="1"/>
  <c r="N597" i="1"/>
  <c r="N553" i="1"/>
  <c r="N543" i="1"/>
  <c r="N649" i="1"/>
  <c r="N577" i="1"/>
  <c r="N637" i="1"/>
  <c r="N589" i="1"/>
  <c r="N470" i="1"/>
  <c r="N605" i="1"/>
  <c r="N326" i="1"/>
  <c r="N438" i="1"/>
  <c r="N430" i="1"/>
  <c r="N422" i="1"/>
  <c r="N417" i="1"/>
  <c r="N566" i="1"/>
  <c r="N550" i="1"/>
  <c r="N538" i="1"/>
  <c r="N522" i="1"/>
  <c r="N514" i="1"/>
  <c r="N506" i="1"/>
  <c r="N498" i="1"/>
  <c r="N491" i="1"/>
  <c r="N478" i="1"/>
  <c r="N476" i="1"/>
  <c r="N331" i="1"/>
  <c r="N486" i="1"/>
  <c r="N455" i="1"/>
  <c r="N411" i="1"/>
  <c r="N471" i="1"/>
  <c r="N442" i="1"/>
  <c r="N434" i="1"/>
  <c r="N426" i="1"/>
  <c r="N379" i="1"/>
  <c r="N534" i="1"/>
  <c r="N526" i="1"/>
  <c r="N518" i="1"/>
  <c r="N494" i="1"/>
  <c r="N485" i="1"/>
  <c r="N479" i="1"/>
  <c r="N454" i="1"/>
  <c r="N375" i="1"/>
  <c r="N562" i="1"/>
  <c r="N546" i="1"/>
  <c r="N462" i="1"/>
  <c r="N460" i="1"/>
  <c r="N336" i="1"/>
  <c r="N288" i="1"/>
  <c r="N280" i="1"/>
  <c r="N272" i="1"/>
  <c r="N248" i="1"/>
  <c r="N240" i="1"/>
  <c r="N480" i="1"/>
  <c r="N472" i="1"/>
  <c r="N464" i="1"/>
  <c r="N456" i="1"/>
  <c r="N448" i="1"/>
  <c r="N402" i="1"/>
  <c r="N319" i="1"/>
  <c r="N399" i="1"/>
  <c r="N367" i="1"/>
  <c r="N312" i="1"/>
  <c r="N335" i="1"/>
  <c r="N232" i="1"/>
  <c r="N338" i="1"/>
  <c r="N318" i="1"/>
  <c r="N307" i="1"/>
  <c r="N284" i="1"/>
  <c r="N276" i="1"/>
  <c r="N144" i="1"/>
  <c r="N228" i="1"/>
  <c r="N208" i="1"/>
  <c r="N192" i="1"/>
  <c r="N176" i="1"/>
  <c r="N196" i="1"/>
  <c r="N160" i="1"/>
  <c r="N152" i="1"/>
  <c r="N104" i="1"/>
  <c r="N92" i="1"/>
  <c r="N84" i="1"/>
  <c r="N56" i="1"/>
  <c r="N164" i="1"/>
  <c r="N120" i="1"/>
  <c r="N136" i="1"/>
  <c r="N36" i="1"/>
  <c r="N60" i="1"/>
  <c r="N209" i="1"/>
  <c r="N140" i="1"/>
  <c r="N112" i="1"/>
  <c r="N40" i="1"/>
  <c r="AC434" i="1" l="1"/>
  <c r="AC114" i="1"/>
  <c r="N554" i="1"/>
  <c r="N139" i="1"/>
  <c r="N57" i="1"/>
  <c r="N37" i="1"/>
  <c r="N436" i="1"/>
  <c r="N308" i="1"/>
  <c r="N204" i="1"/>
  <c r="N108" i="1"/>
  <c r="N313" i="1"/>
  <c r="N145" i="1"/>
  <c r="N55" i="1"/>
  <c r="N531" i="1"/>
  <c r="AE554" i="1"/>
  <c r="N282" i="1"/>
  <c r="N431" i="1"/>
  <c r="N238" i="1"/>
  <c r="N134" i="1"/>
  <c r="N34" i="1"/>
  <c r="N88" i="1"/>
  <c r="N353" i="1"/>
  <c r="N273" i="1"/>
  <c r="N432" i="1"/>
  <c r="N83" i="1"/>
  <c r="N119" i="1"/>
  <c r="N87" i="1"/>
  <c r="N35" i="1"/>
  <c r="N206" i="1"/>
  <c r="N110" i="1"/>
  <c r="N358" i="1"/>
  <c r="N182" i="1"/>
  <c r="N616" i="1"/>
  <c r="N309" i="1"/>
  <c r="N173" i="1"/>
  <c r="N77" i="1"/>
  <c r="N97" i="1"/>
  <c r="N156" i="1"/>
  <c r="N124" i="1"/>
  <c r="N259" i="1"/>
  <c r="AE314" i="1"/>
  <c r="N234" i="1"/>
  <c r="N137" i="1"/>
  <c r="N415" i="1"/>
  <c r="N383" i="1"/>
  <c r="N624" i="1"/>
  <c r="N190" i="1"/>
  <c r="N86" i="1"/>
  <c r="N502" i="1"/>
  <c r="N390" i="1"/>
  <c r="AE74" i="1"/>
  <c r="N517" i="1"/>
  <c r="N413" i="1"/>
  <c r="N74" i="1"/>
  <c r="N38" i="1"/>
  <c r="AE234" i="1"/>
  <c r="N301" i="1"/>
  <c r="N269" i="1"/>
  <c r="N237" i="1"/>
  <c r="N197" i="1"/>
  <c r="N133" i="1"/>
  <c r="N101" i="1"/>
  <c r="N377" i="1"/>
  <c r="N225" i="1"/>
  <c r="N63" i="1"/>
  <c r="N404" i="1"/>
  <c r="N252" i="1"/>
  <c r="N489" i="1"/>
  <c r="N233" i="1"/>
  <c r="N265" i="1"/>
  <c r="N386" i="1"/>
  <c r="N346" i="1"/>
  <c r="N289" i="1"/>
  <c r="N105" i="1"/>
  <c r="N439" i="1"/>
  <c r="N103" i="1"/>
  <c r="N61" i="1"/>
  <c r="N344" i="1"/>
  <c r="N54" i="1"/>
  <c r="N608" i="1"/>
  <c r="N368" i="1"/>
  <c r="N374" i="1"/>
  <c r="N94" i="1"/>
  <c r="AE434" i="1"/>
  <c r="N541" i="1"/>
  <c r="N487" i="1"/>
  <c r="AC354" i="1"/>
  <c r="AE354" i="1" s="1"/>
  <c r="N468" i="1"/>
  <c r="N481" i="1"/>
  <c r="N220" i="1"/>
  <c r="N354" i="1"/>
  <c r="N373" i="1"/>
  <c r="N532" i="1"/>
  <c r="N657" i="1"/>
  <c r="N224" i="1"/>
  <c r="N477" i="1"/>
  <c r="N141" i="1"/>
  <c r="N195" i="1"/>
  <c r="N180" i="1"/>
  <c r="N116" i="1"/>
  <c r="N425" i="1"/>
  <c r="N482" i="1"/>
  <c r="N348" i="1"/>
  <c r="N291" i="1"/>
  <c r="N447" i="1"/>
  <c r="N351" i="1"/>
  <c r="N634" i="1"/>
  <c r="N626" i="1"/>
  <c r="N594" i="1"/>
  <c r="N296" i="1"/>
  <c r="N341" i="1"/>
  <c r="N245" i="1"/>
  <c r="N109" i="1"/>
  <c r="N115" i="1"/>
  <c r="AD154" i="1"/>
  <c r="AC154" i="1"/>
  <c r="N559" i="1"/>
  <c r="N441" i="1"/>
  <c r="N527" i="1"/>
  <c r="N658" i="1"/>
  <c r="N205" i="1"/>
  <c r="N327" i="1"/>
  <c r="N256" i="1"/>
  <c r="N340" i="1"/>
  <c r="N300" i="1"/>
  <c r="N268" i="1"/>
  <c r="N236" i="1"/>
  <c r="N557" i="1"/>
  <c r="N645" i="1"/>
  <c r="N505" i="1"/>
  <c r="N392" i="1"/>
  <c r="N277" i="1"/>
  <c r="N76" i="1"/>
  <c r="AE114" i="1"/>
  <c r="AD394" i="1"/>
  <c r="AE394" i="1" s="1"/>
  <c r="N117" i="1"/>
  <c r="N281" i="1"/>
  <c r="N121" i="1"/>
  <c r="N217" i="1"/>
  <c r="N445" i="1"/>
  <c r="N584" i="1"/>
  <c r="N475" i="1"/>
  <c r="N387" i="1"/>
  <c r="N408" i="1"/>
  <c r="N334" i="1"/>
  <c r="N423" i="1"/>
  <c r="N127" i="1"/>
  <c r="N43" i="1"/>
  <c r="N406" i="1"/>
  <c r="N342" i="1"/>
  <c r="N602" i="1"/>
  <c r="N158" i="1"/>
  <c r="N449" i="1"/>
  <c r="N215" i="1"/>
  <c r="N542" i="1"/>
  <c r="N62" i="1"/>
  <c r="N302" i="1"/>
  <c r="N174" i="1"/>
  <c r="AD594" i="1"/>
  <c r="AC594" i="1"/>
  <c r="N560" i="1"/>
  <c r="N520" i="1"/>
  <c r="N488" i="1"/>
  <c r="N591" i="1"/>
  <c r="N286" i="1"/>
  <c r="N126" i="1"/>
  <c r="N114" i="1"/>
  <c r="N393" i="1"/>
  <c r="N266" i="1"/>
  <c r="N106" i="1"/>
  <c r="N81" i="1"/>
  <c r="N183" i="1"/>
  <c r="N473" i="1"/>
  <c r="N165" i="1"/>
  <c r="N59" i="1"/>
  <c r="N90" i="1"/>
  <c r="N508" i="1"/>
  <c r="N444" i="1"/>
  <c r="N132" i="1"/>
  <c r="N58" i="1"/>
  <c r="N123" i="1"/>
  <c r="N193" i="1"/>
  <c r="N129" i="1"/>
  <c r="N315" i="1"/>
  <c r="N578" i="1"/>
  <c r="N466" i="1"/>
  <c r="N519" i="1"/>
  <c r="N407" i="1"/>
  <c r="N279" i="1"/>
  <c r="N247" i="1"/>
  <c r="N175" i="1"/>
  <c r="N352" i="1"/>
  <c r="N200" i="1"/>
  <c r="N376" i="1"/>
  <c r="N80" i="1"/>
  <c r="N650" i="1"/>
  <c r="N618" i="1"/>
  <c r="N400" i="1"/>
  <c r="N184" i="1"/>
  <c r="N202" i="1"/>
  <c r="N201" i="1"/>
  <c r="N151" i="1"/>
  <c r="N264" i="1"/>
  <c r="N569" i="1"/>
  <c r="AE514" i="1"/>
  <c r="N99" i="1"/>
  <c r="N364" i="1"/>
  <c r="N249" i="1"/>
  <c r="N370" i="1"/>
  <c r="N169" i="1"/>
  <c r="N111" i="1"/>
  <c r="N79" i="1"/>
  <c r="N596" i="1"/>
  <c r="N429" i="1"/>
  <c r="N416" i="1"/>
  <c r="N128" i="1"/>
  <c r="N414" i="1"/>
  <c r="N270" i="1"/>
  <c r="N150" i="1"/>
  <c r="N552" i="1"/>
  <c r="N512" i="1"/>
  <c r="N574" i="1"/>
  <c r="N142" i="1"/>
  <c r="N664" i="1"/>
  <c r="N254" i="1"/>
  <c r="N610" i="1"/>
  <c r="N410" i="1"/>
  <c r="N613" i="1"/>
  <c r="AE634" i="1"/>
  <c r="N501" i="1"/>
  <c r="N357" i="1"/>
  <c r="N325" i="1"/>
  <c r="N293" i="1"/>
  <c r="N261" i="1"/>
  <c r="N229" i="1"/>
  <c r="N189" i="1"/>
  <c r="N125" i="1"/>
  <c r="N93" i="1"/>
  <c r="N41" i="1"/>
  <c r="N155" i="1"/>
  <c r="N130" i="1"/>
  <c r="N361" i="1"/>
  <c r="N177" i="1"/>
  <c r="N396" i="1"/>
  <c r="N356" i="1"/>
  <c r="N188" i="1"/>
  <c r="N267" i="1"/>
  <c r="N211" i="1"/>
  <c r="N82" i="1"/>
  <c r="N329" i="1"/>
  <c r="N161" i="1"/>
  <c r="N89" i="1"/>
  <c r="N187" i="1"/>
  <c r="N218" i="1"/>
  <c r="N178" i="1"/>
  <c r="N529" i="1"/>
  <c r="N321" i="1"/>
  <c r="N503" i="1"/>
  <c r="N199" i="1"/>
  <c r="N167" i="1"/>
  <c r="N135" i="1"/>
  <c r="N424" i="1"/>
  <c r="N398" i="1"/>
  <c r="N294" i="1"/>
  <c r="N384" i="1"/>
  <c r="N382" i="1"/>
  <c r="N246" i="1"/>
  <c r="N118" i="1"/>
  <c r="N102" i="1"/>
  <c r="N640" i="1"/>
  <c r="N350" i="1"/>
  <c r="N198" i="1"/>
  <c r="I73" i="1"/>
  <c r="I72" i="1"/>
  <c r="I71" i="1"/>
  <c r="I70" i="1"/>
  <c r="I69" i="1"/>
  <c r="I68" i="1"/>
  <c r="I67" i="1"/>
  <c r="I66" i="1"/>
  <c r="I65" i="1"/>
  <c r="I64" i="1"/>
  <c r="I44" i="1"/>
  <c r="I53" i="1"/>
  <c r="I52" i="1"/>
  <c r="I51" i="1"/>
  <c r="I50" i="1"/>
  <c r="I49" i="1"/>
  <c r="I48" i="1"/>
  <c r="I47" i="1"/>
  <c r="I46" i="1"/>
  <c r="I45" i="1"/>
  <c r="L45" i="1" l="1"/>
  <c r="M45" i="1"/>
  <c r="M53" i="1"/>
  <c r="L53" i="1"/>
  <c r="L70" i="1"/>
  <c r="M70" i="1"/>
  <c r="L64" i="1"/>
  <c r="M64" i="1"/>
  <c r="L46" i="1"/>
  <c r="M46" i="1"/>
  <c r="L44" i="1"/>
  <c r="N44" i="1" s="1"/>
  <c r="M44" i="1"/>
  <c r="Z34" i="1"/>
  <c r="AD34" i="1" s="1"/>
  <c r="L71" i="1"/>
  <c r="M71" i="1"/>
  <c r="AE594" i="1"/>
  <c r="L48" i="1"/>
  <c r="M48" i="1"/>
  <c r="L65" i="1"/>
  <c r="M65" i="1"/>
  <c r="L73" i="1"/>
  <c r="M73" i="1"/>
  <c r="AE154" i="1"/>
  <c r="L72" i="1"/>
  <c r="M72" i="1"/>
  <c r="L49" i="1"/>
  <c r="M49" i="1"/>
  <c r="L66" i="1"/>
  <c r="M66" i="1"/>
  <c r="L47" i="1"/>
  <c r="M47" i="1"/>
  <c r="M50" i="1"/>
  <c r="L50" i="1"/>
  <c r="L67" i="1"/>
  <c r="M67" i="1"/>
  <c r="N67" i="1" s="1"/>
  <c r="L51" i="1"/>
  <c r="M51" i="1"/>
  <c r="N51" i="1" s="1"/>
  <c r="L68" i="1"/>
  <c r="M68" i="1"/>
  <c r="L52" i="1"/>
  <c r="M52" i="1"/>
  <c r="L69" i="1"/>
  <c r="M69" i="1"/>
  <c r="A22" i="1"/>
  <c r="N52" i="1" l="1"/>
  <c r="N72" i="1"/>
  <c r="N47" i="1"/>
  <c r="N71" i="1"/>
  <c r="N64" i="1"/>
  <c r="W514" i="1"/>
  <c r="W634" i="1"/>
  <c r="W274" i="1"/>
  <c r="W114" i="1"/>
  <c r="W314" i="1"/>
  <c r="W434" i="1"/>
  <c r="W354" i="1"/>
  <c r="W234" i="1"/>
  <c r="W34" i="1"/>
  <c r="W74" i="1"/>
  <c r="W594" i="1"/>
  <c r="W394" i="1"/>
  <c r="W194" i="1"/>
  <c r="W154" i="1"/>
  <c r="W554" i="1"/>
  <c r="W474" i="1"/>
  <c r="N53" i="1"/>
  <c r="AC34" i="1"/>
  <c r="AE34" i="1" s="1"/>
  <c r="N66" i="1"/>
  <c r="N70" i="1"/>
  <c r="N68" i="1"/>
  <c r="N73" i="1"/>
  <c r="P69" i="1"/>
  <c r="N65" i="1"/>
  <c r="N69" i="1"/>
  <c r="N49" i="1"/>
  <c r="P49" i="1"/>
  <c r="N50" i="1"/>
  <c r="N48" i="1"/>
  <c r="N46" i="1"/>
  <c r="N45" i="1"/>
  <c r="F42" i="1"/>
  <c r="F50" i="1"/>
  <c r="F58" i="1"/>
  <c r="F66" i="1"/>
  <c r="O66" i="1" s="1"/>
  <c r="F74" i="1"/>
  <c r="F82" i="1"/>
  <c r="F90" i="1"/>
  <c r="F98" i="1"/>
  <c r="F106" i="1"/>
  <c r="F114" i="1"/>
  <c r="F122" i="1"/>
  <c r="F130" i="1"/>
  <c r="F138" i="1"/>
  <c r="F146" i="1"/>
  <c r="F154" i="1"/>
  <c r="F162" i="1"/>
  <c r="F170" i="1"/>
  <c r="F178" i="1"/>
  <c r="F186" i="1"/>
  <c r="F194" i="1"/>
  <c r="F202" i="1"/>
  <c r="F210" i="1"/>
  <c r="F218" i="1"/>
  <c r="F226" i="1"/>
  <c r="F234" i="1"/>
  <c r="F242" i="1"/>
  <c r="F250" i="1"/>
  <c r="F258" i="1"/>
  <c r="F266" i="1"/>
  <c r="F274" i="1"/>
  <c r="F282" i="1"/>
  <c r="F290" i="1"/>
  <c r="F298" i="1"/>
  <c r="F306" i="1"/>
  <c r="F314" i="1"/>
  <c r="F322" i="1"/>
  <c r="F330" i="1"/>
  <c r="F338" i="1"/>
  <c r="F346" i="1"/>
  <c r="F354" i="1"/>
  <c r="F362" i="1"/>
  <c r="F370" i="1"/>
  <c r="F378" i="1"/>
  <c r="F386" i="1"/>
  <c r="F394" i="1"/>
  <c r="F402" i="1"/>
  <c r="F410" i="1"/>
  <c r="F418" i="1"/>
  <c r="F426" i="1"/>
  <c r="F434" i="1"/>
  <c r="F442" i="1"/>
  <c r="F450" i="1"/>
  <c r="F458" i="1"/>
  <c r="F466" i="1"/>
  <c r="F474" i="1"/>
  <c r="F482" i="1"/>
  <c r="F490" i="1"/>
  <c r="F498" i="1"/>
  <c r="F506" i="1"/>
  <c r="F514" i="1"/>
  <c r="F522" i="1"/>
  <c r="F530" i="1"/>
  <c r="F538" i="1"/>
  <c r="F546" i="1"/>
  <c r="F554" i="1"/>
  <c r="F562" i="1"/>
  <c r="F570" i="1"/>
  <c r="F578" i="1"/>
  <c r="F586" i="1"/>
  <c r="F594" i="1"/>
  <c r="F602" i="1"/>
  <c r="F610" i="1"/>
  <c r="F618" i="1"/>
  <c r="F626" i="1"/>
  <c r="F634" i="1"/>
  <c r="F642" i="1"/>
  <c r="F650" i="1"/>
  <c r="F658" i="1"/>
  <c r="F666" i="1"/>
  <c r="F35" i="1"/>
  <c r="F43" i="1"/>
  <c r="F51" i="1"/>
  <c r="P51" i="1" s="1"/>
  <c r="F59" i="1"/>
  <c r="F67" i="1"/>
  <c r="F75" i="1"/>
  <c r="F83" i="1"/>
  <c r="F91" i="1"/>
  <c r="F99" i="1"/>
  <c r="F107" i="1"/>
  <c r="F115" i="1"/>
  <c r="F123" i="1"/>
  <c r="F131" i="1"/>
  <c r="F139" i="1"/>
  <c r="F147" i="1"/>
  <c r="F155" i="1"/>
  <c r="F163" i="1"/>
  <c r="F171" i="1"/>
  <c r="F179" i="1"/>
  <c r="F187" i="1"/>
  <c r="F195" i="1"/>
  <c r="F203" i="1"/>
  <c r="F211" i="1"/>
  <c r="F219" i="1"/>
  <c r="F227" i="1"/>
  <c r="F235" i="1"/>
  <c r="F243" i="1"/>
  <c r="F251" i="1"/>
  <c r="F259" i="1"/>
  <c r="F267" i="1"/>
  <c r="F275" i="1"/>
  <c r="F283" i="1"/>
  <c r="F291" i="1"/>
  <c r="F299" i="1"/>
  <c r="F307" i="1"/>
  <c r="F315" i="1"/>
  <c r="F323" i="1"/>
  <c r="F331" i="1"/>
  <c r="F339" i="1"/>
  <c r="F347" i="1"/>
  <c r="F355" i="1"/>
  <c r="F363" i="1"/>
  <c r="F371" i="1"/>
  <c r="F379" i="1"/>
  <c r="F387" i="1"/>
  <c r="F395" i="1"/>
  <c r="F403" i="1"/>
  <c r="F411" i="1"/>
  <c r="F419" i="1"/>
  <c r="F427" i="1"/>
  <c r="F435" i="1"/>
  <c r="F443" i="1"/>
  <c r="F451" i="1"/>
  <c r="F459" i="1"/>
  <c r="F467" i="1"/>
  <c r="F475" i="1"/>
  <c r="F483" i="1"/>
  <c r="F491" i="1"/>
  <c r="F499" i="1"/>
  <c r="F507" i="1"/>
  <c r="F515" i="1"/>
  <c r="F523" i="1"/>
  <c r="F531" i="1"/>
  <c r="F539" i="1"/>
  <c r="F547" i="1"/>
  <c r="F555" i="1"/>
  <c r="F563" i="1"/>
  <c r="F571" i="1"/>
  <c r="F579" i="1"/>
  <c r="F587" i="1"/>
  <c r="F595" i="1"/>
  <c r="F36" i="1"/>
  <c r="F44" i="1"/>
  <c r="O44" i="1" s="1"/>
  <c r="F52" i="1"/>
  <c r="O52" i="1" s="1"/>
  <c r="F60" i="1"/>
  <c r="F68" i="1"/>
  <c r="O68" i="1" s="1"/>
  <c r="F76" i="1"/>
  <c r="F84" i="1"/>
  <c r="F92" i="1"/>
  <c r="F100" i="1"/>
  <c r="F108" i="1"/>
  <c r="F116" i="1"/>
  <c r="F124" i="1"/>
  <c r="F132" i="1"/>
  <c r="F140" i="1"/>
  <c r="F148" i="1"/>
  <c r="F156" i="1"/>
  <c r="F164" i="1"/>
  <c r="F172" i="1"/>
  <c r="F180" i="1"/>
  <c r="F188" i="1"/>
  <c r="F196" i="1"/>
  <c r="F204" i="1"/>
  <c r="F212" i="1"/>
  <c r="F220" i="1"/>
  <c r="F228" i="1"/>
  <c r="F236" i="1"/>
  <c r="F244" i="1"/>
  <c r="F252" i="1"/>
  <c r="F260" i="1"/>
  <c r="F268" i="1"/>
  <c r="F276" i="1"/>
  <c r="F284" i="1"/>
  <c r="F292" i="1"/>
  <c r="F300" i="1"/>
  <c r="F308" i="1"/>
  <c r="F316" i="1"/>
  <c r="F324" i="1"/>
  <c r="F332" i="1"/>
  <c r="F340" i="1"/>
  <c r="F348" i="1"/>
  <c r="F356" i="1"/>
  <c r="F364" i="1"/>
  <c r="F372" i="1"/>
  <c r="F380" i="1"/>
  <c r="F388" i="1"/>
  <c r="F396" i="1"/>
  <c r="F404" i="1"/>
  <c r="F412" i="1"/>
  <c r="F420" i="1"/>
  <c r="F428" i="1"/>
  <c r="F436" i="1"/>
  <c r="F444" i="1"/>
  <c r="F452" i="1"/>
  <c r="F460" i="1"/>
  <c r="F468" i="1"/>
  <c r="F476" i="1"/>
  <c r="F484" i="1"/>
  <c r="F492" i="1"/>
  <c r="F500" i="1"/>
  <c r="F508" i="1"/>
  <c r="F516" i="1"/>
  <c r="F524" i="1"/>
  <c r="F532" i="1"/>
  <c r="F540" i="1"/>
  <c r="F548" i="1"/>
  <c r="F556" i="1"/>
  <c r="F564" i="1"/>
  <c r="F572" i="1"/>
  <c r="F580" i="1"/>
  <c r="F588" i="1"/>
  <c r="F37" i="1"/>
  <c r="F45" i="1"/>
  <c r="F53" i="1"/>
  <c r="O53" i="1" s="1"/>
  <c r="F61" i="1"/>
  <c r="F69" i="1"/>
  <c r="O69" i="1" s="1"/>
  <c r="F77" i="1"/>
  <c r="F85" i="1"/>
  <c r="F93" i="1"/>
  <c r="F101" i="1"/>
  <c r="F109" i="1"/>
  <c r="F117" i="1"/>
  <c r="F125" i="1"/>
  <c r="F133" i="1"/>
  <c r="F141" i="1"/>
  <c r="F149" i="1"/>
  <c r="F157" i="1"/>
  <c r="F165" i="1"/>
  <c r="F173" i="1"/>
  <c r="F181" i="1"/>
  <c r="F189" i="1"/>
  <c r="F197" i="1"/>
  <c r="F205" i="1"/>
  <c r="F213" i="1"/>
  <c r="F221" i="1"/>
  <c r="F229" i="1"/>
  <c r="F237" i="1"/>
  <c r="F245" i="1"/>
  <c r="F253" i="1"/>
  <c r="F261" i="1"/>
  <c r="F269" i="1"/>
  <c r="F277" i="1"/>
  <c r="F285" i="1"/>
  <c r="F293" i="1"/>
  <c r="F301" i="1"/>
  <c r="F309" i="1"/>
  <c r="F317" i="1"/>
  <c r="F325" i="1"/>
  <c r="F333" i="1"/>
  <c r="F341" i="1"/>
  <c r="F349" i="1"/>
  <c r="F357" i="1"/>
  <c r="F365" i="1"/>
  <c r="F373" i="1"/>
  <c r="F381" i="1"/>
  <c r="F389" i="1"/>
  <c r="F397" i="1"/>
  <c r="F405" i="1"/>
  <c r="F413" i="1"/>
  <c r="F421" i="1"/>
  <c r="F429" i="1"/>
  <c r="F437" i="1"/>
  <c r="F445" i="1"/>
  <c r="F453" i="1"/>
  <c r="F461" i="1"/>
  <c r="F469" i="1"/>
  <c r="F477" i="1"/>
  <c r="F485" i="1"/>
  <c r="F493" i="1"/>
  <c r="F501" i="1"/>
  <c r="F509" i="1"/>
  <c r="F517" i="1"/>
  <c r="F525" i="1"/>
  <c r="F533" i="1"/>
  <c r="F541" i="1"/>
  <c r="F549" i="1"/>
  <c r="F557" i="1"/>
  <c r="F565" i="1"/>
  <c r="F573" i="1"/>
  <c r="F581" i="1"/>
  <c r="F589" i="1"/>
  <c r="F597" i="1"/>
  <c r="F605" i="1"/>
  <c r="F613" i="1"/>
  <c r="F621" i="1"/>
  <c r="F629" i="1"/>
  <c r="F637" i="1"/>
  <c r="F645" i="1"/>
  <c r="F653" i="1"/>
  <c r="F661" i="1"/>
  <c r="F669" i="1"/>
  <c r="F38" i="1"/>
  <c r="F46" i="1"/>
  <c r="F54" i="1"/>
  <c r="F62" i="1"/>
  <c r="F70" i="1"/>
  <c r="O70" i="1" s="1"/>
  <c r="F78" i="1"/>
  <c r="F86" i="1"/>
  <c r="F94" i="1"/>
  <c r="F102" i="1"/>
  <c r="F110" i="1"/>
  <c r="F118" i="1"/>
  <c r="F126" i="1"/>
  <c r="F134" i="1"/>
  <c r="F142" i="1"/>
  <c r="F150" i="1"/>
  <c r="F158" i="1"/>
  <c r="F166" i="1"/>
  <c r="F174" i="1"/>
  <c r="F182" i="1"/>
  <c r="F190" i="1"/>
  <c r="F198" i="1"/>
  <c r="F206" i="1"/>
  <c r="F214" i="1"/>
  <c r="F222" i="1"/>
  <c r="F230" i="1"/>
  <c r="F238" i="1"/>
  <c r="F246" i="1"/>
  <c r="F254" i="1"/>
  <c r="F262" i="1"/>
  <c r="F270" i="1"/>
  <c r="F278" i="1"/>
  <c r="F286" i="1"/>
  <c r="F294" i="1"/>
  <c r="F302" i="1"/>
  <c r="F310" i="1"/>
  <c r="F318" i="1"/>
  <c r="F326" i="1"/>
  <c r="F334" i="1"/>
  <c r="F342" i="1"/>
  <c r="F350" i="1"/>
  <c r="F358" i="1"/>
  <c r="F366" i="1"/>
  <c r="F374" i="1"/>
  <c r="F382" i="1"/>
  <c r="F390" i="1"/>
  <c r="F398" i="1"/>
  <c r="F406" i="1"/>
  <c r="F414" i="1"/>
  <c r="F422" i="1"/>
  <c r="F430" i="1"/>
  <c r="F438" i="1"/>
  <c r="F446" i="1"/>
  <c r="F454" i="1"/>
  <c r="F462" i="1"/>
  <c r="F470" i="1"/>
  <c r="F478" i="1"/>
  <c r="F486" i="1"/>
  <c r="F494" i="1"/>
  <c r="F502" i="1"/>
  <c r="F510" i="1"/>
  <c r="F518" i="1"/>
  <c r="F526" i="1"/>
  <c r="F534" i="1"/>
  <c r="F542" i="1"/>
  <c r="F550" i="1"/>
  <c r="F558" i="1"/>
  <c r="F566" i="1"/>
  <c r="F574" i="1"/>
  <c r="F582" i="1"/>
  <c r="F590" i="1"/>
  <c r="F598" i="1"/>
  <c r="F606" i="1"/>
  <c r="F614" i="1"/>
  <c r="F622" i="1"/>
  <c r="F630" i="1"/>
  <c r="F638" i="1"/>
  <c r="F646" i="1"/>
  <c r="F654" i="1"/>
  <c r="F662" i="1"/>
  <c r="F670" i="1"/>
  <c r="F39" i="1"/>
  <c r="F47" i="1"/>
  <c r="P47" i="1" s="1"/>
  <c r="F55" i="1"/>
  <c r="F63" i="1"/>
  <c r="F71" i="1"/>
  <c r="F79" i="1"/>
  <c r="F87" i="1"/>
  <c r="F95" i="1"/>
  <c r="F103" i="1"/>
  <c r="F111" i="1"/>
  <c r="F119" i="1"/>
  <c r="F127" i="1"/>
  <c r="F135" i="1"/>
  <c r="F143" i="1"/>
  <c r="F151" i="1"/>
  <c r="F159" i="1"/>
  <c r="F167" i="1"/>
  <c r="F175" i="1"/>
  <c r="F183" i="1"/>
  <c r="F191" i="1"/>
  <c r="F199" i="1"/>
  <c r="F207" i="1"/>
  <c r="F215" i="1"/>
  <c r="F223" i="1"/>
  <c r="F231" i="1"/>
  <c r="F239" i="1"/>
  <c r="F247" i="1"/>
  <c r="F255" i="1"/>
  <c r="F263" i="1"/>
  <c r="F271" i="1"/>
  <c r="F279" i="1"/>
  <c r="F287" i="1"/>
  <c r="F295" i="1"/>
  <c r="F303" i="1"/>
  <c r="F311" i="1"/>
  <c r="F319" i="1"/>
  <c r="F327" i="1"/>
  <c r="F335" i="1"/>
  <c r="F343" i="1"/>
  <c r="F351" i="1"/>
  <c r="F359" i="1"/>
  <c r="F367" i="1"/>
  <c r="F375" i="1"/>
  <c r="F383" i="1"/>
  <c r="F391" i="1"/>
  <c r="F399" i="1"/>
  <c r="F407" i="1"/>
  <c r="F415" i="1"/>
  <c r="F423" i="1"/>
  <c r="F431" i="1"/>
  <c r="F439" i="1"/>
  <c r="F447" i="1"/>
  <c r="F455" i="1"/>
  <c r="F463" i="1"/>
  <c r="F471" i="1"/>
  <c r="F479" i="1"/>
  <c r="F487" i="1"/>
  <c r="F495" i="1"/>
  <c r="F503" i="1"/>
  <c r="F511" i="1"/>
  <c r="F519" i="1"/>
  <c r="F527" i="1"/>
  <c r="F535" i="1"/>
  <c r="F543" i="1"/>
  <c r="F551" i="1"/>
  <c r="F559" i="1"/>
  <c r="F567" i="1"/>
  <c r="F575" i="1"/>
  <c r="F583" i="1"/>
  <c r="F591" i="1"/>
  <c r="F599" i="1"/>
  <c r="F607" i="1"/>
  <c r="F615" i="1"/>
  <c r="F623" i="1"/>
  <c r="F631" i="1"/>
  <c r="F639" i="1"/>
  <c r="F647" i="1"/>
  <c r="F655" i="1"/>
  <c r="F40" i="1"/>
  <c r="F48" i="1"/>
  <c r="O48" i="1" s="1"/>
  <c r="F56" i="1"/>
  <c r="F64" i="1"/>
  <c r="O64" i="1" s="1"/>
  <c r="F72" i="1"/>
  <c r="O72" i="1" s="1"/>
  <c r="F80" i="1"/>
  <c r="F88" i="1"/>
  <c r="F96" i="1"/>
  <c r="F104" i="1"/>
  <c r="F112" i="1"/>
  <c r="F120" i="1"/>
  <c r="F128" i="1"/>
  <c r="F136" i="1"/>
  <c r="F144" i="1"/>
  <c r="F152" i="1"/>
  <c r="F160" i="1"/>
  <c r="F168" i="1"/>
  <c r="F176" i="1"/>
  <c r="F184" i="1"/>
  <c r="F192" i="1"/>
  <c r="F200" i="1"/>
  <c r="F208" i="1"/>
  <c r="F216" i="1"/>
  <c r="F224" i="1"/>
  <c r="F232" i="1"/>
  <c r="F240" i="1"/>
  <c r="F248" i="1"/>
  <c r="F256" i="1"/>
  <c r="F264" i="1"/>
  <c r="F272" i="1"/>
  <c r="F280" i="1"/>
  <c r="F288" i="1"/>
  <c r="F296" i="1"/>
  <c r="F304" i="1"/>
  <c r="F312" i="1"/>
  <c r="F320" i="1"/>
  <c r="F328" i="1"/>
  <c r="F336" i="1"/>
  <c r="F344" i="1"/>
  <c r="F352" i="1"/>
  <c r="F360" i="1"/>
  <c r="F368" i="1"/>
  <c r="F376" i="1"/>
  <c r="F384" i="1"/>
  <c r="F392" i="1"/>
  <c r="F400" i="1"/>
  <c r="F408" i="1"/>
  <c r="F416" i="1"/>
  <c r="F424" i="1"/>
  <c r="F432" i="1"/>
  <c r="F440" i="1"/>
  <c r="F448" i="1"/>
  <c r="F456" i="1"/>
  <c r="F464" i="1"/>
  <c r="F472" i="1"/>
  <c r="F480" i="1"/>
  <c r="F488" i="1"/>
  <c r="F496" i="1"/>
  <c r="F504" i="1"/>
  <c r="F512" i="1"/>
  <c r="F520" i="1"/>
  <c r="F528" i="1"/>
  <c r="F536" i="1"/>
  <c r="F544" i="1"/>
  <c r="F552" i="1"/>
  <c r="F560" i="1"/>
  <c r="F568" i="1"/>
  <c r="F576" i="1"/>
  <c r="F584" i="1"/>
  <c r="F592" i="1"/>
  <c r="F600" i="1"/>
  <c r="F608" i="1"/>
  <c r="F616" i="1"/>
  <c r="F624" i="1"/>
  <c r="F632" i="1"/>
  <c r="F640" i="1"/>
  <c r="F648" i="1"/>
  <c r="F656" i="1"/>
  <c r="F664" i="1"/>
  <c r="F672" i="1"/>
  <c r="F73" i="1"/>
  <c r="O73" i="1" s="1"/>
  <c r="F137" i="1"/>
  <c r="F201" i="1"/>
  <c r="F265" i="1"/>
  <c r="F329" i="1"/>
  <c r="F393" i="1"/>
  <c r="F457" i="1"/>
  <c r="F521" i="1"/>
  <c r="F585" i="1"/>
  <c r="F612" i="1"/>
  <c r="F635" i="1"/>
  <c r="F657" i="1"/>
  <c r="F673" i="1"/>
  <c r="F153" i="1"/>
  <c r="F217" i="1"/>
  <c r="F409" i="1"/>
  <c r="F537" i="1"/>
  <c r="F619" i="1"/>
  <c r="F81" i="1"/>
  <c r="F145" i="1"/>
  <c r="F209" i="1"/>
  <c r="F273" i="1"/>
  <c r="F337" i="1"/>
  <c r="F401" i="1"/>
  <c r="F465" i="1"/>
  <c r="F529" i="1"/>
  <c r="F593" i="1"/>
  <c r="F617" i="1"/>
  <c r="F636" i="1"/>
  <c r="F659" i="1"/>
  <c r="F34" i="1"/>
  <c r="F281" i="1"/>
  <c r="F473" i="1"/>
  <c r="F641" i="1"/>
  <c r="F89" i="1"/>
  <c r="F345" i="1"/>
  <c r="F596" i="1"/>
  <c r="F660" i="1"/>
  <c r="F97" i="1"/>
  <c r="F161" i="1"/>
  <c r="F225" i="1"/>
  <c r="F289" i="1"/>
  <c r="F353" i="1"/>
  <c r="F417" i="1"/>
  <c r="F481" i="1"/>
  <c r="F545" i="1"/>
  <c r="F601" i="1"/>
  <c r="F620" i="1"/>
  <c r="F643" i="1"/>
  <c r="F663" i="1"/>
  <c r="F193" i="1"/>
  <c r="F513" i="1"/>
  <c r="F633" i="1"/>
  <c r="F671" i="1"/>
  <c r="F41" i="1"/>
  <c r="F105" i="1"/>
  <c r="F169" i="1"/>
  <c r="F233" i="1"/>
  <c r="F297" i="1"/>
  <c r="F361" i="1"/>
  <c r="F425" i="1"/>
  <c r="F489" i="1"/>
  <c r="F553" i="1"/>
  <c r="F603" i="1"/>
  <c r="F625" i="1"/>
  <c r="F644" i="1"/>
  <c r="F665" i="1"/>
  <c r="F385" i="1"/>
  <c r="F49" i="1"/>
  <c r="O49" i="1" s="1"/>
  <c r="F113" i="1"/>
  <c r="F177" i="1"/>
  <c r="F241" i="1"/>
  <c r="F305" i="1"/>
  <c r="F369" i="1"/>
  <c r="F433" i="1"/>
  <c r="F497" i="1"/>
  <c r="F561" i="1"/>
  <c r="F604" i="1"/>
  <c r="F627" i="1"/>
  <c r="F649" i="1"/>
  <c r="F667" i="1"/>
  <c r="F65" i="1"/>
  <c r="O65" i="1" s="1"/>
  <c r="F321" i="1"/>
  <c r="F577" i="1"/>
  <c r="F652" i="1"/>
  <c r="F57" i="1"/>
  <c r="F121" i="1"/>
  <c r="F185" i="1"/>
  <c r="F249" i="1"/>
  <c r="F313" i="1"/>
  <c r="F377" i="1"/>
  <c r="F441" i="1"/>
  <c r="F505" i="1"/>
  <c r="F569" i="1"/>
  <c r="F609" i="1"/>
  <c r="F628" i="1"/>
  <c r="F651" i="1"/>
  <c r="F668" i="1"/>
  <c r="F129" i="1"/>
  <c r="F257" i="1"/>
  <c r="F449" i="1"/>
  <c r="F611" i="1"/>
  <c r="O185" i="1" l="1"/>
  <c r="P185" i="1"/>
  <c r="O281" i="1"/>
  <c r="P281" i="1"/>
  <c r="O416" i="1"/>
  <c r="P416" i="1"/>
  <c r="O399" i="1"/>
  <c r="P399" i="1"/>
  <c r="Q399" i="1" s="1"/>
  <c r="O589" i="1"/>
  <c r="P589" i="1"/>
  <c r="P644" i="1"/>
  <c r="O644" i="1"/>
  <c r="O233" i="1"/>
  <c r="P233" i="1"/>
  <c r="P663" i="1"/>
  <c r="O663" i="1"/>
  <c r="O289" i="1"/>
  <c r="P289" i="1"/>
  <c r="Q289" i="1" s="1"/>
  <c r="P641" i="1"/>
  <c r="O641" i="1"/>
  <c r="O529" i="1"/>
  <c r="P529" i="1"/>
  <c r="P619" i="1"/>
  <c r="O619" i="1"/>
  <c r="P612" i="1"/>
  <c r="O612" i="1"/>
  <c r="Q612" i="1" s="1"/>
  <c r="O137" i="1"/>
  <c r="P137" i="1"/>
  <c r="P624" i="1"/>
  <c r="O624" i="1"/>
  <c r="O560" i="1"/>
  <c r="P560" i="1"/>
  <c r="P496" i="1"/>
  <c r="O496" i="1"/>
  <c r="Q496" i="1" s="1"/>
  <c r="O432" i="1"/>
  <c r="P432" i="1"/>
  <c r="O368" i="1"/>
  <c r="P368" i="1"/>
  <c r="O304" i="1"/>
  <c r="P304" i="1"/>
  <c r="O240" i="1"/>
  <c r="P240" i="1"/>
  <c r="O176" i="1"/>
  <c r="P176" i="1"/>
  <c r="O112" i="1"/>
  <c r="P112" i="1"/>
  <c r="P607" i="1"/>
  <c r="O607" i="1"/>
  <c r="O543" i="1"/>
  <c r="P543" i="1"/>
  <c r="O479" i="1"/>
  <c r="P479" i="1"/>
  <c r="O415" i="1"/>
  <c r="P415" i="1"/>
  <c r="O351" i="1"/>
  <c r="Q351" i="1" s="1"/>
  <c r="P351" i="1"/>
  <c r="O287" i="1"/>
  <c r="P287" i="1"/>
  <c r="O223" i="1"/>
  <c r="P223" i="1"/>
  <c r="O159" i="1"/>
  <c r="P159" i="1"/>
  <c r="O95" i="1"/>
  <c r="P95" i="1"/>
  <c r="P670" i="1"/>
  <c r="O670" i="1"/>
  <c r="Q670" i="1" s="1"/>
  <c r="P606" i="1"/>
  <c r="O606" i="1"/>
  <c r="Q606" i="1" s="1"/>
  <c r="P542" i="1"/>
  <c r="O542" i="1"/>
  <c r="P478" i="1"/>
  <c r="O478" i="1"/>
  <c r="P414" i="1"/>
  <c r="O414" i="1"/>
  <c r="Q414" i="1" s="1"/>
  <c r="P350" i="1"/>
  <c r="O350" i="1"/>
  <c r="P286" i="1"/>
  <c r="O286" i="1"/>
  <c r="P222" i="1"/>
  <c r="O222" i="1"/>
  <c r="O158" i="1"/>
  <c r="P158" i="1"/>
  <c r="O94" i="1"/>
  <c r="P94" i="1"/>
  <c r="O669" i="1"/>
  <c r="P669" i="1"/>
  <c r="O605" i="1"/>
  <c r="Q605" i="1" s="1"/>
  <c r="P605" i="1"/>
  <c r="O541" i="1"/>
  <c r="P541" i="1"/>
  <c r="O477" i="1"/>
  <c r="P477" i="1"/>
  <c r="O413" i="1"/>
  <c r="P413" i="1"/>
  <c r="O349" i="1"/>
  <c r="Q349" i="1" s="1"/>
  <c r="P349" i="1"/>
  <c r="P285" i="1"/>
  <c r="O285" i="1"/>
  <c r="O221" i="1"/>
  <c r="P221" i="1"/>
  <c r="O157" i="1"/>
  <c r="P157" i="1"/>
  <c r="O93" i="1"/>
  <c r="Q93" i="1" s="1"/>
  <c r="P93" i="1"/>
  <c r="O588" i="1"/>
  <c r="Q588" i="1" s="1"/>
  <c r="P588" i="1"/>
  <c r="O524" i="1"/>
  <c r="P524" i="1"/>
  <c r="O460" i="1"/>
  <c r="P460" i="1"/>
  <c r="O396" i="1"/>
  <c r="Q396" i="1" s="1"/>
  <c r="P396" i="1"/>
  <c r="P332" i="1"/>
  <c r="O332" i="1"/>
  <c r="O268" i="1"/>
  <c r="P268" i="1"/>
  <c r="O204" i="1"/>
  <c r="P204" i="1"/>
  <c r="O140" i="1"/>
  <c r="P140" i="1"/>
  <c r="O76" i="1"/>
  <c r="Q76" i="1" s="1"/>
  <c r="P76" i="1"/>
  <c r="O579" i="1"/>
  <c r="P579" i="1"/>
  <c r="O515" i="1"/>
  <c r="P515" i="1"/>
  <c r="O451" i="1"/>
  <c r="Q451" i="1" s="1"/>
  <c r="P451" i="1"/>
  <c r="O387" i="1"/>
  <c r="Q387" i="1" s="1"/>
  <c r="P387" i="1"/>
  <c r="O323" i="1"/>
  <c r="P323" i="1"/>
  <c r="O259" i="1"/>
  <c r="P259" i="1"/>
  <c r="P195" i="1"/>
  <c r="O195" i="1"/>
  <c r="P131" i="1"/>
  <c r="O131" i="1"/>
  <c r="O67" i="1"/>
  <c r="P67" i="1"/>
  <c r="P642" i="1"/>
  <c r="O642" i="1"/>
  <c r="P578" i="1"/>
  <c r="O578" i="1"/>
  <c r="O514" i="1"/>
  <c r="P514" i="1"/>
  <c r="O450" i="1"/>
  <c r="P450" i="1"/>
  <c r="P386" i="1"/>
  <c r="Q386" i="1" s="1"/>
  <c r="O386" i="1"/>
  <c r="P322" i="1"/>
  <c r="O322" i="1"/>
  <c r="P258" i="1"/>
  <c r="O258" i="1"/>
  <c r="Q258" i="1" s="1"/>
  <c r="O194" i="1"/>
  <c r="P194" i="1"/>
  <c r="O130" i="1"/>
  <c r="Q130" i="1" s="1"/>
  <c r="P130" i="1"/>
  <c r="P44" i="1"/>
  <c r="Q44" i="1" s="1"/>
  <c r="O603" i="1"/>
  <c r="P603" i="1"/>
  <c r="O521" i="1"/>
  <c r="P521" i="1"/>
  <c r="P655" i="1"/>
  <c r="O655" i="1"/>
  <c r="O206" i="1"/>
  <c r="P206" i="1"/>
  <c r="P668" i="1"/>
  <c r="O668" i="1"/>
  <c r="Q668" i="1" s="1"/>
  <c r="P313" i="1"/>
  <c r="O313" i="1"/>
  <c r="O369" i="1"/>
  <c r="P369" i="1"/>
  <c r="O651" i="1"/>
  <c r="P651" i="1"/>
  <c r="O249" i="1"/>
  <c r="P249" i="1"/>
  <c r="Q249" i="1" s="1"/>
  <c r="O667" i="1"/>
  <c r="P667" i="1"/>
  <c r="O305" i="1"/>
  <c r="P305" i="1"/>
  <c r="O625" i="1"/>
  <c r="P625" i="1"/>
  <c r="O169" i="1"/>
  <c r="P169" i="1"/>
  <c r="O643" i="1"/>
  <c r="P643" i="1"/>
  <c r="O225" i="1"/>
  <c r="P225" i="1"/>
  <c r="O473" i="1"/>
  <c r="P473" i="1"/>
  <c r="P465" i="1"/>
  <c r="O465" i="1"/>
  <c r="Q465" i="1" s="1"/>
  <c r="P537" i="1"/>
  <c r="O537" i="1"/>
  <c r="O585" i="1"/>
  <c r="P585" i="1"/>
  <c r="P616" i="1"/>
  <c r="O616" i="1"/>
  <c r="Q616" i="1" s="1"/>
  <c r="P552" i="1"/>
  <c r="O552" i="1"/>
  <c r="P488" i="1"/>
  <c r="O488" i="1"/>
  <c r="O424" i="1"/>
  <c r="P424" i="1"/>
  <c r="O360" i="1"/>
  <c r="P360" i="1"/>
  <c r="O296" i="1"/>
  <c r="P296" i="1"/>
  <c r="O232" i="1"/>
  <c r="Q232" i="1" s="1"/>
  <c r="P232" i="1"/>
  <c r="O168" i="1"/>
  <c r="P168" i="1"/>
  <c r="O104" i="1"/>
  <c r="P104" i="1"/>
  <c r="O40" i="1"/>
  <c r="P40" i="1"/>
  <c r="P599" i="1"/>
  <c r="O599" i="1"/>
  <c r="O535" i="1"/>
  <c r="P535" i="1"/>
  <c r="O471" i="1"/>
  <c r="P471" i="1"/>
  <c r="O407" i="1"/>
  <c r="P407" i="1"/>
  <c r="O343" i="1"/>
  <c r="Q343" i="1" s="1"/>
  <c r="P343" i="1"/>
  <c r="O279" i="1"/>
  <c r="P279" i="1"/>
  <c r="O215" i="1"/>
  <c r="P215" i="1"/>
  <c r="O151" i="1"/>
  <c r="P151" i="1"/>
  <c r="O87" i="1"/>
  <c r="P87" i="1"/>
  <c r="P662" i="1"/>
  <c r="O662" i="1"/>
  <c r="Q662" i="1" s="1"/>
  <c r="P598" i="1"/>
  <c r="O598" i="1"/>
  <c r="Q598" i="1" s="1"/>
  <c r="P534" i="1"/>
  <c r="O534" i="1"/>
  <c r="O470" i="1"/>
  <c r="Q470" i="1" s="1"/>
  <c r="P470" i="1"/>
  <c r="P406" i="1"/>
  <c r="O406" i="1"/>
  <c r="Q406" i="1" s="1"/>
  <c r="P342" i="1"/>
  <c r="O342" i="1"/>
  <c r="P278" i="1"/>
  <c r="O278" i="1"/>
  <c r="P214" i="1"/>
  <c r="O214" i="1"/>
  <c r="O150" i="1"/>
  <c r="P150" i="1"/>
  <c r="O86" i="1"/>
  <c r="P86" i="1"/>
  <c r="O661" i="1"/>
  <c r="P661" i="1"/>
  <c r="O597" i="1"/>
  <c r="Q597" i="1" s="1"/>
  <c r="P597" i="1"/>
  <c r="O533" i="1"/>
  <c r="P533" i="1"/>
  <c r="O469" i="1"/>
  <c r="P469" i="1"/>
  <c r="O405" i="1"/>
  <c r="P405" i="1"/>
  <c r="O341" i="1"/>
  <c r="Q341" i="1" s="1"/>
  <c r="P341" i="1"/>
  <c r="O277" i="1"/>
  <c r="P277" i="1"/>
  <c r="Q277" i="1" s="1"/>
  <c r="O213" i="1"/>
  <c r="P213" i="1"/>
  <c r="O149" i="1"/>
  <c r="P149" i="1"/>
  <c r="O85" i="1"/>
  <c r="Q85" i="1" s="1"/>
  <c r="P85" i="1"/>
  <c r="O580" i="1"/>
  <c r="P580" i="1"/>
  <c r="O516" i="1"/>
  <c r="P516" i="1"/>
  <c r="O452" i="1"/>
  <c r="P452" i="1"/>
  <c r="O388" i="1"/>
  <c r="Q388" i="1" s="1"/>
  <c r="P388" i="1"/>
  <c r="O324" i="1"/>
  <c r="P324" i="1"/>
  <c r="O260" i="1"/>
  <c r="P260" i="1"/>
  <c r="P196" i="1"/>
  <c r="O196" i="1"/>
  <c r="O132" i="1"/>
  <c r="Q132" i="1" s="1"/>
  <c r="P132" i="1"/>
  <c r="P571" i="1"/>
  <c r="O571" i="1"/>
  <c r="O507" i="1"/>
  <c r="P507" i="1"/>
  <c r="P443" i="1"/>
  <c r="O443" i="1"/>
  <c r="Q443" i="1" s="1"/>
  <c r="O379" i="1"/>
  <c r="P379" i="1"/>
  <c r="O315" i="1"/>
  <c r="P315" i="1"/>
  <c r="O251" i="1"/>
  <c r="P251" i="1"/>
  <c r="P187" i="1"/>
  <c r="O187" i="1"/>
  <c r="Q187" i="1" s="1"/>
  <c r="P123" i="1"/>
  <c r="O123" i="1"/>
  <c r="O59" i="1"/>
  <c r="P59" i="1"/>
  <c r="P634" i="1"/>
  <c r="O634" i="1"/>
  <c r="P570" i="1"/>
  <c r="O570" i="1"/>
  <c r="O506" i="1"/>
  <c r="P506" i="1"/>
  <c r="O442" i="1"/>
  <c r="P442" i="1"/>
  <c r="O378" i="1"/>
  <c r="P378" i="1"/>
  <c r="P314" i="1"/>
  <c r="O314" i="1"/>
  <c r="P250" i="1"/>
  <c r="O250" i="1"/>
  <c r="O186" i="1"/>
  <c r="P186" i="1"/>
  <c r="Q186" i="1" s="1"/>
  <c r="O122" i="1"/>
  <c r="P122" i="1"/>
  <c r="Q122" i="1" s="1"/>
  <c r="P58" i="1"/>
  <c r="O58" i="1"/>
  <c r="P52" i="1"/>
  <c r="Q52" i="1" s="1"/>
  <c r="P65" i="1"/>
  <c r="Q65" i="1" s="1"/>
  <c r="P649" i="1"/>
  <c r="O649" i="1"/>
  <c r="Q649" i="1" s="1"/>
  <c r="O161" i="1"/>
  <c r="P161" i="1"/>
  <c r="O672" i="1"/>
  <c r="P672" i="1"/>
  <c r="O352" i="1"/>
  <c r="Q352" i="1" s="1"/>
  <c r="P352" i="1"/>
  <c r="O591" i="1"/>
  <c r="P591" i="1"/>
  <c r="O207" i="1"/>
  <c r="P207" i="1"/>
  <c r="P654" i="1"/>
  <c r="O654" i="1"/>
  <c r="P398" i="1"/>
  <c r="Q398" i="1" s="1"/>
  <c r="O398" i="1"/>
  <c r="O78" i="1"/>
  <c r="P78" i="1"/>
  <c r="O397" i="1"/>
  <c r="P397" i="1"/>
  <c r="O205" i="1"/>
  <c r="P205" i="1"/>
  <c r="O508" i="1"/>
  <c r="Q508" i="1" s="1"/>
  <c r="P508" i="1"/>
  <c r="O316" i="1"/>
  <c r="P316" i="1"/>
  <c r="O124" i="1"/>
  <c r="P124" i="1"/>
  <c r="P499" i="1"/>
  <c r="O499" i="1"/>
  <c r="O371" i="1"/>
  <c r="Q371" i="1" s="1"/>
  <c r="P371" i="1"/>
  <c r="O243" i="1"/>
  <c r="P243" i="1"/>
  <c r="P179" i="1"/>
  <c r="O179" i="1"/>
  <c r="P115" i="1"/>
  <c r="O115" i="1"/>
  <c r="O562" i="1"/>
  <c r="Q562" i="1" s="1"/>
  <c r="P562" i="1"/>
  <c r="P434" i="1"/>
  <c r="O434" i="1"/>
  <c r="P242" i="1"/>
  <c r="O242" i="1"/>
  <c r="O178" i="1"/>
  <c r="P178" i="1"/>
  <c r="O114" i="1"/>
  <c r="P114" i="1"/>
  <c r="P50" i="1"/>
  <c r="O50" i="1"/>
  <c r="Q50" i="1" s="1"/>
  <c r="P609" i="1"/>
  <c r="O609" i="1"/>
  <c r="O121" i="1"/>
  <c r="P121" i="1"/>
  <c r="P627" i="1"/>
  <c r="O627" i="1"/>
  <c r="O177" i="1"/>
  <c r="P177" i="1"/>
  <c r="O553" i="1"/>
  <c r="P553" i="1"/>
  <c r="O41" i="1"/>
  <c r="P41" i="1"/>
  <c r="O601" i="1"/>
  <c r="Q601" i="1" s="1"/>
  <c r="P601" i="1"/>
  <c r="O97" i="1"/>
  <c r="P97" i="1"/>
  <c r="P34" i="1"/>
  <c r="O34" i="1"/>
  <c r="Q34" i="1" s="1"/>
  <c r="O337" i="1"/>
  <c r="P337" i="1"/>
  <c r="Q337" i="1" s="1"/>
  <c r="O217" i="1"/>
  <c r="Q217" i="1" s="1"/>
  <c r="P217" i="1"/>
  <c r="O457" i="1"/>
  <c r="P457" i="1"/>
  <c r="O664" i="1"/>
  <c r="P664" i="1"/>
  <c r="P600" i="1"/>
  <c r="O600" i="1"/>
  <c r="Q600" i="1" s="1"/>
  <c r="P536" i="1"/>
  <c r="O536" i="1"/>
  <c r="O472" i="1"/>
  <c r="P472" i="1"/>
  <c r="O408" i="1"/>
  <c r="P408" i="1"/>
  <c r="O344" i="1"/>
  <c r="P344" i="1"/>
  <c r="O280" i="1"/>
  <c r="Q280" i="1" s="1"/>
  <c r="P280" i="1"/>
  <c r="O216" i="1"/>
  <c r="P216" i="1"/>
  <c r="O152" i="1"/>
  <c r="P152" i="1"/>
  <c r="Q152" i="1" s="1"/>
  <c r="O88" i="1"/>
  <c r="P88" i="1"/>
  <c r="O647" i="1"/>
  <c r="P647" i="1"/>
  <c r="P583" i="1"/>
  <c r="O583" i="1"/>
  <c r="O519" i="1"/>
  <c r="P519" i="1"/>
  <c r="O455" i="1"/>
  <c r="P455" i="1"/>
  <c r="Q455" i="1" s="1"/>
  <c r="O391" i="1"/>
  <c r="Q391" i="1" s="1"/>
  <c r="P391" i="1"/>
  <c r="P327" i="1"/>
  <c r="O327" i="1"/>
  <c r="O263" i="1"/>
  <c r="P263" i="1"/>
  <c r="O199" i="1"/>
  <c r="P199" i="1"/>
  <c r="P135" i="1"/>
  <c r="O135" i="1"/>
  <c r="O71" i="1"/>
  <c r="P71" i="1"/>
  <c r="P646" i="1"/>
  <c r="O646" i="1"/>
  <c r="Q646" i="1" s="1"/>
  <c r="P582" i="1"/>
  <c r="O582" i="1"/>
  <c r="Q582" i="1" s="1"/>
  <c r="P518" i="1"/>
  <c r="O518" i="1"/>
  <c r="O454" i="1"/>
  <c r="P454" i="1"/>
  <c r="P390" i="1"/>
  <c r="O390" i="1"/>
  <c r="Q390" i="1" s="1"/>
  <c r="P326" i="1"/>
  <c r="O326" i="1"/>
  <c r="Q326" i="1" s="1"/>
  <c r="P262" i="1"/>
  <c r="O262" i="1"/>
  <c r="O198" i="1"/>
  <c r="P198" i="1"/>
  <c r="O134" i="1"/>
  <c r="P134" i="1"/>
  <c r="Q134" i="1" s="1"/>
  <c r="O645" i="1"/>
  <c r="P645" i="1"/>
  <c r="P581" i="1"/>
  <c r="O581" i="1"/>
  <c r="O517" i="1"/>
  <c r="P517" i="1"/>
  <c r="O453" i="1"/>
  <c r="P453" i="1"/>
  <c r="O389" i="1"/>
  <c r="P389" i="1"/>
  <c r="O325" i="1"/>
  <c r="P325" i="1"/>
  <c r="O261" i="1"/>
  <c r="P261" i="1"/>
  <c r="O197" i="1"/>
  <c r="P197" i="1"/>
  <c r="O133" i="1"/>
  <c r="P133" i="1"/>
  <c r="Q69" i="1"/>
  <c r="P564" i="1"/>
  <c r="O564" i="1"/>
  <c r="O500" i="1"/>
  <c r="P500" i="1"/>
  <c r="O436" i="1"/>
  <c r="P436" i="1"/>
  <c r="O372" i="1"/>
  <c r="Q372" i="1" s="1"/>
  <c r="P372" i="1"/>
  <c r="O308" i="1"/>
  <c r="P308" i="1"/>
  <c r="O244" i="1"/>
  <c r="P244" i="1"/>
  <c r="O180" i="1"/>
  <c r="P180" i="1"/>
  <c r="O116" i="1"/>
  <c r="Q116" i="1" s="1"/>
  <c r="P116" i="1"/>
  <c r="O555" i="1"/>
  <c r="P555" i="1"/>
  <c r="O491" i="1"/>
  <c r="P491" i="1"/>
  <c r="P427" i="1"/>
  <c r="O427" i="1"/>
  <c r="O363" i="1"/>
  <c r="P363" i="1"/>
  <c r="P299" i="1"/>
  <c r="O299" i="1"/>
  <c r="O235" i="1"/>
  <c r="P235" i="1"/>
  <c r="P171" i="1"/>
  <c r="O171" i="1"/>
  <c r="Q171" i="1" s="1"/>
  <c r="P107" i="1"/>
  <c r="O107" i="1"/>
  <c r="P43" i="1"/>
  <c r="O43" i="1"/>
  <c r="P618" i="1"/>
  <c r="O618" i="1"/>
  <c r="O554" i="1"/>
  <c r="P554" i="1"/>
  <c r="P490" i="1"/>
  <c r="O490" i="1"/>
  <c r="P426" i="1"/>
  <c r="O426" i="1"/>
  <c r="Q426" i="1" s="1"/>
  <c r="P362" i="1"/>
  <c r="O362" i="1"/>
  <c r="P298" i="1"/>
  <c r="O298" i="1"/>
  <c r="P234" i="1"/>
  <c r="O234" i="1"/>
  <c r="O170" i="1"/>
  <c r="P170" i="1"/>
  <c r="O106" i="1"/>
  <c r="P106" i="1"/>
  <c r="P42" i="1"/>
  <c r="O42" i="1"/>
  <c r="Q42" i="1" s="1"/>
  <c r="O51" i="1"/>
  <c r="Q51" i="1" s="1"/>
  <c r="O105" i="1"/>
  <c r="P105" i="1"/>
  <c r="P608" i="1"/>
  <c r="O608" i="1"/>
  <c r="O160" i="1"/>
  <c r="P160" i="1"/>
  <c r="P335" i="1"/>
  <c r="O335" i="1"/>
  <c r="P526" i="1"/>
  <c r="O526" i="1"/>
  <c r="Q526" i="1" s="1"/>
  <c r="P653" i="1"/>
  <c r="O653" i="1"/>
  <c r="O333" i="1"/>
  <c r="Q333" i="1" s="1"/>
  <c r="P333" i="1"/>
  <c r="O444" i="1"/>
  <c r="Q444" i="1" s="1"/>
  <c r="P444" i="1"/>
  <c r="O60" i="1"/>
  <c r="P60" i="1"/>
  <c r="P626" i="1"/>
  <c r="O626" i="1"/>
  <c r="P611" i="1"/>
  <c r="O611" i="1"/>
  <c r="O545" i="1"/>
  <c r="Q545" i="1" s="1"/>
  <c r="P545" i="1"/>
  <c r="O656" i="1"/>
  <c r="P656" i="1"/>
  <c r="P528" i="1"/>
  <c r="O528" i="1"/>
  <c r="O336" i="1"/>
  <c r="Q336" i="1" s="1"/>
  <c r="P336" i="1"/>
  <c r="O272" i="1"/>
  <c r="Q272" i="1" s="1"/>
  <c r="P272" i="1"/>
  <c r="O208" i="1"/>
  <c r="P208" i="1"/>
  <c r="O144" i="1"/>
  <c r="P144" i="1"/>
  <c r="O80" i="1"/>
  <c r="Q80" i="1" s="1"/>
  <c r="P80" i="1"/>
  <c r="P639" i="1"/>
  <c r="O639" i="1"/>
  <c r="P575" i="1"/>
  <c r="O575" i="1"/>
  <c r="Q575" i="1" s="1"/>
  <c r="O511" i="1"/>
  <c r="P511" i="1"/>
  <c r="O447" i="1"/>
  <c r="P447" i="1"/>
  <c r="O383" i="1"/>
  <c r="Q383" i="1" s="1"/>
  <c r="P383" i="1"/>
  <c r="O319" i="1"/>
  <c r="P319" i="1"/>
  <c r="O255" i="1"/>
  <c r="P255" i="1"/>
  <c r="O191" i="1"/>
  <c r="Q191" i="1" s="1"/>
  <c r="P191" i="1"/>
  <c r="P127" i="1"/>
  <c r="O127" i="1"/>
  <c r="O63" i="1"/>
  <c r="P63" i="1"/>
  <c r="Q63" i="1" s="1"/>
  <c r="P638" i="1"/>
  <c r="O638" i="1"/>
  <c r="P574" i="1"/>
  <c r="O574" i="1"/>
  <c r="P510" i="1"/>
  <c r="O510" i="1"/>
  <c r="P446" i="1"/>
  <c r="O446" i="1"/>
  <c r="P382" i="1"/>
  <c r="O382" i="1"/>
  <c r="P318" i="1"/>
  <c r="O318" i="1"/>
  <c r="P254" i="1"/>
  <c r="O254" i="1"/>
  <c r="O190" i="1"/>
  <c r="P190" i="1"/>
  <c r="O126" i="1"/>
  <c r="P126" i="1"/>
  <c r="P62" i="1"/>
  <c r="O62" i="1"/>
  <c r="O637" i="1"/>
  <c r="Q637" i="1" s="1"/>
  <c r="P637" i="1"/>
  <c r="P573" i="1"/>
  <c r="O573" i="1"/>
  <c r="Q573" i="1" s="1"/>
  <c r="O509" i="1"/>
  <c r="P509" i="1"/>
  <c r="O445" i="1"/>
  <c r="Q445" i="1" s="1"/>
  <c r="P445" i="1"/>
  <c r="O381" i="1"/>
  <c r="Q381" i="1" s="1"/>
  <c r="P381" i="1"/>
  <c r="O317" i="1"/>
  <c r="P317" i="1"/>
  <c r="Q317" i="1" s="1"/>
  <c r="O253" i="1"/>
  <c r="P253" i="1"/>
  <c r="O189" i="1"/>
  <c r="Q189" i="1" s="1"/>
  <c r="P189" i="1"/>
  <c r="O125" i="1"/>
  <c r="Q125" i="1" s="1"/>
  <c r="P125" i="1"/>
  <c r="O61" i="1"/>
  <c r="P61" i="1"/>
  <c r="O556" i="1"/>
  <c r="P556" i="1"/>
  <c r="P492" i="1"/>
  <c r="O492" i="1"/>
  <c r="O428" i="1"/>
  <c r="Q428" i="1" s="1"/>
  <c r="P428" i="1"/>
  <c r="O364" i="1"/>
  <c r="P364" i="1"/>
  <c r="O300" i="1"/>
  <c r="P300" i="1"/>
  <c r="O236" i="1"/>
  <c r="Q236" i="1" s="1"/>
  <c r="P236" i="1"/>
  <c r="O172" i="1"/>
  <c r="P172" i="1"/>
  <c r="O108" i="1"/>
  <c r="P108" i="1"/>
  <c r="Q108" i="1" s="1"/>
  <c r="P547" i="1"/>
  <c r="O547" i="1"/>
  <c r="Q547" i="1" s="1"/>
  <c r="O483" i="1"/>
  <c r="P483" i="1"/>
  <c r="O419" i="1"/>
  <c r="Q419" i="1" s="1"/>
  <c r="P419" i="1"/>
  <c r="O355" i="1"/>
  <c r="P355" i="1"/>
  <c r="O291" i="1"/>
  <c r="P291" i="1"/>
  <c r="O227" i="1"/>
  <c r="P227" i="1"/>
  <c r="O163" i="1"/>
  <c r="Q163" i="1" s="1"/>
  <c r="P163" i="1"/>
  <c r="P99" i="1"/>
  <c r="O99" i="1"/>
  <c r="P35" i="1"/>
  <c r="O35" i="1"/>
  <c r="Q35" i="1" s="1"/>
  <c r="P610" i="1"/>
  <c r="O610" i="1"/>
  <c r="Q610" i="1" s="1"/>
  <c r="O546" i="1"/>
  <c r="P546" i="1"/>
  <c r="P482" i="1"/>
  <c r="O482" i="1"/>
  <c r="P418" i="1"/>
  <c r="O418" i="1"/>
  <c r="Q418" i="1" s="1"/>
  <c r="P354" i="1"/>
  <c r="O354" i="1"/>
  <c r="P290" i="1"/>
  <c r="O290" i="1"/>
  <c r="P226" i="1"/>
  <c r="O226" i="1"/>
  <c r="Q226" i="1" s="1"/>
  <c r="O162" i="1"/>
  <c r="P162" i="1"/>
  <c r="P98" i="1"/>
  <c r="O98" i="1"/>
  <c r="P66" i="1"/>
  <c r="Q66" i="1" s="1"/>
  <c r="P70" i="1"/>
  <c r="Q70" i="1" s="1"/>
  <c r="P620" i="1"/>
  <c r="O620" i="1"/>
  <c r="Q620" i="1" s="1"/>
  <c r="O544" i="1"/>
  <c r="P544" i="1"/>
  <c r="O96" i="1"/>
  <c r="P96" i="1"/>
  <c r="O271" i="1"/>
  <c r="P271" i="1"/>
  <c r="O462" i="1"/>
  <c r="P462" i="1"/>
  <c r="O525" i="1"/>
  <c r="P525" i="1"/>
  <c r="O141" i="1"/>
  <c r="P141" i="1"/>
  <c r="O252" i="1"/>
  <c r="P252" i="1"/>
  <c r="O498" i="1"/>
  <c r="P498" i="1"/>
  <c r="O57" i="1"/>
  <c r="P57" i="1"/>
  <c r="P489" i="1"/>
  <c r="O489" i="1"/>
  <c r="O273" i="1"/>
  <c r="P273" i="1"/>
  <c r="O592" i="1"/>
  <c r="P592" i="1"/>
  <c r="Q49" i="1"/>
  <c r="P636" i="1"/>
  <c r="O636" i="1"/>
  <c r="O329" i="1"/>
  <c r="P329" i="1"/>
  <c r="Q329" i="1" s="1"/>
  <c r="O456" i="1"/>
  <c r="P456" i="1"/>
  <c r="O328" i="1"/>
  <c r="P328" i="1"/>
  <c r="O136" i="1"/>
  <c r="P136" i="1"/>
  <c r="P631" i="1"/>
  <c r="O631" i="1"/>
  <c r="Q631" i="1" s="1"/>
  <c r="O567" i="1"/>
  <c r="P567" i="1"/>
  <c r="O503" i="1"/>
  <c r="Q503" i="1" s="1"/>
  <c r="P503" i="1"/>
  <c r="O439" i="1"/>
  <c r="Q439" i="1" s="1"/>
  <c r="P439" i="1"/>
  <c r="O375" i="1"/>
  <c r="P375" i="1"/>
  <c r="Q375" i="1" s="1"/>
  <c r="P311" i="1"/>
  <c r="O311" i="1"/>
  <c r="Q311" i="1" s="1"/>
  <c r="O247" i="1"/>
  <c r="Q247" i="1" s="1"/>
  <c r="P247" i="1"/>
  <c r="P183" i="1"/>
  <c r="O183" i="1"/>
  <c r="P119" i="1"/>
  <c r="O119" i="1"/>
  <c r="Q119" i="1" s="1"/>
  <c r="O55" i="1"/>
  <c r="P55" i="1"/>
  <c r="Q55" i="1" s="1"/>
  <c r="P630" i="1"/>
  <c r="O630" i="1"/>
  <c r="O566" i="1"/>
  <c r="Q566" i="1" s="1"/>
  <c r="P566" i="1"/>
  <c r="P502" i="1"/>
  <c r="O502" i="1"/>
  <c r="Q502" i="1" s="1"/>
  <c r="P438" i="1"/>
  <c r="O438" i="1"/>
  <c r="Q438" i="1" s="1"/>
  <c r="P374" i="1"/>
  <c r="O374" i="1"/>
  <c r="O310" i="1"/>
  <c r="Q310" i="1" s="1"/>
  <c r="P310" i="1"/>
  <c r="P246" i="1"/>
  <c r="O246" i="1"/>
  <c r="Q246" i="1" s="1"/>
  <c r="O182" i="1"/>
  <c r="P182" i="1"/>
  <c r="Q182" i="1" s="1"/>
  <c r="O118" i="1"/>
  <c r="Q118" i="1" s="1"/>
  <c r="P118" i="1"/>
  <c r="P54" i="1"/>
  <c r="O54" i="1"/>
  <c r="P629" i="1"/>
  <c r="O629" i="1"/>
  <c r="Q629" i="1" s="1"/>
  <c r="O565" i="1"/>
  <c r="P565" i="1"/>
  <c r="Q565" i="1" s="1"/>
  <c r="P501" i="1"/>
  <c r="O501" i="1"/>
  <c r="O437" i="1"/>
  <c r="Q437" i="1" s="1"/>
  <c r="P437" i="1"/>
  <c r="O373" i="1"/>
  <c r="P373" i="1"/>
  <c r="O309" i="1"/>
  <c r="P309" i="1"/>
  <c r="Q309" i="1" s="1"/>
  <c r="O245" i="1"/>
  <c r="P245" i="1"/>
  <c r="O181" i="1"/>
  <c r="Q181" i="1" s="1"/>
  <c r="P181" i="1"/>
  <c r="P117" i="1"/>
  <c r="O117" i="1"/>
  <c r="Q117" i="1" s="1"/>
  <c r="P548" i="1"/>
  <c r="O548" i="1"/>
  <c r="O484" i="1"/>
  <c r="P484" i="1"/>
  <c r="O420" i="1"/>
  <c r="P420" i="1"/>
  <c r="O356" i="1"/>
  <c r="P356" i="1"/>
  <c r="O292" i="1"/>
  <c r="P292" i="1"/>
  <c r="P228" i="1"/>
  <c r="O228" i="1"/>
  <c r="O164" i="1"/>
  <c r="P164" i="1"/>
  <c r="O100" i="1"/>
  <c r="Q100" i="1" s="1"/>
  <c r="P100" i="1"/>
  <c r="O36" i="1"/>
  <c r="P36" i="1"/>
  <c r="Q36" i="1" s="1"/>
  <c r="O539" i="1"/>
  <c r="P539" i="1"/>
  <c r="O475" i="1"/>
  <c r="P475" i="1"/>
  <c r="O411" i="1"/>
  <c r="Q411" i="1" s="1"/>
  <c r="P411" i="1"/>
  <c r="O347" i="1"/>
  <c r="P347" i="1"/>
  <c r="Q347" i="1" s="1"/>
  <c r="P283" i="1"/>
  <c r="O283" i="1"/>
  <c r="O219" i="1"/>
  <c r="P219" i="1"/>
  <c r="O155" i="1"/>
  <c r="Q155" i="1" s="1"/>
  <c r="P155" i="1"/>
  <c r="O91" i="1"/>
  <c r="P91" i="1"/>
  <c r="Q91" i="1" s="1"/>
  <c r="P666" i="1"/>
  <c r="O666" i="1"/>
  <c r="P602" i="1"/>
  <c r="O602" i="1"/>
  <c r="P538" i="1"/>
  <c r="O538" i="1"/>
  <c r="P474" i="1"/>
  <c r="O474" i="1"/>
  <c r="O410" i="1"/>
  <c r="Q410" i="1" s="1"/>
  <c r="P410" i="1"/>
  <c r="P346" i="1"/>
  <c r="O346" i="1"/>
  <c r="P282" i="1"/>
  <c r="O282" i="1"/>
  <c r="P218" i="1"/>
  <c r="O218" i="1"/>
  <c r="O154" i="1"/>
  <c r="Q154" i="1" s="1"/>
  <c r="P154" i="1"/>
  <c r="O90" i="1"/>
  <c r="Q90" i="1" s="1"/>
  <c r="P90" i="1"/>
  <c r="O47" i="1"/>
  <c r="Q47" i="1" s="1"/>
  <c r="P73" i="1"/>
  <c r="Q73" i="1" s="1"/>
  <c r="P628" i="1"/>
  <c r="O628" i="1"/>
  <c r="Q628" i="1" s="1"/>
  <c r="O401" i="1"/>
  <c r="P401" i="1"/>
  <c r="O288" i="1"/>
  <c r="Q288" i="1" s="1"/>
  <c r="P288" i="1"/>
  <c r="O463" i="1"/>
  <c r="P463" i="1"/>
  <c r="O79" i="1"/>
  <c r="P79" i="1"/>
  <c r="Q79" i="1" s="1"/>
  <c r="P270" i="1"/>
  <c r="O270" i="1"/>
  <c r="O77" i="1"/>
  <c r="Q77" i="1" s="1"/>
  <c r="P77" i="1"/>
  <c r="P370" i="1"/>
  <c r="Q370" i="1" s="1"/>
  <c r="O370" i="1"/>
  <c r="O569" i="1"/>
  <c r="P569" i="1"/>
  <c r="O113" i="1"/>
  <c r="P113" i="1"/>
  <c r="O660" i="1"/>
  <c r="Q660" i="1" s="1"/>
  <c r="P660" i="1"/>
  <c r="O153" i="1"/>
  <c r="Q153" i="1" s="1"/>
  <c r="P153" i="1"/>
  <c r="O400" i="1"/>
  <c r="P400" i="1"/>
  <c r="O505" i="1"/>
  <c r="P505" i="1"/>
  <c r="O561" i="1"/>
  <c r="Q561" i="1" s="1"/>
  <c r="P561" i="1"/>
  <c r="P633" i="1"/>
  <c r="O633" i="1"/>
  <c r="O481" i="1"/>
  <c r="P481" i="1"/>
  <c r="P209" i="1"/>
  <c r="O209" i="1"/>
  <c r="P648" i="1"/>
  <c r="O648" i="1"/>
  <c r="P520" i="1"/>
  <c r="O520" i="1"/>
  <c r="Q520" i="1" s="1"/>
  <c r="O264" i="1"/>
  <c r="P264" i="1"/>
  <c r="P441" i="1"/>
  <c r="O441" i="1"/>
  <c r="O497" i="1"/>
  <c r="Q497" i="1" s="1"/>
  <c r="P497" i="1"/>
  <c r="O513" i="1"/>
  <c r="P513" i="1"/>
  <c r="O345" i="1"/>
  <c r="P345" i="1"/>
  <c r="O145" i="1"/>
  <c r="P145" i="1"/>
  <c r="O265" i="1"/>
  <c r="P265" i="1"/>
  <c r="P640" i="1"/>
  <c r="O640" i="1"/>
  <c r="Q640" i="1" s="1"/>
  <c r="P576" i="1"/>
  <c r="O576" i="1"/>
  <c r="Q576" i="1" s="1"/>
  <c r="P512" i="1"/>
  <c r="O512" i="1"/>
  <c r="O448" i="1"/>
  <c r="Q448" i="1" s="1"/>
  <c r="P448" i="1"/>
  <c r="O384" i="1"/>
  <c r="P384" i="1"/>
  <c r="O320" i="1"/>
  <c r="P320" i="1"/>
  <c r="O256" i="1"/>
  <c r="P256" i="1"/>
  <c r="O192" i="1"/>
  <c r="P192" i="1"/>
  <c r="O128" i="1"/>
  <c r="P128" i="1"/>
  <c r="O623" i="1"/>
  <c r="P623" i="1"/>
  <c r="O559" i="1"/>
  <c r="P559" i="1"/>
  <c r="O495" i="1"/>
  <c r="P495" i="1"/>
  <c r="O431" i="1"/>
  <c r="Q431" i="1" s="1"/>
  <c r="P431" i="1"/>
  <c r="O367" i="1"/>
  <c r="P367" i="1"/>
  <c r="O303" i="1"/>
  <c r="P303" i="1"/>
  <c r="O239" i="1"/>
  <c r="P239" i="1"/>
  <c r="P175" i="1"/>
  <c r="O175" i="1"/>
  <c r="P111" i="1"/>
  <c r="O111" i="1"/>
  <c r="P622" i="1"/>
  <c r="O622" i="1"/>
  <c r="P558" i="1"/>
  <c r="O558" i="1"/>
  <c r="Q558" i="1" s="1"/>
  <c r="P494" i="1"/>
  <c r="O494" i="1"/>
  <c r="P430" i="1"/>
  <c r="O430" i="1"/>
  <c r="Q430" i="1" s="1"/>
  <c r="P366" i="1"/>
  <c r="O366" i="1"/>
  <c r="P302" i="1"/>
  <c r="O302" i="1"/>
  <c r="Q302" i="1" s="1"/>
  <c r="P238" i="1"/>
  <c r="O238" i="1"/>
  <c r="O174" i="1"/>
  <c r="P174" i="1"/>
  <c r="O110" i="1"/>
  <c r="P110" i="1"/>
  <c r="P46" i="1"/>
  <c r="O46" i="1"/>
  <c r="Q46" i="1" s="1"/>
  <c r="O621" i="1"/>
  <c r="P621" i="1"/>
  <c r="O557" i="1"/>
  <c r="P557" i="1"/>
  <c r="O493" i="1"/>
  <c r="P493" i="1"/>
  <c r="O429" i="1"/>
  <c r="P429" i="1"/>
  <c r="O365" i="1"/>
  <c r="P365" i="1"/>
  <c r="O301" i="1"/>
  <c r="P301" i="1"/>
  <c r="Q301" i="1" s="1"/>
  <c r="O237" i="1"/>
  <c r="P237" i="1"/>
  <c r="O173" i="1"/>
  <c r="P173" i="1"/>
  <c r="O109" i="1"/>
  <c r="P109" i="1"/>
  <c r="O45" i="1"/>
  <c r="P45" i="1"/>
  <c r="O540" i="1"/>
  <c r="P540" i="1"/>
  <c r="O476" i="1"/>
  <c r="P476" i="1"/>
  <c r="O412" i="1"/>
  <c r="P412" i="1"/>
  <c r="O348" i="1"/>
  <c r="P348" i="1"/>
  <c r="O284" i="1"/>
  <c r="P284" i="1"/>
  <c r="O220" i="1"/>
  <c r="P220" i="1"/>
  <c r="O156" i="1"/>
  <c r="P156" i="1"/>
  <c r="O92" i="1"/>
  <c r="P92" i="1"/>
  <c r="O595" i="1"/>
  <c r="P595" i="1"/>
  <c r="O531" i="1"/>
  <c r="P531" i="1"/>
  <c r="O467" i="1"/>
  <c r="P467" i="1"/>
  <c r="P403" i="1"/>
  <c r="O403" i="1"/>
  <c r="Q403" i="1" s="1"/>
  <c r="P339" i="1"/>
  <c r="O339" i="1"/>
  <c r="P275" i="1"/>
  <c r="O275" i="1"/>
  <c r="P211" i="1"/>
  <c r="O211" i="1"/>
  <c r="P147" i="1"/>
  <c r="O147" i="1"/>
  <c r="Q147" i="1" s="1"/>
  <c r="O83" i="1"/>
  <c r="P83" i="1"/>
  <c r="P658" i="1"/>
  <c r="O658" i="1"/>
  <c r="P594" i="1"/>
  <c r="O594" i="1"/>
  <c r="O530" i="1"/>
  <c r="P530" i="1"/>
  <c r="P466" i="1"/>
  <c r="O466" i="1"/>
  <c r="Q466" i="1" s="1"/>
  <c r="O402" i="1"/>
  <c r="P402" i="1"/>
  <c r="O338" i="1"/>
  <c r="Q338" i="1" s="1"/>
  <c r="P338" i="1"/>
  <c r="P274" i="1"/>
  <c r="O274" i="1"/>
  <c r="O210" i="1"/>
  <c r="P210" i="1"/>
  <c r="P146" i="1"/>
  <c r="O146" i="1"/>
  <c r="Q146" i="1" s="1"/>
  <c r="O82" i="1"/>
  <c r="P82" i="1"/>
  <c r="P48" i="1"/>
  <c r="Q48" i="1" s="1"/>
  <c r="P53" i="1"/>
  <c r="Q53" i="1" s="1"/>
  <c r="P68" i="1"/>
  <c r="Q68" i="1" s="1"/>
  <c r="O241" i="1"/>
  <c r="P241" i="1"/>
  <c r="O409" i="1"/>
  <c r="Q409" i="1" s="1"/>
  <c r="P409" i="1"/>
  <c r="P480" i="1"/>
  <c r="O480" i="1"/>
  <c r="O224" i="1"/>
  <c r="P224" i="1"/>
  <c r="O527" i="1"/>
  <c r="Q527" i="1" s="1"/>
  <c r="P527" i="1"/>
  <c r="P143" i="1"/>
  <c r="O143" i="1"/>
  <c r="P590" i="1"/>
  <c r="O590" i="1"/>
  <c r="P334" i="1"/>
  <c r="O334" i="1"/>
  <c r="O142" i="1"/>
  <c r="P142" i="1"/>
  <c r="O461" i="1"/>
  <c r="Q461" i="1" s="1"/>
  <c r="P461" i="1"/>
  <c r="P269" i="1"/>
  <c r="O269" i="1"/>
  <c r="P572" i="1"/>
  <c r="O572" i="1"/>
  <c r="O380" i="1"/>
  <c r="Q380" i="1" s="1"/>
  <c r="P380" i="1"/>
  <c r="O188" i="1"/>
  <c r="Q188" i="1" s="1"/>
  <c r="P188" i="1"/>
  <c r="O563" i="1"/>
  <c r="P563" i="1"/>
  <c r="P435" i="1"/>
  <c r="O435" i="1"/>
  <c r="O307" i="1"/>
  <c r="Q307" i="1" s="1"/>
  <c r="P307" i="1"/>
  <c r="P306" i="1"/>
  <c r="O306" i="1"/>
  <c r="P604" i="1"/>
  <c r="O604" i="1"/>
  <c r="P671" i="1"/>
  <c r="O671" i="1"/>
  <c r="P659" i="1"/>
  <c r="O659" i="1"/>
  <c r="O393" i="1"/>
  <c r="Q393" i="1" s="1"/>
  <c r="P393" i="1"/>
  <c r="P464" i="1"/>
  <c r="O464" i="1"/>
  <c r="O449" i="1"/>
  <c r="P449" i="1"/>
  <c r="P652" i="1"/>
  <c r="O652" i="1"/>
  <c r="P425" i="1"/>
  <c r="O425" i="1"/>
  <c r="O596" i="1"/>
  <c r="P596" i="1"/>
  <c r="P673" i="1"/>
  <c r="O673" i="1"/>
  <c r="O584" i="1"/>
  <c r="Q584" i="1" s="1"/>
  <c r="P584" i="1"/>
  <c r="O392" i="1"/>
  <c r="Q392" i="1" s="1"/>
  <c r="P392" i="1"/>
  <c r="O200" i="1"/>
  <c r="P200" i="1"/>
  <c r="O257" i="1"/>
  <c r="P257" i="1"/>
  <c r="O577" i="1"/>
  <c r="Q577" i="1" s="1"/>
  <c r="P577" i="1"/>
  <c r="P385" i="1"/>
  <c r="O385" i="1"/>
  <c r="O361" i="1"/>
  <c r="P361" i="1"/>
  <c r="O417" i="1"/>
  <c r="P417" i="1"/>
  <c r="P617" i="1"/>
  <c r="O617" i="1"/>
  <c r="O657" i="1"/>
  <c r="P657" i="1"/>
  <c r="O129" i="1"/>
  <c r="P129" i="1"/>
  <c r="O377" i="1"/>
  <c r="P377" i="1"/>
  <c r="O321" i="1"/>
  <c r="Q321" i="1" s="1"/>
  <c r="P321" i="1"/>
  <c r="P433" i="1"/>
  <c r="O433" i="1"/>
  <c r="P665" i="1"/>
  <c r="O665" i="1"/>
  <c r="O297" i="1"/>
  <c r="P297" i="1"/>
  <c r="O193" i="1"/>
  <c r="Q193" i="1" s="1"/>
  <c r="P193" i="1"/>
  <c r="O353" i="1"/>
  <c r="P353" i="1"/>
  <c r="O89" i="1"/>
  <c r="P89" i="1"/>
  <c r="O593" i="1"/>
  <c r="P593" i="1"/>
  <c r="O81" i="1"/>
  <c r="Q81" i="1" s="1"/>
  <c r="P81" i="1"/>
  <c r="P635" i="1"/>
  <c r="O635" i="1"/>
  <c r="O201" i="1"/>
  <c r="P201" i="1"/>
  <c r="P632" i="1"/>
  <c r="O632" i="1"/>
  <c r="O568" i="1"/>
  <c r="Q568" i="1" s="1"/>
  <c r="P568" i="1"/>
  <c r="P504" i="1"/>
  <c r="O504" i="1"/>
  <c r="O440" i="1"/>
  <c r="P440" i="1"/>
  <c r="O376" i="1"/>
  <c r="P376" i="1"/>
  <c r="O312" i="1"/>
  <c r="Q312" i="1" s="1"/>
  <c r="P312" i="1"/>
  <c r="O248" i="1"/>
  <c r="P248" i="1"/>
  <c r="O184" i="1"/>
  <c r="P184" i="1"/>
  <c r="O120" i="1"/>
  <c r="P120" i="1"/>
  <c r="O56" i="1"/>
  <c r="Q56" i="1" s="1"/>
  <c r="P56" i="1"/>
  <c r="P615" i="1"/>
  <c r="O615" i="1"/>
  <c r="O551" i="1"/>
  <c r="P551" i="1"/>
  <c r="O487" i="1"/>
  <c r="P487" i="1"/>
  <c r="O423" i="1"/>
  <c r="Q423" i="1" s="1"/>
  <c r="P423" i="1"/>
  <c r="O359" i="1"/>
  <c r="P359" i="1"/>
  <c r="O295" i="1"/>
  <c r="P295" i="1"/>
  <c r="O231" i="1"/>
  <c r="P231" i="1"/>
  <c r="O167" i="1"/>
  <c r="Q167" i="1" s="1"/>
  <c r="P167" i="1"/>
  <c r="P103" i="1"/>
  <c r="O103" i="1"/>
  <c r="P39" i="1"/>
  <c r="O39" i="1"/>
  <c r="P614" i="1"/>
  <c r="O614" i="1"/>
  <c r="O550" i="1"/>
  <c r="Q550" i="1" s="1"/>
  <c r="P550" i="1"/>
  <c r="P486" i="1"/>
  <c r="O486" i="1"/>
  <c r="P422" i="1"/>
  <c r="O422" i="1"/>
  <c r="P358" i="1"/>
  <c r="O358" i="1"/>
  <c r="P294" i="1"/>
  <c r="O294" i="1"/>
  <c r="P230" i="1"/>
  <c r="O230" i="1"/>
  <c r="O166" i="1"/>
  <c r="P166" i="1"/>
  <c r="P102" i="1"/>
  <c r="O102" i="1"/>
  <c r="P38" i="1"/>
  <c r="O38" i="1"/>
  <c r="O613" i="1"/>
  <c r="P613" i="1"/>
  <c r="O549" i="1"/>
  <c r="P549" i="1"/>
  <c r="O485" i="1"/>
  <c r="P485" i="1"/>
  <c r="P421" i="1"/>
  <c r="O421" i="1"/>
  <c r="O357" i="1"/>
  <c r="P357" i="1"/>
  <c r="O293" i="1"/>
  <c r="P293" i="1"/>
  <c r="O229" i="1"/>
  <c r="P229" i="1"/>
  <c r="O165" i="1"/>
  <c r="Q165" i="1" s="1"/>
  <c r="P165" i="1"/>
  <c r="O101" i="1"/>
  <c r="P101" i="1"/>
  <c r="P37" i="1"/>
  <c r="O37" i="1"/>
  <c r="O532" i="1"/>
  <c r="P532" i="1"/>
  <c r="O468" i="1"/>
  <c r="Q468" i="1" s="1"/>
  <c r="P468" i="1"/>
  <c r="O404" i="1"/>
  <c r="P404" i="1"/>
  <c r="O340" i="1"/>
  <c r="P340" i="1"/>
  <c r="O276" i="1"/>
  <c r="P276" i="1"/>
  <c r="O212" i="1"/>
  <c r="Q212" i="1" s="1"/>
  <c r="P212" i="1"/>
  <c r="O148" i="1"/>
  <c r="P148" i="1"/>
  <c r="O84" i="1"/>
  <c r="P84" i="1"/>
  <c r="O587" i="1"/>
  <c r="P587" i="1"/>
  <c r="O523" i="1"/>
  <c r="Q523" i="1" s="1"/>
  <c r="P523" i="1"/>
  <c r="O459" i="1"/>
  <c r="P459" i="1"/>
  <c r="O395" i="1"/>
  <c r="P395" i="1"/>
  <c r="P331" i="1"/>
  <c r="O331" i="1"/>
  <c r="O267" i="1"/>
  <c r="Q267" i="1" s="1"/>
  <c r="P267" i="1"/>
  <c r="P203" i="1"/>
  <c r="O203" i="1"/>
  <c r="P139" i="1"/>
  <c r="O139" i="1"/>
  <c r="O75" i="1"/>
  <c r="P75" i="1"/>
  <c r="P650" i="1"/>
  <c r="O650" i="1"/>
  <c r="P586" i="1"/>
  <c r="O586" i="1"/>
  <c r="P522" i="1"/>
  <c r="O522" i="1"/>
  <c r="O458" i="1"/>
  <c r="P458" i="1"/>
  <c r="P394" i="1"/>
  <c r="O394" i="1"/>
  <c r="O330" i="1"/>
  <c r="P330" i="1"/>
  <c r="P266" i="1"/>
  <c r="O266" i="1"/>
  <c r="O202" i="1"/>
  <c r="P202" i="1"/>
  <c r="O138" i="1"/>
  <c r="P138" i="1"/>
  <c r="O74" i="1"/>
  <c r="P74" i="1"/>
  <c r="P72" i="1"/>
  <c r="Q72" i="1" s="1"/>
  <c r="P64" i="1"/>
  <c r="Q64" i="1" s="1"/>
  <c r="Q202" i="1" l="1"/>
  <c r="Q458" i="1"/>
  <c r="Q331" i="1"/>
  <c r="Q485" i="1"/>
  <c r="Q102" i="1"/>
  <c r="Q614" i="1"/>
  <c r="Q120" i="1"/>
  <c r="Q632" i="1"/>
  <c r="Q297" i="1"/>
  <c r="Q257" i="1"/>
  <c r="Q673" i="1"/>
  <c r="Q671" i="1"/>
  <c r="Q435" i="1"/>
  <c r="Q572" i="1"/>
  <c r="Q334" i="1"/>
  <c r="Q210" i="1"/>
  <c r="Q595" i="1"/>
  <c r="Q284" i="1"/>
  <c r="Q540" i="1"/>
  <c r="Q493" i="1"/>
  <c r="Q366" i="1"/>
  <c r="Q512" i="1"/>
  <c r="Q441" i="1"/>
  <c r="Q209" i="1"/>
  <c r="Q270" i="1"/>
  <c r="Q666" i="1"/>
  <c r="Q283" i="1"/>
  <c r="Q228" i="1"/>
  <c r="Q57" i="1"/>
  <c r="Q525" i="1"/>
  <c r="Q544" i="1"/>
  <c r="Q253" i="1"/>
  <c r="Q126" i="1"/>
  <c r="Q382" i="1"/>
  <c r="Q638" i="1"/>
  <c r="Q528" i="1"/>
  <c r="Q626" i="1"/>
  <c r="Q653" i="1"/>
  <c r="Q608" i="1"/>
  <c r="Q235" i="1"/>
  <c r="Q491" i="1"/>
  <c r="Q197" i="1"/>
  <c r="Q453" i="1"/>
  <c r="Q473" i="1"/>
  <c r="Q625" i="1"/>
  <c r="Q206" i="1"/>
  <c r="Q642" i="1"/>
  <c r="Q286" i="1"/>
  <c r="Q542" i="1"/>
  <c r="Q304" i="1"/>
  <c r="Q560" i="1"/>
  <c r="Q530" i="1"/>
  <c r="Q355" i="1"/>
  <c r="Q43" i="1"/>
  <c r="Q555" i="1"/>
  <c r="Q517" i="1"/>
  <c r="Q454" i="1"/>
  <c r="Q216" i="1"/>
  <c r="Q472" i="1"/>
  <c r="Q457" i="1"/>
  <c r="Q315" i="1"/>
  <c r="Q585" i="1"/>
  <c r="Q225" i="1"/>
  <c r="Q305" i="1"/>
  <c r="Q369" i="1"/>
  <c r="Q112" i="1"/>
  <c r="Q368" i="1"/>
  <c r="Q529" i="1"/>
  <c r="Q233" i="1"/>
  <c r="Q395" i="1"/>
  <c r="Q84" i="1"/>
  <c r="Q340" i="1"/>
  <c r="Q295" i="1"/>
  <c r="Q551" i="1"/>
  <c r="Q184" i="1"/>
  <c r="Q440" i="1"/>
  <c r="Q201" i="1"/>
  <c r="Q89" i="1"/>
  <c r="Q129" i="1"/>
  <c r="Q361" i="1"/>
  <c r="Q200" i="1"/>
  <c r="Q596" i="1"/>
  <c r="Q464" i="1"/>
  <c r="Q563" i="1"/>
  <c r="Q269" i="1"/>
  <c r="Q480" i="1"/>
  <c r="Q211" i="1"/>
  <c r="Q156" i="1"/>
  <c r="Q238" i="1"/>
  <c r="Q494" i="1"/>
  <c r="Q367" i="1"/>
  <c r="Q474" i="1"/>
  <c r="Q292" i="1"/>
  <c r="Q273" i="1"/>
  <c r="Q290" i="1"/>
  <c r="Q107" i="1"/>
  <c r="Q308" i="1"/>
  <c r="Q581" i="1"/>
  <c r="Q537" i="1"/>
  <c r="Q643" i="1"/>
  <c r="Q313" i="1"/>
  <c r="Q450" i="1"/>
  <c r="Q323" i="1"/>
  <c r="Q579" i="1"/>
  <c r="Q268" i="1"/>
  <c r="Q524" i="1"/>
  <c r="Q221" i="1"/>
  <c r="Q477" i="1"/>
  <c r="Q94" i="1"/>
  <c r="Q350" i="1"/>
  <c r="Q223" i="1"/>
  <c r="Q176" i="1"/>
  <c r="Q641" i="1"/>
  <c r="Q644" i="1"/>
  <c r="Q281" i="1"/>
  <c r="Q282" i="1"/>
  <c r="Q459" i="1"/>
  <c r="Q404" i="1"/>
  <c r="Q357" i="1"/>
  <c r="Q359" i="1"/>
  <c r="Q657" i="1"/>
  <c r="Q128" i="1"/>
  <c r="Q463" i="1"/>
  <c r="Q356" i="1"/>
  <c r="Q74" i="1"/>
  <c r="Q148" i="1"/>
  <c r="Q101" i="1"/>
  <c r="Q613" i="1"/>
  <c r="Q248" i="1"/>
  <c r="Q353" i="1"/>
  <c r="Q138" i="1"/>
  <c r="Q394" i="1"/>
  <c r="Q402" i="1"/>
  <c r="Q531" i="1"/>
  <c r="Q220" i="1"/>
  <c r="Q476" i="1"/>
  <c r="Q602" i="1"/>
  <c r="Q164" i="1"/>
  <c r="Q636" i="1"/>
  <c r="Q141" i="1"/>
  <c r="Q96" i="1"/>
  <c r="Q554" i="1"/>
  <c r="Q180" i="1"/>
  <c r="Q133" i="1"/>
  <c r="Q389" i="1"/>
  <c r="Q645" i="1"/>
  <c r="Q41" i="1"/>
  <c r="Q121" i="1"/>
  <c r="Q205" i="1"/>
  <c r="Q654" i="1"/>
  <c r="Q672" i="1"/>
  <c r="Q452" i="1"/>
  <c r="Q149" i="1"/>
  <c r="Q405" i="1"/>
  <c r="Q661" i="1"/>
  <c r="Q151" i="1"/>
  <c r="Q407" i="1"/>
  <c r="Q40" i="1"/>
  <c r="Q296" i="1"/>
  <c r="Q322" i="1"/>
  <c r="Q589" i="1"/>
  <c r="Q185" i="1"/>
  <c r="Q650" i="1"/>
  <c r="Q421" i="1"/>
  <c r="Q38" i="1"/>
  <c r="Q294" i="1"/>
  <c r="Q617" i="1"/>
  <c r="Q652" i="1"/>
  <c r="Q659" i="1"/>
  <c r="Q142" i="1"/>
  <c r="Q241" i="1"/>
  <c r="AG594" i="1"/>
  <c r="AF594" i="1"/>
  <c r="Q467" i="1"/>
  <c r="Q412" i="1"/>
  <c r="Q109" i="1"/>
  <c r="Q365" i="1"/>
  <c r="Q621" i="1"/>
  <c r="Q175" i="1"/>
  <c r="Q320" i="1"/>
  <c r="Q345" i="1"/>
  <c r="Q264" i="1"/>
  <c r="Q481" i="1"/>
  <c r="Q400" i="1"/>
  <c r="Q569" i="1"/>
  <c r="Q218" i="1"/>
  <c r="Q539" i="1"/>
  <c r="Q484" i="1"/>
  <c r="Q245" i="1"/>
  <c r="Q501" i="1"/>
  <c r="Q374" i="1"/>
  <c r="Q630" i="1"/>
  <c r="Q136" i="1"/>
  <c r="Q162" i="1"/>
  <c r="AG354" i="1"/>
  <c r="AF354" i="1"/>
  <c r="Q227" i="1"/>
  <c r="Q483" i="1"/>
  <c r="Q492" i="1"/>
  <c r="Q62" i="1"/>
  <c r="Q318" i="1"/>
  <c r="Q574" i="1"/>
  <c r="Q447" i="1"/>
  <c r="Q611" i="1"/>
  <c r="Q160" i="1"/>
  <c r="Q298" i="1"/>
  <c r="Q363" i="1"/>
  <c r="Q325" i="1"/>
  <c r="Q262" i="1"/>
  <c r="Q518" i="1"/>
  <c r="Q135" i="1"/>
  <c r="Q647" i="1"/>
  <c r="Q536" i="1"/>
  <c r="Q97" i="1"/>
  <c r="Q177" i="1"/>
  <c r="Q434" i="1"/>
  <c r="Q179" i="1"/>
  <c r="Q124" i="1"/>
  <c r="Q397" i="1"/>
  <c r="Q207" i="1"/>
  <c r="Q161" i="1"/>
  <c r="Q378" i="1"/>
  <c r="Q634" i="1"/>
  <c r="Q196" i="1"/>
  <c r="Q278" i="1"/>
  <c r="Q534" i="1"/>
  <c r="Q552" i="1"/>
  <c r="Q667" i="1"/>
  <c r="Q521" i="1"/>
  <c r="Q194" i="1"/>
  <c r="Q259" i="1"/>
  <c r="Q515" i="1"/>
  <c r="Q204" i="1"/>
  <c r="Q460" i="1"/>
  <c r="Q157" i="1"/>
  <c r="Q413" i="1"/>
  <c r="Q669" i="1"/>
  <c r="Q159" i="1"/>
  <c r="Q415" i="1"/>
  <c r="Q624" i="1"/>
  <c r="AG394" i="1"/>
  <c r="AF394" i="1"/>
  <c r="Q658" i="1"/>
  <c r="Q275" i="1"/>
  <c r="Q633" i="1"/>
  <c r="Q548" i="1"/>
  <c r="Q106" i="1"/>
  <c r="Q427" i="1"/>
  <c r="Q627" i="1"/>
  <c r="Q114" i="1"/>
  <c r="AG194" i="1"/>
  <c r="AF194" i="1"/>
  <c r="Q67" i="1"/>
  <c r="Q173" i="1"/>
  <c r="Q429" i="1"/>
  <c r="Q384" i="1"/>
  <c r="Q513" i="1"/>
  <c r="AG474" i="1"/>
  <c r="AF474" i="1"/>
  <c r="Q328" i="1"/>
  <c r="Q291" i="1"/>
  <c r="AG554" i="1"/>
  <c r="AF554" i="1"/>
  <c r="AG434" i="1"/>
  <c r="AF434" i="1"/>
  <c r="Q243" i="1"/>
  <c r="Q316" i="1"/>
  <c r="Q78" i="1"/>
  <c r="Q591" i="1"/>
  <c r="AG634" i="1"/>
  <c r="AF634" i="1"/>
  <c r="AH634" i="1" s="1"/>
  <c r="Q251" i="1"/>
  <c r="Q507" i="1"/>
  <c r="Q169" i="1"/>
  <c r="Q603" i="1"/>
  <c r="Q479" i="1"/>
  <c r="Q416" i="1"/>
  <c r="Q266" i="1"/>
  <c r="Q75" i="1"/>
  <c r="Q587" i="1"/>
  <c r="Q276" i="1"/>
  <c r="Q532" i="1"/>
  <c r="Q229" i="1"/>
  <c r="Q358" i="1"/>
  <c r="Q231" i="1"/>
  <c r="Q487" i="1"/>
  <c r="Q376" i="1"/>
  <c r="Q593" i="1"/>
  <c r="Q377" i="1"/>
  <c r="Q417" i="1"/>
  <c r="Q449" i="1"/>
  <c r="Q224" i="1"/>
  <c r="Q274" i="1"/>
  <c r="Q83" i="1"/>
  <c r="Q339" i="1"/>
  <c r="Q237" i="1"/>
  <c r="Q110" i="1"/>
  <c r="Q622" i="1"/>
  <c r="Q239" i="1"/>
  <c r="Q495" i="1"/>
  <c r="Q192" i="1"/>
  <c r="Q265" i="1"/>
  <c r="Q648" i="1"/>
  <c r="Q538" i="1"/>
  <c r="Q567" i="1"/>
  <c r="Q456" i="1"/>
  <c r="Q592" i="1"/>
  <c r="Q498" i="1"/>
  <c r="Q462" i="1"/>
  <c r="Q482" i="1"/>
  <c r="Q99" i="1"/>
  <c r="Q300" i="1"/>
  <c r="Q556" i="1"/>
  <c r="Q509" i="1"/>
  <c r="Q255" i="1"/>
  <c r="Q511" i="1"/>
  <c r="Q144" i="1"/>
  <c r="Q170" i="1"/>
  <c r="Q362" i="1"/>
  <c r="Q618" i="1"/>
  <c r="Q436" i="1"/>
  <c r="Q199" i="1"/>
  <c r="Q88" i="1"/>
  <c r="Q344" i="1"/>
  <c r="AG114" i="1"/>
  <c r="AF114" i="1"/>
  <c r="Q250" i="1"/>
  <c r="Q442" i="1"/>
  <c r="Q59" i="1"/>
  <c r="Q571" i="1"/>
  <c r="Q260" i="1"/>
  <c r="Q516" i="1"/>
  <c r="Q213" i="1"/>
  <c r="Q469" i="1"/>
  <c r="Q86" i="1"/>
  <c r="Q342" i="1"/>
  <c r="Q215" i="1"/>
  <c r="Q471" i="1"/>
  <c r="Q104" i="1"/>
  <c r="Q360" i="1"/>
  <c r="Q651" i="1"/>
  <c r="Q514" i="1"/>
  <c r="Q131" i="1"/>
  <c r="Q332" i="1"/>
  <c r="Q432" i="1"/>
  <c r="Q137" i="1"/>
  <c r="AG234" i="1"/>
  <c r="AF234" i="1"/>
  <c r="AH234" i="1" s="1"/>
  <c r="AG314" i="1"/>
  <c r="AF314" i="1"/>
  <c r="Q522" i="1"/>
  <c r="Q139" i="1"/>
  <c r="Q37" i="1"/>
  <c r="Q293" i="1"/>
  <c r="Q549" i="1"/>
  <c r="Q166" i="1"/>
  <c r="Q422" i="1"/>
  <c r="Q39" i="1"/>
  <c r="Q665" i="1"/>
  <c r="Q604" i="1"/>
  <c r="Q590" i="1"/>
  <c r="AG514" i="1"/>
  <c r="AF514" i="1"/>
  <c r="Q285" i="1"/>
  <c r="Q541" i="1"/>
  <c r="Q158" i="1"/>
  <c r="Q287" i="1"/>
  <c r="Q543" i="1"/>
  <c r="AG274" i="1"/>
  <c r="AF274" i="1"/>
  <c r="Q303" i="1"/>
  <c r="Q559" i="1"/>
  <c r="Q346" i="1"/>
  <c r="Q373" i="1"/>
  <c r="Q252" i="1"/>
  <c r="Q271" i="1"/>
  <c r="Q364" i="1"/>
  <c r="Q61" i="1"/>
  <c r="Q190" i="1"/>
  <c r="Q446" i="1"/>
  <c r="Q319" i="1"/>
  <c r="Q208" i="1"/>
  <c r="Q656" i="1"/>
  <c r="Q60" i="1"/>
  <c r="Q105" i="1"/>
  <c r="Q234" i="1"/>
  <c r="Q299" i="1"/>
  <c r="Q244" i="1"/>
  <c r="Q500" i="1"/>
  <c r="Q261" i="1"/>
  <c r="Q263" i="1"/>
  <c r="Q519" i="1"/>
  <c r="Q408" i="1"/>
  <c r="Q664" i="1"/>
  <c r="Q553" i="1"/>
  <c r="Q609" i="1"/>
  <c r="Q178" i="1"/>
  <c r="Q115" i="1"/>
  <c r="Q499" i="1"/>
  <c r="Q58" i="1"/>
  <c r="Q314" i="1"/>
  <c r="Q506" i="1"/>
  <c r="Q123" i="1"/>
  <c r="Q379" i="1"/>
  <c r="Q324" i="1"/>
  <c r="Q580" i="1"/>
  <c r="Q533" i="1"/>
  <c r="Q150" i="1"/>
  <c r="Q279" i="1"/>
  <c r="Q535" i="1"/>
  <c r="Q168" i="1"/>
  <c r="Q424" i="1"/>
  <c r="Q655" i="1"/>
  <c r="Q578" i="1"/>
  <c r="Q195" i="1"/>
  <c r="Q140" i="1"/>
  <c r="Q222" i="1"/>
  <c r="Q478" i="1"/>
  <c r="Q95" i="1"/>
  <c r="Q607" i="1"/>
  <c r="Q240" i="1"/>
  <c r="AG74" i="1"/>
  <c r="AF74" i="1"/>
  <c r="AH74" i="1" s="1"/>
  <c r="Q330" i="1"/>
  <c r="Q586" i="1"/>
  <c r="Q203" i="1"/>
  <c r="Q230" i="1"/>
  <c r="Q486" i="1"/>
  <c r="Q103" i="1"/>
  <c r="Q615" i="1"/>
  <c r="Q504" i="1"/>
  <c r="Q635" i="1"/>
  <c r="Q433" i="1"/>
  <c r="Q385" i="1"/>
  <c r="Q425" i="1"/>
  <c r="Q306" i="1"/>
  <c r="Q143" i="1"/>
  <c r="Q82" i="1"/>
  <c r="Q594" i="1"/>
  <c r="Q92" i="1"/>
  <c r="Q348" i="1"/>
  <c r="Q45" i="1"/>
  <c r="Q557" i="1"/>
  <c r="Q174" i="1"/>
  <c r="Q111" i="1"/>
  <c r="Q623" i="1"/>
  <c r="Q256" i="1"/>
  <c r="Q145" i="1"/>
  <c r="Q505" i="1"/>
  <c r="Q113" i="1"/>
  <c r="Q401" i="1"/>
  <c r="AG154" i="1"/>
  <c r="AF154" i="1"/>
  <c r="Q219" i="1"/>
  <c r="Q475" i="1"/>
  <c r="Q420" i="1"/>
  <c r="Q54" i="1"/>
  <c r="Q183" i="1"/>
  <c r="Q489" i="1"/>
  <c r="Q98" i="1"/>
  <c r="Q354" i="1"/>
  <c r="Q546" i="1"/>
  <c r="Q172" i="1"/>
  <c r="Q254" i="1"/>
  <c r="Q510" i="1"/>
  <c r="Q127" i="1"/>
  <c r="Q639" i="1"/>
  <c r="Q335" i="1"/>
  <c r="Q490" i="1"/>
  <c r="Q564" i="1"/>
  <c r="Q198" i="1"/>
  <c r="Q71" i="1"/>
  <c r="Q327" i="1"/>
  <c r="Q583" i="1"/>
  <c r="AG34" i="1"/>
  <c r="AF34" i="1"/>
  <c r="Q242" i="1"/>
  <c r="Q570" i="1"/>
  <c r="Q214" i="1"/>
  <c r="Q87" i="1"/>
  <c r="Q599" i="1"/>
  <c r="Q488" i="1"/>
  <c r="Q619" i="1"/>
  <c r="Q663" i="1"/>
  <c r="AH594" i="1" l="1"/>
  <c r="AH554" i="1"/>
  <c r="AH354" i="1"/>
  <c r="AH194" i="1"/>
  <c r="AH154" i="1"/>
  <c r="AH34" i="1"/>
  <c r="AH274" i="1"/>
  <c r="AH394" i="1"/>
  <c r="AH434" i="1"/>
  <c r="AH314" i="1"/>
  <c r="AH114" i="1"/>
  <c r="AH514" i="1"/>
  <c r="AH474" i="1"/>
</calcChain>
</file>

<file path=xl/sharedStrings.xml><?xml version="1.0" encoding="utf-8"?>
<sst xmlns="http://schemas.openxmlformats.org/spreadsheetml/2006/main" count="1568" uniqueCount="719">
  <si>
    <t>Harvest</t>
  </si>
  <si>
    <t>Field wt</t>
  </si>
  <si>
    <t>HADAT</t>
  </si>
  <si>
    <t>WBWAH</t>
  </si>
  <si>
    <t>(kg/ha)</t>
  </si>
  <si>
    <t>Parameters</t>
  </si>
  <si>
    <t>m2 per ha</t>
  </si>
  <si>
    <t>Ginning</t>
  </si>
  <si>
    <t>Sample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</si>
  <si>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</si>
  <si>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</si>
  <si>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</si>
  <si>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</si>
  <si>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</si>
  <si>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</si>
  <si>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</si>
  <si>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</si>
  <si>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</si>
  <si>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</si>
  <si>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PID</t>
  </si>
  <si>
    <t>HARM</t>
  </si>
  <si>
    <t>Column C - Harvest method (HARM)</t>
  </si>
  <si>
    <t>Column F - Wet bulk weight at harvest (fiber + seed + trash) (WBWAH, kg/ha)</t>
  </si>
  <si>
    <t>Date</t>
  </si>
  <si>
    <t>GNDAT</t>
  </si>
  <si>
    <t>Column D - Harvest date (HADAT, mm/dd/yyyy)</t>
  </si>
  <si>
    <t>HID</t>
  </si>
  <si>
    <t>p02</t>
  </si>
  <si>
    <t>p04</t>
  </si>
  <si>
    <t>p05</t>
  </si>
  <si>
    <t>p06</t>
  </si>
  <si>
    <t>p07</t>
  </si>
  <si>
    <t>p08</t>
  </si>
  <si>
    <t>p11</t>
  </si>
  <si>
    <t>p12</t>
  </si>
  <si>
    <t>p13</t>
  </si>
  <si>
    <t>p14</t>
  </si>
  <si>
    <t>p15</t>
  </si>
  <si>
    <t>p16</t>
  </si>
  <si>
    <t>ID</t>
  </si>
  <si>
    <t>Column A - ID (ID)</t>
  </si>
  <si>
    <t>Column B - Harvest Area ID (HID)</t>
  </si>
  <si>
    <t>p01-01</t>
  </si>
  <si>
    <t>p01-02</t>
  </si>
  <si>
    <t>p01-03</t>
  </si>
  <si>
    <t>p01-04</t>
  </si>
  <si>
    <t>p01-05</t>
  </si>
  <si>
    <t>p01-06</t>
  </si>
  <si>
    <t>p01-07</t>
  </si>
  <si>
    <t>p01-08</t>
  </si>
  <si>
    <t>p01-09</t>
  </si>
  <si>
    <t>p01-10</t>
  </si>
  <si>
    <t>p01-11</t>
  </si>
  <si>
    <t>p01-12</t>
  </si>
  <si>
    <t>p01-13</t>
  </si>
  <si>
    <t>p01-14</t>
  </si>
  <si>
    <t>p01-15</t>
  </si>
  <si>
    <t>p01-16</t>
  </si>
  <si>
    <t>p01-17</t>
  </si>
  <si>
    <t>p01-18</t>
  </si>
  <si>
    <t>p01-19</t>
  </si>
  <si>
    <t>p01-20</t>
  </si>
  <si>
    <t>p01-21</t>
  </si>
  <si>
    <t>p01-22</t>
  </si>
  <si>
    <t>p01-23</t>
  </si>
  <si>
    <t>p01-24</t>
  </si>
  <si>
    <t>p01-25</t>
  </si>
  <si>
    <t>p01-26</t>
  </si>
  <si>
    <t>p01-27</t>
  </si>
  <si>
    <t>p01-28</t>
  </si>
  <si>
    <t>p01-29</t>
  </si>
  <si>
    <t>p01-30</t>
  </si>
  <si>
    <t>p01-31</t>
  </si>
  <si>
    <t>p01-32</t>
  </si>
  <si>
    <t>p01-33</t>
  </si>
  <si>
    <t>p01-34</t>
  </si>
  <si>
    <t>p01-35</t>
  </si>
  <si>
    <t>p01-36</t>
  </si>
  <si>
    <t>p01-37</t>
  </si>
  <si>
    <t>p01-38</t>
  </si>
  <si>
    <t>p01-39</t>
  </si>
  <si>
    <t>p01-40</t>
  </si>
  <si>
    <t>p02-01</t>
  </si>
  <si>
    <t>p02-02</t>
  </si>
  <si>
    <t>p02-03</t>
  </si>
  <si>
    <t>p02-04</t>
  </si>
  <si>
    <t>p02-05</t>
  </si>
  <si>
    <t>p02-06</t>
  </si>
  <si>
    <t>p02-07</t>
  </si>
  <si>
    <t>p02-08</t>
  </si>
  <si>
    <t>p02-09</t>
  </si>
  <si>
    <t>p02-10</t>
  </si>
  <si>
    <t>p02-11</t>
  </si>
  <si>
    <t>p02-12</t>
  </si>
  <si>
    <t>p02-13</t>
  </si>
  <si>
    <t>p02-14</t>
  </si>
  <si>
    <t>p02-15</t>
  </si>
  <si>
    <t>p02-16</t>
  </si>
  <si>
    <t>p02-17</t>
  </si>
  <si>
    <t>p02-18</t>
  </si>
  <si>
    <t>p02-19</t>
  </si>
  <si>
    <t>p02-20</t>
  </si>
  <si>
    <t>p02-21</t>
  </si>
  <si>
    <t>p02-22</t>
  </si>
  <si>
    <t>p02-23</t>
  </si>
  <si>
    <t>p02-24</t>
  </si>
  <si>
    <t>p02-25</t>
  </si>
  <si>
    <t>p02-26</t>
  </si>
  <si>
    <t>p02-27</t>
  </si>
  <si>
    <t>p02-28</t>
  </si>
  <si>
    <t>p02-29</t>
  </si>
  <si>
    <t>p02-30</t>
  </si>
  <si>
    <t>p02-31</t>
  </si>
  <si>
    <t>p02-32</t>
  </si>
  <si>
    <t>p02-33</t>
  </si>
  <si>
    <t>p02-34</t>
  </si>
  <si>
    <t>p02-35</t>
  </si>
  <si>
    <t>p02-36</t>
  </si>
  <si>
    <t>p02-37</t>
  </si>
  <si>
    <t>p02-38</t>
  </si>
  <si>
    <t>p02-39</t>
  </si>
  <si>
    <t>p02-40</t>
  </si>
  <si>
    <t>p03-01</t>
  </si>
  <si>
    <t>p03-02</t>
  </si>
  <si>
    <t>p03-03</t>
  </si>
  <si>
    <t>p03-04</t>
  </si>
  <si>
    <t>p03-05</t>
  </si>
  <si>
    <t>p03-06</t>
  </si>
  <si>
    <t>p03-07</t>
  </si>
  <si>
    <t>p03-08</t>
  </si>
  <si>
    <t>p03-09</t>
  </si>
  <si>
    <t>p03-10</t>
  </si>
  <si>
    <t>p03-11</t>
  </si>
  <si>
    <t>p03-12</t>
  </si>
  <si>
    <t>p03-13</t>
  </si>
  <si>
    <t>p03-14</t>
  </si>
  <si>
    <t>p03-15</t>
  </si>
  <si>
    <t>p03-16</t>
  </si>
  <si>
    <t>p03-17</t>
  </si>
  <si>
    <t>p03-18</t>
  </si>
  <si>
    <t>p03-19</t>
  </si>
  <si>
    <t>p03-20</t>
  </si>
  <si>
    <t>p03-21</t>
  </si>
  <si>
    <t>p03-22</t>
  </si>
  <si>
    <t>p03-23</t>
  </si>
  <si>
    <t>p03-24</t>
  </si>
  <si>
    <t>p03-25</t>
  </si>
  <si>
    <t>p03-26</t>
  </si>
  <si>
    <t>p03-27</t>
  </si>
  <si>
    <t>p03-28</t>
  </si>
  <si>
    <t>p03-29</t>
  </si>
  <si>
    <t>p03-30</t>
  </si>
  <si>
    <t>p03-31</t>
  </si>
  <si>
    <t>p03-32</t>
  </si>
  <si>
    <t>p03-33</t>
  </si>
  <si>
    <t>p03-34</t>
  </si>
  <si>
    <t>p03-35</t>
  </si>
  <si>
    <t>p03-36</t>
  </si>
  <si>
    <t>p03-37</t>
  </si>
  <si>
    <t>p03-38</t>
  </si>
  <si>
    <t>p03-39</t>
  </si>
  <si>
    <t>p03-40</t>
  </si>
  <si>
    <t>p04-01</t>
  </si>
  <si>
    <t>p04-02</t>
  </si>
  <si>
    <t>p04-03</t>
  </si>
  <si>
    <t>p04-04</t>
  </si>
  <si>
    <t>p04-05</t>
  </si>
  <si>
    <t>p04-06</t>
  </si>
  <si>
    <t>p04-07</t>
  </si>
  <si>
    <t>p04-08</t>
  </si>
  <si>
    <t>p04-09</t>
  </si>
  <si>
    <t>p04-10</t>
  </si>
  <si>
    <t>p04-11</t>
  </si>
  <si>
    <t>p04-12</t>
  </si>
  <si>
    <t>p04-13</t>
  </si>
  <si>
    <t>p04-14</t>
  </si>
  <si>
    <t>p04-15</t>
  </si>
  <si>
    <t>p04-16</t>
  </si>
  <si>
    <t>p04-17</t>
  </si>
  <si>
    <t>p04-18</t>
  </si>
  <si>
    <t>p04-19</t>
  </si>
  <si>
    <t>p04-20</t>
  </si>
  <si>
    <t>p04-21</t>
  </si>
  <si>
    <t>p04-22</t>
  </si>
  <si>
    <t>p04-23</t>
  </si>
  <si>
    <t>p04-24</t>
  </si>
  <si>
    <t>p04-25</t>
  </si>
  <si>
    <t>p04-26</t>
  </si>
  <si>
    <t>p04-27</t>
  </si>
  <si>
    <t>p04-28</t>
  </si>
  <si>
    <t>p04-29</t>
  </si>
  <si>
    <t>p04-30</t>
  </si>
  <si>
    <t>p04-31</t>
  </si>
  <si>
    <t>p04-32</t>
  </si>
  <si>
    <t>p04-33</t>
  </si>
  <si>
    <t>p04-34</t>
  </si>
  <si>
    <t>p04-35</t>
  </si>
  <si>
    <t>p04-36</t>
  </si>
  <si>
    <t>p04-37</t>
  </si>
  <si>
    <t>p04-38</t>
  </si>
  <si>
    <t>p04-39</t>
  </si>
  <si>
    <t>p04-40</t>
  </si>
  <si>
    <t>p05-01</t>
  </si>
  <si>
    <t>p05-02</t>
  </si>
  <si>
    <t>p05-03</t>
  </si>
  <si>
    <t>p05-04</t>
  </si>
  <si>
    <t>p05-05</t>
  </si>
  <si>
    <t>p05-06</t>
  </si>
  <si>
    <t>p05-07</t>
  </si>
  <si>
    <t>p05-08</t>
  </si>
  <si>
    <t>p05-09</t>
  </si>
  <si>
    <t>p05-10</t>
  </si>
  <si>
    <t>p05-11</t>
  </si>
  <si>
    <t>p05-12</t>
  </si>
  <si>
    <t>p05-13</t>
  </si>
  <si>
    <t>p05-14</t>
  </si>
  <si>
    <t>p05-15</t>
  </si>
  <si>
    <t>p05-16</t>
  </si>
  <si>
    <t>p05-17</t>
  </si>
  <si>
    <t>p05-18</t>
  </si>
  <si>
    <t>p05-19</t>
  </si>
  <si>
    <t>p05-20</t>
  </si>
  <si>
    <t>p05-21</t>
  </si>
  <si>
    <t>p05-22</t>
  </si>
  <si>
    <t>p05-23</t>
  </si>
  <si>
    <t>p05-24</t>
  </si>
  <si>
    <t>p05-25</t>
  </si>
  <si>
    <t>p05-26</t>
  </si>
  <si>
    <t>p05-27</t>
  </si>
  <si>
    <t>p05-28</t>
  </si>
  <si>
    <t>p05-29</t>
  </si>
  <si>
    <t>p05-30</t>
  </si>
  <si>
    <t>p05-31</t>
  </si>
  <si>
    <t>p05-32</t>
  </si>
  <si>
    <t>p05-33</t>
  </si>
  <si>
    <t>p05-34</t>
  </si>
  <si>
    <t>p05-35</t>
  </si>
  <si>
    <t>p05-36</t>
  </si>
  <si>
    <t>p05-37</t>
  </si>
  <si>
    <t>p05-38</t>
  </si>
  <si>
    <t>p05-39</t>
  </si>
  <si>
    <t>p05-40</t>
  </si>
  <si>
    <t>p06-01</t>
  </si>
  <si>
    <t>p06-02</t>
  </si>
  <si>
    <t>p06-03</t>
  </si>
  <si>
    <t>p06-04</t>
  </si>
  <si>
    <t>p06-05</t>
  </si>
  <si>
    <t>p06-06</t>
  </si>
  <si>
    <t>p06-07</t>
  </si>
  <si>
    <t>p06-08</t>
  </si>
  <si>
    <t>p06-09</t>
  </si>
  <si>
    <t>p06-10</t>
  </si>
  <si>
    <t>p06-11</t>
  </si>
  <si>
    <t>p06-12</t>
  </si>
  <si>
    <t>p06-13</t>
  </si>
  <si>
    <t>p06-14</t>
  </si>
  <si>
    <t>p06-15</t>
  </si>
  <si>
    <t>p06-16</t>
  </si>
  <si>
    <t>p06-17</t>
  </si>
  <si>
    <t>p06-18</t>
  </si>
  <si>
    <t>p06-19</t>
  </si>
  <si>
    <t>p06-20</t>
  </si>
  <si>
    <t>p06-21</t>
  </si>
  <si>
    <t>p06-22</t>
  </si>
  <si>
    <t>p06-23</t>
  </si>
  <si>
    <t>p06-24</t>
  </si>
  <si>
    <t>p06-25</t>
  </si>
  <si>
    <t>p06-26</t>
  </si>
  <si>
    <t>p06-27</t>
  </si>
  <si>
    <t>p06-28</t>
  </si>
  <si>
    <t>p06-29</t>
  </si>
  <si>
    <t>p06-30</t>
  </si>
  <si>
    <t>p06-31</t>
  </si>
  <si>
    <t>p06-32</t>
  </si>
  <si>
    <t>p06-33</t>
  </si>
  <si>
    <t>p06-34</t>
  </si>
  <si>
    <t>p06-35</t>
  </si>
  <si>
    <t>p06-36</t>
  </si>
  <si>
    <t>p06-37</t>
  </si>
  <si>
    <t>p06-38</t>
  </si>
  <si>
    <t>p06-39</t>
  </si>
  <si>
    <t>p06-40</t>
  </si>
  <si>
    <t>p07-01</t>
  </si>
  <si>
    <t>p07-02</t>
  </si>
  <si>
    <t>p07-03</t>
  </si>
  <si>
    <t>p07-04</t>
  </si>
  <si>
    <t>p07-05</t>
  </si>
  <si>
    <t>p07-06</t>
  </si>
  <si>
    <t>p07-07</t>
  </si>
  <si>
    <t>p07-08</t>
  </si>
  <si>
    <t>p07-09</t>
  </si>
  <si>
    <t>p07-10</t>
  </si>
  <si>
    <t>p07-11</t>
  </si>
  <si>
    <t>p07-12</t>
  </si>
  <si>
    <t>p07-13</t>
  </si>
  <si>
    <t>p07-14</t>
  </si>
  <si>
    <t>p07-15</t>
  </si>
  <si>
    <t>p07-16</t>
  </si>
  <si>
    <t>p07-17</t>
  </si>
  <si>
    <t>p07-18</t>
  </si>
  <si>
    <t>p07-19</t>
  </si>
  <si>
    <t>p07-20</t>
  </si>
  <si>
    <t>p07-21</t>
  </si>
  <si>
    <t>p07-22</t>
  </si>
  <si>
    <t>p07-23</t>
  </si>
  <si>
    <t>p07-24</t>
  </si>
  <si>
    <t>p07-25</t>
  </si>
  <si>
    <t>p07-26</t>
  </si>
  <si>
    <t>p07-27</t>
  </si>
  <si>
    <t>p07-28</t>
  </si>
  <si>
    <t>p07-29</t>
  </si>
  <si>
    <t>p07-30</t>
  </si>
  <si>
    <t>p07-31</t>
  </si>
  <si>
    <t>p07-32</t>
  </si>
  <si>
    <t>p07-33</t>
  </si>
  <si>
    <t>p07-34</t>
  </si>
  <si>
    <t>p07-35</t>
  </si>
  <si>
    <t>p07-36</t>
  </si>
  <si>
    <t>p07-37</t>
  </si>
  <si>
    <t>p07-38</t>
  </si>
  <si>
    <t>p07-39</t>
  </si>
  <si>
    <t>p07-40</t>
  </si>
  <si>
    <t>p08-01</t>
  </si>
  <si>
    <t>p08-02</t>
  </si>
  <si>
    <t>p08-03</t>
  </si>
  <si>
    <t>p08-04</t>
  </si>
  <si>
    <t>p08-05</t>
  </si>
  <si>
    <t>p08-06</t>
  </si>
  <si>
    <t>p08-07</t>
  </si>
  <si>
    <t>p08-08</t>
  </si>
  <si>
    <t>p08-09</t>
  </si>
  <si>
    <t>p08-10</t>
  </si>
  <si>
    <t>p08-11</t>
  </si>
  <si>
    <t>p08-12</t>
  </si>
  <si>
    <t>p08-13</t>
  </si>
  <si>
    <t>p08-14</t>
  </si>
  <si>
    <t>p08-15</t>
  </si>
  <si>
    <t>p08-16</t>
  </si>
  <si>
    <t>p08-17</t>
  </si>
  <si>
    <t>p08-18</t>
  </si>
  <si>
    <t>p08-19</t>
  </si>
  <si>
    <t>p08-20</t>
  </si>
  <si>
    <t>p08-21</t>
  </si>
  <si>
    <t>p08-22</t>
  </si>
  <si>
    <t>p08-23</t>
  </si>
  <si>
    <t>p08-24</t>
  </si>
  <si>
    <t>p08-25</t>
  </si>
  <si>
    <t>p08-26</t>
  </si>
  <si>
    <t>p08-27</t>
  </si>
  <si>
    <t>p08-28</t>
  </si>
  <si>
    <t>p08-29</t>
  </si>
  <si>
    <t>p08-30</t>
  </si>
  <si>
    <t>p08-31</t>
  </si>
  <si>
    <t>p08-32</t>
  </si>
  <si>
    <t>p08-33</t>
  </si>
  <si>
    <t>p08-34</t>
  </si>
  <si>
    <t>p08-35</t>
  </si>
  <si>
    <t>p08-36</t>
  </si>
  <si>
    <t>p08-37</t>
  </si>
  <si>
    <t>p08-38</t>
  </si>
  <si>
    <t>p08-39</t>
  </si>
  <si>
    <t>p08-40</t>
  </si>
  <si>
    <t>p09-01</t>
  </si>
  <si>
    <t>p09-02</t>
  </si>
  <si>
    <t>p09-03</t>
  </si>
  <si>
    <t>p09-04</t>
  </si>
  <si>
    <t>p09-05</t>
  </si>
  <si>
    <t>p09-06</t>
  </si>
  <si>
    <t>p09-07</t>
  </si>
  <si>
    <t>p09-08</t>
  </si>
  <si>
    <t>p09-09</t>
  </si>
  <si>
    <t>p09-10</t>
  </si>
  <si>
    <t>p09-11</t>
  </si>
  <si>
    <t>p09-12</t>
  </si>
  <si>
    <t>p09-13</t>
  </si>
  <si>
    <t>p09-14</t>
  </si>
  <si>
    <t>p09-15</t>
  </si>
  <si>
    <t>p09-16</t>
  </si>
  <si>
    <t>p09-17</t>
  </si>
  <si>
    <t>p09-18</t>
  </si>
  <si>
    <t>p09-19</t>
  </si>
  <si>
    <t>p09-20</t>
  </si>
  <si>
    <t>p09-21</t>
  </si>
  <si>
    <t>p09-22</t>
  </si>
  <si>
    <t>p09-23</t>
  </si>
  <si>
    <t>p09-24</t>
  </si>
  <si>
    <t>p09-25</t>
  </si>
  <si>
    <t>p09-26</t>
  </si>
  <si>
    <t>p09-27</t>
  </si>
  <si>
    <t>p09-28</t>
  </si>
  <si>
    <t>p09-29</t>
  </si>
  <si>
    <t>p09-30</t>
  </si>
  <si>
    <t>p09-31</t>
  </si>
  <si>
    <t>p09-32</t>
  </si>
  <si>
    <t>p09-33</t>
  </si>
  <si>
    <t>p09-34</t>
  </si>
  <si>
    <t>p09-35</t>
  </si>
  <si>
    <t>p09-36</t>
  </si>
  <si>
    <t>p09-37</t>
  </si>
  <si>
    <t>p09-38</t>
  </si>
  <si>
    <t>p09-39</t>
  </si>
  <si>
    <t>p09-40</t>
  </si>
  <si>
    <t>p10-01</t>
  </si>
  <si>
    <t>p10-02</t>
  </si>
  <si>
    <t>p10-03</t>
  </si>
  <si>
    <t>p10-04</t>
  </si>
  <si>
    <t>p10-05</t>
  </si>
  <si>
    <t>p10-06</t>
  </si>
  <si>
    <t>p10-07</t>
  </si>
  <si>
    <t>p10-08</t>
  </si>
  <si>
    <t>p10-09</t>
  </si>
  <si>
    <t>p10-10</t>
  </si>
  <si>
    <t>p10-11</t>
  </si>
  <si>
    <t>p10-12</t>
  </si>
  <si>
    <t>p10-13</t>
  </si>
  <si>
    <t>p10-14</t>
  </si>
  <si>
    <t>p10-15</t>
  </si>
  <si>
    <t>p10-16</t>
  </si>
  <si>
    <t>p10-17</t>
  </si>
  <si>
    <t>p10-18</t>
  </si>
  <si>
    <t>p10-19</t>
  </si>
  <si>
    <t>p10-20</t>
  </si>
  <si>
    <t>p10-21</t>
  </si>
  <si>
    <t>p10-22</t>
  </si>
  <si>
    <t>p10-23</t>
  </si>
  <si>
    <t>p10-24</t>
  </si>
  <si>
    <t>p10-25</t>
  </si>
  <si>
    <t>p10-26</t>
  </si>
  <si>
    <t>p10-27</t>
  </si>
  <si>
    <t>p10-28</t>
  </si>
  <si>
    <t>p10-29</t>
  </si>
  <si>
    <t>p10-30</t>
  </si>
  <si>
    <t>p10-31</t>
  </si>
  <si>
    <t>p10-32</t>
  </si>
  <si>
    <t>p10-33</t>
  </si>
  <si>
    <t>p10-34</t>
  </si>
  <si>
    <t>p10-35</t>
  </si>
  <si>
    <t>p10-36</t>
  </si>
  <si>
    <t>p10-37</t>
  </si>
  <si>
    <t>p10-38</t>
  </si>
  <si>
    <t>p10-39</t>
  </si>
  <si>
    <t>p10-40</t>
  </si>
  <si>
    <t>p11-01</t>
  </si>
  <si>
    <t>p11-02</t>
  </si>
  <si>
    <t>p11-03</t>
  </si>
  <si>
    <t>p11-04</t>
  </si>
  <si>
    <t>p11-05</t>
  </si>
  <si>
    <t>p11-06</t>
  </si>
  <si>
    <t>p11-07</t>
  </si>
  <si>
    <t>p11-08</t>
  </si>
  <si>
    <t>p11-09</t>
  </si>
  <si>
    <t>p11-10</t>
  </si>
  <si>
    <t>p11-11</t>
  </si>
  <si>
    <t>p11-12</t>
  </si>
  <si>
    <t>p11-13</t>
  </si>
  <si>
    <t>p11-14</t>
  </si>
  <si>
    <t>p11-15</t>
  </si>
  <si>
    <t>p11-16</t>
  </si>
  <si>
    <t>p11-17</t>
  </si>
  <si>
    <t>p11-18</t>
  </si>
  <si>
    <t>p11-19</t>
  </si>
  <si>
    <t>p11-20</t>
  </si>
  <si>
    <t>p11-21</t>
  </si>
  <si>
    <t>p11-22</t>
  </si>
  <si>
    <t>p11-23</t>
  </si>
  <si>
    <t>p11-24</t>
  </si>
  <si>
    <t>p11-25</t>
  </si>
  <si>
    <t>p11-26</t>
  </si>
  <si>
    <t>p11-27</t>
  </si>
  <si>
    <t>p11-28</t>
  </si>
  <si>
    <t>p11-29</t>
  </si>
  <si>
    <t>p11-30</t>
  </si>
  <si>
    <t>p11-31</t>
  </si>
  <si>
    <t>p11-32</t>
  </si>
  <si>
    <t>p11-33</t>
  </si>
  <si>
    <t>p11-34</t>
  </si>
  <si>
    <t>p11-35</t>
  </si>
  <si>
    <t>p11-36</t>
  </si>
  <si>
    <t>p11-37</t>
  </si>
  <si>
    <t>p11-38</t>
  </si>
  <si>
    <t>p11-39</t>
  </si>
  <si>
    <t>p11-40</t>
  </si>
  <si>
    <t>p12-01</t>
  </si>
  <si>
    <t>p12-02</t>
  </si>
  <si>
    <t>p12-03</t>
  </si>
  <si>
    <t>p12-04</t>
  </si>
  <si>
    <t>p12-05</t>
  </si>
  <si>
    <t>p12-06</t>
  </si>
  <si>
    <t>p12-07</t>
  </si>
  <si>
    <t>p12-08</t>
  </si>
  <si>
    <t>p12-09</t>
  </si>
  <si>
    <t>p12-10</t>
  </si>
  <si>
    <t>p12-11</t>
  </si>
  <si>
    <t>p12-12</t>
  </si>
  <si>
    <t>p12-13</t>
  </si>
  <si>
    <t>p12-14</t>
  </si>
  <si>
    <t>p12-15</t>
  </si>
  <si>
    <t>p12-16</t>
  </si>
  <si>
    <t>p12-17</t>
  </si>
  <si>
    <t>p12-18</t>
  </si>
  <si>
    <t>p12-19</t>
  </si>
  <si>
    <t>p12-20</t>
  </si>
  <si>
    <t>p12-21</t>
  </si>
  <si>
    <t>p12-22</t>
  </si>
  <si>
    <t>p12-23</t>
  </si>
  <si>
    <t>p12-24</t>
  </si>
  <si>
    <t>p12-25</t>
  </si>
  <si>
    <t>p12-26</t>
  </si>
  <si>
    <t>p12-27</t>
  </si>
  <si>
    <t>p12-28</t>
  </si>
  <si>
    <t>p12-29</t>
  </si>
  <si>
    <t>p12-30</t>
  </si>
  <si>
    <t>p12-31</t>
  </si>
  <si>
    <t>p12-32</t>
  </si>
  <si>
    <t>p12-33</t>
  </si>
  <si>
    <t>p12-34</t>
  </si>
  <si>
    <t>p12-35</t>
  </si>
  <si>
    <t>p12-36</t>
  </si>
  <si>
    <t>p12-37</t>
  </si>
  <si>
    <t>p12-38</t>
  </si>
  <si>
    <t>p12-39</t>
  </si>
  <si>
    <t>p12-40</t>
  </si>
  <si>
    <t>p13-01</t>
  </si>
  <si>
    <t>p13-02</t>
  </si>
  <si>
    <t>p13-03</t>
  </si>
  <si>
    <t>p13-04</t>
  </si>
  <si>
    <t>p13-05</t>
  </si>
  <si>
    <t>p13-06</t>
  </si>
  <si>
    <t>p13-07</t>
  </si>
  <si>
    <t>p13-08</t>
  </si>
  <si>
    <t>p13-09</t>
  </si>
  <si>
    <t>p13-10</t>
  </si>
  <si>
    <t>p13-11</t>
  </si>
  <si>
    <t>p13-12</t>
  </si>
  <si>
    <t>p13-13</t>
  </si>
  <si>
    <t>p13-14</t>
  </si>
  <si>
    <t>p13-15</t>
  </si>
  <si>
    <t>p13-16</t>
  </si>
  <si>
    <t>p13-17</t>
  </si>
  <si>
    <t>p13-18</t>
  </si>
  <si>
    <t>p13-19</t>
  </si>
  <si>
    <t>p13-20</t>
  </si>
  <si>
    <t>p13-21</t>
  </si>
  <si>
    <t>p13-22</t>
  </si>
  <si>
    <t>p13-23</t>
  </si>
  <si>
    <t>p13-24</t>
  </si>
  <si>
    <t>p13-25</t>
  </si>
  <si>
    <t>p13-26</t>
  </si>
  <si>
    <t>p13-27</t>
  </si>
  <si>
    <t>p13-28</t>
  </si>
  <si>
    <t>p13-29</t>
  </si>
  <si>
    <t>p13-30</t>
  </si>
  <si>
    <t>p13-31</t>
  </si>
  <si>
    <t>p13-32</t>
  </si>
  <si>
    <t>p13-33</t>
  </si>
  <si>
    <t>p13-34</t>
  </si>
  <si>
    <t>p13-35</t>
  </si>
  <si>
    <t>p13-36</t>
  </si>
  <si>
    <t>p13-37</t>
  </si>
  <si>
    <t>p13-38</t>
  </si>
  <si>
    <t>p13-39</t>
  </si>
  <si>
    <t>p13-40</t>
  </si>
  <si>
    <t>p14-01</t>
  </si>
  <si>
    <t>p14-02</t>
  </si>
  <si>
    <t>p14-03</t>
  </si>
  <si>
    <t>p14-04</t>
  </si>
  <si>
    <t>p14-05</t>
  </si>
  <si>
    <t>p14-06</t>
  </si>
  <si>
    <t>p14-07</t>
  </si>
  <si>
    <t>p14-08</t>
  </si>
  <si>
    <t>p14-09</t>
  </si>
  <si>
    <t>p14-10</t>
  </si>
  <si>
    <t>p14-11</t>
  </si>
  <si>
    <t>p14-12</t>
  </si>
  <si>
    <t>p14-13</t>
  </si>
  <si>
    <t>p14-14</t>
  </si>
  <si>
    <t>p14-15</t>
  </si>
  <si>
    <t>p14-16</t>
  </si>
  <si>
    <t>p14-17</t>
  </si>
  <si>
    <t>p14-18</t>
  </si>
  <si>
    <t>p14-19</t>
  </si>
  <si>
    <t>p14-20</t>
  </si>
  <si>
    <t>p14-21</t>
  </si>
  <si>
    <t>p14-22</t>
  </si>
  <si>
    <t>p14-23</t>
  </si>
  <si>
    <t>p14-24</t>
  </si>
  <si>
    <t>p14-25</t>
  </si>
  <si>
    <t>p14-26</t>
  </si>
  <si>
    <t>p14-27</t>
  </si>
  <si>
    <t>p14-28</t>
  </si>
  <si>
    <t>p14-29</t>
  </si>
  <si>
    <t>p14-30</t>
  </si>
  <si>
    <t>p14-31</t>
  </si>
  <si>
    <t>p14-32</t>
  </si>
  <si>
    <t>p14-33</t>
  </si>
  <si>
    <t>p14-34</t>
  </si>
  <si>
    <t>p14-35</t>
  </si>
  <si>
    <t>p14-36</t>
  </si>
  <si>
    <t>p14-37</t>
  </si>
  <si>
    <t>p14-38</t>
  </si>
  <si>
    <t>p14-39</t>
  </si>
  <si>
    <t>p14-40</t>
  </si>
  <si>
    <t>p15-01</t>
  </si>
  <si>
    <t>p15-02</t>
  </si>
  <si>
    <t>p15-03</t>
  </si>
  <si>
    <t>p15-04</t>
  </si>
  <si>
    <t>p15-05</t>
  </si>
  <si>
    <t>p15-06</t>
  </si>
  <si>
    <t>p15-07</t>
  </si>
  <si>
    <t>p15-08</t>
  </si>
  <si>
    <t>p15-09</t>
  </si>
  <si>
    <t>p15-10</t>
  </si>
  <si>
    <t>p15-11</t>
  </si>
  <si>
    <t>p15-12</t>
  </si>
  <si>
    <t>p15-13</t>
  </si>
  <si>
    <t>p15-14</t>
  </si>
  <si>
    <t>p15-15</t>
  </si>
  <si>
    <t>p15-16</t>
  </si>
  <si>
    <t>p15-17</t>
  </si>
  <si>
    <t>p15-18</t>
  </si>
  <si>
    <t>p15-19</t>
  </si>
  <si>
    <t>p15-20</t>
  </si>
  <si>
    <t>p15-21</t>
  </si>
  <si>
    <t>p15-22</t>
  </si>
  <si>
    <t>p15-23</t>
  </si>
  <si>
    <t>p15-24</t>
  </si>
  <si>
    <t>p15-25</t>
  </si>
  <si>
    <t>p15-26</t>
  </si>
  <si>
    <t>p15-27</t>
  </si>
  <si>
    <t>p15-28</t>
  </si>
  <si>
    <t>p15-29</t>
  </si>
  <si>
    <t>p15-30</t>
  </si>
  <si>
    <t>p15-31</t>
  </si>
  <si>
    <t>p15-32</t>
  </si>
  <si>
    <t>p15-33</t>
  </si>
  <si>
    <t>p15-34</t>
  </si>
  <si>
    <t>p15-35</t>
  </si>
  <si>
    <t>p15-36</t>
  </si>
  <si>
    <t>p15-37</t>
  </si>
  <si>
    <t>p15-38</t>
  </si>
  <si>
    <t>p15-39</t>
  </si>
  <si>
    <t>p15-40</t>
  </si>
  <si>
    <t>p16-01</t>
  </si>
  <si>
    <t>p16-02</t>
  </si>
  <si>
    <t>p16-03</t>
  </si>
  <si>
    <t>p16-04</t>
  </si>
  <si>
    <t>p16-05</t>
  </si>
  <si>
    <t>p16-06</t>
  </si>
  <si>
    <t>p16-07</t>
  </si>
  <si>
    <t>p16-08</t>
  </si>
  <si>
    <t>p16-09</t>
  </si>
  <si>
    <t>p16-10</t>
  </si>
  <si>
    <t>p16-11</t>
  </si>
  <si>
    <t>p16-12</t>
  </si>
  <si>
    <t>p16-13</t>
  </si>
  <si>
    <t>p16-14</t>
  </si>
  <si>
    <t>p16-15</t>
  </si>
  <si>
    <t>p16-16</t>
  </si>
  <si>
    <t>p16-17</t>
  </si>
  <si>
    <t>p16-18</t>
  </si>
  <si>
    <t>p16-19</t>
  </si>
  <si>
    <t>p16-20</t>
  </si>
  <si>
    <t>p16-21</t>
  </si>
  <si>
    <t>p16-22</t>
  </si>
  <si>
    <t>p16-23</t>
  </si>
  <si>
    <t>p16-24</t>
  </si>
  <si>
    <t>p16-25</t>
  </si>
  <si>
    <t>p16-26</t>
  </si>
  <si>
    <t>p16-27</t>
  </si>
  <si>
    <t>p16-28</t>
  </si>
  <si>
    <t>p16-29</t>
  </si>
  <si>
    <t>p16-30</t>
  </si>
  <si>
    <t>p16-31</t>
  </si>
  <si>
    <t>p16-32</t>
  </si>
  <si>
    <t>p16-33</t>
  </si>
  <si>
    <t>p16-34</t>
  </si>
  <si>
    <t>p16-35</t>
  </si>
  <si>
    <t>p16-36</t>
  </si>
  <si>
    <t>p16-37</t>
  </si>
  <si>
    <t>p16-38</t>
  </si>
  <si>
    <t>p16-39</t>
  </si>
  <si>
    <t>p16-40</t>
  </si>
  <si>
    <t>Machine</t>
  </si>
  <si>
    <t>(lbs)</t>
  </si>
  <si>
    <t>Size of harvest area (2 40-inch rows by 14.476 m, 16 m plot length minus 5 foot buffer mowed out) (m2)</t>
  </si>
  <si>
    <t>in bag</t>
  </si>
  <si>
    <t>Weight of a single mesh harvest bag (lbs)</t>
  </si>
  <si>
    <t>kg per lb</t>
  </si>
  <si>
    <t>wt in bag</t>
  </si>
  <si>
    <t>Weight of a single subsample bag (lbs)</t>
  </si>
  <si>
    <t>Combined</t>
  </si>
  <si>
    <t>Weight</t>
  </si>
  <si>
    <t>Column H - Weight of bulk cotton subsample in bag prior to ginning (lbs)</t>
  </si>
  <si>
    <t>Column I - Weight of combined bulk cotton samples. Material from neighboring harvest areas were combined prior to ginning (1&amp;20,2&amp;19,…9&amp;12,10&amp;11,21&amp;40,22&amp;39,…29&amp;32,30&amp;31) (lbs)</t>
  </si>
  <si>
    <t>wt in bin</t>
  </si>
  <si>
    <t>Weight of bag for fiber at gin (lbs)</t>
  </si>
  <si>
    <t>Column J - Weight of fiber in bag after ginning (lbs)</t>
  </si>
  <si>
    <t>Weight of seed bin at gin (lbs)</t>
  </si>
  <si>
    <t>Column L - Fiber fraction after ginning (FFRAC, g/g)</t>
  </si>
  <si>
    <t>Column M - Seed fraction after ginning (SFRAC, g/g)</t>
  </si>
  <si>
    <t>Column N - Trash fraction after ginning (TFRAC, g/g)</t>
  </si>
  <si>
    <t>Column O - Wet fiber weight at harvest (WFWAH, kg/ha)</t>
  </si>
  <si>
    <t>Column P - Wet seed weight at harvest (WSWAH, kg/ha)</t>
  </si>
  <si>
    <t>Column Q - Wet seed cotton weight at harvest (fiber + seed) (WSCWAH, kg/ha)</t>
  </si>
  <si>
    <t>Plot-scale calculations</t>
  </si>
  <si>
    <t>p01</t>
  </si>
  <si>
    <t>p03</t>
  </si>
  <si>
    <t>p09</t>
  </si>
  <si>
    <t>p10</t>
  </si>
  <si>
    <t>wt in bags</t>
  </si>
  <si>
    <t>wt in bins</t>
  </si>
  <si>
    <t>Plot</t>
  </si>
  <si>
    <t>Lint</t>
  </si>
  <si>
    <t>Cottonseed</t>
  </si>
  <si>
    <t>Original</t>
  </si>
  <si>
    <t>Spreadsheet</t>
  </si>
  <si>
    <t>Column E - Weight of machine-picked cotton in bag (lbs). Machine harvest 2 rows by 14.476 m into mesh bags. Weigh in field using IQ plus 390-DC scale.</t>
  </si>
  <si>
    <t>Column G - Ginning Date (GNDAT, mm/dd/yyyy). Ginned using the MAC large gin with cleaners.</t>
  </si>
  <si>
    <t>Column K - Weight of fuzzy seed in bin after ginning (lbs)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</si>
</sst>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mm/dd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Compare!$N$4:$N$5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xVal>
          <c:yVal>
            <c:numRef>
              <c:f>Compare!$N$4:$N$5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8A-4444-9400-AF06D4A3584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Compare!$B$7:$B$22</c:f>
              <c:numCache>
                <c:formatCode>General</c:formatCode>
                <c:ptCount val="16"/>
                <c:pt idx="0">
                  <c:v>1398.6065288048458</c:v>
                </c:pt>
                <c:pt idx="1">
                  <c:v>1563.1484883531657</c:v>
                </c:pt>
                <c:pt idx="2">
                  <c:v>1368.5258833864855</c:v>
                </c:pt>
                <c:pt idx="3">
                  <c:v>1692.14509569343</c:v>
                </c:pt>
                <c:pt idx="4">
                  <c:v>1708.5412207535396</c:v>
                </c:pt>
                <c:pt idx="5">
                  <c:v>1598.2501105034166</c:v>
                </c:pt>
                <c:pt idx="6">
                  <c:v>1671.2312276847435</c:v>
                </c:pt>
                <c:pt idx="7">
                  <c:v>1757.1442338004388</c:v>
                </c:pt>
                <c:pt idx="8">
                  <c:v>1461.4396484272722</c:v>
                </c:pt>
                <c:pt idx="9">
                  <c:v>1923.54030760053</c:v>
                </c:pt>
                <c:pt idx="10">
                  <c:v>1753.7772285655806</c:v>
                </c:pt>
                <c:pt idx="11">
                  <c:v>1383.6940820598359</c:v>
                </c:pt>
                <c:pt idx="12">
                  <c:v>1492.2575836385186</c:v>
                </c:pt>
                <c:pt idx="13">
                  <c:v>1443.0982688602539</c:v>
                </c:pt>
                <c:pt idx="14">
                  <c:v>1701.0724058575749</c:v>
                </c:pt>
                <c:pt idx="15">
                  <c:v>1247.3843570900185</c:v>
                </c:pt>
              </c:numCache>
            </c:numRef>
          </c:xVal>
          <c:yVal>
            <c:numRef>
              <c:f>'Plot Scale'!$N$7:$N$22</c:f>
              <c:numCache>
                <c:formatCode>0.0</c:formatCode>
                <c:ptCount val="16"/>
                <c:pt idx="0">
                  <c:v>1398.5121259765403</c:v>
                </c:pt>
                <c:pt idx="1">
                  <c:v>1562.8942728226295</c:v>
                </c:pt>
                <c:pt idx="2">
                  <c:v>1368.1976501999118</c:v>
                </c:pt>
                <c:pt idx="3">
                  <c:v>1689.7914431618708</c:v>
                </c:pt>
                <c:pt idx="4">
                  <c:v>1706.4923693794958</c:v>
                </c:pt>
                <c:pt idx="5">
                  <c:v>1597.111862063867</c:v>
                </c:pt>
                <c:pt idx="6">
                  <c:v>1671.3842585589382</c:v>
                </c:pt>
                <c:pt idx="7">
                  <c:v>1755.378950102486</c:v>
                </c:pt>
                <c:pt idx="8">
                  <c:v>1461.6805042527963</c:v>
                </c:pt>
                <c:pt idx="9">
                  <c:v>1923.6782293820136</c:v>
                </c:pt>
                <c:pt idx="10">
                  <c:v>1753.7322503146966</c:v>
                </c:pt>
                <c:pt idx="11">
                  <c:v>1382.6085543308207</c:v>
                </c:pt>
                <c:pt idx="12">
                  <c:v>1490.3507440201599</c:v>
                </c:pt>
                <c:pt idx="13">
                  <c:v>1456.958647118091</c:v>
                </c:pt>
                <c:pt idx="14">
                  <c:v>1702.3506993817994</c:v>
                </c:pt>
                <c:pt idx="15">
                  <c:v>1247.6688658476703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8A-4444-9400-AF06D4A35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335016"/>
        <c:axId val="751338256"/>
      </c:scatterChart>
      <c:valAx>
        <c:axId val="751335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338256"/>
        <c:crosses val="autoZero"/>
        <c:crossBetween val="midCat"/>
      </c:valAx>
      <c:valAx>
        <c:axId val="75133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335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Compare!$N$20:$N$21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xVal>
          <c:yVal>
            <c:numRef>
              <c:f>Compare!$N$20:$N$21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C9-44FD-8CE7-A7729FFEFAA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Compare!$C$7:$C$22</c:f>
              <c:numCache>
                <c:formatCode>General</c:formatCode>
                <c:ptCount val="16"/>
                <c:pt idx="0">
                  <c:v>2242.6001811130582</c:v>
                </c:pt>
                <c:pt idx="1">
                  <c:v>2718.8597970125725</c:v>
                </c:pt>
                <c:pt idx="2">
                  <c:v>2397.7731849181546</c:v>
                </c:pt>
                <c:pt idx="3">
                  <c:v>2953.0622135714511</c:v>
                </c:pt>
                <c:pt idx="4">
                  <c:v>2897.4368952200848</c:v>
                </c:pt>
                <c:pt idx="5">
                  <c:v>2736.6998273171448</c:v>
                </c:pt>
                <c:pt idx="6">
                  <c:v>2915.0885965382577</c:v>
                </c:pt>
                <c:pt idx="7">
                  <c:v>2906.907742607068</c:v>
                </c:pt>
                <c:pt idx="8">
                  <c:v>2423.1886204961952</c:v>
                </c:pt>
                <c:pt idx="9">
                  <c:v>3303.5234845536324</c:v>
                </c:pt>
                <c:pt idx="10">
                  <c:v>2971.2179574674101</c:v>
                </c:pt>
                <c:pt idx="11">
                  <c:v>2442.412209780111</c:v>
                </c:pt>
                <c:pt idx="12">
                  <c:v>2570.5247515433839</c:v>
                </c:pt>
                <c:pt idx="13">
                  <c:v>2566.8154409297954</c:v>
                </c:pt>
                <c:pt idx="14">
                  <c:v>2822.4012835863527</c:v>
                </c:pt>
                <c:pt idx="15">
                  <c:v>2088.1321819857026</c:v>
                </c:pt>
              </c:numCache>
            </c:numRef>
          </c:xVal>
          <c:yVal>
            <c:numRef>
              <c:f>'Plot Scale'!$O$7:$O$22</c:f>
              <c:numCache>
                <c:formatCode>0.0</c:formatCode>
                <c:ptCount val="16"/>
                <c:pt idx="0">
                  <c:v>2240.3475719893581</c:v>
                </c:pt>
                <c:pt idx="1">
                  <c:v>2716.8393112194326</c:v>
                </c:pt>
                <c:pt idx="2">
                  <c:v>2395.3608712698774</c:v>
                </c:pt>
                <c:pt idx="3">
                  <c:v>2951.6657368125293</c:v>
                </c:pt>
                <c:pt idx="4">
                  <c:v>2896.1558663726041</c:v>
                </c:pt>
                <c:pt idx="5">
                  <c:v>2732.8867730581146</c:v>
                </c:pt>
                <c:pt idx="6">
                  <c:v>2913.6404036047097</c:v>
                </c:pt>
                <c:pt idx="7">
                  <c:v>2904.7543668041153</c:v>
                </c:pt>
                <c:pt idx="8">
                  <c:v>2420.9320884270201</c:v>
                </c:pt>
                <c:pt idx="9">
                  <c:v>3299.8768847098868</c:v>
                </c:pt>
                <c:pt idx="10">
                  <c:v>2969.7033480703708</c:v>
                </c:pt>
                <c:pt idx="11">
                  <c:v>2441.7483799743213</c:v>
                </c:pt>
                <c:pt idx="12">
                  <c:v>2568.5042208955897</c:v>
                </c:pt>
                <c:pt idx="13">
                  <c:v>2585.7088413809342</c:v>
                </c:pt>
                <c:pt idx="14">
                  <c:v>2820.3224593974501</c:v>
                </c:pt>
                <c:pt idx="15">
                  <c:v>2088.3704352607901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C9-44FD-8CE7-A7729FFEF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335016"/>
        <c:axId val="751338256"/>
      </c:scatterChart>
      <c:valAx>
        <c:axId val="751335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338256"/>
        <c:crosses val="autoZero"/>
        <c:crossBetween val="midCat"/>
      </c:valAx>
      <c:valAx>
        <c:axId val="75133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335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2</xdr:row>
      <xdr:rowOff>170497</xdr:rowOff>
    </xdr:from>
    <xdr:to>
      <xdr:col>11</xdr:col>
      <xdr:colOff>428625</xdr:colOff>
      <xdr:row>18</xdr:row>
      <xdr:rowOff>16192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A2044-09E0-DA3D-E846-D67E5964A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</xdr:colOff>
      <xdr:row>18</xdr:row>
      <xdr:rowOff>171450</xdr:rowOff>
    </xdr:from>
    <xdr:to>
      <xdr:col>11</xdr:col>
      <xdr:colOff>371475</xdr:colOff>
      <xdr:row>34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8F3DFA-D015-415E-A692-DDE06A7AB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AH673"/>
  <sheetViews>
    <sheetView tabSelected="1" workbookViewId="0"/>
  </sheetViews>
  <sheetFormatPr defaultRowHeight="14.4" x14ac:dyDescent="0.3"/>
  <cols>
    <col min="1" max="2" width="8.88671875" customWidth="1"/>
    <col min="3" max="7" width="10.5546875" bestFit="1" customWidth="1"/>
    <col min="21" max="21" width="10.5546875" bestFit="1" customWidth="1"/>
    <col min="22" max="22" width="10.5546875" customWidth="1"/>
    <col min="24" max="24" width="9.5546875" bestFit="1" customWidth="1"/>
  </cols>
  <sheetData>
    <row r="1" spans="1:1" x14ac:dyDescent="0.3">
      <c r="A1" t="s">
        <v>40</v>
      </c>
    </row>
    <row r="2" spans="1:1" x14ac:dyDescent="0.3">
      <c r="A2" t="s">
        <v>41</v>
      </c>
    </row>
    <row r="3" spans="1:1" x14ac:dyDescent="0.3">
      <c r="A3" t="s">
        <v>21</v>
      </c>
    </row>
    <row r="4" spans="1:1" x14ac:dyDescent="0.3">
      <c r="A4" t="s">
        <v>25</v>
      </c>
    </row>
    <row r="5" spans="1:1" x14ac:dyDescent="0.3">
      <c r="A5" t="s">
        <v>716</v>
      </c>
    </row>
    <row r="6" spans="1:1" x14ac:dyDescent="0.3">
      <c r="A6" t="s">
        <v>22</v>
      </c>
    </row>
    <row r="7" spans="1:1" x14ac:dyDescent="0.3">
      <c r="A7" t="s">
        <v>717</v>
      </c>
    </row>
    <row r="8" spans="1:1" x14ac:dyDescent="0.3">
      <c r="A8" t="s">
        <v>692</v>
      </c>
    </row>
    <row r="9" spans="1:1" x14ac:dyDescent="0.3">
      <c r="A9" t="s">
        <v>693</v>
      </c>
    </row>
    <row r="10" spans="1:1" x14ac:dyDescent="0.3">
      <c r="A10" t="s">
        <v>696</v>
      </c>
    </row>
    <row r="11" spans="1:1" x14ac:dyDescent="0.3">
      <c r="A11" t="s">
        <v>718</v>
      </c>
    </row>
    <row r="12" spans="1:1" x14ac:dyDescent="0.3">
      <c r="A12" t="s">
        <v>698</v>
      </c>
    </row>
    <row r="13" spans="1:1" x14ac:dyDescent="0.3">
      <c r="A13" t="s">
        <v>699</v>
      </c>
    </row>
    <row r="14" spans="1:1" x14ac:dyDescent="0.3">
      <c r="A14" t="s">
        <v>700</v>
      </c>
    </row>
    <row r="15" spans="1:1" x14ac:dyDescent="0.3">
      <c r="A15" t="s">
        <v>701</v>
      </c>
    </row>
    <row r="16" spans="1:1" x14ac:dyDescent="0.3">
      <c r="A16" t="s">
        <v>702</v>
      </c>
    </row>
    <row r="17" spans="1:34" x14ac:dyDescent="0.3">
      <c r="A17" t="s">
        <v>703</v>
      </c>
    </row>
    <row r="19" spans="1:34" x14ac:dyDescent="0.3">
      <c r="A19" t="s">
        <v>5</v>
      </c>
    </row>
    <row r="20" spans="1:34" x14ac:dyDescent="0.3">
      <c r="A20">
        <v>1.08</v>
      </c>
      <c r="B20" t="s">
        <v>686</v>
      </c>
    </row>
    <row r="21" spans="1:34" x14ac:dyDescent="0.3">
      <c r="A21">
        <v>0.453592</v>
      </c>
      <c r="B21" t="s">
        <v>687</v>
      </c>
    </row>
    <row r="22" spans="1:34" x14ac:dyDescent="0.3">
      <c r="A22">
        <f>2*1.016*14.476</f>
        <v>29.415232000000003</v>
      </c>
      <c r="B22" t="s">
        <v>684</v>
      </c>
    </row>
    <row r="23" spans="1:34" x14ac:dyDescent="0.3">
      <c r="A23">
        <v>10000</v>
      </c>
      <c r="B23" t="s">
        <v>6</v>
      </c>
    </row>
    <row r="24" spans="1:34" x14ac:dyDescent="0.3">
      <c r="A24">
        <v>0.16</v>
      </c>
      <c r="B24" t="s">
        <v>689</v>
      </c>
    </row>
    <row r="25" spans="1:34" x14ac:dyDescent="0.3">
      <c r="A25">
        <v>1.04</v>
      </c>
      <c r="B25" t="s">
        <v>695</v>
      </c>
    </row>
    <row r="26" spans="1:34" x14ac:dyDescent="0.3">
      <c r="A26">
        <v>1.7</v>
      </c>
      <c r="B26" t="s">
        <v>697</v>
      </c>
      <c r="S26" t="s">
        <v>704</v>
      </c>
    </row>
    <row r="28" spans="1:34" x14ac:dyDescent="0.3">
      <c r="B28" s="1"/>
      <c r="C28" s="1" t="s">
        <v>0</v>
      </c>
      <c r="D28" s="1" t="s">
        <v>0</v>
      </c>
      <c r="E28" t="s">
        <v>0</v>
      </c>
      <c r="F28" s="1" t="s">
        <v>0</v>
      </c>
      <c r="G28" s="1" t="s">
        <v>7</v>
      </c>
      <c r="H28" t="s">
        <v>7</v>
      </c>
      <c r="I28" t="s">
        <v>7</v>
      </c>
      <c r="J28" t="s">
        <v>7</v>
      </c>
      <c r="K28" t="s">
        <v>7</v>
      </c>
      <c r="L28" s="1" t="s">
        <v>7</v>
      </c>
      <c r="M28" s="1" t="s">
        <v>7</v>
      </c>
      <c r="N28" s="1" t="s">
        <v>7</v>
      </c>
      <c r="O28" s="1" t="s">
        <v>15</v>
      </c>
      <c r="P28" s="1" t="s">
        <v>15</v>
      </c>
      <c r="Q28" s="1" t="s">
        <v>15</v>
      </c>
      <c r="T28" t="s">
        <v>0</v>
      </c>
      <c r="U28" t="s">
        <v>0</v>
      </c>
      <c r="V28" t="s">
        <v>0</v>
      </c>
      <c r="W28" t="s">
        <v>0</v>
      </c>
      <c r="X28" t="s">
        <v>7</v>
      </c>
      <c r="Y28" t="s">
        <v>7</v>
      </c>
      <c r="Z28" t="s">
        <v>7</v>
      </c>
      <c r="AA28" t="s">
        <v>7</v>
      </c>
      <c r="AB28" t="s">
        <v>7</v>
      </c>
      <c r="AC28" t="s">
        <v>7</v>
      </c>
      <c r="AD28" t="s">
        <v>7</v>
      </c>
      <c r="AE28" t="s">
        <v>7</v>
      </c>
      <c r="AF28" t="s">
        <v>15</v>
      </c>
      <c r="AG28" t="s">
        <v>15</v>
      </c>
      <c r="AH28" t="s">
        <v>15</v>
      </c>
    </row>
    <row r="29" spans="1:34" x14ac:dyDescent="0.3">
      <c r="B29" s="1"/>
      <c r="C29" s="1"/>
      <c r="D29" s="1"/>
      <c r="F29" s="1"/>
      <c r="G29" s="1"/>
      <c r="I29" t="s">
        <v>690</v>
      </c>
      <c r="J29" t="s">
        <v>690</v>
      </c>
      <c r="K29" t="s">
        <v>690</v>
      </c>
      <c r="L29" s="1"/>
      <c r="M29" s="1"/>
      <c r="N29" s="1"/>
      <c r="O29" s="1"/>
      <c r="P29" s="1"/>
      <c r="Q29" s="1"/>
      <c r="Z29" t="s">
        <v>690</v>
      </c>
      <c r="AA29" t="s">
        <v>690</v>
      </c>
      <c r="AB29" t="s">
        <v>690</v>
      </c>
    </row>
    <row r="30" spans="1:34" x14ac:dyDescent="0.3">
      <c r="B30" s="1"/>
      <c r="C30" s="1"/>
      <c r="D30" s="1"/>
      <c r="E30" t="s">
        <v>1</v>
      </c>
      <c r="F30" s="1"/>
      <c r="G30" s="1" t="s">
        <v>23</v>
      </c>
      <c r="H30" t="s">
        <v>8</v>
      </c>
      <c r="I30" t="s">
        <v>8</v>
      </c>
      <c r="J30" t="s">
        <v>9</v>
      </c>
      <c r="K30" t="s">
        <v>10</v>
      </c>
      <c r="L30" s="1"/>
      <c r="M30" s="1"/>
      <c r="N30" s="1"/>
      <c r="O30" s="1"/>
      <c r="P30" s="1"/>
      <c r="Q30" s="1"/>
      <c r="V30" t="s">
        <v>1</v>
      </c>
      <c r="X30" t="s">
        <v>23</v>
      </c>
      <c r="Y30" t="s">
        <v>8</v>
      </c>
      <c r="Z30" t="s">
        <v>8</v>
      </c>
      <c r="AA30" t="s">
        <v>9</v>
      </c>
      <c r="AB30" t="s">
        <v>10</v>
      </c>
    </row>
    <row r="31" spans="1:34" x14ac:dyDescent="0.3">
      <c r="A31" t="s">
        <v>39</v>
      </c>
      <c r="B31" s="1" t="s">
        <v>26</v>
      </c>
      <c r="C31" s="1" t="s">
        <v>20</v>
      </c>
      <c r="D31" s="1" t="s">
        <v>2</v>
      </c>
      <c r="E31" t="s">
        <v>685</v>
      </c>
      <c r="F31" s="1" t="s">
        <v>3</v>
      </c>
      <c r="G31" s="1" t="s">
        <v>24</v>
      </c>
      <c r="H31" t="s">
        <v>688</v>
      </c>
      <c r="I31" t="s">
        <v>691</v>
      </c>
      <c r="J31" t="s">
        <v>688</v>
      </c>
      <c r="K31" t="s">
        <v>694</v>
      </c>
      <c r="L31" s="1" t="s">
        <v>11</v>
      </c>
      <c r="M31" s="1" t="s">
        <v>12</v>
      </c>
      <c r="N31" s="1" t="s">
        <v>13</v>
      </c>
      <c r="O31" s="1" t="s">
        <v>16</v>
      </c>
      <c r="P31" s="1" t="s">
        <v>17</v>
      </c>
      <c r="Q31" s="1" t="s">
        <v>18</v>
      </c>
      <c r="S31" t="s">
        <v>19</v>
      </c>
      <c r="T31" t="s">
        <v>20</v>
      </c>
      <c r="U31" t="s">
        <v>2</v>
      </c>
      <c r="V31" t="s">
        <v>685</v>
      </c>
      <c r="W31" t="s">
        <v>3</v>
      </c>
      <c r="X31" t="s">
        <v>24</v>
      </c>
      <c r="Y31" t="s">
        <v>709</v>
      </c>
      <c r="Z31" t="s">
        <v>691</v>
      </c>
      <c r="AA31" t="s">
        <v>709</v>
      </c>
      <c r="AB31" t="s">
        <v>710</v>
      </c>
      <c r="AC31" t="s">
        <v>11</v>
      </c>
      <c r="AD31" t="s">
        <v>12</v>
      </c>
      <c r="AE31" t="s">
        <v>13</v>
      </c>
      <c r="AF31" t="s">
        <v>16</v>
      </c>
      <c r="AG31" t="s">
        <v>17</v>
      </c>
      <c r="AH31" t="s">
        <v>18</v>
      </c>
    </row>
    <row r="32" spans="1:34" x14ac:dyDescent="0.3">
      <c r="B32" s="1"/>
      <c r="C32" s="1"/>
      <c r="D32" s="1"/>
      <c r="E32" t="s">
        <v>683</v>
      </c>
      <c r="F32" s="1" t="s">
        <v>4</v>
      </c>
      <c r="G32" s="1"/>
      <c r="H32" t="s">
        <v>683</v>
      </c>
      <c r="I32" t="s">
        <v>683</v>
      </c>
      <c r="J32" t="s">
        <v>683</v>
      </c>
      <c r="K32" t="s">
        <v>683</v>
      </c>
      <c r="L32" s="5" t="s">
        <v>14</v>
      </c>
      <c r="M32" s="5" t="s">
        <v>14</v>
      </c>
      <c r="N32" s="5" t="s">
        <v>14</v>
      </c>
      <c r="O32" s="5" t="s">
        <v>4</v>
      </c>
      <c r="P32" s="5" t="s">
        <v>4</v>
      </c>
      <c r="Q32" s="5" t="s">
        <v>4</v>
      </c>
      <c r="V32" t="s">
        <v>683</v>
      </c>
      <c r="W32" s="7" t="s">
        <v>4</v>
      </c>
      <c r="Y32" t="s">
        <v>683</v>
      </c>
      <c r="Z32" t="s">
        <v>683</v>
      </c>
      <c r="AA32" t="s">
        <v>683</v>
      </c>
      <c r="AB32" t="s">
        <v>683</v>
      </c>
      <c r="AC32" t="s">
        <v>14</v>
      </c>
      <c r="AD32" t="s">
        <v>14</v>
      </c>
      <c r="AE32" t="s">
        <v>14</v>
      </c>
      <c r="AF32" t="s">
        <v>4</v>
      </c>
      <c r="AG32" t="s">
        <v>4</v>
      </c>
      <c r="AH32" t="s">
        <v>4</v>
      </c>
    </row>
    <row r="33" spans="1:34" x14ac:dyDescent="0.3">
      <c r="A33" t="s">
        <v>39</v>
      </c>
      <c r="B33" s="1" t="s">
        <v>26</v>
      </c>
      <c r="C33" s="1" t="s">
        <v>20</v>
      </c>
      <c r="D33" s="1" t="s">
        <v>2</v>
      </c>
      <c r="F33" s="1" t="s">
        <v>3</v>
      </c>
      <c r="G33" s="1" t="s">
        <v>24</v>
      </c>
      <c r="L33" s="1" t="s">
        <v>11</v>
      </c>
      <c r="M33" s="1" t="s">
        <v>12</v>
      </c>
      <c r="N33" s="1" t="s">
        <v>13</v>
      </c>
      <c r="O33" s="1" t="s">
        <v>16</v>
      </c>
      <c r="P33" s="1" t="s">
        <v>17</v>
      </c>
      <c r="Q33" s="1" t="s">
        <v>18</v>
      </c>
      <c r="S33" t="s">
        <v>19</v>
      </c>
      <c r="T33" t="s">
        <v>20</v>
      </c>
      <c r="U33" t="s">
        <v>2</v>
      </c>
      <c r="W33" t="s">
        <v>3</v>
      </c>
      <c r="X33" t="s">
        <v>24</v>
      </c>
      <c r="AC33" t="s">
        <v>11</v>
      </c>
      <c r="AD33" t="s">
        <v>12</v>
      </c>
      <c r="AE33" t="s">
        <v>13</v>
      </c>
      <c r="AF33" t="s">
        <v>16</v>
      </c>
      <c r="AG33" t="s">
        <v>17</v>
      </c>
      <c r="AH33" t="s">
        <v>18</v>
      </c>
    </row>
    <row r="34" spans="1:34" x14ac:dyDescent="0.3">
      <c r="A34">
        <v>1</v>
      </c>
      <c r="B34" s="1" t="s">
        <v>42</v>
      </c>
      <c r="C34" s="1" t="s">
        <v>682</v>
      </c>
      <c r="D34" s="2">
        <v>40827</v>
      </c>
      <c r="E34" s="3">
        <v>19</v>
      </c>
      <c r="F34" s="4">
        <f>(E34-2*$A$20)*$A$21/$A$22*$A$23</f>
        <v>2596.78022597272</v>
      </c>
      <c r="G34" s="2">
        <v>40200</v>
      </c>
      <c r="H34" s="7">
        <v>3.02</v>
      </c>
      <c r="I34" s="7">
        <f>H34+H53-2*$A$24</f>
        <v>5.9799999999999995</v>
      </c>
      <c r="J34" s="7">
        <v>3.16</v>
      </c>
      <c r="K34" s="7">
        <v>5.04</v>
      </c>
      <c r="L34" s="6">
        <f>(J34-$A$25)/I34</f>
        <v>0.35451505016722412</v>
      </c>
      <c r="M34" s="6">
        <f>(K34-$A$26)/I34</f>
        <v>0.55852842809364556</v>
      </c>
      <c r="N34" s="6">
        <f>1-L34-M34</f>
        <v>8.6956521739130377E-2</v>
      </c>
      <c r="O34" s="4">
        <f>F34*L34</f>
        <v>920.59767208397443</v>
      </c>
      <c r="P34" s="4">
        <f>F34*M34</f>
        <v>1450.375577717205</v>
      </c>
      <c r="Q34" s="4">
        <f>O34+P34</f>
        <v>2370.9732498011795</v>
      </c>
      <c r="R34" s="3"/>
      <c r="S34" t="s">
        <v>705</v>
      </c>
      <c r="T34" t="s">
        <v>682</v>
      </c>
      <c r="U34" s="8">
        <f>D34</f>
        <v>40827</v>
      </c>
      <c r="V34" s="3">
        <f>SUM(E34:E73)</f>
        <v>1130.4000000000003</v>
      </c>
      <c r="W34" s="3">
        <f>(V34-80*$A$20)*$A$21/(40*$A$22)*$A$23</f>
        <v>4024.7009440551078</v>
      </c>
      <c r="X34" s="8">
        <f>G34</f>
        <v>40200</v>
      </c>
      <c r="Y34" s="7">
        <f>SUM(H34:H73)</f>
        <v>130.31999999999996</v>
      </c>
      <c r="Z34" s="7">
        <f>SUM(I34:I73)</f>
        <v>247.83999999999997</v>
      </c>
      <c r="AA34" s="7">
        <f>SUM(J34:J73)</f>
        <v>127.72</v>
      </c>
      <c r="AB34" s="7">
        <f>SUM(K34:K73)</f>
        <v>205.96</v>
      </c>
      <c r="AC34" s="9">
        <f>(AA34-40*$A$25)/Z34</f>
        <v>0.34748224661071664</v>
      </c>
      <c r="AD34" s="9">
        <f>(AB34-40*$A$26)/Z34</f>
        <v>0.55664945125887677</v>
      </c>
      <c r="AE34" s="9">
        <f>1-AC34-AD34</f>
        <v>9.5868302130406646E-2</v>
      </c>
      <c r="AF34" s="3">
        <f>W34*AC34</f>
        <v>1398.512125976541</v>
      </c>
      <c r="AG34" s="3">
        <f>W34*AD34</f>
        <v>2240.347571989359</v>
      </c>
      <c r="AH34" s="3">
        <f>AF34+AG34</f>
        <v>3638.8596979659001</v>
      </c>
    </row>
    <row r="35" spans="1:34" x14ac:dyDescent="0.3">
      <c r="A35">
        <v>2</v>
      </c>
      <c r="B35" s="1" t="s">
        <v>43</v>
      </c>
      <c r="C35" s="1" t="s">
        <v>682</v>
      </c>
      <c r="D35" s="2">
        <v>40827</v>
      </c>
      <c r="E35" s="3">
        <v>22</v>
      </c>
      <c r="F35" s="4">
        <f t="shared" ref="F35:F98" si="0">(E35-2*$A$20)*$A$21/$A$22*$A$23</f>
        <v>3059.3895298870998</v>
      </c>
      <c r="G35" s="2">
        <v>40200</v>
      </c>
      <c r="H35" s="7">
        <v>3.28</v>
      </c>
      <c r="I35" s="7">
        <f>H35+H52-2*$A$24</f>
        <v>6</v>
      </c>
      <c r="J35" s="7">
        <v>3.14</v>
      </c>
      <c r="K35" s="7">
        <v>4.9800000000000004</v>
      </c>
      <c r="L35" s="6">
        <f t="shared" ref="L35:L98" si="1">(J35-$A$25)/I35</f>
        <v>0.35000000000000003</v>
      </c>
      <c r="M35" s="6">
        <f t="shared" ref="M35:M98" si="2">(K35-$A$26)/I35</f>
        <v>0.54666666666666675</v>
      </c>
      <c r="N35" s="6">
        <f t="shared" ref="N35:N98" si="3">1-L35-M35</f>
        <v>0.10333333333333317</v>
      </c>
      <c r="O35" s="4">
        <f t="shared" ref="O35:O98" si="4">F35*L35</f>
        <v>1070.7863354604851</v>
      </c>
      <c r="P35" s="4">
        <f t="shared" ref="P35:P98" si="5">F35*M35</f>
        <v>1672.4662763382814</v>
      </c>
      <c r="Q35" s="4">
        <f t="shared" ref="Q35:Q98" si="6">O35+P35</f>
        <v>2743.2526117987663</v>
      </c>
      <c r="R35" s="3"/>
      <c r="V35" s="3"/>
      <c r="W35" s="3"/>
      <c r="Y35" s="7"/>
      <c r="Z35" s="7"/>
      <c r="AA35" s="7"/>
      <c r="AB35" s="7"/>
      <c r="AC35" s="9"/>
      <c r="AD35" s="9"/>
      <c r="AE35" s="9"/>
      <c r="AF35" s="3"/>
      <c r="AG35" s="3"/>
      <c r="AH35" s="3"/>
    </row>
    <row r="36" spans="1:34" x14ac:dyDescent="0.3">
      <c r="A36">
        <v>3</v>
      </c>
      <c r="B36" s="1" t="s">
        <v>44</v>
      </c>
      <c r="C36" s="1" t="s">
        <v>682</v>
      </c>
      <c r="D36" s="2">
        <v>40827</v>
      </c>
      <c r="E36" s="3">
        <v>22.700000000000003</v>
      </c>
      <c r="F36" s="4">
        <f t="shared" si="0"/>
        <v>3167.3317008004565</v>
      </c>
      <c r="G36" s="2">
        <v>40200</v>
      </c>
      <c r="H36" s="7">
        <v>3.26</v>
      </c>
      <c r="I36" s="7">
        <f>H36+H51-2*$A$24</f>
        <v>6.6199999999999992</v>
      </c>
      <c r="J36" s="7">
        <v>3.38</v>
      </c>
      <c r="K36" s="7">
        <v>5.36</v>
      </c>
      <c r="L36" s="6">
        <f t="shared" si="1"/>
        <v>0.35347432024169184</v>
      </c>
      <c r="M36" s="6">
        <f t="shared" si="2"/>
        <v>0.55287009063444115</v>
      </c>
      <c r="N36" s="6">
        <f t="shared" si="3"/>
        <v>9.3655589123866956E-2</v>
      </c>
      <c r="O36" s="4">
        <f t="shared" si="4"/>
        <v>1119.5704199204031</v>
      </c>
      <c r="P36" s="4">
        <f t="shared" si="5"/>
        <v>1751.1229644908869</v>
      </c>
      <c r="Q36" s="4">
        <f t="shared" si="6"/>
        <v>2870.69338441129</v>
      </c>
      <c r="R36" s="3"/>
      <c r="V36" s="3"/>
      <c r="W36" s="3"/>
      <c r="Y36" s="7"/>
      <c r="Z36" s="7"/>
      <c r="AA36" s="7"/>
      <c r="AB36" s="7"/>
      <c r="AC36" s="9"/>
      <c r="AD36" s="9"/>
      <c r="AE36" s="9"/>
      <c r="AF36" s="3"/>
      <c r="AG36" s="3"/>
      <c r="AH36" s="3"/>
    </row>
    <row r="37" spans="1:34" x14ac:dyDescent="0.3">
      <c r="A37">
        <v>4</v>
      </c>
      <c r="B37" s="1" t="s">
        <v>45</v>
      </c>
      <c r="C37" s="1" t="s">
        <v>682</v>
      </c>
      <c r="D37" s="2">
        <v>40827</v>
      </c>
      <c r="E37" s="3">
        <v>26.6</v>
      </c>
      <c r="F37" s="4">
        <f t="shared" si="0"/>
        <v>3768.7237958891496</v>
      </c>
      <c r="G37" s="2">
        <v>40200</v>
      </c>
      <c r="H37" s="7">
        <v>3.02</v>
      </c>
      <c r="I37" s="7">
        <f>H37+H50-2*$A$24</f>
        <v>5.52</v>
      </c>
      <c r="J37" s="7">
        <v>2.94</v>
      </c>
      <c r="K37" s="7">
        <v>4.8</v>
      </c>
      <c r="L37" s="6">
        <f t="shared" si="1"/>
        <v>0.34420289855072467</v>
      </c>
      <c r="M37" s="6">
        <f t="shared" si="2"/>
        <v>0.56159420289855067</v>
      </c>
      <c r="N37" s="6">
        <f t="shared" si="3"/>
        <v>9.4202898550724723E-2</v>
      </c>
      <c r="O37" s="4">
        <f t="shared" si="4"/>
        <v>1297.205654382135</v>
      </c>
      <c r="P37" s="4">
        <f t="shared" si="5"/>
        <v>2116.493436097167</v>
      </c>
      <c r="Q37" s="4">
        <f t="shared" si="6"/>
        <v>3413.699090479302</v>
      </c>
      <c r="R37" s="3"/>
      <c r="V37" s="3"/>
      <c r="W37" s="3"/>
      <c r="Y37" s="7"/>
      <c r="Z37" s="7"/>
      <c r="AA37" s="7"/>
      <c r="AB37" s="7"/>
      <c r="AC37" s="9"/>
      <c r="AD37" s="9"/>
      <c r="AE37" s="9"/>
      <c r="AF37" s="3"/>
      <c r="AG37" s="3"/>
      <c r="AH37" s="3"/>
    </row>
    <row r="38" spans="1:34" x14ac:dyDescent="0.3">
      <c r="A38">
        <v>5</v>
      </c>
      <c r="B38" s="1" t="s">
        <v>46</v>
      </c>
      <c r="C38" s="1" t="s">
        <v>682</v>
      </c>
      <c r="D38" s="2">
        <v>40827</v>
      </c>
      <c r="E38" s="3">
        <v>25.6</v>
      </c>
      <c r="F38" s="4">
        <f t="shared" si="0"/>
        <v>3614.5206945843565</v>
      </c>
      <c r="G38" s="2">
        <v>40200</v>
      </c>
      <c r="H38" s="7">
        <v>3.3</v>
      </c>
      <c r="I38" s="7">
        <f>H38+H49-2*$A$24</f>
        <v>5.4799999999999995</v>
      </c>
      <c r="J38" s="7">
        <v>2.98</v>
      </c>
      <c r="K38" s="7">
        <v>4.78</v>
      </c>
      <c r="L38" s="6">
        <f t="shared" si="1"/>
        <v>0.354014598540146</v>
      </c>
      <c r="M38" s="6">
        <f t="shared" si="2"/>
        <v>0.56204379562043805</v>
      </c>
      <c r="N38" s="6">
        <f t="shared" si="3"/>
        <v>8.3941605839416011E-2</v>
      </c>
      <c r="O38" s="4">
        <f t="shared" si="4"/>
        <v>1279.5930926083306</v>
      </c>
      <c r="P38" s="4">
        <f t="shared" si="5"/>
        <v>2031.5189305328138</v>
      </c>
      <c r="Q38" s="4">
        <f t="shared" si="6"/>
        <v>3311.1120231411442</v>
      </c>
      <c r="R38" s="3"/>
      <c r="V38" s="3"/>
      <c r="W38" s="3"/>
      <c r="Y38" s="7"/>
      <c r="Z38" s="7"/>
      <c r="AA38" s="7"/>
      <c r="AB38" s="7"/>
      <c r="AC38" s="9"/>
      <c r="AD38" s="9"/>
      <c r="AE38" s="9"/>
      <c r="AF38" s="3"/>
      <c r="AG38" s="3"/>
      <c r="AH38" s="3"/>
    </row>
    <row r="39" spans="1:34" x14ac:dyDescent="0.3">
      <c r="A39">
        <v>6</v>
      </c>
      <c r="B39" s="1" t="s">
        <v>47</v>
      </c>
      <c r="C39" s="1" t="s">
        <v>682</v>
      </c>
      <c r="D39" s="2">
        <v>40827</v>
      </c>
      <c r="E39" s="3">
        <v>26.7</v>
      </c>
      <c r="F39" s="4">
        <f t="shared" si="0"/>
        <v>3784.1441060196289</v>
      </c>
      <c r="G39" s="2">
        <v>40200</v>
      </c>
      <c r="H39" s="7">
        <v>3.38</v>
      </c>
      <c r="I39" s="7">
        <f>H39+H48-2*$A$24</f>
        <v>7.0799999999999992</v>
      </c>
      <c r="J39" s="7">
        <v>3.54</v>
      </c>
      <c r="K39" s="7">
        <v>5.64</v>
      </c>
      <c r="L39" s="6">
        <f t="shared" si="1"/>
        <v>0.35310734463276838</v>
      </c>
      <c r="M39" s="6">
        <f t="shared" si="2"/>
        <v>0.55649717514124297</v>
      </c>
      <c r="N39" s="6">
        <f t="shared" si="3"/>
        <v>9.0395480225988645E-2</v>
      </c>
      <c r="O39" s="4">
        <f t="shared" si="4"/>
        <v>1336.2090769843323</v>
      </c>
      <c r="P39" s="4">
        <f t="shared" si="5"/>
        <v>2105.8655053273078</v>
      </c>
      <c r="Q39" s="4">
        <f t="shared" si="6"/>
        <v>3442.0745823116404</v>
      </c>
      <c r="R39" s="3"/>
      <c r="V39" s="3"/>
      <c r="W39" s="3"/>
      <c r="Y39" s="7"/>
      <c r="Z39" s="7"/>
      <c r="AA39" s="7"/>
      <c r="AB39" s="7"/>
      <c r="AC39" s="9"/>
      <c r="AD39" s="9"/>
      <c r="AE39" s="9"/>
      <c r="AF39" s="3"/>
      <c r="AG39" s="3"/>
      <c r="AH39" s="3"/>
    </row>
    <row r="40" spans="1:34" x14ac:dyDescent="0.3">
      <c r="A40">
        <v>7</v>
      </c>
      <c r="B40" s="1" t="s">
        <v>48</v>
      </c>
      <c r="C40" s="1" t="s">
        <v>682</v>
      </c>
      <c r="D40" s="2">
        <v>40827</v>
      </c>
      <c r="E40" s="3">
        <v>27.5</v>
      </c>
      <c r="F40" s="4">
        <f t="shared" si="0"/>
        <v>3907.5065870634639</v>
      </c>
      <c r="G40" s="2">
        <v>40200</v>
      </c>
      <c r="H40" s="7">
        <v>3.18</v>
      </c>
      <c r="I40" s="7">
        <f>H40+H47-2*$A$24</f>
        <v>6.64</v>
      </c>
      <c r="J40" s="7">
        <v>3.32</v>
      </c>
      <c r="K40" s="7">
        <v>5.36</v>
      </c>
      <c r="L40" s="6">
        <f t="shared" si="1"/>
        <v>0.34337349397590361</v>
      </c>
      <c r="M40" s="6">
        <f t="shared" si="2"/>
        <v>0.55120481927710852</v>
      </c>
      <c r="N40" s="6">
        <f t="shared" si="3"/>
        <v>0.10542168674698782</v>
      </c>
      <c r="O40" s="4">
        <f t="shared" si="4"/>
        <v>1341.73418953384</v>
      </c>
      <c r="P40" s="4">
        <f t="shared" si="5"/>
        <v>2153.8364621464279</v>
      </c>
      <c r="Q40" s="4">
        <f t="shared" si="6"/>
        <v>3495.5706516802679</v>
      </c>
      <c r="R40" s="3"/>
      <c r="V40" s="3"/>
      <c r="W40" s="3"/>
      <c r="Y40" s="7"/>
      <c r="Z40" s="7"/>
      <c r="AA40" s="7"/>
      <c r="AB40" s="7"/>
      <c r="AC40" s="9"/>
      <c r="AD40" s="9"/>
      <c r="AE40" s="9"/>
      <c r="AF40" s="3"/>
      <c r="AG40" s="3"/>
      <c r="AH40" s="3"/>
    </row>
    <row r="41" spans="1:34" x14ac:dyDescent="0.3">
      <c r="A41">
        <v>8</v>
      </c>
      <c r="B41" s="1" t="s">
        <v>49</v>
      </c>
      <c r="C41" s="1" t="s">
        <v>682</v>
      </c>
      <c r="D41" s="2">
        <v>40827</v>
      </c>
      <c r="E41" s="3">
        <v>26.3</v>
      </c>
      <c r="F41" s="4">
        <f t="shared" si="0"/>
        <v>3722.4628654977114</v>
      </c>
      <c r="G41" s="2">
        <v>40200</v>
      </c>
      <c r="H41" s="7">
        <v>2.9</v>
      </c>
      <c r="I41" s="7">
        <f>H41+H46-2*$A$24</f>
        <v>6.1199999999999992</v>
      </c>
      <c r="J41" s="7">
        <v>3.26</v>
      </c>
      <c r="K41" s="7">
        <v>5.12</v>
      </c>
      <c r="L41" s="6">
        <f t="shared" si="1"/>
        <v>0.36274509803921567</v>
      </c>
      <c r="M41" s="6">
        <f t="shared" si="2"/>
        <v>0.55882352941176472</v>
      </c>
      <c r="N41" s="6">
        <f t="shared" si="3"/>
        <v>7.8431372549019551E-2</v>
      </c>
      <c r="O41" s="4">
        <f t="shared" si="4"/>
        <v>1350.3051570923071</v>
      </c>
      <c r="P41" s="4">
        <f t="shared" si="5"/>
        <v>2080.1998366016624</v>
      </c>
      <c r="Q41" s="4">
        <f t="shared" si="6"/>
        <v>3430.5049936939695</v>
      </c>
      <c r="R41" s="3"/>
      <c r="V41" s="3"/>
      <c r="W41" s="3"/>
      <c r="Y41" s="7"/>
      <c r="Z41" s="7"/>
      <c r="AA41" s="7"/>
      <c r="AB41" s="7"/>
      <c r="AC41" s="9"/>
      <c r="AD41" s="9"/>
      <c r="AE41" s="9"/>
      <c r="AF41" s="3"/>
      <c r="AG41" s="3"/>
      <c r="AH41" s="3"/>
    </row>
    <row r="42" spans="1:34" x14ac:dyDescent="0.3">
      <c r="A42">
        <v>9</v>
      </c>
      <c r="B42" s="1" t="s">
        <v>50</v>
      </c>
      <c r="C42" s="1" t="s">
        <v>682</v>
      </c>
      <c r="D42" s="2">
        <v>40827</v>
      </c>
      <c r="E42" s="3">
        <v>21.4</v>
      </c>
      <c r="F42" s="4">
        <f t="shared" si="0"/>
        <v>2966.8676691042238</v>
      </c>
      <c r="G42" s="2">
        <v>40200</v>
      </c>
      <c r="H42" s="7">
        <v>2.86</v>
      </c>
      <c r="I42" s="7">
        <f>H42+H45-2*$A$24</f>
        <v>5.66</v>
      </c>
      <c r="J42" s="7">
        <v>2.96</v>
      </c>
      <c r="K42" s="7">
        <v>4.8600000000000003</v>
      </c>
      <c r="L42" s="6">
        <f t="shared" si="1"/>
        <v>0.33922261484098937</v>
      </c>
      <c r="M42" s="6">
        <f t="shared" si="2"/>
        <v>0.55830388692579502</v>
      </c>
      <c r="N42" s="6">
        <f t="shared" si="3"/>
        <v>0.10247349823321561</v>
      </c>
      <c r="O42" s="4">
        <f t="shared" si="4"/>
        <v>1006.428608600726</v>
      </c>
      <c r="P42" s="4">
        <f t="shared" si="5"/>
        <v>1656.4137516553617</v>
      </c>
      <c r="Q42" s="4">
        <f t="shared" si="6"/>
        <v>2662.8423602560879</v>
      </c>
      <c r="R42" s="3"/>
      <c r="V42" s="3"/>
      <c r="W42" s="3"/>
      <c r="Y42" s="7"/>
      <c r="Z42" s="7"/>
      <c r="AA42" s="7"/>
      <c r="AB42" s="7"/>
      <c r="AC42" s="9"/>
      <c r="AD42" s="9"/>
      <c r="AE42" s="9"/>
      <c r="AF42" s="3"/>
      <c r="AG42" s="3"/>
      <c r="AH42" s="3"/>
    </row>
    <row r="43" spans="1:34" x14ac:dyDescent="0.3">
      <c r="A43">
        <v>10</v>
      </c>
      <c r="B43" s="1" t="s">
        <v>51</v>
      </c>
      <c r="C43" s="1" t="s">
        <v>682</v>
      </c>
      <c r="D43" s="2">
        <v>40827</v>
      </c>
      <c r="E43" s="3">
        <v>22.9</v>
      </c>
      <c r="F43" s="4">
        <f t="shared" si="0"/>
        <v>3198.1723210614146</v>
      </c>
      <c r="G43" s="2">
        <v>40200</v>
      </c>
      <c r="H43" s="7">
        <v>3.68</v>
      </c>
      <c r="I43" s="7">
        <f>H43+H44-2*$A$24</f>
        <v>6.3</v>
      </c>
      <c r="J43" s="7">
        <v>3.24</v>
      </c>
      <c r="K43" s="7">
        <v>5.22</v>
      </c>
      <c r="L43" s="6">
        <f t="shared" si="1"/>
        <v>0.34920634920634924</v>
      </c>
      <c r="M43" s="6">
        <f t="shared" si="2"/>
        <v>0.55873015873015863</v>
      </c>
      <c r="N43" s="6">
        <f t="shared" si="3"/>
        <v>9.2063492063492069E-2</v>
      </c>
      <c r="O43" s="4">
        <f t="shared" si="4"/>
        <v>1116.8220803706529</v>
      </c>
      <c r="P43" s="4">
        <f t="shared" si="5"/>
        <v>1786.915328593044</v>
      </c>
      <c r="Q43" s="4">
        <f t="shared" si="6"/>
        <v>2903.7374089636969</v>
      </c>
      <c r="R43" s="3"/>
      <c r="V43" s="3"/>
      <c r="W43" s="3"/>
      <c r="Y43" s="7"/>
      <c r="Z43" s="7"/>
      <c r="AA43" s="7"/>
      <c r="AB43" s="7"/>
      <c r="AC43" s="9"/>
      <c r="AD43" s="9"/>
      <c r="AE43" s="9"/>
      <c r="AF43" s="3"/>
      <c r="AG43" s="3"/>
      <c r="AH43" s="3"/>
    </row>
    <row r="44" spans="1:34" x14ac:dyDescent="0.3">
      <c r="A44">
        <v>11</v>
      </c>
      <c r="B44" s="1" t="s">
        <v>52</v>
      </c>
      <c r="C44" s="1" t="s">
        <v>682</v>
      </c>
      <c r="D44" s="2">
        <v>40827</v>
      </c>
      <c r="E44" s="3">
        <v>30.200000000000003</v>
      </c>
      <c r="F44" s="4">
        <f t="shared" si="0"/>
        <v>4323.8549605864064</v>
      </c>
      <c r="G44" s="2">
        <v>40200</v>
      </c>
      <c r="H44" s="7">
        <v>2.94</v>
      </c>
      <c r="I44" s="7">
        <f>H44+H43-2*$A$24</f>
        <v>6.3</v>
      </c>
      <c r="J44" s="7">
        <v>3.24</v>
      </c>
      <c r="K44" s="7">
        <v>5.22</v>
      </c>
      <c r="L44" s="6">
        <f t="shared" si="1"/>
        <v>0.34920634920634924</v>
      </c>
      <c r="M44" s="6">
        <f t="shared" si="2"/>
        <v>0.55873015873015863</v>
      </c>
      <c r="N44" s="6">
        <f t="shared" si="3"/>
        <v>9.2063492063492069E-2</v>
      </c>
      <c r="O44" s="4">
        <f t="shared" si="4"/>
        <v>1509.9176052841422</v>
      </c>
      <c r="P44" s="4">
        <f t="shared" si="5"/>
        <v>2415.8681684546268</v>
      </c>
      <c r="Q44" s="4">
        <f t="shared" si="6"/>
        <v>3925.785773738769</v>
      </c>
      <c r="R44" s="3"/>
      <c r="V44" s="3"/>
      <c r="W44" s="3"/>
      <c r="Y44" s="7"/>
      <c r="Z44" s="7"/>
      <c r="AA44" s="7"/>
      <c r="AB44" s="7"/>
      <c r="AC44" s="9"/>
      <c r="AD44" s="9"/>
      <c r="AE44" s="9"/>
      <c r="AF44" s="3"/>
      <c r="AG44" s="3"/>
      <c r="AH44" s="3"/>
    </row>
    <row r="45" spans="1:34" x14ac:dyDescent="0.3">
      <c r="A45">
        <v>12</v>
      </c>
      <c r="B45" s="1" t="s">
        <v>53</v>
      </c>
      <c r="C45" s="1" t="s">
        <v>682</v>
      </c>
      <c r="D45" s="2">
        <v>40827</v>
      </c>
      <c r="E45" s="3">
        <v>27</v>
      </c>
      <c r="F45" s="4">
        <f t="shared" si="0"/>
        <v>3830.4050364110672</v>
      </c>
      <c r="G45" s="2">
        <v>40200</v>
      </c>
      <c r="H45" s="7">
        <v>3.12</v>
      </c>
      <c r="I45" s="7">
        <f>H45+H42-2*$A$24</f>
        <v>5.66</v>
      </c>
      <c r="J45" s="7">
        <v>2.96</v>
      </c>
      <c r="K45" s="7">
        <v>4.8600000000000003</v>
      </c>
      <c r="L45" s="6">
        <f t="shared" si="1"/>
        <v>0.33922261484098937</v>
      </c>
      <c r="M45" s="6">
        <f t="shared" si="2"/>
        <v>0.55830388692579502</v>
      </c>
      <c r="N45" s="6">
        <f t="shared" si="3"/>
        <v>0.10247349823321561</v>
      </c>
      <c r="O45" s="4">
        <f t="shared" si="4"/>
        <v>1299.3600123514573</v>
      </c>
      <c r="P45" s="4">
        <f t="shared" si="5"/>
        <v>2138.5300203284401</v>
      </c>
      <c r="Q45" s="4">
        <f t="shared" si="6"/>
        <v>3437.8900326798976</v>
      </c>
      <c r="R45" s="3"/>
      <c r="V45" s="3"/>
      <c r="W45" s="3"/>
      <c r="Y45" s="7"/>
      <c r="Z45" s="7"/>
      <c r="AA45" s="7"/>
      <c r="AB45" s="7"/>
      <c r="AC45" s="9"/>
      <c r="AD45" s="9"/>
      <c r="AE45" s="9"/>
      <c r="AF45" s="3"/>
      <c r="AG45" s="3"/>
      <c r="AH45" s="3"/>
    </row>
    <row r="46" spans="1:34" x14ac:dyDescent="0.3">
      <c r="A46">
        <v>13</v>
      </c>
      <c r="B46" s="1" t="s">
        <v>54</v>
      </c>
      <c r="C46" s="1" t="s">
        <v>682</v>
      </c>
      <c r="D46" s="2">
        <v>40827</v>
      </c>
      <c r="E46" s="3">
        <v>29.6</v>
      </c>
      <c r="F46" s="4">
        <f t="shared" si="0"/>
        <v>4231.3330998035308</v>
      </c>
      <c r="G46" s="2">
        <v>40200</v>
      </c>
      <c r="H46" s="7">
        <v>3.54</v>
      </c>
      <c r="I46" s="7">
        <f>H46+H41-2*$A$24</f>
        <v>6.1199999999999992</v>
      </c>
      <c r="J46" s="7">
        <v>3.26</v>
      </c>
      <c r="K46" s="7">
        <v>5.12</v>
      </c>
      <c r="L46" s="6">
        <f t="shared" si="1"/>
        <v>0.36274509803921567</v>
      </c>
      <c r="M46" s="6">
        <f t="shared" si="2"/>
        <v>0.55882352941176472</v>
      </c>
      <c r="N46" s="6">
        <f t="shared" si="3"/>
        <v>7.8431372549019551E-2</v>
      </c>
      <c r="O46" s="4">
        <f t="shared" si="4"/>
        <v>1534.8953401248102</v>
      </c>
      <c r="P46" s="4">
        <f t="shared" si="5"/>
        <v>2364.5684969490321</v>
      </c>
      <c r="Q46" s="4">
        <f t="shared" si="6"/>
        <v>3899.4638370738421</v>
      </c>
      <c r="R46" s="3"/>
      <c r="V46" s="3"/>
      <c r="W46" s="3"/>
      <c r="Y46" s="7"/>
      <c r="Z46" s="7"/>
      <c r="AA46" s="7"/>
      <c r="AB46" s="7"/>
      <c r="AC46" s="9"/>
      <c r="AD46" s="9"/>
      <c r="AE46" s="9"/>
      <c r="AF46" s="3"/>
      <c r="AG46" s="3"/>
      <c r="AH46" s="3"/>
    </row>
    <row r="47" spans="1:34" x14ac:dyDescent="0.3">
      <c r="A47">
        <v>14</v>
      </c>
      <c r="B47" s="1" t="s">
        <v>55</v>
      </c>
      <c r="C47" s="1" t="s">
        <v>682</v>
      </c>
      <c r="D47" s="2">
        <v>40827</v>
      </c>
      <c r="E47" s="3">
        <v>33.200000000000003</v>
      </c>
      <c r="F47" s="4">
        <f t="shared" si="0"/>
        <v>4786.4642645007862</v>
      </c>
      <c r="G47" s="2">
        <v>40200</v>
      </c>
      <c r="H47" s="7">
        <v>3.78</v>
      </c>
      <c r="I47" s="7">
        <f>H47+H40-2*$A$24</f>
        <v>6.64</v>
      </c>
      <c r="J47" s="7">
        <v>3.32</v>
      </c>
      <c r="K47" s="7">
        <v>5.36</v>
      </c>
      <c r="L47" s="6">
        <f t="shared" si="1"/>
        <v>0.34337349397590361</v>
      </c>
      <c r="M47" s="6">
        <f t="shared" si="2"/>
        <v>0.55120481927710852</v>
      </c>
      <c r="N47" s="6">
        <f t="shared" si="3"/>
        <v>0.10542168674698782</v>
      </c>
      <c r="O47" s="4">
        <f t="shared" si="4"/>
        <v>1643.5449582924387</v>
      </c>
      <c r="P47" s="4">
        <f t="shared" si="5"/>
        <v>2638.322169890494</v>
      </c>
      <c r="Q47" s="4">
        <f t="shared" si="6"/>
        <v>4281.8671281829329</v>
      </c>
      <c r="R47" s="3"/>
      <c r="V47" s="3"/>
      <c r="W47" s="3"/>
      <c r="Y47" s="7"/>
      <c r="Z47" s="7"/>
      <c r="AA47" s="7"/>
      <c r="AB47" s="7"/>
      <c r="AC47" s="9"/>
      <c r="AD47" s="9"/>
      <c r="AE47" s="9"/>
      <c r="AF47" s="3"/>
      <c r="AG47" s="3"/>
      <c r="AH47" s="3"/>
    </row>
    <row r="48" spans="1:34" x14ac:dyDescent="0.3">
      <c r="A48">
        <v>15</v>
      </c>
      <c r="B48" s="1" t="s">
        <v>56</v>
      </c>
      <c r="C48" s="1" t="s">
        <v>682</v>
      </c>
      <c r="D48" s="2">
        <v>40827</v>
      </c>
      <c r="E48" s="3">
        <v>31.9</v>
      </c>
      <c r="F48" s="4">
        <f t="shared" si="0"/>
        <v>4586.0002328045539</v>
      </c>
      <c r="G48" s="2">
        <v>40200</v>
      </c>
      <c r="H48" s="7">
        <v>4.0199999999999996</v>
      </c>
      <c r="I48" s="7">
        <f>H48+H39-2*$A$24</f>
        <v>7.0799999999999992</v>
      </c>
      <c r="J48" s="7">
        <v>3.54</v>
      </c>
      <c r="K48" s="7">
        <v>5.64</v>
      </c>
      <c r="L48" s="6">
        <f t="shared" si="1"/>
        <v>0.35310734463276838</v>
      </c>
      <c r="M48" s="6">
        <f t="shared" si="2"/>
        <v>0.55649717514124297</v>
      </c>
      <c r="N48" s="6">
        <f t="shared" si="3"/>
        <v>9.0395480225988645E-2</v>
      </c>
      <c r="O48" s="4">
        <f t="shared" si="4"/>
        <v>1619.3503646908737</v>
      </c>
      <c r="P48" s="4">
        <f t="shared" si="5"/>
        <v>2552.0961747528168</v>
      </c>
      <c r="Q48" s="4">
        <f t="shared" si="6"/>
        <v>4171.4465394436902</v>
      </c>
      <c r="R48" s="3"/>
      <c r="V48" s="3"/>
      <c r="W48" s="3"/>
      <c r="Y48" s="7"/>
      <c r="Z48" s="7"/>
      <c r="AA48" s="7"/>
      <c r="AB48" s="7"/>
      <c r="AC48" s="9"/>
      <c r="AD48" s="9"/>
      <c r="AE48" s="9"/>
      <c r="AF48" s="3"/>
      <c r="AG48" s="3"/>
      <c r="AH48" s="3"/>
    </row>
    <row r="49" spans="1:34" x14ac:dyDescent="0.3">
      <c r="A49">
        <v>16</v>
      </c>
      <c r="B49" s="1" t="s">
        <v>57</v>
      </c>
      <c r="C49" s="1" t="s">
        <v>682</v>
      </c>
      <c r="D49" s="2">
        <v>40827</v>
      </c>
      <c r="E49" s="3">
        <v>30</v>
      </c>
      <c r="F49" s="4">
        <f t="shared" si="0"/>
        <v>4293.0143403254469</v>
      </c>
      <c r="G49" s="2">
        <v>40200</v>
      </c>
      <c r="H49" s="7">
        <v>2.5</v>
      </c>
      <c r="I49" s="7">
        <f>H49+H38-2*$A$24</f>
        <v>5.4799999999999995</v>
      </c>
      <c r="J49" s="7">
        <v>2.98</v>
      </c>
      <c r="K49" s="7">
        <v>4.78</v>
      </c>
      <c r="L49" s="6">
        <f t="shared" si="1"/>
        <v>0.354014598540146</v>
      </c>
      <c r="M49" s="6">
        <f t="shared" si="2"/>
        <v>0.56204379562043805</v>
      </c>
      <c r="N49" s="6">
        <f t="shared" si="3"/>
        <v>8.3941605839416011E-2</v>
      </c>
      <c r="O49" s="4">
        <f t="shared" si="4"/>
        <v>1519.7897482174028</v>
      </c>
      <c r="P49" s="4">
        <f t="shared" si="5"/>
        <v>2412.8620744894852</v>
      </c>
      <c r="Q49" s="4">
        <f t="shared" si="6"/>
        <v>3932.6518227068882</v>
      </c>
      <c r="R49" s="3"/>
      <c r="V49" s="3"/>
      <c r="W49" s="3"/>
      <c r="Y49" s="7"/>
      <c r="Z49" s="7"/>
      <c r="AA49" s="7"/>
      <c r="AB49" s="7"/>
      <c r="AC49" s="9"/>
      <c r="AD49" s="9"/>
      <c r="AE49" s="9"/>
      <c r="AF49" s="3"/>
      <c r="AG49" s="3"/>
      <c r="AH49" s="3"/>
    </row>
    <row r="50" spans="1:34" x14ac:dyDescent="0.3">
      <c r="A50">
        <v>17</v>
      </c>
      <c r="B50" s="1" t="s">
        <v>58</v>
      </c>
      <c r="C50" s="1" t="s">
        <v>682</v>
      </c>
      <c r="D50" s="2">
        <v>40827</v>
      </c>
      <c r="E50" s="3">
        <v>34.6</v>
      </c>
      <c r="F50" s="4">
        <f t="shared" si="0"/>
        <v>5002.3486063274968</v>
      </c>
      <c r="G50" s="2">
        <v>40200</v>
      </c>
      <c r="H50" s="7">
        <v>2.82</v>
      </c>
      <c r="I50" s="7">
        <f>H50+H37-2*$A$24</f>
        <v>5.52</v>
      </c>
      <c r="J50" s="7">
        <v>2.94</v>
      </c>
      <c r="K50" s="7">
        <v>4.8</v>
      </c>
      <c r="L50" s="6">
        <f t="shared" si="1"/>
        <v>0.34420289855072467</v>
      </c>
      <c r="M50" s="6">
        <f t="shared" si="2"/>
        <v>0.56159420289855067</v>
      </c>
      <c r="N50" s="6">
        <f t="shared" si="3"/>
        <v>9.4202898550724723E-2</v>
      </c>
      <c r="O50" s="4">
        <f t="shared" si="4"/>
        <v>1721.8228898591024</v>
      </c>
      <c r="P50" s="4">
        <f t="shared" si="5"/>
        <v>2809.2899781911665</v>
      </c>
      <c r="Q50" s="4">
        <f t="shared" si="6"/>
        <v>4531.1128680502688</v>
      </c>
      <c r="R50" s="3"/>
      <c r="V50" s="3"/>
      <c r="W50" s="3"/>
      <c r="Y50" s="7"/>
      <c r="Z50" s="7"/>
      <c r="AA50" s="7"/>
      <c r="AB50" s="7"/>
      <c r="AC50" s="9"/>
      <c r="AD50" s="9"/>
      <c r="AE50" s="9"/>
      <c r="AF50" s="3"/>
      <c r="AG50" s="3"/>
      <c r="AH50" s="3"/>
    </row>
    <row r="51" spans="1:34" x14ac:dyDescent="0.3">
      <c r="A51">
        <v>18</v>
      </c>
      <c r="B51" s="1" t="s">
        <v>59</v>
      </c>
      <c r="C51" s="1" t="s">
        <v>682</v>
      </c>
      <c r="D51" s="2">
        <v>40827</v>
      </c>
      <c r="E51" s="3">
        <v>30</v>
      </c>
      <c r="F51" s="4">
        <f t="shared" si="0"/>
        <v>4293.0143403254469</v>
      </c>
      <c r="G51" s="2">
        <v>40200</v>
      </c>
      <c r="H51" s="7">
        <v>3.68</v>
      </c>
      <c r="I51" s="7">
        <f>H51+H36-2*$A$24</f>
        <v>6.6199999999999992</v>
      </c>
      <c r="J51" s="7">
        <v>3.38</v>
      </c>
      <c r="K51" s="7">
        <v>5.36</v>
      </c>
      <c r="L51" s="6">
        <f t="shared" si="1"/>
        <v>0.35347432024169184</v>
      </c>
      <c r="M51" s="6">
        <f t="shared" si="2"/>
        <v>0.55287009063444115</v>
      </c>
      <c r="N51" s="6">
        <f t="shared" si="3"/>
        <v>9.3655589123866956E-2</v>
      </c>
      <c r="O51" s="4">
        <f t="shared" si="4"/>
        <v>1517.4703257343724</v>
      </c>
      <c r="P51" s="4">
        <f t="shared" si="5"/>
        <v>2373.4792274306856</v>
      </c>
      <c r="Q51" s="4">
        <f t="shared" si="6"/>
        <v>3890.9495531650582</v>
      </c>
      <c r="R51" s="3"/>
      <c r="V51" s="3"/>
      <c r="W51" s="3"/>
      <c r="Y51" s="7"/>
      <c r="Z51" s="7"/>
      <c r="AA51" s="7"/>
      <c r="AB51" s="7"/>
      <c r="AC51" s="9"/>
      <c r="AD51" s="9"/>
      <c r="AE51" s="9"/>
      <c r="AF51" s="3"/>
      <c r="AG51" s="3"/>
      <c r="AH51" s="3"/>
    </row>
    <row r="52" spans="1:34" x14ac:dyDescent="0.3">
      <c r="A52">
        <v>19</v>
      </c>
      <c r="B52" s="1" t="s">
        <v>60</v>
      </c>
      <c r="C52" s="1" t="s">
        <v>682</v>
      </c>
      <c r="D52" s="2">
        <v>40827</v>
      </c>
      <c r="E52" s="3">
        <v>27.6</v>
      </c>
      <c r="F52" s="4">
        <f t="shared" si="0"/>
        <v>3922.9268971939437</v>
      </c>
      <c r="G52" s="2">
        <v>40200</v>
      </c>
      <c r="H52" s="7">
        <v>3.04</v>
      </c>
      <c r="I52" s="7">
        <f>H52+H35-2*$A$24</f>
        <v>6</v>
      </c>
      <c r="J52" s="7">
        <v>3.14</v>
      </c>
      <c r="K52" s="7">
        <v>4.9800000000000004</v>
      </c>
      <c r="L52" s="6">
        <f t="shared" si="1"/>
        <v>0.35000000000000003</v>
      </c>
      <c r="M52" s="6">
        <f t="shared" si="2"/>
        <v>0.54666666666666675</v>
      </c>
      <c r="N52" s="6">
        <f t="shared" si="3"/>
        <v>0.10333333333333317</v>
      </c>
      <c r="O52" s="4">
        <f t="shared" si="4"/>
        <v>1373.0244140178804</v>
      </c>
      <c r="P52" s="4">
        <f t="shared" si="5"/>
        <v>2144.5333704660229</v>
      </c>
      <c r="Q52" s="4">
        <f t="shared" si="6"/>
        <v>3517.5577844839036</v>
      </c>
      <c r="R52" s="3"/>
      <c r="V52" s="3"/>
      <c r="W52" s="3"/>
      <c r="Y52" s="7"/>
      <c r="Z52" s="7"/>
      <c r="AA52" s="7"/>
      <c r="AB52" s="7"/>
      <c r="AC52" s="9"/>
      <c r="AD52" s="9"/>
      <c r="AE52" s="9"/>
      <c r="AF52" s="3"/>
      <c r="AG52" s="3"/>
      <c r="AH52" s="3"/>
    </row>
    <row r="53" spans="1:34" x14ac:dyDescent="0.3">
      <c r="A53">
        <v>20</v>
      </c>
      <c r="B53" s="1" t="s">
        <v>61</v>
      </c>
      <c r="C53" s="1" t="s">
        <v>682</v>
      </c>
      <c r="D53" s="2">
        <v>40827</v>
      </c>
      <c r="E53" s="3">
        <v>26.9</v>
      </c>
      <c r="F53" s="4">
        <f t="shared" si="0"/>
        <v>3814.9847262805879</v>
      </c>
      <c r="G53" s="2">
        <v>40200</v>
      </c>
      <c r="H53" s="7">
        <v>3.28</v>
      </c>
      <c r="I53" s="7">
        <f>H53+H34-2*$A$24</f>
        <v>5.9799999999999995</v>
      </c>
      <c r="J53" s="7">
        <v>3.16</v>
      </c>
      <c r="K53" s="7">
        <v>5.04</v>
      </c>
      <c r="L53" s="6">
        <f t="shared" si="1"/>
        <v>0.35451505016722412</v>
      </c>
      <c r="M53" s="6">
        <f t="shared" si="2"/>
        <v>0.55852842809364556</v>
      </c>
      <c r="N53" s="6">
        <f t="shared" si="3"/>
        <v>8.6956521739130377E-2</v>
      </c>
      <c r="O53" s="4">
        <f t="shared" si="4"/>
        <v>1352.4695016245564</v>
      </c>
      <c r="P53" s="4">
        <f t="shared" si="5"/>
        <v>2130.7774223707634</v>
      </c>
      <c r="Q53" s="4">
        <f t="shared" si="6"/>
        <v>3483.2469239953198</v>
      </c>
      <c r="R53" s="3"/>
      <c r="V53" s="3"/>
      <c r="W53" s="3"/>
      <c r="Y53" s="7"/>
      <c r="Z53" s="7"/>
      <c r="AA53" s="7"/>
      <c r="AB53" s="7"/>
      <c r="AC53" s="9"/>
      <c r="AD53" s="9"/>
      <c r="AE53" s="9"/>
      <c r="AF53" s="3"/>
      <c r="AG53" s="3"/>
      <c r="AH53" s="3"/>
    </row>
    <row r="54" spans="1:34" x14ac:dyDescent="0.3">
      <c r="A54">
        <v>21</v>
      </c>
      <c r="B54" s="1" t="s">
        <v>62</v>
      </c>
      <c r="C54" s="1" t="s">
        <v>682</v>
      </c>
      <c r="D54" s="2">
        <v>40827</v>
      </c>
      <c r="E54" s="3">
        <v>25.7</v>
      </c>
      <c r="F54" s="4">
        <f t="shared" si="0"/>
        <v>3629.9410047148358</v>
      </c>
      <c r="G54" s="2">
        <v>40200</v>
      </c>
      <c r="H54" s="7">
        <v>3.66</v>
      </c>
      <c r="I54" s="7">
        <f>H54+H73-2*$A$24</f>
        <v>6.66</v>
      </c>
      <c r="J54" s="7">
        <v>3.34</v>
      </c>
      <c r="K54" s="7">
        <v>5.42</v>
      </c>
      <c r="L54" s="6">
        <f t="shared" si="1"/>
        <v>0.34534534534534533</v>
      </c>
      <c r="M54" s="6">
        <f t="shared" si="2"/>
        <v>0.55855855855855852</v>
      </c>
      <c r="N54" s="6">
        <f t="shared" si="3"/>
        <v>9.6096096096096151E-2</v>
      </c>
      <c r="O54" s="4">
        <f t="shared" si="4"/>
        <v>1253.5832298564749</v>
      </c>
      <c r="P54" s="4">
        <f t="shared" si="5"/>
        <v>2027.5346152461243</v>
      </c>
      <c r="Q54" s="4">
        <f t="shared" si="6"/>
        <v>3281.1178451025989</v>
      </c>
      <c r="R54" s="3"/>
      <c r="V54" s="3"/>
      <c r="W54" s="3"/>
      <c r="Y54" s="7"/>
      <c r="Z54" s="7"/>
      <c r="AA54" s="7"/>
      <c r="AB54" s="7"/>
      <c r="AC54" s="9"/>
      <c r="AD54" s="9"/>
      <c r="AE54" s="9"/>
      <c r="AF54" s="3"/>
      <c r="AG54" s="3"/>
      <c r="AH54" s="3"/>
    </row>
    <row r="55" spans="1:34" x14ac:dyDescent="0.3">
      <c r="A55">
        <v>22</v>
      </c>
      <c r="B55" s="1" t="s">
        <v>63</v>
      </c>
      <c r="C55" s="1" t="s">
        <v>682</v>
      </c>
      <c r="D55" s="2">
        <v>40827</v>
      </c>
      <c r="E55" s="3">
        <v>30.2</v>
      </c>
      <c r="F55" s="4">
        <f t="shared" si="0"/>
        <v>4323.8549605864055</v>
      </c>
      <c r="G55" s="2">
        <v>40200</v>
      </c>
      <c r="H55" s="7">
        <v>3.48</v>
      </c>
      <c r="I55" s="7">
        <f>H55+H72-2*$A$24</f>
        <v>6.82</v>
      </c>
      <c r="J55" s="7">
        <v>3.4</v>
      </c>
      <c r="K55" s="7">
        <v>5.48</v>
      </c>
      <c r="L55" s="6">
        <f t="shared" si="1"/>
        <v>0.34604105571847504</v>
      </c>
      <c r="M55" s="6">
        <f t="shared" si="2"/>
        <v>0.5542521994134898</v>
      </c>
      <c r="N55" s="6">
        <f t="shared" si="3"/>
        <v>9.9706744868035213E-2</v>
      </c>
      <c r="O55" s="4">
        <f t="shared" si="4"/>
        <v>1496.231335334885</v>
      </c>
      <c r="P55" s="4">
        <f t="shared" si="5"/>
        <v>2396.5061218499436</v>
      </c>
      <c r="Q55" s="4">
        <f t="shared" si="6"/>
        <v>3892.7374571848286</v>
      </c>
      <c r="R55" s="3"/>
      <c r="V55" s="3"/>
      <c r="W55" s="3"/>
      <c r="Y55" s="7"/>
      <c r="Z55" s="7"/>
      <c r="AA55" s="7"/>
      <c r="AB55" s="7"/>
      <c r="AC55" s="9"/>
      <c r="AD55" s="9"/>
      <c r="AE55" s="9"/>
      <c r="AF55" s="3"/>
      <c r="AG55" s="3"/>
      <c r="AH55" s="3"/>
    </row>
    <row r="56" spans="1:34" x14ac:dyDescent="0.3">
      <c r="A56">
        <v>23</v>
      </c>
      <c r="B56" s="1" t="s">
        <v>64</v>
      </c>
      <c r="C56" s="1" t="s">
        <v>682</v>
      </c>
      <c r="D56" s="2">
        <v>40827</v>
      </c>
      <c r="E56" s="3">
        <v>28.200000000000003</v>
      </c>
      <c r="F56" s="4">
        <f t="shared" si="0"/>
        <v>4015.4487579768193</v>
      </c>
      <c r="G56" s="2">
        <v>40200</v>
      </c>
      <c r="H56" s="7">
        <v>2.88</v>
      </c>
      <c r="I56" s="7">
        <f>H56+H71-2*$A$24</f>
        <v>6.379999999999999</v>
      </c>
      <c r="J56" s="7">
        <v>3.22</v>
      </c>
      <c r="K56" s="7">
        <v>5.22</v>
      </c>
      <c r="L56" s="6">
        <f t="shared" si="1"/>
        <v>0.3416927899686521</v>
      </c>
      <c r="M56" s="6">
        <f t="shared" si="2"/>
        <v>0.55172413793103448</v>
      </c>
      <c r="N56" s="6">
        <f t="shared" si="3"/>
        <v>0.10658307210031337</v>
      </c>
      <c r="O56" s="4">
        <f t="shared" si="4"/>
        <v>1372.0498890892582</v>
      </c>
      <c r="P56" s="4">
        <f t="shared" si="5"/>
        <v>2215.4200044010036</v>
      </c>
      <c r="Q56" s="4">
        <f t="shared" si="6"/>
        <v>3587.4698934902617</v>
      </c>
      <c r="R56" s="3"/>
      <c r="V56" s="3"/>
      <c r="W56" s="3"/>
      <c r="Y56" s="7"/>
      <c r="Z56" s="7"/>
      <c r="AA56" s="7"/>
      <c r="AB56" s="7"/>
      <c r="AC56" s="9"/>
      <c r="AD56" s="9"/>
      <c r="AE56" s="9"/>
      <c r="AF56" s="3"/>
      <c r="AG56" s="3"/>
      <c r="AH56" s="3"/>
    </row>
    <row r="57" spans="1:34" x14ac:dyDescent="0.3">
      <c r="A57">
        <v>24</v>
      </c>
      <c r="B57" s="1" t="s">
        <v>65</v>
      </c>
      <c r="C57" s="1" t="s">
        <v>682</v>
      </c>
      <c r="D57" s="2">
        <v>40827</v>
      </c>
      <c r="E57" s="3">
        <v>33</v>
      </c>
      <c r="F57" s="4">
        <f t="shared" si="0"/>
        <v>4755.6236442398267</v>
      </c>
      <c r="G57" s="2">
        <v>40200</v>
      </c>
      <c r="H57" s="7">
        <v>2.58</v>
      </c>
      <c r="I57" s="7">
        <f>H57+H70-2*$A$24</f>
        <v>5.18</v>
      </c>
      <c r="J57" s="7">
        <v>2.82</v>
      </c>
      <c r="K57" s="7">
        <v>4.62</v>
      </c>
      <c r="L57" s="6">
        <f t="shared" si="1"/>
        <v>0.34362934362934361</v>
      </c>
      <c r="M57" s="6">
        <f t="shared" si="2"/>
        <v>0.56370656370656369</v>
      </c>
      <c r="N57" s="6">
        <f t="shared" si="3"/>
        <v>9.2664092664092701E-2</v>
      </c>
      <c r="O57" s="4">
        <f t="shared" si="4"/>
        <v>1634.1718314183188</v>
      </c>
      <c r="P57" s="4">
        <f t="shared" si="5"/>
        <v>2680.7762627761185</v>
      </c>
      <c r="Q57" s="4">
        <f t="shared" si="6"/>
        <v>4314.9480941944375</v>
      </c>
      <c r="R57" s="3"/>
      <c r="V57" s="3"/>
      <c r="W57" s="3"/>
      <c r="Y57" s="7"/>
      <c r="Z57" s="7"/>
      <c r="AA57" s="7"/>
      <c r="AB57" s="7"/>
      <c r="AC57" s="9"/>
      <c r="AD57" s="9"/>
      <c r="AE57" s="9"/>
      <c r="AF57" s="3"/>
      <c r="AG57" s="3"/>
      <c r="AH57" s="3"/>
    </row>
    <row r="58" spans="1:34" x14ac:dyDescent="0.3">
      <c r="A58">
        <v>25</v>
      </c>
      <c r="B58" s="1" t="s">
        <v>66</v>
      </c>
      <c r="C58" s="1" t="s">
        <v>682</v>
      </c>
      <c r="D58" s="2">
        <v>40827</v>
      </c>
      <c r="E58" s="3">
        <v>32.200000000000003</v>
      </c>
      <c r="F58" s="4">
        <f t="shared" si="0"/>
        <v>4632.2611631959926</v>
      </c>
      <c r="G58" s="2">
        <v>40200</v>
      </c>
      <c r="H58" s="7">
        <v>3.5</v>
      </c>
      <c r="I58" s="7">
        <f>H58+H69-2*$A$24</f>
        <v>6.3</v>
      </c>
      <c r="J58" s="7">
        <v>3.18</v>
      </c>
      <c r="K58" s="7">
        <v>5.18</v>
      </c>
      <c r="L58" s="6">
        <f t="shared" si="1"/>
        <v>0.3396825396825397</v>
      </c>
      <c r="M58" s="6">
        <f t="shared" si="2"/>
        <v>0.55238095238095231</v>
      </c>
      <c r="N58" s="6">
        <f t="shared" si="3"/>
        <v>0.107936507936508</v>
      </c>
      <c r="O58" s="4">
        <f t="shared" si="4"/>
        <v>1573.4982363872102</v>
      </c>
      <c r="P58" s="4">
        <f t="shared" si="5"/>
        <v>2558.7728330035002</v>
      </c>
      <c r="Q58" s="4">
        <f t="shared" si="6"/>
        <v>4132.2710693907102</v>
      </c>
      <c r="R58" s="3"/>
      <c r="V58" s="3"/>
      <c r="W58" s="3"/>
      <c r="Y58" s="7"/>
      <c r="Z58" s="7"/>
      <c r="AA58" s="7"/>
      <c r="AB58" s="7"/>
      <c r="AC58" s="9"/>
      <c r="AD58" s="9"/>
      <c r="AE58" s="9"/>
      <c r="AF58" s="3"/>
      <c r="AG58" s="3"/>
      <c r="AH58" s="3"/>
    </row>
    <row r="59" spans="1:34" x14ac:dyDescent="0.3">
      <c r="A59">
        <v>26</v>
      </c>
      <c r="B59" s="1" t="s">
        <v>67</v>
      </c>
      <c r="C59" s="1" t="s">
        <v>682</v>
      </c>
      <c r="D59" s="2">
        <v>40827</v>
      </c>
      <c r="E59" s="3">
        <v>34.700000000000003</v>
      </c>
      <c r="F59" s="4">
        <f t="shared" si="0"/>
        <v>5017.7689164579779</v>
      </c>
      <c r="G59" s="2">
        <v>40200</v>
      </c>
      <c r="H59" s="7">
        <v>3.48</v>
      </c>
      <c r="I59" s="7">
        <f>H59+H68-2*$A$24</f>
        <v>6.76</v>
      </c>
      <c r="J59" s="7">
        <v>3.36</v>
      </c>
      <c r="K59" s="7">
        <v>5.46</v>
      </c>
      <c r="L59" s="6">
        <f t="shared" si="1"/>
        <v>0.34319526627218933</v>
      </c>
      <c r="M59" s="6">
        <f t="shared" si="2"/>
        <v>0.55621301775147924</v>
      </c>
      <c r="N59" s="6">
        <f t="shared" si="3"/>
        <v>0.10059171597633143</v>
      </c>
      <c r="O59" s="4">
        <f t="shared" si="4"/>
        <v>1722.0745393761106</v>
      </c>
      <c r="P59" s="4">
        <f t="shared" si="5"/>
        <v>2790.9483914026619</v>
      </c>
      <c r="Q59" s="4">
        <f t="shared" si="6"/>
        <v>4513.0229307787722</v>
      </c>
      <c r="R59" s="3"/>
      <c r="V59" s="3"/>
      <c r="W59" s="3"/>
      <c r="Y59" s="7"/>
      <c r="Z59" s="7"/>
      <c r="AA59" s="7"/>
      <c r="AB59" s="7"/>
      <c r="AC59" s="9"/>
      <c r="AD59" s="9"/>
      <c r="AE59" s="9"/>
      <c r="AF59" s="3"/>
      <c r="AG59" s="3"/>
      <c r="AH59" s="3"/>
    </row>
    <row r="60" spans="1:34" x14ac:dyDescent="0.3">
      <c r="A60">
        <v>27</v>
      </c>
      <c r="B60" s="1" t="s">
        <v>68</v>
      </c>
      <c r="C60" s="1" t="s">
        <v>682</v>
      </c>
      <c r="D60" s="2">
        <v>40827</v>
      </c>
      <c r="E60" s="3">
        <v>34.4</v>
      </c>
      <c r="F60" s="4">
        <f t="shared" si="0"/>
        <v>4971.5079860665373</v>
      </c>
      <c r="G60" s="2">
        <v>40200</v>
      </c>
      <c r="H60" s="7">
        <v>3.36</v>
      </c>
      <c r="I60" s="7">
        <f>H60+H67-2*$A$24</f>
        <v>5.9799999999999995</v>
      </c>
      <c r="J60" s="7">
        <v>3.14</v>
      </c>
      <c r="K60" s="7">
        <v>5.0999999999999996</v>
      </c>
      <c r="L60" s="6">
        <f t="shared" si="1"/>
        <v>0.35117056856187295</v>
      </c>
      <c r="M60" s="6">
        <f t="shared" si="2"/>
        <v>0.56856187290969895</v>
      </c>
      <c r="N60" s="6">
        <f t="shared" si="3"/>
        <v>8.0267558528428151E-2</v>
      </c>
      <c r="O60" s="4">
        <f t="shared" si="4"/>
        <v>1745.8472860768779</v>
      </c>
      <c r="P60" s="4">
        <f t="shared" si="5"/>
        <v>2826.6098917435161</v>
      </c>
      <c r="Q60" s="4">
        <f t="shared" si="6"/>
        <v>4572.4571778203936</v>
      </c>
      <c r="R60" s="3"/>
      <c r="V60" s="3"/>
      <c r="W60" s="3"/>
      <c r="Y60" s="7"/>
      <c r="Z60" s="7"/>
      <c r="AA60" s="7"/>
      <c r="AB60" s="7"/>
      <c r="AC60" s="9"/>
      <c r="AD60" s="9"/>
      <c r="AE60" s="9"/>
      <c r="AF60" s="3"/>
      <c r="AG60" s="3"/>
      <c r="AH60" s="3"/>
    </row>
    <row r="61" spans="1:34" x14ac:dyDescent="0.3">
      <c r="A61">
        <v>28</v>
      </c>
      <c r="B61" s="1" t="s">
        <v>69</v>
      </c>
      <c r="C61" s="1" t="s">
        <v>682</v>
      </c>
      <c r="D61" s="2">
        <v>40827</v>
      </c>
      <c r="E61" s="3">
        <v>27.7</v>
      </c>
      <c r="F61" s="4">
        <f t="shared" si="0"/>
        <v>3938.3472073244225</v>
      </c>
      <c r="G61" s="2">
        <v>40200</v>
      </c>
      <c r="H61" s="7">
        <v>2.92</v>
      </c>
      <c r="I61" s="7">
        <f>H61+H66-2*$A$24</f>
        <v>5.9399999999999995</v>
      </c>
      <c r="J61" s="7">
        <v>3.1</v>
      </c>
      <c r="K61" s="7">
        <v>4.96</v>
      </c>
      <c r="L61" s="6">
        <f t="shared" si="1"/>
        <v>0.34680134680134683</v>
      </c>
      <c r="M61" s="6">
        <f t="shared" si="2"/>
        <v>0.54882154882154888</v>
      </c>
      <c r="N61" s="6">
        <f t="shared" si="3"/>
        <v>0.10437710437710424</v>
      </c>
      <c r="O61" s="4">
        <f t="shared" si="4"/>
        <v>1365.8241156714328</v>
      </c>
      <c r="P61" s="4">
        <f t="shared" si="5"/>
        <v>2161.4498141208114</v>
      </c>
      <c r="Q61" s="4">
        <f t="shared" si="6"/>
        <v>3527.2739297922444</v>
      </c>
      <c r="R61" s="3"/>
      <c r="V61" s="3"/>
      <c r="W61" s="3"/>
      <c r="Y61" s="7"/>
      <c r="Z61" s="7"/>
      <c r="AA61" s="7"/>
      <c r="AB61" s="7"/>
      <c r="AC61" s="9"/>
      <c r="AD61" s="9"/>
      <c r="AE61" s="9"/>
      <c r="AF61" s="3"/>
      <c r="AG61" s="3"/>
      <c r="AH61" s="3"/>
    </row>
    <row r="62" spans="1:34" x14ac:dyDescent="0.3">
      <c r="A62">
        <v>29</v>
      </c>
      <c r="B62" s="1" t="s">
        <v>70</v>
      </c>
      <c r="C62" s="1" t="s">
        <v>682</v>
      </c>
      <c r="D62" s="2">
        <v>40827</v>
      </c>
      <c r="E62" s="3">
        <v>29.2</v>
      </c>
      <c r="F62" s="4">
        <f t="shared" si="0"/>
        <v>4169.6518592816119</v>
      </c>
      <c r="G62" s="2">
        <v>40200</v>
      </c>
      <c r="H62" s="7">
        <v>3.4</v>
      </c>
      <c r="I62" s="7">
        <f>H62+H65-2*$A$24</f>
        <v>6.5</v>
      </c>
      <c r="J62" s="7">
        <v>3.28</v>
      </c>
      <c r="K62" s="7">
        <v>5.26</v>
      </c>
      <c r="L62" s="6">
        <f t="shared" si="1"/>
        <v>0.3446153846153846</v>
      </c>
      <c r="M62" s="6">
        <f t="shared" si="2"/>
        <v>0.54769230769230759</v>
      </c>
      <c r="N62" s="6">
        <f t="shared" si="3"/>
        <v>0.10769230769230786</v>
      </c>
      <c r="O62" s="4">
        <f t="shared" si="4"/>
        <v>1436.9261791985862</v>
      </c>
      <c r="P62" s="4">
        <f t="shared" si="5"/>
        <v>2283.6862490834669</v>
      </c>
      <c r="Q62" s="4">
        <f t="shared" si="6"/>
        <v>3720.6124282820529</v>
      </c>
      <c r="R62" s="3"/>
      <c r="V62" s="3"/>
      <c r="W62" s="3"/>
      <c r="Y62" s="7"/>
      <c r="Z62" s="7"/>
      <c r="AA62" s="7"/>
      <c r="AB62" s="7"/>
      <c r="AC62" s="9"/>
      <c r="AD62" s="9"/>
      <c r="AE62" s="9"/>
      <c r="AF62" s="3"/>
      <c r="AG62" s="3"/>
      <c r="AH62" s="3"/>
    </row>
    <row r="63" spans="1:34" x14ac:dyDescent="0.3">
      <c r="A63">
        <v>30</v>
      </c>
      <c r="B63" s="1" t="s">
        <v>71</v>
      </c>
      <c r="C63" s="1" t="s">
        <v>682</v>
      </c>
      <c r="D63" s="2">
        <v>40827</v>
      </c>
      <c r="E63" s="3">
        <v>29.200000000000003</v>
      </c>
      <c r="F63" s="4">
        <f t="shared" si="0"/>
        <v>4169.6518592816128</v>
      </c>
      <c r="G63" s="2">
        <v>40200</v>
      </c>
      <c r="H63" s="7">
        <v>3.02</v>
      </c>
      <c r="I63" s="7">
        <f>H63+H64-2*$A$24</f>
        <v>6</v>
      </c>
      <c r="J63" s="7">
        <v>3.1</v>
      </c>
      <c r="K63" s="7">
        <v>5.12</v>
      </c>
      <c r="L63" s="6">
        <f t="shared" si="1"/>
        <v>0.34333333333333332</v>
      </c>
      <c r="M63" s="6">
        <f t="shared" si="2"/>
        <v>0.56999999999999995</v>
      </c>
      <c r="N63" s="6">
        <f t="shared" si="3"/>
        <v>8.6666666666666781E-2</v>
      </c>
      <c r="O63" s="4">
        <f t="shared" si="4"/>
        <v>1431.5804716866871</v>
      </c>
      <c r="P63" s="4">
        <f t="shared" si="5"/>
        <v>2376.7015597905192</v>
      </c>
      <c r="Q63" s="4">
        <f t="shared" si="6"/>
        <v>3808.2820314772061</v>
      </c>
      <c r="R63" s="3"/>
      <c r="V63" s="3"/>
      <c r="W63" s="3"/>
      <c r="Y63" s="7"/>
      <c r="Z63" s="7"/>
      <c r="AA63" s="7"/>
      <c r="AB63" s="7"/>
      <c r="AC63" s="9"/>
      <c r="AD63" s="9"/>
      <c r="AE63" s="9"/>
      <c r="AF63" s="3"/>
      <c r="AG63" s="3"/>
      <c r="AH63" s="3"/>
    </row>
    <row r="64" spans="1:34" x14ac:dyDescent="0.3">
      <c r="A64">
        <v>31</v>
      </c>
      <c r="B64" s="1" t="s">
        <v>72</v>
      </c>
      <c r="C64" s="1" t="s">
        <v>682</v>
      </c>
      <c r="D64" s="2">
        <v>40827</v>
      </c>
      <c r="E64" s="3">
        <v>26.7</v>
      </c>
      <c r="F64" s="4">
        <f t="shared" si="0"/>
        <v>3784.1441060196289</v>
      </c>
      <c r="G64" s="2">
        <v>40200</v>
      </c>
      <c r="H64" s="7">
        <v>3.3</v>
      </c>
      <c r="I64" s="7">
        <f>H64+H63-2*$A$24</f>
        <v>6</v>
      </c>
      <c r="J64" s="7">
        <v>3.1</v>
      </c>
      <c r="K64" s="7">
        <v>5.12</v>
      </c>
      <c r="L64" s="6">
        <f t="shared" si="1"/>
        <v>0.34333333333333332</v>
      </c>
      <c r="M64" s="6">
        <f t="shared" si="2"/>
        <v>0.56999999999999995</v>
      </c>
      <c r="N64" s="6">
        <f t="shared" si="3"/>
        <v>8.6666666666666781E-2</v>
      </c>
      <c r="O64" s="4">
        <f t="shared" si="4"/>
        <v>1299.2228097334059</v>
      </c>
      <c r="P64" s="4">
        <f t="shared" si="5"/>
        <v>2156.9621404311883</v>
      </c>
      <c r="Q64" s="4">
        <f t="shared" si="6"/>
        <v>3456.1849501645943</v>
      </c>
      <c r="R64" s="3"/>
      <c r="V64" s="3"/>
      <c r="W64" s="3"/>
      <c r="Y64" s="7"/>
      <c r="Z64" s="7"/>
      <c r="AA64" s="7"/>
      <c r="AB64" s="7"/>
      <c r="AC64" s="9"/>
      <c r="AD64" s="9"/>
      <c r="AE64" s="9"/>
      <c r="AF64" s="3"/>
      <c r="AG64" s="3"/>
      <c r="AH64" s="3"/>
    </row>
    <row r="65" spans="1:34" x14ac:dyDescent="0.3">
      <c r="A65">
        <v>32</v>
      </c>
      <c r="B65" s="1" t="s">
        <v>73</v>
      </c>
      <c r="C65" s="1" t="s">
        <v>682</v>
      </c>
      <c r="D65" s="2">
        <v>40827</v>
      </c>
      <c r="E65" s="3">
        <v>28.9</v>
      </c>
      <c r="F65" s="4">
        <f t="shared" si="0"/>
        <v>4123.3909288901741</v>
      </c>
      <c r="G65" s="2">
        <v>40200</v>
      </c>
      <c r="H65" s="7">
        <v>3.42</v>
      </c>
      <c r="I65" s="7">
        <f>H65+H62-2*$A$24</f>
        <v>6.5</v>
      </c>
      <c r="J65" s="7">
        <v>3.28</v>
      </c>
      <c r="K65" s="7">
        <v>5.26</v>
      </c>
      <c r="L65" s="6">
        <f t="shared" si="1"/>
        <v>0.3446153846153846</v>
      </c>
      <c r="M65" s="6">
        <f t="shared" si="2"/>
        <v>0.54769230769230759</v>
      </c>
      <c r="N65" s="6">
        <f t="shared" si="3"/>
        <v>0.10769230769230786</v>
      </c>
      <c r="O65" s="4">
        <f t="shared" si="4"/>
        <v>1420.9839508790753</v>
      </c>
      <c r="P65" s="4">
        <f t="shared" si="5"/>
        <v>2258.3494933613874</v>
      </c>
      <c r="Q65" s="4">
        <f t="shared" si="6"/>
        <v>3679.333444240463</v>
      </c>
      <c r="R65" s="3"/>
      <c r="V65" s="3"/>
      <c r="W65" s="3"/>
      <c r="Y65" s="7"/>
      <c r="Z65" s="7"/>
      <c r="AA65" s="7"/>
      <c r="AB65" s="7"/>
      <c r="AC65" s="9"/>
      <c r="AD65" s="9"/>
      <c r="AE65" s="9"/>
      <c r="AF65" s="3"/>
      <c r="AG65" s="3"/>
      <c r="AH65" s="3"/>
    </row>
    <row r="66" spans="1:34" x14ac:dyDescent="0.3">
      <c r="A66">
        <v>33</v>
      </c>
      <c r="B66" s="1" t="s">
        <v>74</v>
      </c>
      <c r="C66" s="1" t="s">
        <v>682</v>
      </c>
      <c r="D66" s="2">
        <v>40827</v>
      </c>
      <c r="E66" s="3">
        <v>24.7</v>
      </c>
      <c r="F66" s="4">
        <f t="shared" si="0"/>
        <v>3475.7379034100422</v>
      </c>
      <c r="G66" s="2">
        <v>40200</v>
      </c>
      <c r="H66" s="7">
        <v>3.34</v>
      </c>
      <c r="I66" s="7">
        <f>H66+H61-2*$A$24</f>
        <v>5.9399999999999995</v>
      </c>
      <c r="J66" s="7">
        <v>3.1</v>
      </c>
      <c r="K66" s="7">
        <v>4.96</v>
      </c>
      <c r="L66" s="6">
        <f t="shared" si="1"/>
        <v>0.34680134680134683</v>
      </c>
      <c r="M66" s="6">
        <f t="shared" si="2"/>
        <v>0.54882154882154888</v>
      </c>
      <c r="N66" s="6">
        <f t="shared" si="3"/>
        <v>0.10437710437710424</v>
      </c>
      <c r="O66" s="4">
        <f t="shared" si="4"/>
        <v>1205.3905860310922</v>
      </c>
      <c r="P66" s="4">
        <f t="shared" si="5"/>
        <v>1907.5598594472624</v>
      </c>
      <c r="Q66" s="4">
        <f t="shared" si="6"/>
        <v>3112.9504454783546</v>
      </c>
      <c r="R66" s="3"/>
      <c r="V66" s="3"/>
      <c r="W66" s="3"/>
      <c r="Y66" s="7"/>
      <c r="Z66" s="7"/>
      <c r="AA66" s="7"/>
      <c r="AB66" s="7"/>
      <c r="AC66" s="9"/>
      <c r="AD66" s="9"/>
      <c r="AE66" s="9"/>
      <c r="AF66" s="3"/>
      <c r="AG66" s="3"/>
      <c r="AH66" s="3"/>
    </row>
    <row r="67" spans="1:34" x14ac:dyDescent="0.3">
      <c r="A67">
        <v>34</v>
      </c>
      <c r="B67" s="1" t="s">
        <v>75</v>
      </c>
      <c r="C67" s="1" t="s">
        <v>682</v>
      </c>
      <c r="D67" s="2">
        <v>40827</v>
      </c>
      <c r="E67" s="3">
        <v>32.6</v>
      </c>
      <c r="F67" s="4">
        <f t="shared" si="0"/>
        <v>4693.9424037179097</v>
      </c>
      <c r="G67" s="2">
        <v>40200</v>
      </c>
      <c r="H67" s="7">
        <v>2.94</v>
      </c>
      <c r="I67" s="7">
        <f>H67+H60-2*$A$24</f>
        <v>5.9799999999999995</v>
      </c>
      <c r="J67" s="7">
        <v>3.14</v>
      </c>
      <c r="K67" s="7">
        <v>5.0999999999999996</v>
      </c>
      <c r="L67" s="6">
        <f t="shared" si="1"/>
        <v>0.35117056856187295</v>
      </c>
      <c r="M67" s="6">
        <f t="shared" si="2"/>
        <v>0.56856187290969895</v>
      </c>
      <c r="N67" s="6">
        <f t="shared" si="3"/>
        <v>8.0267558528428151E-2</v>
      </c>
      <c r="O67" s="4">
        <f t="shared" si="4"/>
        <v>1648.374422710303</v>
      </c>
      <c r="P67" s="4">
        <f t="shared" si="5"/>
        <v>2668.796684388109</v>
      </c>
      <c r="Q67" s="4">
        <f t="shared" si="6"/>
        <v>4317.171107098412</v>
      </c>
      <c r="R67" s="3"/>
      <c r="V67" s="3"/>
      <c r="W67" s="3"/>
      <c r="Y67" s="7"/>
      <c r="Z67" s="7"/>
      <c r="AA67" s="7"/>
      <c r="AB67" s="7"/>
      <c r="AC67" s="9"/>
      <c r="AD67" s="9"/>
      <c r="AE67" s="9"/>
      <c r="AF67" s="3"/>
      <c r="AG67" s="3"/>
      <c r="AH67" s="3"/>
    </row>
    <row r="68" spans="1:34" x14ac:dyDescent="0.3">
      <c r="A68">
        <v>35</v>
      </c>
      <c r="B68" s="1" t="s">
        <v>76</v>
      </c>
      <c r="C68" s="1" t="s">
        <v>682</v>
      </c>
      <c r="D68" s="2">
        <v>40827</v>
      </c>
      <c r="E68" s="3">
        <v>31.799999999999997</v>
      </c>
      <c r="F68" s="4">
        <f t="shared" si="0"/>
        <v>4570.5799226740746</v>
      </c>
      <c r="G68" s="2">
        <v>40200</v>
      </c>
      <c r="H68" s="7">
        <v>3.6</v>
      </c>
      <c r="I68" s="7">
        <f>H68+H59-2*$A$24</f>
        <v>6.76</v>
      </c>
      <c r="J68" s="7">
        <v>3.36</v>
      </c>
      <c r="K68" s="7">
        <v>5.46</v>
      </c>
      <c r="L68" s="6">
        <f t="shared" si="1"/>
        <v>0.34319526627218933</v>
      </c>
      <c r="M68" s="6">
        <f t="shared" si="2"/>
        <v>0.55621301775147924</v>
      </c>
      <c r="N68" s="6">
        <f t="shared" si="3"/>
        <v>0.10059171597633143</v>
      </c>
      <c r="O68" s="4">
        <f t="shared" si="4"/>
        <v>1568.6013935804515</v>
      </c>
      <c r="P68" s="4">
        <f t="shared" si="5"/>
        <v>2542.2160516648696</v>
      </c>
      <c r="Q68" s="4">
        <f t="shared" si="6"/>
        <v>4110.8174452453213</v>
      </c>
      <c r="R68" s="3"/>
      <c r="V68" s="3"/>
      <c r="W68" s="3"/>
      <c r="Y68" s="7"/>
      <c r="Z68" s="7"/>
      <c r="AA68" s="7"/>
      <c r="AB68" s="7"/>
      <c r="AC68" s="9"/>
      <c r="AD68" s="9"/>
      <c r="AE68" s="9"/>
      <c r="AF68" s="3"/>
      <c r="AG68" s="3"/>
      <c r="AH68" s="3"/>
    </row>
    <row r="69" spans="1:34" x14ac:dyDescent="0.3">
      <c r="A69">
        <v>36</v>
      </c>
      <c r="B69" s="1" t="s">
        <v>77</v>
      </c>
      <c r="C69" s="1" t="s">
        <v>682</v>
      </c>
      <c r="D69" s="2">
        <v>40827</v>
      </c>
      <c r="E69" s="3">
        <v>30.6</v>
      </c>
      <c r="F69" s="4">
        <f t="shared" si="0"/>
        <v>4385.5362011083234</v>
      </c>
      <c r="G69" s="2">
        <v>40200</v>
      </c>
      <c r="H69" s="7">
        <v>3.12</v>
      </c>
      <c r="I69" s="7">
        <f>H69+H58-2*$A$24</f>
        <v>6.3</v>
      </c>
      <c r="J69" s="7">
        <v>3.18</v>
      </c>
      <c r="K69" s="7">
        <v>5.18</v>
      </c>
      <c r="L69" s="6">
        <f t="shared" si="1"/>
        <v>0.3396825396825397</v>
      </c>
      <c r="M69" s="6">
        <f t="shared" si="2"/>
        <v>0.55238095238095231</v>
      </c>
      <c r="N69" s="6">
        <f t="shared" si="3"/>
        <v>0.107936507936508</v>
      </c>
      <c r="O69" s="4">
        <f t="shared" si="4"/>
        <v>1489.6900746621925</v>
      </c>
      <c r="P69" s="4">
        <f t="shared" si="5"/>
        <v>2422.4866634693594</v>
      </c>
      <c r="Q69" s="4">
        <f t="shared" si="6"/>
        <v>3912.1767381315522</v>
      </c>
      <c r="R69" s="3"/>
      <c r="V69" s="3"/>
      <c r="W69" s="3"/>
      <c r="Y69" s="7"/>
      <c r="Z69" s="7"/>
      <c r="AA69" s="7"/>
      <c r="AB69" s="7"/>
      <c r="AC69" s="9"/>
      <c r="AD69" s="9"/>
      <c r="AE69" s="9"/>
      <c r="AF69" s="3"/>
      <c r="AG69" s="3"/>
      <c r="AH69" s="3"/>
    </row>
    <row r="70" spans="1:34" x14ac:dyDescent="0.3">
      <c r="A70">
        <v>37</v>
      </c>
      <c r="B70" s="1" t="s">
        <v>78</v>
      </c>
      <c r="C70" s="1" t="s">
        <v>682</v>
      </c>
      <c r="D70" s="2">
        <v>40827</v>
      </c>
      <c r="E70" s="3">
        <v>32</v>
      </c>
      <c r="F70" s="4">
        <f t="shared" si="0"/>
        <v>4601.4205429350341</v>
      </c>
      <c r="G70" s="2">
        <v>40200</v>
      </c>
      <c r="H70" s="7">
        <v>2.92</v>
      </c>
      <c r="I70" s="7">
        <f>H70+H57-2*$A$24</f>
        <v>5.18</v>
      </c>
      <c r="J70" s="7">
        <v>2.82</v>
      </c>
      <c r="K70" s="7">
        <v>4.62</v>
      </c>
      <c r="L70" s="6">
        <f t="shared" si="1"/>
        <v>0.34362934362934361</v>
      </c>
      <c r="M70" s="6">
        <f t="shared" si="2"/>
        <v>0.56370656370656369</v>
      </c>
      <c r="N70" s="6">
        <f t="shared" si="3"/>
        <v>9.2664092664092701E-2</v>
      </c>
      <c r="O70" s="4">
        <f t="shared" si="4"/>
        <v>1581.1831209313436</v>
      </c>
      <c r="P70" s="4">
        <f t="shared" si="5"/>
        <v>2593.8509624266985</v>
      </c>
      <c r="Q70" s="4">
        <f t="shared" si="6"/>
        <v>4175.0340833580422</v>
      </c>
      <c r="V70" s="3"/>
      <c r="W70" s="3"/>
      <c r="Y70" s="7"/>
      <c r="Z70" s="7"/>
      <c r="AA70" s="7"/>
      <c r="AB70" s="7"/>
      <c r="AC70" s="9"/>
      <c r="AD70" s="9"/>
      <c r="AE70" s="9"/>
      <c r="AF70" s="3"/>
      <c r="AG70" s="3"/>
      <c r="AH70" s="3"/>
    </row>
    <row r="71" spans="1:34" x14ac:dyDescent="0.3">
      <c r="A71">
        <v>38</v>
      </c>
      <c r="B71" s="1" t="s">
        <v>79</v>
      </c>
      <c r="C71" s="1" t="s">
        <v>682</v>
      </c>
      <c r="D71" s="2">
        <v>40827</v>
      </c>
      <c r="E71" s="3">
        <v>26.6</v>
      </c>
      <c r="F71" s="4">
        <f t="shared" si="0"/>
        <v>3768.7237958891496</v>
      </c>
      <c r="G71" s="2">
        <v>40200</v>
      </c>
      <c r="H71" s="7">
        <v>3.82</v>
      </c>
      <c r="I71" s="7">
        <f>H71+H56-2*$A$24</f>
        <v>6.379999999999999</v>
      </c>
      <c r="J71" s="7">
        <v>3.22</v>
      </c>
      <c r="K71" s="7">
        <v>5.22</v>
      </c>
      <c r="L71" s="6">
        <f t="shared" si="1"/>
        <v>0.3416927899686521</v>
      </c>
      <c r="M71" s="6">
        <f t="shared" si="2"/>
        <v>0.55172413793103448</v>
      </c>
      <c r="N71" s="6">
        <f t="shared" si="3"/>
        <v>0.10658307210031337</v>
      </c>
      <c r="O71" s="4">
        <f t="shared" si="4"/>
        <v>1287.7457484386125</v>
      </c>
      <c r="P71" s="4">
        <f t="shared" si="5"/>
        <v>2079.2958873871171</v>
      </c>
      <c r="Q71" s="4">
        <f t="shared" si="6"/>
        <v>3367.0416358257298</v>
      </c>
      <c r="V71" s="3"/>
      <c r="W71" s="3"/>
      <c r="Y71" s="7"/>
      <c r="Z71" s="7"/>
      <c r="AA71" s="7"/>
      <c r="AB71" s="7"/>
      <c r="AC71" s="9"/>
      <c r="AD71" s="9"/>
      <c r="AE71" s="9"/>
      <c r="AF71" s="3"/>
      <c r="AG71" s="3"/>
      <c r="AH71" s="3"/>
    </row>
    <row r="72" spans="1:34" x14ac:dyDescent="0.3">
      <c r="A72">
        <v>39</v>
      </c>
      <c r="B72" s="1" t="s">
        <v>80</v>
      </c>
      <c r="C72" s="1" t="s">
        <v>682</v>
      </c>
      <c r="D72" s="2">
        <v>40827</v>
      </c>
      <c r="E72" s="3">
        <v>28.1</v>
      </c>
      <c r="F72" s="4">
        <f t="shared" si="0"/>
        <v>4000.02844784634</v>
      </c>
      <c r="G72" s="2">
        <v>40200</v>
      </c>
      <c r="H72" s="7">
        <v>3.66</v>
      </c>
      <c r="I72" s="7">
        <f>H72+H55-2*$A$24</f>
        <v>6.82</v>
      </c>
      <c r="J72" s="7">
        <v>3.4</v>
      </c>
      <c r="K72" s="7">
        <v>5.48</v>
      </c>
      <c r="L72" s="6">
        <f t="shared" si="1"/>
        <v>0.34604105571847504</v>
      </c>
      <c r="M72" s="6">
        <f t="shared" si="2"/>
        <v>0.5542521994134898</v>
      </c>
      <c r="N72" s="6">
        <f t="shared" si="3"/>
        <v>9.9706744868035213E-2</v>
      </c>
      <c r="O72" s="4">
        <f t="shared" si="4"/>
        <v>1384.1740669966805</v>
      </c>
      <c r="P72" s="4">
        <f t="shared" si="5"/>
        <v>2217.0245649353619</v>
      </c>
      <c r="Q72" s="4">
        <f t="shared" si="6"/>
        <v>3601.1986319320422</v>
      </c>
      <c r="V72" s="3"/>
      <c r="W72" s="3"/>
      <c r="Y72" s="7"/>
      <c r="Z72" s="7"/>
      <c r="AA72" s="7"/>
      <c r="AB72" s="7"/>
      <c r="AC72" s="9"/>
      <c r="AD72" s="9"/>
      <c r="AE72" s="9"/>
      <c r="AF72" s="3"/>
      <c r="AG72" s="3"/>
      <c r="AH72" s="3"/>
    </row>
    <row r="73" spans="1:34" x14ac:dyDescent="0.3">
      <c r="A73">
        <v>40</v>
      </c>
      <c r="B73" s="1" t="s">
        <v>81</v>
      </c>
      <c r="C73" s="1" t="s">
        <v>682</v>
      </c>
      <c r="D73" s="2">
        <v>40827</v>
      </c>
      <c r="E73" s="3">
        <v>22.2</v>
      </c>
      <c r="F73" s="4">
        <f t="shared" si="0"/>
        <v>3090.2301501480588</v>
      </c>
      <c r="G73" s="2">
        <v>40200</v>
      </c>
      <c r="H73" s="7">
        <v>3.32</v>
      </c>
      <c r="I73" s="7">
        <f>H73+H54-2*$A$24</f>
        <v>6.66</v>
      </c>
      <c r="J73" s="7">
        <v>3.34</v>
      </c>
      <c r="K73" s="7">
        <v>5.42</v>
      </c>
      <c r="L73" s="6">
        <f t="shared" si="1"/>
        <v>0.34534534534534533</v>
      </c>
      <c r="M73" s="6">
        <f t="shared" si="2"/>
        <v>0.55855855855855852</v>
      </c>
      <c r="N73" s="6">
        <f t="shared" si="3"/>
        <v>9.6096096096096151E-2</v>
      </c>
      <c r="O73" s="4">
        <f t="shared" si="4"/>
        <v>1067.1965983994796</v>
      </c>
      <c r="P73" s="4">
        <f t="shared" si="5"/>
        <v>1726.0744982808976</v>
      </c>
      <c r="Q73" s="4">
        <f t="shared" si="6"/>
        <v>2793.271096680377</v>
      </c>
      <c r="V73" s="3"/>
      <c r="W73" s="3"/>
      <c r="Y73" s="7"/>
      <c r="Z73" s="7"/>
      <c r="AA73" s="7"/>
      <c r="AB73" s="7"/>
      <c r="AC73" s="9"/>
      <c r="AD73" s="9"/>
      <c r="AE73" s="9"/>
      <c r="AF73" s="3"/>
      <c r="AG73" s="3"/>
      <c r="AH73" s="3"/>
    </row>
    <row r="74" spans="1:34" x14ac:dyDescent="0.3">
      <c r="A74">
        <v>41</v>
      </c>
      <c r="B74" s="1" t="s">
        <v>82</v>
      </c>
      <c r="C74" s="1" t="s">
        <v>682</v>
      </c>
      <c r="D74" s="2">
        <v>40827</v>
      </c>
      <c r="E74" s="3">
        <v>26.7</v>
      </c>
      <c r="F74" s="4">
        <f t="shared" si="0"/>
        <v>3784.1441060196289</v>
      </c>
      <c r="G74" s="2">
        <v>40200</v>
      </c>
      <c r="H74" s="7">
        <v>3.36</v>
      </c>
      <c r="I74" s="7">
        <f>H74+H93-2*$A$24</f>
        <v>6.52</v>
      </c>
      <c r="J74" s="7">
        <v>3.22</v>
      </c>
      <c r="K74" s="7">
        <v>5.38</v>
      </c>
      <c r="L74" s="6">
        <f t="shared" si="1"/>
        <v>0.33435582822085896</v>
      </c>
      <c r="M74" s="6">
        <f t="shared" si="2"/>
        <v>0.56441717791411039</v>
      </c>
      <c r="N74" s="6">
        <f t="shared" si="3"/>
        <v>0.10122699386503065</v>
      </c>
      <c r="O74" s="4">
        <f t="shared" si="4"/>
        <v>1265.250636675275</v>
      </c>
      <c r="P74" s="4">
        <f t="shared" si="5"/>
        <v>2135.8359371399133</v>
      </c>
      <c r="Q74" s="4">
        <f t="shared" si="6"/>
        <v>3401.0865738151883</v>
      </c>
      <c r="S74" t="s">
        <v>27</v>
      </c>
      <c r="T74" t="s">
        <v>682</v>
      </c>
      <c r="U74" s="8">
        <f>D74</f>
        <v>40827</v>
      </c>
      <c r="V74" s="3">
        <f>SUM(E74:E113)</f>
        <v>1310.1999999999996</v>
      </c>
      <c r="W74" s="3">
        <f>(V74-80*$A$20)*$A$21/(40*$A$22)*$A$23</f>
        <v>4717.843884420151</v>
      </c>
      <c r="X74" s="8">
        <f>G74</f>
        <v>40200</v>
      </c>
      <c r="Y74" s="7">
        <f>SUM(H74:H113)</f>
        <v>142.30000000000004</v>
      </c>
      <c r="Z74" s="7">
        <f>SUM(I74:I113)</f>
        <v>271.8</v>
      </c>
      <c r="AA74" s="7">
        <f>SUM(J74:J113)</f>
        <v>131.64000000000004</v>
      </c>
      <c r="AB74" s="7">
        <f>SUM(K74:K113)</f>
        <v>224.51999999999992</v>
      </c>
      <c r="AC74" s="9">
        <f>(AA74-40*$A$25)/Z74</f>
        <v>0.33127299484915396</v>
      </c>
      <c r="AD74" s="9">
        <f>(AB74-40*$A$26)/Z74</f>
        <v>0.57586460632818215</v>
      </c>
      <c r="AE74" s="9">
        <f>1-AC74-AD74</f>
        <v>9.2862398822663894E-2</v>
      </c>
      <c r="AF74" s="3">
        <f>W74*AC74</f>
        <v>1562.8942728226291</v>
      </c>
      <c r="AG74" s="3">
        <f>W74*AD74</f>
        <v>2716.8393112194321</v>
      </c>
      <c r="AH74" s="3">
        <f>AF74+AG74</f>
        <v>4279.733584042061</v>
      </c>
    </row>
    <row r="75" spans="1:34" x14ac:dyDescent="0.3">
      <c r="A75">
        <v>42</v>
      </c>
      <c r="B75" s="1" t="s">
        <v>83</v>
      </c>
      <c r="C75" s="1" t="s">
        <v>682</v>
      </c>
      <c r="D75" s="2">
        <v>40827</v>
      </c>
      <c r="E75" s="3">
        <v>32</v>
      </c>
      <c r="F75" s="4">
        <f t="shared" si="0"/>
        <v>4601.4205429350341</v>
      </c>
      <c r="G75" s="2">
        <v>40200</v>
      </c>
      <c r="H75" s="7">
        <v>3.32</v>
      </c>
      <c r="I75" s="7">
        <f>H75+H92-2*$A$24</f>
        <v>6.64</v>
      </c>
      <c r="J75" s="7">
        <v>3.26</v>
      </c>
      <c r="K75" s="7">
        <v>5.54</v>
      </c>
      <c r="L75" s="6">
        <f t="shared" si="1"/>
        <v>0.33433734939759036</v>
      </c>
      <c r="M75" s="6">
        <f t="shared" si="2"/>
        <v>0.57831325301204817</v>
      </c>
      <c r="N75" s="6">
        <f t="shared" si="3"/>
        <v>8.7349397590361533E-2</v>
      </c>
      <c r="O75" s="4">
        <f t="shared" si="4"/>
        <v>1538.4267477885203</v>
      </c>
      <c r="P75" s="4">
        <f t="shared" si="5"/>
        <v>2661.0624826612243</v>
      </c>
      <c r="Q75" s="4">
        <f t="shared" si="6"/>
        <v>4199.4892304497444</v>
      </c>
      <c r="V75" s="3"/>
      <c r="W75" s="3"/>
      <c r="Y75" s="7"/>
      <c r="Z75" s="7"/>
      <c r="AA75" s="7"/>
      <c r="AB75" s="7"/>
      <c r="AC75" s="9"/>
      <c r="AD75" s="9"/>
      <c r="AE75" s="9"/>
      <c r="AF75" s="3"/>
      <c r="AG75" s="3"/>
      <c r="AH75" s="3"/>
    </row>
    <row r="76" spans="1:34" x14ac:dyDescent="0.3">
      <c r="A76">
        <v>43</v>
      </c>
      <c r="B76" s="1" t="s">
        <v>84</v>
      </c>
      <c r="C76" s="1" t="s">
        <v>682</v>
      </c>
      <c r="D76" s="2">
        <v>40827</v>
      </c>
      <c r="E76" s="3">
        <v>28.8</v>
      </c>
      <c r="F76" s="4">
        <f t="shared" si="0"/>
        <v>4107.9706187596958</v>
      </c>
      <c r="G76" s="2">
        <v>40200</v>
      </c>
      <c r="H76" s="7">
        <v>3.2</v>
      </c>
      <c r="I76" s="7">
        <f>H76+H91-2*$A$24</f>
        <v>6.82</v>
      </c>
      <c r="J76" s="7">
        <v>3.26</v>
      </c>
      <c r="K76" s="7">
        <v>5.56</v>
      </c>
      <c r="L76" s="6">
        <f t="shared" si="1"/>
        <v>0.32551319648093835</v>
      </c>
      <c r="M76" s="6">
        <f t="shared" si="2"/>
        <v>0.56598240469208205</v>
      </c>
      <c r="N76" s="6">
        <f t="shared" si="3"/>
        <v>0.1085043988269796</v>
      </c>
      <c r="O76" s="4">
        <f t="shared" si="4"/>
        <v>1337.1986471622467</v>
      </c>
      <c r="P76" s="4">
        <f t="shared" si="5"/>
        <v>2325.0390892100327</v>
      </c>
      <c r="Q76" s="4">
        <f t="shared" si="6"/>
        <v>3662.2377363722794</v>
      </c>
      <c r="V76" s="3"/>
      <c r="W76" s="3"/>
      <c r="Y76" s="7"/>
      <c r="Z76" s="7"/>
      <c r="AA76" s="7"/>
      <c r="AB76" s="7"/>
      <c r="AC76" s="9"/>
      <c r="AD76" s="9"/>
      <c r="AE76" s="9"/>
      <c r="AF76" s="3"/>
      <c r="AG76" s="3"/>
      <c r="AH76" s="3"/>
    </row>
    <row r="77" spans="1:34" x14ac:dyDescent="0.3">
      <c r="A77">
        <v>44</v>
      </c>
      <c r="B77" s="1" t="s">
        <v>85</v>
      </c>
      <c r="C77" s="1" t="s">
        <v>682</v>
      </c>
      <c r="D77" s="2">
        <v>40827</v>
      </c>
      <c r="E77" s="3">
        <v>29.5</v>
      </c>
      <c r="F77" s="4">
        <f t="shared" si="0"/>
        <v>4215.9127896730506</v>
      </c>
      <c r="G77" s="2">
        <v>40200</v>
      </c>
      <c r="H77" s="7">
        <v>3.42</v>
      </c>
      <c r="I77" s="7">
        <f>H77+H90-2*$A$24</f>
        <v>7.06</v>
      </c>
      <c r="J77" s="7">
        <v>3.38</v>
      </c>
      <c r="K77" s="7">
        <v>5.76</v>
      </c>
      <c r="L77" s="6">
        <f t="shared" si="1"/>
        <v>0.33144475920679889</v>
      </c>
      <c r="M77" s="6">
        <f t="shared" si="2"/>
        <v>0.57507082152974498</v>
      </c>
      <c r="N77" s="6">
        <f t="shared" si="3"/>
        <v>9.3484419263456187E-2</v>
      </c>
      <c r="O77" s="4">
        <f t="shared" si="4"/>
        <v>1397.3421994100481</v>
      </c>
      <c r="P77" s="4">
        <f t="shared" si="5"/>
        <v>2424.44843145504</v>
      </c>
      <c r="Q77" s="4">
        <f t="shared" si="6"/>
        <v>3821.7906308650881</v>
      </c>
      <c r="V77" s="3"/>
      <c r="W77" s="3"/>
      <c r="Y77" s="7"/>
      <c r="Z77" s="7"/>
      <c r="AA77" s="7"/>
      <c r="AB77" s="7"/>
      <c r="AC77" s="9"/>
      <c r="AD77" s="9"/>
      <c r="AE77" s="9"/>
      <c r="AF77" s="3"/>
      <c r="AG77" s="3"/>
      <c r="AH77" s="3"/>
    </row>
    <row r="78" spans="1:34" x14ac:dyDescent="0.3">
      <c r="A78">
        <v>45</v>
      </c>
      <c r="B78" s="1" t="s">
        <v>86</v>
      </c>
      <c r="C78" s="1" t="s">
        <v>682</v>
      </c>
      <c r="D78" s="2">
        <v>40827</v>
      </c>
      <c r="E78" s="3">
        <v>29.5</v>
      </c>
      <c r="F78" s="4">
        <f t="shared" si="0"/>
        <v>4215.9127896730506</v>
      </c>
      <c r="G78" s="2">
        <v>40200</v>
      </c>
      <c r="H78" s="7">
        <v>3.58</v>
      </c>
      <c r="I78" s="7">
        <f>H78+H89-2*$A$24</f>
        <v>6.26</v>
      </c>
      <c r="J78" s="7">
        <v>3.04</v>
      </c>
      <c r="K78" s="7">
        <v>5.28</v>
      </c>
      <c r="L78" s="6">
        <f t="shared" si="1"/>
        <v>0.31948881789137379</v>
      </c>
      <c r="M78" s="6">
        <f t="shared" si="2"/>
        <v>0.5718849840255591</v>
      </c>
      <c r="N78" s="6">
        <f t="shared" si="3"/>
        <v>0.10862619808306717</v>
      </c>
      <c r="O78" s="4">
        <f t="shared" si="4"/>
        <v>1346.9369935057668</v>
      </c>
      <c r="P78" s="4">
        <f t="shared" si="5"/>
        <v>2411.017218375323</v>
      </c>
      <c r="Q78" s="4">
        <f t="shared" si="6"/>
        <v>3757.9542118810896</v>
      </c>
      <c r="V78" s="3"/>
      <c r="W78" s="3"/>
      <c r="Y78" s="7"/>
      <c r="Z78" s="7"/>
      <c r="AA78" s="7"/>
      <c r="AB78" s="7"/>
      <c r="AC78" s="9"/>
      <c r="AD78" s="9"/>
      <c r="AE78" s="9"/>
      <c r="AF78" s="3"/>
      <c r="AG78" s="3"/>
      <c r="AH78" s="3"/>
    </row>
    <row r="79" spans="1:34" x14ac:dyDescent="0.3">
      <c r="A79">
        <v>46</v>
      </c>
      <c r="B79" s="1" t="s">
        <v>87</v>
      </c>
      <c r="C79" s="1" t="s">
        <v>682</v>
      </c>
      <c r="D79" s="2">
        <v>40827</v>
      </c>
      <c r="E79" s="3">
        <v>32</v>
      </c>
      <c r="F79" s="4">
        <f t="shared" si="0"/>
        <v>4601.4205429350341</v>
      </c>
      <c r="G79" s="2">
        <v>40200</v>
      </c>
      <c r="H79" s="7">
        <v>3.28</v>
      </c>
      <c r="I79" s="7">
        <f>H79+H88-2*$A$24</f>
        <v>6.3599999999999994</v>
      </c>
      <c r="J79" s="7">
        <v>3.16</v>
      </c>
      <c r="K79" s="7">
        <v>5.4</v>
      </c>
      <c r="L79" s="6">
        <f t="shared" si="1"/>
        <v>0.33333333333333337</v>
      </c>
      <c r="M79" s="6">
        <f t="shared" si="2"/>
        <v>0.58176100628930827</v>
      </c>
      <c r="N79" s="6">
        <f t="shared" si="3"/>
        <v>8.4905660377358361E-2</v>
      </c>
      <c r="O79" s="4">
        <f t="shared" si="4"/>
        <v>1533.8068476450114</v>
      </c>
      <c r="P79" s="4">
        <f t="shared" si="5"/>
        <v>2676.9270454181806</v>
      </c>
      <c r="Q79" s="4">
        <f t="shared" si="6"/>
        <v>4210.7338930631922</v>
      </c>
      <c r="V79" s="3"/>
      <c r="W79" s="3"/>
      <c r="Y79" s="7"/>
      <c r="Z79" s="7"/>
      <c r="AA79" s="7"/>
      <c r="AB79" s="7"/>
      <c r="AC79" s="9"/>
      <c r="AD79" s="9"/>
      <c r="AE79" s="9"/>
      <c r="AF79" s="3"/>
      <c r="AG79" s="3"/>
      <c r="AH79" s="3"/>
    </row>
    <row r="80" spans="1:34" x14ac:dyDescent="0.3">
      <c r="A80">
        <v>47</v>
      </c>
      <c r="B80" s="1" t="s">
        <v>88</v>
      </c>
      <c r="C80" s="1" t="s">
        <v>682</v>
      </c>
      <c r="D80" s="2">
        <v>40827</v>
      </c>
      <c r="E80" s="3">
        <v>26.200000000000003</v>
      </c>
      <c r="F80" s="4">
        <f t="shared" si="0"/>
        <v>3707.042555367233</v>
      </c>
      <c r="G80" s="2">
        <v>40200</v>
      </c>
      <c r="H80" s="7">
        <v>3.14</v>
      </c>
      <c r="I80" s="7">
        <f>H80+H87-2*$A$24</f>
        <v>6.26</v>
      </c>
      <c r="J80" s="7">
        <v>3.12</v>
      </c>
      <c r="K80" s="7">
        <v>5.32</v>
      </c>
      <c r="L80" s="6">
        <f t="shared" si="1"/>
        <v>0.3322683706070288</v>
      </c>
      <c r="M80" s="6">
        <f t="shared" si="2"/>
        <v>0.57827476038338665</v>
      </c>
      <c r="N80" s="6">
        <f t="shared" si="3"/>
        <v>8.9456869009584494E-2</v>
      </c>
      <c r="O80" s="4">
        <f t="shared" si="4"/>
        <v>1231.7329896427868</v>
      </c>
      <c r="P80" s="4">
        <f t="shared" si="5"/>
        <v>2143.6891454360039</v>
      </c>
      <c r="Q80" s="4">
        <f t="shared" si="6"/>
        <v>3375.4221350787907</v>
      </c>
      <c r="V80" s="3"/>
      <c r="W80" s="3"/>
      <c r="Y80" s="7"/>
      <c r="Z80" s="7"/>
      <c r="AA80" s="7"/>
      <c r="AB80" s="7"/>
      <c r="AC80" s="9"/>
      <c r="AD80" s="9"/>
      <c r="AE80" s="9"/>
      <c r="AF80" s="3"/>
      <c r="AG80" s="3"/>
      <c r="AH80" s="3"/>
    </row>
    <row r="81" spans="1:34" x14ac:dyDescent="0.3">
      <c r="A81">
        <v>48</v>
      </c>
      <c r="B81" s="1" t="s">
        <v>89</v>
      </c>
      <c r="C81" s="1" t="s">
        <v>682</v>
      </c>
      <c r="D81" s="2">
        <v>40827</v>
      </c>
      <c r="E81" s="3">
        <v>28.9</v>
      </c>
      <c r="F81" s="4">
        <f t="shared" si="0"/>
        <v>4123.3909288901741</v>
      </c>
      <c r="G81" s="2">
        <v>40200</v>
      </c>
      <c r="H81" s="7">
        <v>3.6</v>
      </c>
      <c r="I81" s="7">
        <f>H81+H86-2*$A$24</f>
        <v>6.98</v>
      </c>
      <c r="J81" s="7">
        <v>3.36</v>
      </c>
      <c r="K81" s="7">
        <v>5.74</v>
      </c>
      <c r="L81" s="6">
        <f t="shared" si="1"/>
        <v>0.33237822349570195</v>
      </c>
      <c r="M81" s="6">
        <f t="shared" si="2"/>
        <v>0.57879656160458448</v>
      </c>
      <c r="N81" s="6">
        <f t="shared" si="3"/>
        <v>8.8825214899713512E-2</v>
      </c>
      <c r="O81" s="4">
        <f t="shared" si="4"/>
        <v>1370.5253517228084</v>
      </c>
      <c r="P81" s="4">
        <f t="shared" si="5"/>
        <v>2386.6044917931663</v>
      </c>
      <c r="Q81" s="4">
        <f t="shared" si="6"/>
        <v>3757.1298435159747</v>
      </c>
      <c r="V81" s="3"/>
      <c r="W81" s="3"/>
      <c r="Y81" s="7"/>
      <c r="Z81" s="7"/>
      <c r="AA81" s="7"/>
      <c r="AB81" s="7"/>
      <c r="AC81" s="9"/>
      <c r="AD81" s="9"/>
      <c r="AE81" s="9"/>
      <c r="AF81" s="3"/>
      <c r="AG81" s="3"/>
      <c r="AH81" s="3"/>
    </row>
    <row r="82" spans="1:34" x14ac:dyDescent="0.3">
      <c r="A82">
        <v>49</v>
      </c>
      <c r="B82" s="1" t="s">
        <v>90</v>
      </c>
      <c r="C82" s="1" t="s">
        <v>682</v>
      </c>
      <c r="D82" s="2">
        <v>40827</v>
      </c>
      <c r="E82" s="3">
        <v>34.799999999999997</v>
      </c>
      <c r="F82" s="4">
        <f t="shared" si="0"/>
        <v>5033.1892265884544</v>
      </c>
      <c r="G82" s="2">
        <v>40200</v>
      </c>
      <c r="H82" s="7">
        <v>3.62</v>
      </c>
      <c r="I82" s="7">
        <f>H82+H85-2*$A$24</f>
        <v>6.96</v>
      </c>
      <c r="J82" s="7">
        <v>3.42</v>
      </c>
      <c r="K82" s="7">
        <v>5.8</v>
      </c>
      <c r="L82" s="6">
        <f t="shared" si="1"/>
        <v>0.34195402298850575</v>
      </c>
      <c r="M82" s="6">
        <f t="shared" si="2"/>
        <v>0.58908045977011492</v>
      </c>
      <c r="N82" s="6">
        <f t="shared" si="3"/>
        <v>6.8965517241379337E-2</v>
      </c>
      <c r="O82" s="4">
        <f t="shared" si="4"/>
        <v>1721.1193044943277</v>
      </c>
      <c r="P82" s="4">
        <f t="shared" si="5"/>
        <v>2964.9534237087159</v>
      </c>
      <c r="Q82" s="4">
        <f t="shared" si="6"/>
        <v>4686.0727282030439</v>
      </c>
      <c r="V82" s="3"/>
      <c r="W82" s="3"/>
      <c r="Y82" s="7"/>
      <c r="Z82" s="7"/>
      <c r="AA82" s="7"/>
      <c r="AB82" s="7"/>
      <c r="AC82" s="9"/>
      <c r="AD82" s="9"/>
      <c r="AE82" s="9"/>
      <c r="AF82" s="3"/>
      <c r="AG82" s="3"/>
      <c r="AH82" s="3"/>
    </row>
    <row r="83" spans="1:34" x14ac:dyDescent="0.3">
      <c r="A83">
        <v>50</v>
      </c>
      <c r="B83" s="1" t="s">
        <v>91</v>
      </c>
      <c r="C83" s="1" t="s">
        <v>682</v>
      </c>
      <c r="D83" s="2">
        <v>40827</v>
      </c>
      <c r="E83" s="3">
        <v>31.3</v>
      </c>
      <c r="F83" s="4">
        <f t="shared" si="0"/>
        <v>4493.4783720216783</v>
      </c>
      <c r="G83" s="2">
        <v>40200</v>
      </c>
      <c r="H83" s="7">
        <v>3.94</v>
      </c>
      <c r="I83" s="7">
        <f>H83+H84-2*$A$24</f>
        <v>7.56</v>
      </c>
      <c r="J83" s="7">
        <v>3.56</v>
      </c>
      <c r="K83" s="7">
        <v>6.06</v>
      </c>
      <c r="L83" s="6">
        <f t="shared" si="1"/>
        <v>0.33333333333333337</v>
      </c>
      <c r="M83" s="6">
        <f t="shared" si="2"/>
        <v>0.57671957671957663</v>
      </c>
      <c r="N83" s="6">
        <f t="shared" si="3"/>
        <v>8.9947089947089998E-2</v>
      </c>
      <c r="O83" s="4">
        <f t="shared" si="4"/>
        <v>1497.8261240072263</v>
      </c>
      <c r="P83" s="4">
        <f t="shared" si="5"/>
        <v>2591.4769447109147</v>
      </c>
      <c r="Q83" s="4">
        <f t="shared" si="6"/>
        <v>4089.3030687181408</v>
      </c>
      <c r="V83" s="3"/>
      <c r="W83" s="3"/>
      <c r="Y83" s="7"/>
      <c r="Z83" s="7"/>
      <c r="AA83" s="7"/>
      <c r="AB83" s="7"/>
      <c r="AC83" s="9"/>
      <c r="AD83" s="9"/>
      <c r="AE83" s="9"/>
      <c r="AF83" s="3"/>
      <c r="AG83" s="3"/>
      <c r="AH83" s="3"/>
    </row>
    <row r="84" spans="1:34" x14ac:dyDescent="0.3">
      <c r="A84">
        <v>51</v>
      </c>
      <c r="B84" s="1" t="s">
        <v>92</v>
      </c>
      <c r="C84" s="1" t="s">
        <v>682</v>
      </c>
      <c r="D84" s="2">
        <v>40827</v>
      </c>
      <c r="E84" s="3">
        <v>33.799999999999997</v>
      </c>
      <c r="F84" s="4">
        <f t="shared" si="0"/>
        <v>4878.9861252836617</v>
      </c>
      <c r="G84" s="2">
        <v>40200</v>
      </c>
      <c r="H84" s="7">
        <v>3.94</v>
      </c>
      <c r="I84" s="7">
        <f>H84+H83-2*$A$24</f>
        <v>7.56</v>
      </c>
      <c r="J84" s="7">
        <v>3.56</v>
      </c>
      <c r="K84" s="7">
        <v>6.06</v>
      </c>
      <c r="L84" s="6">
        <f t="shared" si="1"/>
        <v>0.33333333333333337</v>
      </c>
      <c r="M84" s="6">
        <f t="shared" si="2"/>
        <v>0.57671957671957663</v>
      </c>
      <c r="N84" s="6">
        <f t="shared" si="3"/>
        <v>8.9947089947089998E-2</v>
      </c>
      <c r="O84" s="4">
        <f t="shared" si="4"/>
        <v>1626.3287084278875</v>
      </c>
      <c r="P84" s="4">
        <f t="shared" si="5"/>
        <v>2813.8068129942808</v>
      </c>
      <c r="Q84" s="4">
        <f t="shared" si="6"/>
        <v>4440.1355214221685</v>
      </c>
      <c r="V84" s="3"/>
      <c r="W84" s="3"/>
      <c r="Y84" s="7"/>
      <c r="Z84" s="7"/>
      <c r="AA84" s="7"/>
      <c r="AB84" s="7"/>
      <c r="AC84" s="9"/>
      <c r="AD84" s="9"/>
      <c r="AE84" s="9"/>
      <c r="AF84" s="3"/>
      <c r="AG84" s="3"/>
      <c r="AH84" s="3"/>
    </row>
    <row r="85" spans="1:34" x14ac:dyDescent="0.3">
      <c r="A85">
        <v>52</v>
      </c>
      <c r="B85" s="1" t="s">
        <v>93</v>
      </c>
      <c r="C85" s="1" t="s">
        <v>682</v>
      </c>
      <c r="D85" s="2">
        <v>40827</v>
      </c>
      <c r="E85" s="3">
        <v>37.799999999999997</v>
      </c>
      <c r="F85" s="4">
        <f t="shared" si="0"/>
        <v>5495.798530502836</v>
      </c>
      <c r="G85" s="2">
        <v>40200</v>
      </c>
      <c r="H85" s="7">
        <v>3.66</v>
      </c>
      <c r="I85" s="7">
        <f>H85+H82-2*$A$24</f>
        <v>6.96</v>
      </c>
      <c r="J85" s="7">
        <v>3.42</v>
      </c>
      <c r="K85" s="7">
        <v>5.8</v>
      </c>
      <c r="L85" s="6">
        <f t="shared" si="1"/>
        <v>0.34195402298850575</v>
      </c>
      <c r="M85" s="6">
        <f t="shared" si="2"/>
        <v>0.58908045977011492</v>
      </c>
      <c r="N85" s="6">
        <f t="shared" si="3"/>
        <v>6.8965517241379337E-2</v>
      </c>
      <c r="O85" s="4">
        <f t="shared" si="4"/>
        <v>1879.3104170397628</v>
      </c>
      <c r="P85" s="4">
        <f t="shared" si="5"/>
        <v>3237.4675251525327</v>
      </c>
      <c r="Q85" s="4">
        <f t="shared" si="6"/>
        <v>5116.7779421922951</v>
      </c>
      <c r="V85" s="3"/>
      <c r="W85" s="3"/>
      <c r="Y85" s="7"/>
      <c r="Z85" s="7"/>
      <c r="AA85" s="7"/>
      <c r="AB85" s="7"/>
      <c r="AC85" s="9"/>
      <c r="AD85" s="9"/>
      <c r="AE85" s="9"/>
      <c r="AF85" s="3"/>
      <c r="AG85" s="3"/>
      <c r="AH85" s="3"/>
    </row>
    <row r="86" spans="1:34" x14ac:dyDescent="0.3">
      <c r="A86">
        <v>53</v>
      </c>
      <c r="B86" s="1" t="s">
        <v>94</v>
      </c>
      <c r="C86" s="1" t="s">
        <v>682</v>
      </c>
      <c r="D86" s="2">
        <v>40827</v>
      </c>
      <c r="E86" s="3">
        <v>34.200000000000003</v>
      </c>
      <c r="F86" s="4">
        <f t="shared" si="0"/>
        <v>4940.6673658055806</v>
      </c>
      <c r="G86" s="2">
        <v>40200</v>
      </c>
      <c r="H86" s="7">
        <v>3.7</v>
      </c>
      <c r="I86" s="7">
        <f>H86+H81-2*$A$24</f>
        <v>6.98</v>
      </c>
      <c r="J86" s="7">
        <v>3.36</v>
      </c>
      <c r="K86" s="7">
        <v>5.74</v>
      </c>
      <c r="L86" s="6">
        <f t="shared" si="1"/>
        <v>0.33237822349570195</v>
      </c>
      <c r="M86" s="6">
        <f t="shared" si="2"/>
        <v>0.57879656160458448</v>
      </c>
      <c r="N86" s="6">
        <f t="shared" si="3"/>
        <v>8.8825214899713512E-2</v>
      </c>
      <c r="O86" s="4">
        <f t="shared" si="4"/>
        <v>1642.1702419296482</v>
      </c>
      <c r="P86" s="4">
        <f t="shared" si="5"/>
        <v>2859.6412833602499</v>
      </c>
      <c r="Q86" s="4">
        <f t="shared" si="6"/>
        <v>4501.8115252898979</v>
      </c>
      <c r="V86" s="3"/>
      <c r="W86" s="3"/>
      <c r="Y86" s="7"/>
      <c r="Z86" s="7"/>
      <c r="AA86" s="7"/>
      <c r="AB86" s="7"/>
      <c r="AC86" s="9"/>
      <c r="AD86" s="9"/>
      <c r="AE86" s="9"/>
      <c r="AF86" s="3"/>
      <c r="AG86" s="3"/>
      <c r="AH86" s="3"/>
    </row>
    <row r="87" spans="1:34" x14ac:dyDescent="0.3">
      <c r="A87">
        <v>54</v>
      </c>
      <c r="B87" s="1" t="s">
        <v>95</v>
      </c>
      <c r="C87" s="1" t="s">
        <v>682</v>
      </c>
      <c r="D87" s="2">
        <v>40827</v>
      </c>
      <c r="E87" s="3">
        <v>30.299999999999997</v>
      </c>
      <c r="F87" s="4">
        <f t="shared" si="0"/>
        <v>4339.2752707168847</v>
      </c>
      <c r="G87" s="2">
        <v>40200</v>
      </c>
      <c r="H87" s="7">
        <v>3.44</v>
      </c>
      <c r="I87" s="7">
        <f>H87+H80-2*$A$24</f>
        <v>6.26</v>
      </c>
      <c r="J87" s="7">
        <v>3.12</v>
      </c>
      <c r="K87" s="7">
        <v>5.32</v>
      </c>
      <c r="L87" s="6">
        <f t="shared" si="1"/>
        <v>0.3322683706070288</v>
      </c>
      <c r="M87" s="6">
        <f t="shared" si="2"/>
        <v>0.57827476038338665</v>
      </c>
      <c r="N87" s="6">
        <f t="shared" si="3"/>
        <v>8.9456869009584494E-2</v>
      </c>
      <c r="O87" s="4">
        <f t="shared" si="4"/>
        <v>1441.8039238164731</v>
      </c>
      <c r="P87" s="4">
        <f t="shared" si="5"/>
        <v>2509.2933674113619</v>
      </c>
      <c r="Q87" s="4">
        <f t="shared" si="6"/>
        <v>3951.0972912278348</v>
      </c>
      <c r="V87" s="3"/>
      <c r="W87" s="3"/>
      <c r="Y87" s="7"/>
      <c r="Z87" s="7"/>
      <c r="AA87" s="7"/>
      <c r="AB87" s="7"/>
      <c r="AC87" s="9"/>
      <c r="AD87" s="9"/>
      <c r="AE87" s="9"/>
      <c r="AF87" s="3"/>
      <c r="AG87" s="3"/>
      <c r="AH87" s="3"/>
    </row>
    <row r="88" spans="1:34" x14ac:dyDescent="0.3">
      <c r="A88">
        <v>55</v>
      </c>
      <c r="B88" s="1" t="s">
        <v>96</v>
      </c>
      <c r="C88" s="1" t="s">
        <v>682</v>
      </c>
      <c r="D88" s="2">
        <v>40827</v>
      </c>
      <c r="E88" s="3">
        <v>34.200000000000003</v>
      </c>
      <c r="F88" s="4">
        <f t="shared" si="0"/>
        <v>4940.6673658055806</v>
      </c>
      <c r="G88" s="2">
        <v>40200</v>
      </c>
      <c r="H88" s="7">
        <v>3.4</v>
      </c>
      <c r="I88" s="7">
        <f>H88+H79-2*$A$24</f>
        <v>6.3599999999999994</v>
      </c>
      <c r="J88" s="7">
        <v>3.16</v>
      </c>
      <c r="K88" s="7">
        <v>5.4</v>
      </c>
      <c r="L88" s="6">
        <f t="shared" si="1"/>
        <v>0.33333333333333337</v>
      </c>
      <c r="M88" s="6">
        <f t="shared" si="2"/>
        <v>0.58176100628930827</v>
      </c>
      <c r="N88" s="6">
        <f t="shared" si="3"/>
        <v>8.4905660377358361E-2</v>
      </c>
      <c r="O88" s="4">
        <f t="shared" si="4"/>
        <v>1646.8891219351938</v>
      </c>
      <c r="P88" s="4">
        <f t="shared" si="5"/>
        <v>2874.2876184718007</v>
      </c>
      <c r="Q88" s="4">
        <f t="shared" si="6"/>
        <v>4521.1767404069942</v>
      </c>
      <c r="V88" s="3"/>
      <c r="W88" s="3"/>
      <c r="Y88" s="7"/>
      <c r="Z88" s="7"/>
      <c r="AA88" s="7"/>
      <c r="AB88" s="7"/>
      <c r="AC88" s="9"/>
      <c r="AD88" s="9"/>
      <c r="AE88" s="9"/>
      <c r="AF88" s="3"/>
      <c r="AG88" s="3"/>
      <c r="AH88" s="3"/>
    </row>
    <row r="89" spans="1:34" x14ac:dyDescent="0.3">
      <c r="A89">
        <v>56</v>
      </c>
      <c r="B89" s="1" t="s">
        <v>97</v>
      </c>
      <c r="C89" s="1" t="s">
        <v>682</v>
      </c>
      <c r="D89" s="2">
        <v>40827</v>
      </c>
      <c r="E89" s="3">
        <v>35.599999999999994</v>
      </c>
      <c r="F89" s="4">
        <f t="shared" si="0"/>
        <v>5156.5517076322894</v>
      </c>
      <c r="G89" s="2">
        <v>40200</v>
      </c>
      <c r="H89" s="7">
        <v>3</v>
      </c>
      <c r="I89" s="7">
        <f>H89+H78-2*$A$24</f>
        <v>6.26</v>
      </c>
      <c r="J89" s="7">
        <v>3.04</v>
      </c>
      <c r="K89" s="7">
        <v>5.28</v>
      </c>
      <c r="L89" s="6">
        <f t="shared" si="1"/>
        <v>0.31948881789137379</v>
      </c>
      <c r="M89" s="6">
        <f t="shared" si="2"/>
        <v>0.5718849840255591</v>
      </c>
      <c r="N89" s="6">
        <f t="shared" si="3"/>
        <v>0.10862619808306717</v>
      </c>
      <c r="O89" s="4">
        <f t="shared" si="4"/>
        <v>1647.4606094671851</v>
      </c>
      <c r="P89" s="4">
        <f t="shared" si="5"/>
        <v>2948.9544909462611</v>
      </c>
      <c r="Q89" s="4">
        <f t="shared" si="6"/>
        <v>4596.4151004134465</v>
      </c>
      <c r="V89" s="3"/>
      <c r="W89" s="3"/>
      <c r="Y89" s="7"/>
      <c r="Z89" s="7"/>
      <c r="AA89" s="7"/>
      <c r="AB89" s="7"/>
      <c r="AC89" s="9"/>
      <c r="AD89" s="9"/>
      <c r="AE89" s="9"/>
      <c r="AF89" s="3"/>
      <c r="AG89" s="3"/>
      <c r="AH89" s="3"/>
    </row>
    <row r="90" spans="1:34" x14ac:dyDescent="0.3">
      <c r="A90">
        <v>57</v>
      </c>
      <c r="B90" s="1" t="s">
        <v>98</v>
      </c>
      <c r="C90" s="1" t="s">
        <v>682</v>
      </c>
      <c r="D90" s="2">
        <v>40827</v>
      </c>
      <c r="E90" s="3">
        <v>34.400000000000006</v>
      </c>
      <c r="F90" s="4">
        <f t="shared" si="0"/>
        <v>4971.5079860665392</v>
      </c>
      <c r="G90" s="2">
        <v>40200</v>
      </c>
      <c r="H90" s="7">
        <v>3.96</v>
      </c>
      <c r="I90" s="7">
        <f>H90+H77-2*$A$24</f>
        <v>7.06</v>
      </c>
      <c r="J90" s="7">
        <v>3.38</v>
      </c>
      <c r="K90" s="7">
        <v>5.76</v>
      </c>
      <c r="L90" s="6">
        <f t="shared" si="1"/>
        <v>0.33144475920679889</v>
      </c>
      <c r="M90" s="6">
        <f t="shared" si="2"/>
        <v>0.57507082152974498</v>
      </c>
      <c r="N90" s="6">
        <f t="shared" si="3"/>
        <v>9.3484419263456187E-2</v>
      </c>
      <c r="O90" s="4">
        <f t="shared" si="4"/>
        <v>1647.7802673365018</v>
      </c>
      <c r="P90" s="4">
        <f t="shared" si="5"/>
        <v>2858.9691817889725</v>
      </c>
      <c r="Q90" s="4">
        <f t="shared" si="6"/>
        <v>4506.7494491254747</v>
      </c>
      <c r="V90" s="3"/>
      <c r="W90" s="3"/>
      <c r="Y90" s="7"/>
      <c r="Z90" s="7"/>
      <c r="AA90" s="7"/>
      <c r="AB90" s="7"/>
      <c r="AC90" s="9"/>
      <c r="AD90" s="9"/>
      <c r="AE90" s="9"/>
      <c r="AF90" s="3"/>
      <c r="AG90" s="3"/>
      <c r="AH90" s="3"/>
    </row>
    <row r="91" spans="1:34" x14ac:dyDescent="0.3">
      <c r="A91">
        <v>58</v>
      </c>
      <c r="B91" s="1" t="s">
        <v>99</v>
      </c>
      <c r="C91" s="1" t="s">
        <v>682</v>
      </c>
      <c r="D91" s="2">
        <v>40827</v>
      </c>
      <c r="E91" s="3">
        <v>33.5</v>
      </c>
      <c r="F91" s="4">
        <f t="shared" si="0"/>
        <v>4832.725194892224</v>
      </c>
      <c r="G91" s="2">
        <v>40200</v>
      </c>
      <c r="H91" s="7">
        <v>3.94</v>
      </c>
      <c r="I91" s="7">
        <f>H91+H76-2*$A$24</f>
        <v>6.82</v>
      </c>
      <c r="J91" s="7">
        <v>3.26</v>
      </c>
      <c r="K91" s="7">
        <v>5.56</v>
      </c>
      <c r="L91" s="6">
        <f t="shared" si="1"/>
        <v>0.32551319648093835</v>
      </c>
      <c r="M91" s="6">
        <f t="shared" si="2"/>
        <v>0.56598240469208205</v>
      </c>
      <c r="N91" s="6">
        <f t="shared" si="3"/>
        <v>0.1085043988269796</v>
      </c>
      <c r="O91" s="4">
        <f t="shared" si="4"/>
        <v>1573.1158259033336</v>
      </c>
      <c r="P91" s="4">
        <f t="shared" si="5"/>
        <v>2735.2374270211117</v>
      </c>
      <c r="Q91" s="4">
        <f t="shared" si="6"/>
        <v>4308.3532529244458</v>
      </c>
      <c r="V91" s="3"/>
      <c r="W91" s="3"/>
      <c r="Y91" s="7"/>
      <c r="Z91" s="7"/>
      <c r="AA91" s="7"/>
      <c r="AB91" s="7"/>
      <c r="AC91" s="9"/>
      <c r="AD91" s="9"/>
      <c r="AE91" s="9"/>
      <c r="AF91" s="3"/>
      <c r="AG91" s="3"/>
      <c r="AH91" s="3"/>
    </row>
    <row r="92" spans="1:34" x14ac:dyDescent="0.3">
      <c r="A92">
        <v>59</v>
      </c>
      <c r="B92" s="1" t="s">
        <v>100</v>
      </c>
      <c r="C92" s="1" t="s">
        <v>682</v>
      </c>
      <c r="D92" s="2">
        <v>40827</v>
      </c>
      <c r="E92" s="3">
        <v>34.799999999999997</v>
      </c>
      <c r="F92" s="4">
        <f t="shared" si="0"/>
        <v>5033.1892265884544</v>
      </c>
      <c r="G92" s="2">
        <v>40200</v>
      </c>
      <c r="H92" s="7">
        <v>3.64</v>
      </c>
      <c r="I92" s="7">
        <f>H92+H75-2*$A$24</f>
        <v>6.64</v>
      </c>
      <c r="J92" s="7">
        <v>3.26</v>
      </c>
      <c r="K92" s="7">
        <v>5.54</v>
      </c>
      <c r="L92" s="6">
        <f t="shared" si="1"/>
        <v>0.33433734939759036</v>
      </c>
      <c r="M92" s="6">
        <f t="shared" si="2"/>
        <v>0.57831325301204817</v>
      </c>
      <c r="N92" s="6">
        <f t="shared" si="3"/>
        <v>8.7349397590361533E-2</v>
      </c>
      <c r="O92" s="4">
        <f t="shared" si="4"/>
        <v>1682.7831450340916</v>
      </c>
      <c r="P92" s="4">
        <f t="shared" si="5"/>
        <v>2910.7600346535637</v>
      </c>
      <c r="Q92" s="4">
        <f t="shared" si="6"/>
        <v>4593.5431796876555</v>
      </c>
      <c r="V92" s="3"/>
      <c r="W92" s="3"/>
      <c r="Y92" s="7"/>
      <c r="Z92" s="7"/>
      <c r="AA92" s="7"/>
      <c r="AB92" s="7"/>
      <c r="AC92" s="9"/>
      <c r="AD92" s="9"/>
      <c r="AE92" s="9"/>
      <c r="AF92" s="3"/>
      <c r="AG92" s="3"/>
      <c r="AH92" s="3"/>
    </row>
    <row r="93" spans="1:34" x14ac:dyDescent="0.3">
      <c r="A93">
        <v>60</v>
      </c>
      <c r="B93" s="1" t="s">
        <v>101</v>
      </c>
      <c r="C93" s="1" t="s">
        <v>682</v>
      </c>
      <c r="D93" s="2">
        <v>40827</v>
      </c>
      <c r="E93" s="3">
        <v>29.900000000000002</v>
      </c>
      <c r="F93" s="4">
        <f t="shared" si="0"/>
        <v>4277.5940301949686</v>
      </c>
      <c r="G93" s="2">
        <v>40200</v>
      </c>
      <c r="H93" s="7">
        <v>3.48</v>
      </c>
      <c r="I93" s="7">
        <f>H93+H74-2*$A$24</f>
        <v>6.52</v>
      </c>
      <c r="J93" s="7">
        <v>3.22</v>
      </c>
      <c r="K93" s="7">
        <v>5.38</v>
      </c>
      <c r="L93" s="6">
        <f t="shared" si="1"/>
        <v>0.33435582822085896</v>
      </c>
      <c r="M93" s="6">
        <f t="shared" si="2"/>
        <v>0.56441717791411039</v>
      </c>
      <c r="N93" s="6">
        <f t="shared" si="3"/>
        <v>0.10122699386503065</v>
      </c>
      <c r="O93" s="4">
        <f t="shared" si="4"/>
        <v>1430.2384947584408</v>
      </c>
      <c r="P93" s="4">
        <f t="shared" si="5"/>
        <v>2414.3475507848902</v>
      </c>
      <c r="Q93" s="4">
        <f t="shared" si="6"/>
        <v>3844.5860455433312</v>
      </c>
      <c r="V93" s="3"/>
      <c r="W93" s="3"/>
      <c r="Y93" s="7"/>
      <c r="Z93" s="7"/>
      <c r="AA93" s="7"/>
      <c r="AB93" s="7"/>
      <c r="AC93" s="9"/>
      <c r="AD93" s="9"/>
      <c r="AE93" s="9"/>
      <c r="AF93" s="3"/>
      <c r="AG93" s="3"/>
      <c r="AH93" s="3"/>
    </row>
    <row r="94" spans="1:34" x14ac:dyDescent="0.3">
      <c r="A94">
        <v>61</v>
      </c>
      <c r="B94" s="1" t="s">
        <v>102</v>
      </c>
      <c r="C94" s="1" t="s">
        <v>682</v>
      </c>
      <c r="D94" s="2">
        <v>40827</v>
      </c>
      <c r="E94" s="3">
        <v>28.700000000000003</v>
      </c>
      <c r="F94" s="4">
        <f t="shared" si="0"/>
        <v>4092.550308629216</v>
      </c>
      <c r="G94" s="2">
        <v>40200</v>
      </c>
      <c r="H94" s="7">
        <v>3.66</v>
      </c>
      <c r="I94" s="7">
        <f>H94+H113-2*$A$24</f>
        <v>6.76</v>
      </c>
      <c r="J94" s="7">
        <v>3.3</v>
      </c>
      <c r="K94" s="7">
        <v>5.6</v>
      </c>
      <c r="L94" s="6">
        <f t="shared" si="1"/>
        <v>0.33431952662721892</v>
      </c>
      <c r="M94" s="6">
        <f t="shared" si="2"/>
        <v>0.57692307692307687</v>
      </c>
      <c r="N94" s="6">
        <f t="shared" si="3"/>
        <v>8.8757396449704151E-2</v>
      </c>
      <c r="O94" s="4">
        <f t="shared" si="4"/>
        <v>1368.2194818789983</v>
      </c>
      <c r="P94" s="4">
        <f t="shared" si="5"/>
        <v>2361.0867165168552</v>
      </c>
      <c r="Q94" s="4">
        <f t="shared" si="6"/>
        <v>3729.3061983958532</v>
      </c>
      <c r="V94" s="3"/>
      <c r="W94" s="3"/>
      <c r="Y94" s="7"/>
      <c r="Z94" s="7"/>
      <c r="AA94" s="7"/>
      <c r="AB94" s="7"/>
      <c r="AC94" s="9"/>
      <c r="AD94" s="9"/>
      <c r="AE94" s="9"/>
      <c r="AF94" s="3"/>
      <c r="AG94" s="3"/>
      <c r="AH94" s="3"/>
    </row>
    <row r="95" spans="1:34" x14ac:dyDescent="0.3">
      <c r="A95">
        <v>62</v>
      </c>
      <c r="B95" s="1" t="s">
        <v>103</v>
      </c>
      <c r="C95" s="1" t="s">
        <v>682</v>
      </c>
      <c r="D95" s="2">
        <v>40827</v>
      </c>
      <c r="E95" s="3">
        <v>35.5</v>
      </c>
      <c r="F95" s="4">
        <f t="shared" si="0"/>
        <v>5141.1313975018111</v>
      </c>
      <c r="G95" s="2">
        <v>40200</v>
      </c>
      <c r="H95" s="7">
        <v>3.94</v>
      </c>
      <c r="I95" s="7">
        <f>H95+H112-2*$A$24</f>
        <v>7.2799999999999994</v>
      </c>
      <c r="J95" s="7">
        <v>3.38</v>
      </c>
      <c r="K95" s="7">
        <v>5.9</v>
      </c>
      <c r="L95" s="6">
        <f t="shared" si="1"/>
        <v>0.32142857142857145</v>
      </c>
      <c r="M95" s="6">
        <f t="shared" si="2"/>
        <v>0.57692307692307698</v>
      </c>
      <c r="N95" s="6">
        <f t="shared" si="3"/>
        <v>0.10164835164835162</v>
      </c>
      <c r="O95" s="4">
        <f t="shared" si="4"/>
        <v>1652.5065206255822</v>
      </c>
      <c r="P95" s="4">
        <f t="shared" si="5"/>
        <v>2966.0373447125835</v>
      </c>
      <c r="Q95" s="4">
        <f t="shared" si="6"/>
        <v>4618.5438653381661</v>
      </c>
      <c r="V95" s="3"/>
      <c r="W95" s="3"/>
      <c r="Y95" s="7"/>
      <c r="Z95" s="7"/>
      <c r="AA95" s="7"/>
      <c r="AB95" s="7"/>
      <c r="AC95" s="9"/>
      <c r="AD95" s="9"/>
      <c r="AE95" s="9"/>
      <c r="AF95" s="3"/>
      <c r="AG95" s="3"/>
      <c r="AH95" s="3"/>
    </row>
    <row r="96" spans="1:34" x14ac:dyDescent="0.3">
      <c r="A96">
        <v>63</v>
      </c>
      <c r="B96" s="1" t="s">
        <v>104</v>
      </c>
      <c r="C96" s="1" t="s">
        <v>682</v>
      </c>
      <c r="D96" s="2">
        <v>40827</v>
      </c>
      <c r="E96" s="3">
        <v>33</v>
      </c>
      <c r="F96" s="4">
        <f t="shared" si="0"/>
        <v>4755.6236442398267</v>
      </c>
      <c r="G96" s="2">
        <v>40200</v>
      </c>
      <c r="H96" s="7">
        <v>4.4800000000000004</v>
      </c>
      <c r="I96" s="7">
        <f>H96+H111-2*$A$24</f>
        <v>7.4</v>
      </c>
      <c r="J96" s="7">
        <v>3.5</v>
      </c>
      <c r="K96" s="7">
        <v>5.98</v>
      </c>
      <c r="L96" s="6">
        <f t="shared" si="1"/>
        <v>0.33243243243243242</v>
      </c>
      <c r="M96" s="6">
        <f t="shared" si="2"/>
        <v>0.57837837837837835</v>
      </c>
      <c r="N96" s="6">
        <f t="shared" si="3"/>
        <v>8.9189189189189277E-2</v>
      </c>
      <c r="O96" s="4">
        <f t="shared" si="4"/>
        <v>1580.9235357878342</v>
      </c>
      <c r="P96" s="4">
        <f t="shared" si="5"/>
        <v>2750.5498915333051</v>
      </c>
      <c r="Q96" s="4">
        <f t="shared" si="6"/>
        <v>4331.4734273211398</v>
      </c>
      <c r="V96" s="3"/>
      <c r="W96" s="3"/>
      <c r="Y96" s="7"/>
      <c r="Z96" s="7"/>
      <c r="AA96" s="7"/>
      <c r="AB96" s="7"/>
      <c r="AC96" s="9"/>
      <c r="AD96" s="9"/>
      <c r="AE96" s="9"/>
      <c r="AF96" s="3"/>
      <c r="AG96" s="3"/>
      <c r="AH96" s="3"/>
    </row>
    <row r="97" spans="1:34" x14ac:dyDescent="0.3">
      <c r="A97">
        <v>64</v>
      </c>
      <c r="B97" s="1" t="s">
        <v>105</v>
      </c>
      <c r="C97" s="1" t="s">
        <v>682</v>
      </c>
      <c r="D97" s="2">
        <v>40827</v>
      </c>
      <c r="E97" s="3">
        <v>34.1</v>
      </c>
      <c r="F97" s="4">
        <f t="shared" si="0"/>
        <v>4925.2470556751005</v>
      </c>
      <c r="G97" s="2">
        <v>40200</v>
      </c>
      <c r="H97" s="7">
        <v>3.7</v>
      </c>
      <c r="I97" s="7">
        <f>H97+H110-2*$A$24</f>
        <v>6.68</v>
      </c>
      <c r="J97" s="7">
        <v>3.22</v>
      </c>
      <c r="K97" s="7">
        <v>5.48</v>
      </c>
      <c r="L97" s="6">
        <f t="shared" si="1"/>
        <v>0.32634730538922158</v>
      </c>
      <c r="M97" s="6">
        <f t="shared" si="2"/>
        <v>0.56586826347305397</v>
      </c>
      <c r="N97" s="6">
        <f t="shared" si="3"/>
        <v>0.1077844311377244</v>
      </c>
      <c r="O97" s="4">
        <f t="shared" si="4"/>
        <v>1607.3411049957665</v>
      </c>
      <c r="P97" s="4">
        <f t="shared" si="5"/>
        <v>2787.040998570641</v>
      </c>
      <c r="Q97" s="4">
        <f t="shared" si="6"/>
        <v>4394.3821035664077</v>
      </c>
      <c r="V97" s="3"/>
      <c r="W97" s="3"/>
      <c r="Y97" s="7"/>
      <c r="Z97" s="7"/>
      <c r="AA97" s="7"/>
      <c r="AB97" s="7"/>
      <c r="AC97" s="9"/>
      <c r="AD97" s="9"/>
      <c r="AE97" s="9"/>
      <c r="AF97" s="3"/>
      <c r="AG97" s="3"/>
      <c r="AH97" s="3"/>
    </row>
    <row r="98" spans="1:34" x14ac:dyDescent="0.3">
      <c r="A98">
        <v>65</v>
      </c>
      <c r="B98" s="1" t="s">
        <v>106</v>
      </c>
      <c r="C98" s="1" t="s">
        <v>682</v>
      </c>
      <c r="D98" s="2">
        <v>40827</v>
      </c>
      <c r="E98" s="3">
        <v>38.5</v>
      </c>
      <c r="F98" s="4">
        <f t="shared" si="0"/>
        <v>5603.7407014161909</v>
      </c>
      <c r="G98" s="2">
        <v>40200</v>
      </c>
      <c r="H98" s="7">
        <v>3.76</v>
      </c>
      <c r="I98" s="7">
        <f>H98+H109-2*$A$24</f>
        <v>7.5799999999999992</v>
      </c>
      <c r="J98" s="7">
        <v>3.54</v>
      </c>
      <c r="K98" s="7">
        <v>6.06</v>
      </c>
      <c r="L98" s="6">
        <f t="shared" si="1"/>
        <v>0.3298153034300792</v>
      </c>
      <c r="M98" s="6">
        <f t="shared" si="2"/>
        <v>0.57519788918205805</v>
      </c>
      <c r="N98" s="6">
        <f t="shared" si="3"/>
        <v>9.4986807387862693E-2</v>
      </c>
      <c r="O98" s="4">
        <f t="shared" si="4"/>
        <v>1848.1994397810658</v>
      </c>
      <c r="P98" s="4">
        <f t="shared" si="5"/>
        <v>3223.2598229781784</v>
      </c>
      <c r="Q98" s="4">
        <f t="shared" si="6"/>
        <v>5071.4592627592447</v>
      </c>
      <c r="V98" s="3"/>
      <c r="W98" s="3"/>
      <c r="Y98" s="7"/>
      <c r="Z98" s="7"/>
      <c r="AA98" s="7"/>
      <c r="AB98" s="7"/>
      <c r="AC98" s="9"/>
      <c r="AD98" s="9"/>
      <c r="AE98" s="9"/>
      <c r="AF98" s="3"/>
      <c r="AG98" s="3"/>
      <c r="AH98" s="3"/>
    </row>
    <row r="99" spans="1:34" x14ac:dyDescent="0.3">
      <c r="A99">
        <v>66</v>
      </c>
      <c r="B99" s="1" t="s">
        <v>107</v>
      </c>
      <c r="C99" s="1" t="s">
        <v>682</v>
      </c>
      <c r="D99" s="2">
        <v>40827</v>
      </c>
      <c r="E99" s="3">
        <v>31.4</v>
      </c>
      <c r="F99" s="4">
        <f t="shared" ref="F99:F162" si="7">(E99-2*$A$20)*$A$21/$A$22*$A$23</f>
        <v>4508.8986821521576</v>
      </c>
      <c r="G99" s="2">
        <v>40200</v>
      </c>
      <c r="H99" s="7">
        <v>2.9</v>
      </c>
      <c r="I99" s="7">
        <f>H99+H108-2*$A$24</f>
        <v>6.08</v>
      </c>
      <c r="J99" s="7">
        <v>3.04</v>
      </c>
      <c r="K99" s="7">
        <v>5.22</v>
      </c>
      <c r="L99" s="6">
        <f t="shared" ref="L99:L162" si="8">(J99-$A$25)/I99</f>
        <v>0.32894736842105265</v>
      </c>
      <c r="M99" s="6">
        <f t="shared" ref="M99:M162" si="9">(K99-$A$26)/I99</f>
        <v>0.57894736842105254</v>
      </c>
      <c r="N99" s="6">
        <f t="shared" ref="N99:N162" si="10">1-L99-M99</f>
        <v>9.2105263157894801E-2</v>
      </c>
      <c r="O99" s="4">
        <f t="shared" ref="O99:O162" si="11">F99*L99</f>
        <v>1483.1903559711045</v>
      </c>
      <c r="P99" s="4">
        <f t="shared" ref="P99:P162" si="12">F99*M99</f>
        <v>2610.4150265091434</v>
      </c>
      <c r="Q99" s="4">
        <f t="shared" ref="Q99:Q162" si="13">O99+P99</f>
        <v>4093.605382480248</v>
      </c>
      <c r="V99" s="3"/>
      <c r="W99" s="3"/>
      <c r="Y99" s="7"/>
      <c r="Z99" s="7"/>
      <c r="AA99" s="7"/>
      <c r="AB99" s="7"/>
      <c r="AC99" s="9"/>
      <c r="AD99" s="9"/>
      <c r="AE99" s="9"/>
      <c r="AF99" s="3"/>
      <c r="AG99" s="3"/>
      <c r="AH99" s="3"/>
    </row>
    <row r="100" spans="1:34" x14ac:dyDescent="0.3">
      <c r="A100">
        <v>67</v>
      </c>
      <c r="B100" s="1" t="s">
        <v>108</v>
      </c>
      <c r="C100" s="1" t="s">
        <v>682</v>
      </c>
      <c r="D100" s="2">
        <v>40827</v>
      </c>
      <c r="E100" s="3">
        <v>33.299999999999997</v>
      </c>
      <c r="F100" s="4">
        <f t="shared" si="7"/>
        <v>4801.8845746312645</v>
      </c>
      <c r="G100" s="2">
        <v>40200</v>
      </c>
      <c r="H100" s="7">
        <v>4.0999999999999996</v>
      </c>
      <c r="I100" s="7">
        <f>H100+H107-2*$A$24</f>
        <v>6.9599999999999991</v>
      </c>
      <c r="J100" s="7">
        <v>3.34</v>
      </c>
      <c r="K100" s="7">
        <v>5.66</v>
      </c>
      <c r="L100" s="6">
        <f t="shared" si="8"/>
        <v>0.33045977011494254</v>
      </c>
      <c r="M100" s="6">
        <f t="shared" si="9"/>
        <v>0.56896551724137934</v>
      </c>
      <c r="N100" s="6">
        <f t="shared" si="10"/>
        <v>0.10057471264367812</v>
      </c>
      <c r="O100" s="4">
        <f t="shared" si="11"/>
        <v>1586.8296726511364</v>
      </c>
      <c r="P100" s="4">
        <f t="shared" si="12"/>
        <v>2732.106740738478</v>
      </c>
      <c r="Q100" s="4">
        <f t="shared" si="13"/>
        <v>4318.9364133896142</v>
      </c>
      <c r="V100" s="3"/>
      <c r="W100" s="3"/>
      <c r="Y100" s="7"/>
      <c r="Z100" s="7"/>
      <c r="AA100" s="7"/>
      <c r="AB100" s="7"/>
      <c r="AC100" s="9"/>
      <c r="AD100" s="9"/>
      <c r="AE100" s="9"/>
      <c r="AF100" s="3"/>
      <c r="AG100" s="3"/>
      <c r="AH100" s="3"/>
    </row>
    <row r="101" spans="1:34" x14ac:dyDescent="0.3">
      <c r="A101">
        <v>68</v>
      </c>
      <c r="B101" s="1" t="s">
        <v>109</v>
      </c>
      <c r="C101" s="1" t="s">
        <v>682</v>
      </c>
      <c r="D101" s="2">
        <v>40827</v>
      </c>
      <c r="E101" s="3">
        <v>33.299999999999997</v>
      </c>
      <c r="F101" s="4">
        <f t="shared" si="7"/>
        <v>4801.8845746312645</v>
      </c>
      <c r="G101" s="2">
        <v>40200</v>
      </c>
      <c r="H101" s="7">
        <v>3.48</v>
      </c>
      <c r="I101" s="7">
        <f>H101+H106-2*$A$24</f>
        <v>6.5399999999999991</v>
      </c>
      <c r="J101" s="7">
        <v>3.22</v>
      </c>
      <c r="K101" s="7">
        <v>5.5</v>
      </c>
      <c r="L101" s="6">
        <f t="shared" si="8"/>
        <v>0.33333333333333343</v>
      </c>
      <c r="M101" s="6">
        <f t="shared" si="9"/>
        <v>0.58103975535168195</v>
      </c>
      <c r="N101" s="6">
        <f t="shared" si="10"/>
        <v>8.5626911314984566E-2</v>
      </c>
      <c r="O101" s="4">
        <f t="shared" si="11"/>
        <v>1600.6281915437553</v>
      </c>
      <c r="P101" s="4">
        <f t="shared" si="12"/>
        <v>2790.0858384707653</v>
      </c>
      <c r="Q101" s="4">
        <f t="shared" si="13"/>
        <v>4390.7140300145202</v>
      </c>
      <c r="V101" s="3"/>
      <c r="W101" s="3"/>
      <c r="Y101" s="7"/>
      <c r="Z101" s="7"/>
      <c r="AA101" s="7"/>
      <c r="AB101" s="7"/>
      <c r="AC101" s="9"/>
      <c r="AD101" s="9"/>
      <c r="AE101" s="9"/>
      <c r="AF101" s="3"/>
      <c r="AG101" s="3"/>
      <c r="AH101" s="3"/>
    </row>
    <row r="102" spans="1:34" x14ac:dyDescent="0.3">
      <c r="A102">
        <v>69</v>
      </c>
      <c r="B102" s="1" t="s">
        <v>110</v>
      </c>
      <c r="C102" s="1" t="s">
        <v>682</v>
      </c>
      <c r="D102" s="2">
        <v>40827</v>
      </c>
      <c r="E102" s="3">
        <v>35.6</v>
      </c>
      <c r="F102" s="4">
        <f t="shared" si="7"/>
        <v>5156.5517076322894</v>
      </c>
      <c r="G102" s="2">
        <v>40200</v>
      </c>
      <c r="H102" s="7">
        <v>3.62</v>
      </c>
      <c r="I102" s="7">
        <f>H102+H105-2*$A$24</f>
        <v>6.1999999999999993</v>
      </c>
      <c r="J102" s="7">
        <v>3.08</v>
      </c>
      <c r="K102" s="7">
        <v>5.26</v>
      </c>
      <c r="L102" s="6">
        <f t="shared" si="8"/>
        <v>0.32903225806451619</v>
      </c>
      <c r="M102" s="6">
        <f t="shared" si="9"/>
        <v>0.5741935483870968</v>
      </c>
      <c r="N102" s="6">
        <f t="shared" si="10"/>
        <v>9.6774193548387011E-2</v>
      </c>
      <c r="O102" s="4">
        <f t="shared" si="11"/>
        <v>1696.6718521886892</v>
      </c>
      <c r="P102" s="4">
        <f t="shared" si="12"/>
        <v>2960.8587224469275</v>
      </c>
      <c r="Q102" s="4">
        <f t="shared" si="13"/>
        <v>4657.5305746356171</v>
      </c>
      <c r="V102" s="3"/>
      <c r="W102" s="3"/>
      <c r="Y102" s="7"/>
      <c r="Z102" s="7"/>
      <c r="AA102" s="7"/>
      <c r="AB102" s="7"/>
      <c r="AC102" s="9"/>
      <c r="AD102" s="9"/>
      <c r="AE102" s="9"/>
      <c r="AF102" s="3"/>
      <c r="AG102" s="3"/>
      <c r="AH102" s="3"/>
    </row>
    <row r="103" spans="1:34" x14ac:dyDescent="0.3">
      <c r="A103">
        <v>70</v>
      </c>
      <c r="B103" s="1" t="s">
        <v>111</v>
      </c>
      <c r="C103" s="1" t="s">
        <v>682</v>
      </c>
      <c r="D103" s="2">
        <v>40827</v>
      </c>
      <c r="E103" s="3">
        <v>35.1</v>
      </c>
      <c r="F103" s="4">
        <f t="shared" si="7"/>
        <v>5079.4501569798931</v>
      </c>
      <c r="G103" s="2">
        <v>40200</v>
      </c>
      <c r="H103" s="7">
        <v>3.84</v>
      </c>
      <c r="I103" s="7">
        <f>H103+H104-2*$A$24</f>
        <v>7</v>
      </c>
      <c r="J103" s="7">
        <v>3.42</v>
      </c>
      <c r="K103" s="7">
        <v>5.76</v>
      </c>
      <c r="L103" s="6">
        <f t="shared" si="8"/>
        <v>0.33999999999999997</v>
      </c>
      <c r="M103" s="6">
        <f t="shared" si="9"/>
        <v>0.57999999999999996</v>
      </c>
      <c r="N103" s="6">
        <f t="shared" si="10"/>
        <v>8.0000000000000071E-2</v>
      </c>
      <c r="O103" s="4">
        <f t="shared" si="11"/>
        <v>1727.0130533731635</v>
      </c>
      <c r="P103" s="4">
        <f t="shared" si="12"/>
        <v>2946.0810910483378</v>
      </c>
      <c r="Q103" s="4">
        <f t="shared" si="13"/>
        <v>4673.0941444215014</v>
      </c>
      <c r="V103" s="3"/>
      <c r="W103" s="3"/>
      <c r="Y103" s="7"/>
      <c r="Z103" s="7"/>
      <c r="AA103" s="7"/>
      <c r="AB103" s="7"/>
      <c r="AC103" s="9"/>
      <c r="AD103" s="9"/>
      <c r="AE103" s="9"/>
      <c r="AF103" s="3"/>
      <c r="AG103" s="3"/>
      <c r="AH103" s="3"/>
    </row>
    <row r="104" spans="1:34" x14ac:dyDescent="0.3">
      <c r="A104">
        <v>71</v>
      </c>
      <c r="B104" s="1" t="s">
        <v>112</v>
      </c>
      <c r="C104" s="1" t="s">
        <v>682</v>
      </c>
      <c r="D104" s="2">
        <v>40827</v>
      </c>
      <c r="E104" s="3">
        <v>35</v>
      </c>
      <c r="F104" s="4">
        <f t="shared" si="7"/>
        <v>5064.0298468494148</v>
      </c>
      <c r="G104" s="2">
        <v>40200</v>
      </c>
      <c r="H104" s="7">
        <v>3.48</v>
      </c>
      <c r="I104" s="7">
        <f>H104+H103-2*$A$24</f>
        <v>7</v>
      </c>
      <c r="J104" s="7">
        <v>3.42</v>
      </c>
      <c r="K104" s="7">
        <v>5.76</v>
      </c>
      <c r="L104" s="6">
        <f t="shared" si="8"/>
        <v>0.33999999999999997</v>
      </c>
      <c r="M104" s="6">
        <f t="shared" si="9"/>
        <v>0.57999999999999996</v>
      </c>
      <c r="N104" s="6">
        <f t="shared" si="10"/>
        <v>8.0000000000000071E-2</v>
      </c>
      <c r="O104" s="4">
        <f t="shared" si="11"/>
        <v>1721.770147928801</v>
      </c>
      <c r="P104" s="4">
        <f t="shared" si="12"/>
        <v>2937.1373111726602</v>
      </c>
      <c r="Q104" s="4">
        <f t="shared" si="13"/>
        <v>4658.9074591014614</v>
      </c>
      <c r="V104" s="3"/>
      <c r="W104" s="3"/>
      <c r="Y104" s="7"/>
      <c r="Z104" s="7"/>
      <c r="AA104" s="7"/>
      <c r="AB104" s="7"/>
      <c r="AC104" s="9"/>
      <c r="AD104" s="9"/>
      <c r="AE104" s="9"/>
      <c r="AF104" s="3"/>
      <c r="AG104" s="3"/>
      <c r="AH104" s="3"/>
    </row>
    <row r="105" spans="1:34" x14ac:dyDescent="0.3">
      <c r="A105">
        <v>72</v>
      </c>
      <c r="B105" s="1" t="s">
        <v>113</v>
      </c>
      <c r="C105" s="1" t="s">
        <v>682</v>
      </c>
      <c r="D105" s="2">
        <v>40827</v>
      </c>
      <c r="E105" s="3">
        <v>36.599999999999994</v>
      </c>
      <c r="F105" s="4">
        <f t="shared" si="7"/>
        <v>5310.754808937083</v>
      </c>
      <c r="G105" s="2">
        <v>40200</v>
      </c>
      <c r="H105" s="7">
        <v>2.9</v>
      </c>
      <c r="I105" s="7">
        <f>H105+H102-2*$A$24</f>
        <v>6.1999999999999993</v>
      </c>
      <c r="J105" s="7">
        <v>3.08</v>
      </c>
      <c r="K105" s="7">
        <v>5.26</v>
      </c>
      <c r="L105" s="6">
        <f t="shared" si="8"/>
        <v>0.32903225806451619</v>
      </c>
      <c r="M105" s="6">
        <f t="shared" si="9"/>
        <v>0.5741935483870968</v>
      </c>
      <c r="N105" s="6">
        <f t="shared" si="10"/>
        <v>9.6774193548387011E-2</v>
      </c>
      <c r="O105" s="4">
        <f t="shared" si="11"/>
        <v>1747.4096468115567</v>
      </c>
      <c r="P105" s="4">
        <f t="shared" si="12"/>
        <v>3049.4011483574218</v>
      </c>
      <c r="Q105" s="4">
        <f t="shared" si="13"/>
        <v>4796.8107951689781</v>
      </c>
      <c r="V105" s="3"/>
      <c r="W105" s="3"/>
      <c r="Y105" s="7"/>
      <c r="Z105" s="7"/>
      <c r="AA105" s="7"/>
      <c r="AB105" s="7"/>
      <c r="AC105" s="9"/>
      <c r="AD105" s="9"/>
      <c r="AE105" s="9"/>
      <c r="AF105" s="3"/>
      <c r="AG105" s="3"/>
      <c r="AH105" s="3"/>
    </row>
    <row r="106" spans="1:34" x14ac:dyDescent="0.3">
      <c r="A106">
        <v>73</v>
      </c>
      <c r="B106" s="1" t="s">
        <v>114</v>
      </c>
      <c r="C106" s="1" t="s">
        <v>682</v>
      </c>
      <c r="D106" s="2">
        <v>40827</v>
      </c>
      <c r="E106" s="3">
        <v>33.400000000000006</v>
      </c>
      <c r="F106" s="4">
        <f t="shared" si="7"/>
        <v>4817.3048847617456</v>
      </c>
      <c r="G106" s="2">
        <v>40200</v>
      </c>
      <c r="H106" s="7">
        <v>3.38</v>
      </c>
      <c r="I106" s="7">
        <f>H106+H101-2*$A$24</f>
        <v>6.5399999999999991</v>
      </c>
      <c r="J106" s="7">
        <v>3.22</v>
      </c>
      <c r="K106" s="7">
        <v>5.5</v>
      </c>
      <c r="L106" s="6">
        <f t="shared" si="8"/>
        <v>0.33333333333333343</v>
      </c>
      <c r="M106" s="6">
        <f t="shared" si="9"/>
        <v>0.58103975535168195</v>
      </c>
      <c r="N106" s="6">
        <f t="shared" si="10"/>
        <v>8.5626911314984566E-2</v>
      </c>
      <c r="O106" s="4">
        <f t="shared" si="11"/>
        <v>1605.7682949205823</v>
      </c>
      <c r="P106" s="4">
        <f t="shared" si="12"/>
        <v>2799.0456516964273</v>
      </c>
      <c r="Q106" s="4">
        <f t="shared" si="13"/>
        <v>4404.8139466170096</v>
      </c>
      <c r="V106" s="3"/>
      <c r="W106" s="3"/>
      <c r="Y106" s="7"/>
      <c r="Z106" s="7"/>
      <c r="AA106" s="7"/>
      <c r="AB106" s="7"/>
      <c r="AC106" s="9"/>
      <c r="AD106" s="9"/>
      <c r="AE106" s="9"/>
      <c r="AF106" s="3"/>
      <c r="AG106" s="3"/>
      <c r="AH106" s="3"/>
    </row>
    <row r="107" spans="1:34" x14ac:dyDescent="0.3">
      <c r="A107">
        <v>74</v>
      </c>
      <c r="B107" s="1" t="s">
        <v>115</v>
      </c>
      <c r="C107" s="1" t="s">
        <v>682</v>
      </c>
      <c r="D107" s="2">
        <v>40827</v>
      </c>
      <c r="E107" s="3">
        <v>32.1</v>
      </c>
      <c r="F107" s="4">
        <f t="shared" si="7"/>
        <v>4616.8408530655133</v>
      </c>
      <c r="G107" s="2">
        <v>40200</v>
      </c>
      <c r="H107" s="7">
        <v>3.18</v>
      </c>
      <c r="I107" s="7">
        <f>H107+H100-2*$A$24</f>
        <v>6.9599999999999991</v>
      </c>
      <c r="J107" s="7">
        <v>3.34</v>
      </c>
      <c r="K107" s="7">
        <v>5.66</v>
      </c>
      <c r="L107" s="6">
        <f t="shared" si="8"/>
        <v>0.33045977011494254</v>
      </c>
      <c r="M107" s="6">
        <f t="shared" si="9"/>
        <v>0.56896551724137934</v>
      </c>
      <c r="N107" s="6">
        <f t="shared" si="10"/>
        <v>0.10057471264367812</v>
      </c>
      <c r="O107" s="4">
        <f t="shared" si="11"/>
        <v>1525.6801669613048</v>
      </c>
      <c r="P107" s="4">
        <f t="shared" si="12"/>
        <v>2626.823243985551</v>
      </c>
      <c r="Q107" s="4">
        <f t="shared" si="13"/>
        <v>4152.5034109468561</v>
      </c>
      <c r="V107" s="3"/>
      <c r="W107" s="3"/>
      <c r="Y107" s="7"/>
      <c r="Z107" s="7"/>
      <c r="AA107" s="7"/>
      <c r="AB107" s="7"/>
      <c r="AC107" s="9"/>
      <c r="AD107" s="9"/>
      <c r="AE107" s="9"/>
      <c r="AF107" s="3"/>
      <c r="AG107" s="3"/>
      <c r="AH107" s="3"/>
    </row>
    <row r="108" spans="1:34" x14ac:dyDescent="0.3">
      <c r="A108">
        <v>75</v>
      </c>
      <c r="B108" s="1" t="s">
        <v>116</v>
      </c>
      <c r="C108" s="1" t="s">
        <v>682</v>
      </c>
      <c r="D108" s="2">
        <v>40827</v>
      </c>
      <c r="E108" s="3">
        <v>30.8</v>
      </c>
      <c r="F108" s="4">
        <f t="shared" si="7"/>
        <v>4416.376821369282</v>
      </c>
      <c r="G108" s="2">
        <v>40200</v>
      </c>
      <c r="H108" s="7">
        <v>3.5</v>
      </c>
      <c r="I108" s="7">
        <f>H108+H99-2*$A$24</f>
        <v>6.08</v>
      </c>
      <c r="J108" s="7">
        <v>3.04</v>
      </c>
      <c r="K108" s="7">
        <v>5.22</v>
      </c>
      <c r="L108" s="6">
        <f t="shared" si="8"/>
        <v>0.32894736842105265</v>
      </c>
      <c r="M108" s="6">
        <f t="shared" si="9"/>
        <v>0.57894736842105254</v>
      </c>
      <c r="N108" s="6">
        <f t="shared" si="10"/>
        <v>9.2105263157894801E-2</v>
      </c>
      <c r="O108" s="4">
        <f t="shared" si="11"/>
        <v>1452.7555333451587</v>
      </c>
      <c r="P108" s="4">
        <f t="shared" si="12"/>
        <v>2556.8497386874787</v>
      </c>
      <c r="Q108" s="4">
        <f t="shared" si="13"/>
        <v>4009.6052720326375</v>
      </c>
      <c r="V108" s="3"/>
      <c r="W108" s="3"/>
      <c r="Y108" s="7"/>
      <c r="Z108" s="7"/>
      <c r="AA108" s="7"/>
      <c r="AB108" s="7"/>
      <c r="AC108" s="9"/>
      <c r="AD108" s="9"/>
      <c r="AE108" s="9"/>
      <c r="AF108" s="3"/>
      <c r="AG108" s="3"/>
      <c r="AH108" s="3"/>
    </row>
    <row r="109" spans="1:34" x14ac:dyDescent="0.3">
      <c r="A109">
        <v>76</v>
      </c>
      <c r="B109" s="1" t="s">
        <v>117</v>
      </c>
      <c r="C109" s="1" t="s">
        <v>682</v>
      </c>
      <c r="D109" s="2">
        <v>40827</v>
      </c>
      <c r="E109" s="3">
        <v>36.799999999999997</v>
      </c>
      <c r="F109" s="4">
        <f t="shared" si="7"/>
        <v>5341.5954291980424</v>
      </c>
      <c r="G109" s="2">
        <v>40200</v>
      </c>
      <c r="H109" s="7">
        <v>4.1399999999999997</v>
      </c>
      <c r="I109" s="7">
        <f>H109+H98-2*$A$24</f>
        <v>7.5799999999999992</v>
      </c>
      <c r="J109" s="7">
        <v>3.54</v>
      </c>
      <c r="K109" s="7">
        <v>6.06</v>
      </c>
      <c r="L109" s="6">
        <f t="shared" si="8"/>
        <v>0.3298153034300792</v>
      </c>
      <c r="M109" s="6">
        <f t="shared" si="9"/>
        <v>0.57519788918205805</v>
      </c>
      <c r="N109" s="6">
        <f t="shared" si="10"/>
        <v>9.4986807387862693E-2</v>
      </c>
      <c r="O109" s="4">
        <f t="shared" si="11"/>
        <v>1761.7399172816765</v>
      </c>
      <c r="P109" s="4">
        <f t="shared" si="12"/>
        <v>3072.4744157392433</v>
      </c>
      <c r="Q109" s="4">
        <f t="shared" si="13"/>
        <v>4834.2143330209201</v>
      </c>
      <c r="V109" s="3"/>
      <c r="W109" s="3"/>
      <c r="Y109" s="7"/>
      <c r="Z109" s="7"/>
      <c r="AA109" s="7"/>
      <c r="AB109" s="7"/>
      <c r="AC109" s="9"/>
      <c r="AD109" s="9"/>
      <c r="AE109" s="9"/>
      <c r="AF109" s="3"/>
      <c r="AG109" s="3"/>
      <c r="AH109" s="3"/>
    </row>
    <row r="110" spans="1:34" x14ac:dyDescent="0.3">
      <c r="A110">
        <v>77</v>
      </c>
      <c r="B110" s="1" t="s">
        <v>118</v>
      </c>
      <c r="C110" s="1" t="s">
        <v>682</v>
      </c>
      <c r="D110" s="2">
        <v>40827</v>
      </c>
      <c r="E110" s="3">
        <v>34.6</v>
      </c>
      <c r="F110" s="4">
        <f t="shared" si="7"/>
        <v>5002.3486063274968</v>
      </c>
      <c r="G110" s="2">
        <v>40200</v>
      </c>
      <c r="H110" s="7">
        <v>3.3</v>
      </c>
      <c r="I110" s="7">
        <f>H110+H97-2*$A$24</f>
        <v>6.68</v>
      </c>
      <c r="J110" s="7">
        <v>3.22</v>
      </c>
      <c r="K110" s="7">
        <v>5.48</v>
      </c>
      <c r="L110" s="6">
        <f t="shared" si="8"/>
        <v>0.32634730538922158</v>
      </c>
      <c r="M110" s="6">
        <f t="shared" si="9"/>
        <v>0.56586826347305397</v>
      </c>
      <c r="N110" s="6">
        <f t="shared" si="10"/>
        <v>0.1077844311377244</v>
      </c>
      <c r="O110" s="4">
        <f t="shared" si="11"/>
        <v>1632.5029882925066</v>
      </c>
      <c r="P110" s="4">
        <f t="shared" si="12"/>
        <v>2830.6703191493921</v>
      </c>
      <c r="Q110" s="4">
        <f t="shared" si="13"/>
        <v>4463.1733074418989</v>
      </c>
      <c r="V110" s="3"/>
      <c r="W110" s="3"/>
      <c r="Y110" s="7"/>
      <c r="Z110" s="7"/>
      <c r="AA110" s="7"/>
      <c r="AB110" s="7"/>
      <c r="AC110" s="9"/>
      <c r="AD110" s="9"/>
      <c r="AE110" s="9"/>
      <c r="AF110" s="3"/>
      <c r="AG110" s="3"/>
      <c r="AH110" s="3"/>
    </row>
    <row r="111" spans="1:34" x14ac:dyDescent="0.3">
      <c r="A111">
        <v>78</v>
      </c>
      <c r="B111" s="1" t="s">
        <v>119</v>
      </c>
      <c r="C111" s="1" t="s">
        <v>682</v>
      </c>
      <c r="D111" s="2">
        <v>40827</v>
      </c>
      <c r="E111" s="3">
        <v>32</v>
      </c>
      <c r="F111" s="4">
        <f t="shared" si="7"/>
        <v>4601.4205429350341</v>
      </c>
      <c r="G111" s="2">
        <v>40200</v>
      </c>
      <c r="H111" s="7">
        <v>3.24</v>
      </c>
      <c r="I111" s="7">
        <f>H111+H96-2*$A$24</f>
        <v>7.4</v>
      </c>
      <c r="J111" s="7">
        <v>3.5</v>
      </c>
      <c r="K111" s="7">
        <v>5.98</v>
      </c>
      <c r="L111" s="6">
        <f t="shared" si="8"/>
        <v>0.33243243243243242</v>
      </c>
      <c r="M111" s="6">
        <f t="shared" si="9"/>
        <v>0.57837837837837835</v>
      </c>
      <c r="N111" s="6">
        <f t="shared" si="10"/>
        <v>8.9189189189189277E-2</v>
      </c>
      <c r="O111" s="4">
        <f t="shared" si="11"/>
        <v>1529.6614237324573</v>
      </c>
      <c r="P111" s="4">
        <f t="shared" si="12"/>
        <v>2661.3621518597224</v>
      </c>
      <c r="Q111" s="4">
        <f t="shared" si="13"/>
        <v>4191.0235755921794</v>
      </c>
      <c r="V111" s="3"/>
      <c r="W111" s="3"/>
      <c r="Y111" s="7"/>
      <c r="Z111" s="7"/>
      <c r="AA111" s="7"/>
      <c r="AB111" s="7"/>
      <c r="AC111" s="9"/>
      <c r="AD111" s="9"/>
      <c r="AE111" s="9"/>
      <c r="AF111" s="3"/>
      <c r="AG111" s="3"/>
      <c r="AH111" s="3"/>
    </row>
    <row r="112" spans="1:34" x14ac:dyDescent="0.3">
      <c r="A112">
        <v>79</v>
      </c>
      <c r="B112" s="1" t="s">
        <v>120</v>
      </c>
      <c r="C112" s="1" t="s">
        <v>682</v>
      </c>
      <c r="D112" s="2">
        <v>40827</v>
      </c>
      <c r="E112" s="3">
        <v>33.6</v>
      </c>
      <c r="F112" s="4">
        <f t="shared" si="7"/>
        <v>4848.1455050227032</v>
      </c>
      <c r="G112" s="2">
        <v>40200</v>
      </c>
      <c r="H112" s="7">
        <v>3.66</v>
      </c>
      <c r="I112" s="7">
        <f>H112+H95-2*$A$24</f>
        <v>7.2799999999999994</v>
      </c>
      <c r="J112" s="7">
        <v>3.38</v>
      </c>
      <c r="K112" s="7">
        <v>5.9</v>
      </c>
      <c r="L112" s="6">
        <f t="shared" si="8"/>
        <v>0.32142857142857145</v>
      </c>
      <c r="M112" s="6">
        <f t="shared" si="9"/>
        <v>0.57692307692307698</v>
      </c>
      <c r="N112" s="6">
        <f t="shared" si="10"/>
        <v>0.10164835164835162</v>
      </c>
      <c r="O112" s="4">
        <f t="shared" si="11"/>
        <v>1558.3324837572975</v>
      </c>
      <c r="P112" s="4">
        <f t="shared" si="12"/>
        <v>2797.0070221284827</v>
      </c>
      <c r="Q112" s="4">
        <f t="shared" si="13"/>
        <v>4355.3395058857805</v>
      </c>
      <c r="V112" s="3"/>
      <c r="W112" s="3"/>
      <c r="Y112" s="7"/>
      <c r="Z112" s="7"/>
      <c r="AA112" s="7"/>
      <c r="AB112" s="7"/>
      <c r="AC112" s="9"/>
      <c r="AD112" s="9"/>
      <c r="AE112" s="9"/>
      <c r="AF112" s="3"/>
      <c r="AG112" s="3"/>
      <c r="AH112" s="3"/>
    </row>
    <row r="113" spans="1:34" x14ac:dyDescent="0.3">
      <c r="A113">
        <v>80</v>
      </c>
      <c r="B113" s="1" t="s">
        <v>121</v>
      </c>
      <c r="C113" s="1" t="s">
        <v>682</v>
      </c>
      <c r="D113" s="2">
        <v>40827</v>
      </c>
      <c r="E113" s="3">
        <v>28.6</v>
      </c>
      <c r="F113" s="4">
        <f t="shared" si="7"/>
        <v>4077.1299984987368</v>
      </c>
      <c r="G113" s="2">
        <v>40200</v>
      </c>
      <c r="H113" s="7">
        <v>3.42</v>
      </c>
      <c r="I113" s="7">
        <f>H113+H94-2*$A$24</f>
        <v>6.76</v>
      </c>
      <c r="J113" s="7">
        <v>3.3</v>
      </c>
      <c r="K113" s="7">
        <v>5.6</v>
      </c>
      <c r="L113" s="6">
        <f t="shared" si="8"/>
        <v>0.33431952662721892</v>
      </c>
      <c r="M113" s="6">
        <f t="shared" si="9"/>
        <v>0.57692307692307687</v>
      </c>
      <c r="N113" s="6">
        <f t="shared" si="10"/>
        <v>8.8757396449704151E-2</v>
      </c>
      <c r="O113" s="4">
        <f t="shared" si="11"/>
        <v>1363.0641710957316</v>
      </c>
      <c r="P113" s="4">
        <f t="shared" si="12"/>
        <v>2352.1903837492709</v>
      </c>
      <c r="Q113" s="4">
        <f t="shared" si="13"/>
        <v>3715.2545548450025</v>
      </c>
      <c r="V113" s="3"/>
      <c r="W113" s="3"/>
      <c r="Y113" s="7"/>
      <c r="Z113" s="7"/>
      <c r="AA113" s="7"/>
      <c r="AB113" s="7"/>
      <c r="AC113" s="9"/>
      <c r="AD113" s="9"/>
      <c r="AE113" s="9"/>
      <c r="AF113" s="3"/>
      <c r="AG113" s="3"/>
      <c r="AH113" s="3"/>
    </row>
    <row r="114" spans="1:34" x14ac:dyDescent="0.3">
      <c r="A114">
        <v>81</v>
      </c>
      <c r="B114" s="1" t="s">
        <v>122</v>
      </c>
      <c r="C114" s="1" t="s">
        <v>682</v>
      </c>
      <c r="D114" s="2">
        <v>40827</v>
      </c>
      <c r="E114" s="3">
        <v>18</v>
      </c>
      <c r="F114" s="4">
        <f t="shared" si="7"/>
        <v>2442.5771246679269</v>
      </c>
      <c r="G114" s="2">
        <v>40200</v>
      </c>
      <c r="H114" s="7">
        <v>2.7</v>
      </c>
      <c r="I114" s="7">
        <f>H114+H133-2*$A$24</f>
        <v>5.26</v>
      </c>
      <c r="J114" s="7">
        <v>2.78</v>
      </c>
      <c r="K114" s="7">
        <v>4.68</v>
      </c>
      <c r="L114" s="6">
        <f t="shared" si="8"/>
        <v>0.33079847908745247</v>
      </c>
      <c r="M114" s="6">
        <f t="shared" si="9"/>
        <v>0.56653992395437258</v>
      </c>
      <c r="N114" s="6">
        <f t="shared" si="10"/>
        <v>0.10266159695817489</v>
      </c>
      <c r="O114" s="4">
        <f t="shared" si="11"/>
        <v>808.00079789395295</v>
      </c>
      <c r="P114" s="4">
        <f t="shared" si="12"/>
        <v>1383.8174584620574</v>
      </c>
      <c r="Q114" s="4">
        <f t="shared" si="13"/>
        <v>2191.8182563560104</v>
      </c>
      <c r="S114" t="s">
        <v>706</v>
      </c>
      <c r="T114" t="s">
        <v>682</v>
      </c>
      <c r="U114" s="8">
        <f>D114</f>
        <v>40827</v>
      </c>
      <c r="V114" s="3">
        <f>SUM(E114:E153)</f>
        <v>1159.9000000000001</v>
      </c>
      <c r="W114" s="3">
        <f>(V114-80*$A$20)*$A$21/(40*$A$22)*$A$23</f>
        <v>4138.4257312673926</v>
      </c>
      <c r="X114" s="8">
        <f>G114</f>
        <v>40200</v>
      </c>
      <c r="Y114" s="7">
        <f>SUM(H114:H153)</f>
        <v>128.72000000000003</v>
      </c>
      <c r="Z114" s="7">
        <f>SUM(I114:I153)</f>
        <v>244.64000000000004</v>
      </c>
      <c r="AA114" s="7">
        <f>SUM(J114:J153)</f>
        <v>122.47999999999998</v>
      </c>
      <c r="AB114" s="7">
        <f>SUM(K114:K153)</f>
        <v>209.60000000000005</v>
      </c>
      <c r="AC114" s="9">
        <f>(AA114-40*$A$25)/Z114</f>
        <v>0.33060824068018291</v>
      </c>
      <c r="AD114" s="9">
        <f>(AB114-40*$A$26)/Z114</f>
        <v>0.57880967952910412</v>
      </c>
      <c r="AE114" s="9">
        <f>1-AC114-AD114</f>
        <v>9.0582079790712977E-2</v>
      </c>
      <c r="AF114" s="3">
        <f>W114*AC114</f>
        <v>1368.197650199912</v>
      </c>
      <c r="AG114" s="3">
        <f>W114*AD114</f>
        <v>2395.3608712698779</v>
      </c>
      <c r="AH114" s="3">
        <f>AF114+AG114</f>
        <v>3763.5585214697899</v>
      </c>
    </row>
    <row r="115" spans="1:34" x14ac:dyDescent="0.3">
      <c r="A115">
        <v>82</v>
      </c>
      <c r="B115" s="1" t="s">
        <v>123</v>
      </c>
      <c r="C115" s="1" t="s">
        <v>682</v>
      </c>
      <c r="D115" s="2">
        <v>40827</v>
      </c>
      <c r="E115" s="3">
        <v>29.6</v>
      </c>
      <c r="F115" s="4">
        <f t="shared" si="7"/>
        <v>4231.3330998035308</v>
      </c>
      <c r="G115" s="2">
        <v>40200</v>
      </c>
      <c r="H115" s="7">
        <v>3.34</v>
      </c>
      <c r="I115" s="7">
        <f>H115+H132-2*$A$24</f>
        <v>6.24</v>
      </c>
      <c r="J115" s="7">
        <v>3.06</v>
      </c>
      <c r="K115" s="7">
        <v>5.32</v>
      </c>
      <c r="L115" s="6">
        <f t="shared" si="8"/>
        <v>0.32371794871794873</v>
      </c>
      <c r="M115" s="6">
        <f t="shared" si="9"/>
        <v>0.58012820512820518</v>
      </c>
      <c r="N115" s="6">
        <f t="shared" si="10"/>
        <v>9.6153846153846145E-2</v>
      </c>
      <c r="O115" s="4">
        <f t="shared" si="11"/>
        <v>1369.7584714107584</v>
      </c>
      <c r="P115" s="4">
        <f t="shared" si="12"/>
        <v>2454.7156764885872</v>
      </c>
      <c r="Q115" s="4">
        <f t="shared" si="13"/>
        <v>3824.4741478993456</v>
      </c>
      <c r="V115" s="3"/>
      <c r="W115" s="3"/>
      <c r="Y115" s="7"/>
      <c r="Z115" s="7"/>
      <c r="AA115" s="7"/>
      <c r="AB115" s="7"/>
      <c r="AC115" s="9"/>
      <c r="AD115" s="9"/>
      <c r="AE115" s="9"/>
      <c r="AF115" s="3"/>
      <c r="AG115" s="3"/>
      <c r="AH115" s="3"/>
    </row>
    <row r="116" spans="1:34" x14ac:dyDescent="0.3">
      <c r="A116">
        <v>83</v>
      </c>
      <c r="B116" s="1" t="s">
        <v>124</v>
      </c>
      <c r="C116" s="1" t="s">
        <v>682</v>
      </c>
      <c r="D116" s="2">
        <v>40827</v>
      </c>
      <c r="E116" s="3">
        <v>26.6</v>
      </c>
      <c r="F116" s="4">
        <f t="shared" si="7"/>
        <v>3768.7237958891496</v>
      </c>
      <c r="G116" s="2">
        <v>40200</v>
      </c>
      <c r="H116" s="7">
        <v>3.3</v>
      </c>
      <c r="I116" s="7">
        <f>H116+H131-2*$A$24</f>
        <v>6.34</v>
      </c>
      <c r="J116" s="7">
        <v>3.14</v>
      </c>
      <c r="K116" s="7">
        <v>5.36</v>
      </c>
      <c r="L116" s="6">
        <f t="shared" si="8"/>
        <v>0.33123028391167192</v>
      </c>
      <c r="M116" s="6">
        <f t="shared" si="9"/>
        <v>0.57728706624605686</v>
      </c>
      <c r="N116" s="6">
        <f t="shared" si="10"/>
        <v>9.148264984227128E-2</v>
      </c>
      <c r="O116" s="4">
        <f t="shared" si="11"/>
        <v>1248.3154528970369</v>
      </c>
      <c r="P116" s="4">
        <f t="shared" si="12"/>
        <v>2175.6355036205505</v>
      </c>
      <c r="Q116" s="4">
        <f t="shared" si="13"/>
        <v>3423.9509565175877</v>
      </c>
      <c r="V116" s="3"/>
      <c r="W116" s="3"/>
      <c r="Y116" s="7"/>
      <c r="Z116" s="7"/>
      <c r="AA116" s="7"/>
      <c r="AB116" s="7"/>
      <c r="AC116" s="9"/>
      <c r="AD116" s="9"/>
      <c r="AE116" s="9"/>
      <c r="AF116" s="3"/>
      <c r="AG116" s="3"/>
      <c r="AH116" s="3"/>
    </row>
    <row r="117" spans="1:34" x14ac:dyDescent="0.3">
      <c r="A117">
        <v>84</v>
      </c>
      <c r="B117" s="1" t="s">
        <v>125</v>
      </c>
      <c r="C117" s="1" t="s">
        <v>682</v>
      </c>
      <c r="D117" s="2">
        <v>40827</v>
      </c>
      <c r="E117" s="3">
        <v>27.6</v>
      </c>
      <c r="F117" s="4">
        <f t="shared" si="7"/>
        <v>3922.9268971939437</v>
      </c>
      <c r="G117" s="2">
        <v>40200</v>
      </c>
      <c r="H117" s="7">
        <v>3.46</v>
      </c>
      <c r="I117" s="7">
        <f>H117+H130-2*$A$24</f>
        <v>6.3</v>
      </c>
      <c r="J117" s="7">
        <v>3.12</v>
      </c>
      <c r="K117" s="7">
        <v>5.38</v>
      </c>
      <c r="L117" s="6">
        <f t="shared" si="8"/>
        <v>0.33015873015873021</v>
      </c>
      <c r="M117" s="6">
        <f t="shared" si="9"/>
        <v>0.58412698412698405</v>
      </c>
      <c r="N117" s="6">
        <f t="shared" si="10"/>
        <v>8.5714285714285743E-2</v>
      </c>
      <c r="O117" s="4">
        <f t="shared" si="11"/>
        <v>1295.1885628830801</v>
      </c>
      <c r="P117" s="4">
        <f t="shared" si="12"/>
        <v>2291.4874574085256</v>
      </c>
      <c r="Q117" s="4">
        <f t="shared" si="13"/>
        <v>3586.6760202916057</v>
      </c>
      <c r="V117" s="3"/>
      <c r="W117" s="3"/>
      <c r="Y117" s="7"/>
      <c r="Z117" s="7"/>
      <c r="AA117" s="7"/>
      <c r="AB117" s="7"/>
      <c r="AC117" s="9"/>
      <c r="AD117" s="9"/>
      <c r="AE117" s="9"/>
      <c r="AF117" s="3"/>
      <c r="AG117" s="3"/>
      <c r="AH117" s="3"/>
    </row>
    <row r="118" spans="1:34" x14ac:dyDescent="0.3">
      <c r="A118">
        <v>85</v>
      </c>
      <c r="B118" s="1" t="s">
        <v>126</v>
      </c>
      <c r="C118" s="1" t="s">
        <v>682</v>
      </c>
      <c r="D118" s="2">
        <v>40827</v>
      </c>
      <c r="E118" s="3">
        <v>29.6</v>
      </c>
      <c r="F118" s="4">
        <f t="shared" si="7"/>
        <v>4231.3330998035308</v>
      </c>
      <c r="G118" s="2">
        <v>40200</v>
      </c>
      <c r="H118" s="7">
        <v>3.26</v>
      </c>
      <c r="I118" s="7">
        <f>H118+H129-2*$A$24</f>
        <v>5.68</v>
      </c>
      <c r="J118" s="7">
        <v>2.9</v>
      </c>
      <c r="K118" s="7">
        <v>5.04</v>
      </c>
      <c r="L118" s="6">
        <f t="shared" si="8"/>
        <v>0.32746478873239437</v>
      </c>
      <c r="M118" s="6">
        <f t="shared" si="9"/>
        <v>0.5880281690140845</v>
      </c>
      <c r="N118" s="6">
        <f t="shared" si="10"/>
        <v>8.4507042253521125E-2</v>
      </c>
      <c r="O118" s="4">
        <f t="shared" si="11"/>
        <v>1385.6125995835507</v>
      </c>
      <c r="P118" s="4">
        <f t="shared" si="12"/>
        <v>2488.1430551661606</v>
      </c>
      <c r="Q118" s="4">
        <f t="shared" si="13"/>
        <v>3873.7556547497115</v>
      </c>
      <c r="V118" s="3"/>
      <c r="W118" s="3"/>
      <c r="Y118" s="7"/>
      <c r="Z118" s="7"/>
      <c r="AA118" s="7"/>
      <c r="AB118" s="7"/>
      <c r="AC118" s="9"/>
      <c r="AD118" s="9"/>
      <c r="AE118" s="9"/>
      <c r="AF118" s="3"/>
      <c r="AG118" s="3"/>
      <c r="AH118" s="3"/>
    </row>
    <row r="119" spans="1:34" x14ac:dyDescent="0.3">
      <c r="A119">
        <v>86</v>
      </c>
      <c r="B119" s="1" t="s">
        <v>127</v>
      </c>
      <c r="C119" s="1" t="s">
        <v>682</v>
      </c>
      <c r="D119" s="2">
        <v>40827</v>
      </c>
      <c r="E119" s="3">
        <v>27.8</v>
      </c>
      <c r="F119" s="4">
        <f t="shared" si="7"/>
        <v>3953.7675174549017</v>
      </c>
      <c r="G119" s="2">
        <v>40200</v>
      </c>
      <c r="H119" s="7">
        <v>3.56</v>
      </c>
      <c r="I119" s="7">
        <f>H119+H128-2*$A$24</f>
        <v>6.14</v>
      </c>
      <c r="J119" s="7">
        <v>3.02</v>
      </c>
      <c r="K119" s="7">
        <v>5.26</v>
      </c>
      <c r="L119" s="6">
        <f t="shared" si="8"/>
        <v>0.32247557003257332</v>
      </c>
      <c r="M119" s="6">
        <f t="shared" si="9"/>
        <v>0.57980456026058624</v>
      </c>
      <c r="N119" s="6">
        <f t="shared" si="10"/>
        <v>9.7719869706840434E-2</v>
      </c>
      <c r="O119" s="4">
        <f t="shared" si="11"/>
        <v>1274.9934339675417</v>
      </c>
      <c r="P119" s="4">
        <f t="shared" si="12"/>
        <v>2292.4124368305293</v>
      </c>
      <c r="Q119" s="4">
        <f t="shared" si="13"/>
        <v>3567.4058707980712</v>
      </c>
      <c r="V119" s="3"/>
      <c r="W119" s="3"/>
      <c r="Y119" s="7"/>
      <c r="Z119" s="7"/>
      <c r="AA119" s="7"/>
      <c r="AB119" s="7"/>
      <c r="AC119" s="9"/>
      <c r="AD119" s="9"/>
      <c r="AE119" s="9"/>
      <c r="AF119" s="3"/>
      <c r="AG119" s="3"/>
      <c r="AH119" s="3"/>
    </row>
    <row r="120" spans="1:34" x14ac:dyDescent="0.3">
      <c r="A120">
        <v>87</v>
      </c>
      <c r="B120" s="1" t="s">
        <v>128</v>
      </c>
      <c r="C120" s="1" t="s">
        <v>682</v>
      </c>
      <c r="D120" s="2">
        <v>40827</v>
      </c>
      <c r="E120" s="3">
        <v>28.700000000000003</v>
      </c>
      <c r="F120" s="4">
        <f t="shared" si="7"/>
        <v>4092.550308629216</v>
      </c>
      <c r="G120" s="2">
        <v>40200</v>
      </c>
      <c r="H120" s="7">
        <v>2.96</v>
      </c>
      <c r="I120" s="7">
        <f>H120+H127-2*$A$24</f>
        <v>5.8999999999999995</v>
      </c>
      <c r="J120" s="7">
        <v>2.96</v>
      </c>
      <c r="K120" s="7">
        <v>5.12</v>
      </c>
      <c r="L120" s="6">
        <f t="shared" si="8"/>
        <v>0.32542372881355935</v>
      </c>
      <c r="M120" s="6">
        <f t="shared" si="9"/>
        <v>0.57966101694915262</v>
      </c>
      <c r="N120" s="6">
        <f t="shared" si="10"/>
        <v>9.4915254237288083E-2</v>
      </c>
      <c r="O120" s="4">
        <f t="shared" si="11"/>
        <v>1331.8129817912027</v>
      </c>
      <c r="P120" s="4">
        <f t="shared" si="12"/>
        <v>2372.2918738155799</v>
      </c>
      <c r="Q120" s="4">
        <f t="shared" si="13"/>
        <v>3704.1048556067826</v>
      </c>
      <c r="V120" s="3"/>
      <c r="W120" s="3"/>
      <c r="Y120" s="7"/>
      <c r="Z120" s="7"/>
      <c r="AA120" s="7"/>
      <c r="AB120" s="7"/>
      <c r="AC120" s="9"/>
      <c r="AD120" s="9"/>
      <c r="AE120" s="9"/>
      <c r="AF120" s="3"/>
      <c r="AG120" s="3"/>
      <c r="AH120" s="3"/>
    </row>
    <row r="121" spans="1:34" x14ac:dyDescent="0.3">
      <c r="A121">
        <v>88</v>
      </c>
      <c r="B121" s="1" t="s">
        <v>129</v>
      </c>
      <c r="C121" s="1" t="s">
        <v>682</v>
      </c>
      <c r="D121" s="2">
        <v>40827</v>
      </c>
      <c r="E121" s="3">
        <v>28.8</v>
      </c>
      <c r="F121" s="4">
        <f t="shared" si="7"/>
        <v>4107.9706187596958</v>
      </c>
      <c r="G121" s="2">
        <v>40200</v>
      </c>
      <c r="H121" s="7">
        <v>2.92</v>
      </c>
      <c r="I121" s="7">
        <f>H121+H126-2*$A$24</f>
        <v>5.6</v>
      </c>
      <c r="J121" s="7">
        <v>2.94</v>
      </c>
      <c r="K121" s="7">
        <v>4.9800000000000004</v>
      </c>
      <c r="L121" s="6">
        <f t="shared" si="8"/>
        <v>0.3392857142857143</v>
      </c>
      <c r="M121" s="6">
        <f t="shared" si="9"/>
        <v>0.58571428571428574</v>
      </c>
      <c r="N121" s="6">
        <f t="shared" si="10"/>
        <v>7.4999999999999956E-2</v>
      </c>
      <c r="O121" s="4">
        <f t="shared" si="11"/>
        <v>1393.775745650611</v>
      </c>
      <c r="P121" s="4">
        <f t="shared" si="12"/>
        <v>2406.0970767021076</v>
      </c>
      <c r="Q121" s="4">
        <f t="shared" si="13"/>
        <v>3799.8728223527187</v>
      </c>
      <c r="V121" s="3"/>
      <c r="W121" s="3"/>
      <c r="Y121" s="7"/>
      <c r="Z121" s="7"/>
      <c r="AA121" s="7"/>
      <c r="AB121" s="7"/>
      <c r="AC121" s="9"/>
      <c r="AD121" s="9"/>
      <c r="AE121" s="9"/>
      <c r="AF121" s="3"/>
      <c r="AG121" s="3"/>
      <c r="AH121" s="3"/>
    </row>
    <row r="122" spans="1:34" x14ac:dyDescent="0.3">
      <c r="A122">
        <v>89</v>
      </c>
      <c r="B122" s="1" t="s">
        <v>130</v>
      </c>
      <c r="C122" s="1" t="s">
        <v>682</v>
      </c>
      <c r="D122" s="2">
        <v>40827</v>
      </c>
      <c r="E122" s="3">
        <v>30.2</v>
      </c>
      <c r="F122" s="4">
        <f t="shared" si="7"/>
        <v>4323.8549605864055</v>
      </c>
      <c r="G122" s="2">
        <v>40200</v>
      </c>
      <c r="H122" s="7">
        <v>3.2</v>
      </c>
      <c r="I122" s="7">
        <f>H122+H125-2*$A$24</f>
        <v>6.1</v>
      </c>
      <c r="J122" s="7">
        <v>3.1</v>
      </c>
      <c r="K122" s="7">
        <v>5.16</v>
      </c>
      <c r="L122" s="6">
        <f t="shared" si="8"/>
        <v>0.3377049180327869</v>
      </c>
      <c r="M122" s="6">
        <f t="shared" si="9"/>
        <v>0.56721311475409841</v>
      </c>
      <c r="N122" s="6">
        <f t="shared" si="10"/>
        <v>9.5081967213114682E-2</v>
      </c>
      <c r="O122" s="4">
        <f t="shared" si="11"/>
        <v>1460.1870850504911</v>
      </c>
      <c r="P122" s="4">
        <f t="shared" si="12"/>
        <v>2452.5472399391747</v>
      </c>
      <c r="Q122" s="4">
        <f t="shared" si="13"/>
        <v>3912.7343249896658</v>
      </c>
      <c r="V122" s="3"/>
      <c r="W122" s="3"/>
      <c r="Y122" s="7"/>
      <c r="Z122" s="7"/>
      <c r="AA122" s="7"/>
      <c r="AB122" s="7"/>
      <c r="AC122" s="9"/>
      <c r="AD122" s="9"/>
      <c r="AE122" s="9"/>
      <c r="AF122" s="3"/>
      <c r="AG122" s="3"/>
      <c r="AH122" s="3"/>
    </row>
    <row r="123" spans="1:34" x14ac:dyDescent="0.3">
      <c r="A123">
        <v>90</v>
      </c>
      <c r="B123" s="1" t="s">
        <v>131</v>
      </c>
      <c r="C123" s="1" t="s">
        <v>682</v>
      </c>
      <c r="D123" s="2">
        <v>40827</v>
      </c>
      <c r="E123" s="3">
        <v>22.4</v>
      </c>
      <c r="F123" s="4">
        <f t="shared" si="7"/>
        <v>3121.0707704090173</v>
      </c>
      <c r="G123" s="2">
        <v>40200</v>
      </c>
      <c r="H123" s="7">
        <v>3.56</v>
      </c>
      <c r="I123" s="7">
        <f>H123+H124-2*$A$24</f>
        <v>6.48</v>
      </c>
      <c r="J123" s="7">
        <v>3.16</v>
      </c>
      <c r="K123" s="7">
        <v>5.4</v>
      </c>
      <c r="L123" s="6">
        <f t="shared" si="8"/>
        <v>0.3271604938271605</v>
      </c>
      <c r="M123" s="6">
        <f t="shared" si="9"/>
        <v>0.57098765432098764</v>
      </c>
      <c r="N123" s="6">
        <f t="shared" si="10"/>
        <v>0.10185185185185186</v>
      </c>
      <c r="O123" s="4">
        <f t="shared" si="11"/>
        <v>1021.0910545165303</v>
      </c>
      <c r="P123" s="4">
        <f t="shared" si="12"/>
        <v>1782.0928781656426</v>
      </c>
      <c r="Q123" s="4">
        <f t="shared" si="13"/>
        <v>2803.1839326821728</v>
      </c>
      <c r="V123" s="3"/>
      <c r="W123" s="3"/>
      <c r="Y123" s="7"/>
      <c r="Z123" s="7"/>
      <c r="AA123" s="7"/>
      <c r="AB123" s="7"/>
      <c r="AC123" s="9"/>
      <c r="AD123" s="9"/>
      <c r="AE123" s="9"/>
      <c r="AF123" s="3"/>
      <c r="AG123" s="3"/>
      <c r="AH123" s="3"/>
    </row>
    <row r="124" spans="1:34" x14ac:dyDescent="0.3">
      <c r="A124">
        <v>91</v>
      </c>
      <c r="B124" s="1" t="s">
        <v>132</v>
      </c>
      <c r="C124" s="1" t="s">
        <v>682</v>
      </c>
      <c r="D124" s="2">
        <v>40827</v>
      </c>
      <c r="E124" s="3">
        <v>29.700000000000003</v>
      </c>
      <c r="F124" s="4">
        <f t="shared" si="7"/>
        <v>4246.7534099340101</v>
      </c>
      <c r="G124" s="2">
        <v>40200</v>
      </c>
      <c r="H124" s="7">
        <v>3.24</v>
      </c>
      <c r="I124" s="7">
        <f>H124+H123-2*$A$24</f>
        <v>6.48</v>
      </c>
      <c r="J124" s="7">
        <v>3.16</v>
      </c>
      <c r="K124" s="7">
        <v>5.4</v>
      </c>
      <c r="L124" s="6">
        <f t="shared" si="8"/>
        <v>0.3271604938271605</v>
      </c>
      <c r="M124" s="6">
        <f t="shared" si="9"/>
        <v>0.57098765432098764</v>
      </c>
      <c r="N124" s="6">
        <f t="shared" si="10"/>
        <v>0.10185185185185186</v>
      </c>
      <c r="O124" s="4">
        <f t="shared" si="11"/>
        <v>1389.3699427561885</v>
      </c>
      <c r="P124" s="4">
        <f t="shared" si="12"/>
        <v>2424.8437680178758</v>
      </c>
      <c r="Q124" s="4">
        <f t="shared" si="13"/>
        <v>3814.2137107740646</v>
      </c>
      <c r="V124" s="3"/>
      <c r="W124" s="3"/>
      <c r="Y124" s="7"/>
      <c r="Z124" s="7"/>
      <c r="AA124" s="7"/>
      <c r="AB124" s="7"/>
      <c r="AC124" s="9"/>
      <c r="AD124" s="9"/>
      <c r="AE124" s="9"/>
      <c r="AF124" s="3"/>
      <c r="AG124" s="3"/>
      <c r="AH124" s="3"/>
    </row>
    <row r="125" spans="1:34" x14ac:dyDescent="0.3">
      <c r="A125">
        <v>92</v>
      </c>
      <c r="B125" s="1" t="s">
        <v>133</v>
      </c>
      <c r="C125" s="1" t="s">
        <v>682</v>
      </c>
      <c r="D125" s="2">
        <v>40827</v>
      </c>
      <c r="E125" s="3">
        <v>35.9</v>
      </c>
      <c r="F125" s="4">
        <f t="shared" si="7"/>
        <v>5202.8126380237272</v>
      </c>
      <c r="G125" s="2">
        <v>40200</v>
      </c>
      <c r="H125" s="7">
        <v>3.22</v>
      </c>
      <c r="I125" s="7">
        <f>H125+H122-2*$A$24</f>
        <v>6.1</v>
      </c>
      <c r="J125" s="7">
        <v>3.1</v>
      </c>
      <c r="K125" s="7">
        <v>5.16</v>
      </c>
      <c r="L125" s="6">
        <f t="shared" si="8"/>
        <v>0.3377049180327869</v>
      </c>
      <c r="M125" s="6">
        <f t="shared" si="9"/>
        <v>0.56721311475409841</v>
      </c>
      <c r="N125" s="6">
        <f t="shared" si="10"/>
        <v>9.5081967213114682E-2</v>
      </c>
      <c r="O125" s="4">
        <f t="shared" si="11"/>
        <v>1757.0154154637505</v>
      </c>
      <c r="P125" s="4">
        <f t="shared" si="12"/>
        <v>2951.1035618954261</v>
      </c>
      <c r="Q125" s="4">
        <f t="shared" si="13"/>
        <v>4708.1189773591768</v>
      </c>
      <c r="V125" s="3"/>
      <c r="W125" s="3"/>
      <c r="Y125" s="7"/>
      <c r="Z125" s="7"/>
      <c r="AA125" s="7"/>
      <c r="AB125" s="7"/>
      <c r="AC125" s="9"/>
      <c r="AD125" s="9"/>
      <c r="AE125" s="9"/>
      <c r="AF125" s="3"/>
      <c r="AG125" s="3"/>
      <c r="AH125" s="3"/>
    </row>
    <row r="126" spans="1:34" x14ac:dyDescent="0.3">
      <c r="A126">
        <v>93</v>
      </c>
      <c r="B126" s="1" t="s">
        <v>134</v>
      </c>
      <c r="C126" s="1" t="s">
        <v>682</v>
      </c>
      <c r="D126" s="2">
        <v>40827</v>
      </c>
      <c r="E126" s="3">
        <v>33.900000000000006</v>
      </c>
      <c r="F126" s="4">
        <f t="shared" si="7"/>
        <v>4894.4064354141428</v>
      </c>
      <c r="G126" s="2">
        <v>40200</v>
      </c>
      <c r="H126" s="7">
        <v>3</v>
      </c>
      <c r="I126" s="7">
        <f>H126+H121-2*$A$24</f>
        <v>5.6</v>
      </c>
      <c r="J126" s="7">
        <v>2.94</v>
      </c>
      <c r="K126" s="7">
        <v>4.9800000000000004</v>
      </c>
      <c r="L126" s="6">
        <f t="shared" si="8"/>
        <v>0.3392857142857143</v>
      </c>
      <c r="M126" s="6">
        <f t="shared" si="9"/>
        <v>0.58571428571428574</v>
      </c>
      <c r="N126" s="6">
        <f t="shared" si="10"/>
        <v>7.4999999999999956E-2</v>
      </c>
      <c r="O126" s="4">
        <f t="shared" si="11"/>
        <v>1660.6021834440842</v>
      </c>
      <c r="P126" s="4">
        <f t="shared" si="12"/>
        <v>2866.7237693139982</v>
      </c>
      <c r="Q126" s="4">
        <f t="shared" si="13"/>
        <v>4527.3259527580822</v>
      </c>
      <c r="V126" s="3"/>
      <c r="W126" s="3"/>
      <c r="Y126" s="7"/>
      <c r="Z126" s="7"/>
      <c r="AA126" s="7"/>
      <c r="AB126" s="7"/>
      <c r="AC126" s="9"/>
      <c r="AD126" s="9"/>
      <c r="AE126" s="9"/>
      <c r="AF126" s="3"/>
      <c r="AG126" s="3"/>
      <c r="AH126" s="3"/>
    </row>
    <row r="127" spans="1:34" x14ac:dyDescent="0.3">
      <c r="A127">
        <v>94</v>
      </c>
      <c r="B127" s="1" t="s">
        <v>135</v>
      </c>
      <c r="C127" s="1" t="s">
        <v>682</v>
      </c>
      <c r="D127" s="2">
        <v>40827</v>
      </c>
      <c r="E127" s="3">
        <v>33.700000000000003</v>
      </c>
      <c r="F127" s="4">
        <f t="shared" si="7"/>
        <v>4863.5658151531834</v>
      </c>
      <c r="G127" s="2">
        <v>40200</v>
      </c>
      <c r="H127" s="7">
        <v>3.26</v>
      </c>
      <c r="I127" s="7">
        <f>H127+H120-2*$A$24</f>
        <v>5.8999999999999995</v>
      </c>
      <c r="J127" s="7">
        <v>2.96</v>
      </c>
      <c r="K127" s="7">
        <v>5.12</v>
      </c>
      <c r="L127" s="6">
        <f t="shared" si="8"/>
        <v>0.32542372881355935</v>
      </c>
      <c r="M127" s="6">
        <f t="shared" si="9"/>
        <v>0.57966101694915262</v>
      </c>
      <c r="N127" s="6">
        <f t="shared" si="10"/>
        <v>9.4915254237288083E-2</v>
      </c>
      <c r="O127" s="4">
        <f t="shared" si="11"/>
        <v>1582.7197228973073</v>
      </c>
      <c r="P127" s="4">
        <f t="shared" si="12"/>
        <v>2819.2195064108287</v>
      </c>
      <c r="Q127" s="4">
        <f t="shared" si="13"/>
        <v>4401.9392293081364</v>
      </c>
      <c r="V127" s="3"/>
      <c r="W127" s="3"/>
      <c r="Y127" s="7"/>
      <c r="Z127" s="7"/>
      <c r="AA127" s="7"/>
      <c r="AB127" s="7"/>
      <c r="AC127" s="9"/>
      <c r="AD127" s="9"/>
      <c r="AE127" s="9"/>
      <c r="AF127" s="3"/>
      <c r="AG127" s="3"/>
      <c r="AH127" s="3"/>
    </row>
    <row r="128" spans="1:34" x14ac:dyDescent="0.3">
      <c r="A128">
        <v>95</v>
      </c>
      <c r="B128" s="1" t="s">
        <v>136</v>
      </c>
      <c r="C128" s="1" t="s">
        <v>682</v>
      </c>
      <c r="D128" s="2">
        <v>40827</v>
      </c>
      <c r="E128" s="3">
        <v>28.299999999999997</v>
      </c>
      <c r="F128" s="4">
        <f t="shared" si="7"/>
        <v>4030.8690681072981</v>
      </c>
      <c r="G128" s="2">
        <v>40200</v>
      </c>
      <c r="H128" s="7">
        <v>2.9</v>
      </c>
      <c r="I128" s="7">
        <f>H128+H119-2*$A$24</f>
        <v>6.14</v>
      </c>
      <c r="J128" s="7">
        <v>3.02</v>
      </c>
      <c r="K128" s="7">
        <v>5.26</v>
      </c>
      <c r="L128" s="6">
        <f t="shared" si="8"/>
        <v>0.32247557003257332</v>
      </c>
      <c r="M128" s="6">
        <f t="shared" si="9"/>
        <v>0.57980456026058624</v>
      </c>
      <c r="N128" s="6">
        <f t="shared" si="10"/>
        <v>9.7719869706840434E-2</v>
      </c>
      <c r="O128" s="4">
        <f t="shared" si="11"/>
        <v>1299.8568004645686</v>
      </c>
      <c r="P128" s="4">
        <f t="shared" si="12"/>
        <v>2337.1162675019509</v>
      </c>
      <c r="Q128" s="4">
        <f t="shared" si="13"/>
        <v>3636.9730679665195</v>
      </c>
      <c r="V128" s="3"/>
      <c r="W128" s="3"/>
      <c r="Y128" s="7"/>
      <c r="Z128" s="7"/>
      <c r="AA128" s="7"/>
      <c r="AB128" s="7"/>
      <c r="AC128" s="9"/>
      <c r="AD128" s="9"/>
      <c r="AE128" s="9"/>
      <c r="AF128" s="3"/>
      <c r="AG128" s="3"/>
      <c r="AH128" s="3"/>
    </row>
    <row r="129" spans="1:34" x14ac:dyDescent="0.3">
      <c r="A129">
        <v>96</v>
      </c>
      <c r="B129" s="1" t="s">
        <v>137</v>
      </c>
      <c r="C129" s="1" t="s">
        <v>682</v>
      </c>
      <c r="D129" s="2">
        <v>40827</v>
      </c>
      <c r="E129" s="3">
        <v>31.7</v>
      </c>
      <c r="F129" s="4">
        <f t="shared" si="7"/>
        <v>4555.1596125435963</v>
      </c>
      <c r="G129" s="2">
        <v>40200</v>
      </c>
      <c r="H129" s="7">
        <v>2.74</v>
      </c>
      <c r="I129" s="7">
        <f>H129+H118-2*$A$24</f>
        <v>5.68</v>
      </c>
      <c r="J129" s="7">
        <v>2.9</v>
      </c>
      <c r="K129" s="7">
        <v>5.04</v>
      </c>
      <c r="L129" s="6">
        <f t="shared" si="8"/>
        <v>0.32746478873239437</v>
      </c>
      <c r="M129" s="6">
        <f t="shared" si="9"/>
        <v>0.5880281690140845</v>
      </c>
      <c r="N129" s="6">
        <f t="shared" si="10"/>
        <v>8.4507042253521125E-2</v>
      </c>
      <c r="O129" s="4">
        <f t="shared" si="11"/>
        <v>1491.6543801639241</v>
      </c>
      <c r="P129" s="4">
        <f t="shared" si="12"/>
        <v>2678.5621665309177</v>
      </c>
      <c r="Q129" s="4">
        <f t="shared" si="13"/>
        <v>4170.2165466948418</v>
      </c>
      <c r="V129" s="3"/>
      <c r="W129" s="3"/>
      <c r="Y129" s="7"/>
      <c r="Z129" s="7"/>
      <c r="AA129" s="7"/>
      <c r="AB129" s="7"/>
      <c r="AC129" s="9"/>
      <c r="AD129" s="9"/>
      <c r="AE129" s="9"/>
      <c r="AF129" s="3"/>
      <c r="AG129" s="3"/>
      <c r="AH129" s="3"/>
    </row>
    <row r="130" spans="1:34" x14ac:dyDescent="0.3">
      <c r="A130">
        <v>97</v>
      </c>
      <c r="B130" s="1" t="s">
        <v>138</v>
      </c>
      <c r="C130" s="1" t="s">
        <v>682</v>
      </c>
      <c r="D130" s="2">
        <v>40827</v>
      </c>
      <c r="E130" s="3">
        <v>32.1</v>
      </c>
      <c r="F130" s="4">
        <f t="shared" si="7"/>
        <v>4616.8408530655133</v>
      </c>
      <c r="G130" s="2">
        <v>40200</v>
      </c>
      <c r="H130" s="7">
        <v>3.16</v>
      </c>
      <c r="I130" s="7">
        <f>H130+H117-2*$A$24</f>
        <v>6.3</v>
      </c>
      <c r="J130" s="7">
        <v>3.12</v>
      </c>
      <c r="K130" s="7">
        <v>5.38</v>
      </c>
      <c r="L130" s="6">
        <f t="shared" si="8"/>
        <v>0.33015873015873021</v>
      </c>
      <c r="M130" s="6">
        <f t="shared" si="9"/>
        <v>0.58412698412698405</v>
      </c>
      <c r="N130" s="6">
        <f t="shared" si="10"/>
        <v>8.5714285714285743E-2</v>
      </c>
      <c r="O130" s="4">
        <f t="shared" si="11"/>
        <v>1524.2903133930586</v>
      </c>
      <c r="P130" s="4">
        <f t="shared" si="12"/>
        <v>2696.8213236954107</v>
      </c>
      <c r="Q130" s="4">
        <f t="shared" si="13"/>
        <v>4221.1116370884693</v>
      </c>
      <c r="V130" s="3"/>
      <c r="W130" s="3"/>
      <c r="Y130" s="7"/>
      <c r="Z130" s="7"/>
      <c r="AA130" s="7"/>
      <c r="AB130" s="7"/>
      <c r="AC130" s="9"/>
      <c r="AD130" s="9"/>
      <c r="AE130" s="9"/>
      <c r="AF130" s="3"/>
      <c r="AG130" s="3"/>
      <c r="AH130" s="3"/>
    </row>
    <row r="131" spans="1:34" x14ac:dyDescent="0.3">
      <c r="A131">
        <v>98</v>
      </c>
      <c r="B131" s="1" t="s">
        <v>139</v>
      </c>
      <c r="C131" s="1" t="s">
        <v>682</v>
      </c>
      <c r="D131" s="2">
        <v>40827</v>
      </c>
      <c r="E131" s="3">
        <v>27.9</v>
      </c>
      <c r="F131" s="4">
        <f t="shared" si="7"/>
        <v>3969.187827585381</v>
      </c>
      <c r="G131" s="2">
        <v>40200</v>
      </c>
      <c r="H131" s="7">
        <v>3.36</v>
      </c>
      <c r="I131" s="7">
        <f>H131+H116-2*$A$24</f>
        <v>6.34</v>
      </c>
      <c r="J131" s="7">
        <v>3.14</v>
      </c>
      <c r="K131" s="7">
        <v>5.36</v>
      </c>
      <c r="L131" s="6">
        <f t="shared" si="8"/>
        <v>0.33123028391167192</v>
      </c>
      <c r="M131" s="6">
        <f t="shared" si="9"/>
        <v>0.57728706624605686</v>
      </c>
      <c r="N131" s="6">
        <f t="shared" si="10"/>
        <v>9.148264984227128E-2</v>
      </c>
      <c r="O131" s="4">
        <f t="shared" si="11"/>
        <v>1314.715211029858</v>
      </c>
      <c r="P131" s="4">
        <f t="shared" si="12"/>
        <v>2291.3607963663244</v>
      </c>
      <c r="Q131" s="4">
        <f t="shared" si="13"/>
        <v>3606.0760073961824</v>
      </c>
      <c r="V131" s="3"/>
      <c r="W131" s="3"/>
      <c r="Y131" s="7"/>
      <c r="Z131" s="7"/>
      <c r="AA131" s="7"/>
      <c r="AB131" s="7"/>
      <c r="AC131" s="9"/>
      <c r="AD131" s="9"/>
      <c r="AE131" s="9"/>
      <c r="AF131" s="3"/>
      <c r="AG131" s="3"/>
      <c r="AH131" s="3"/>
    </row>
    <row r="132" spans="1:34" x14ac:dyDescent="0.3">
      <c r="A132">
        <v>99</v>
      </c>
      <c r="B132" s="1" t="s">
        <v>140</v>
      </c>
      <c r="C132" s="1" t="s">
        <v>682</v>
      </c>
      <c r="D132" s="2">
        <v>40827</v>
      </c>
      <c r="E132" s="3">
        <v>32.9</v>
      </c>
      <c r="F132" s="4">
        <f t="shared" si="7"/>
        <v>4740.2033341093475</v>
      </c>
      <c r="G132" s="2">
        <v>40200</v>
      </c>
      <c r="H132" s="7">
        <v>3.22</v>
      </c>
      <c r="I132" s="7">
        <f>H132+H115-2*$A$24</f>
        <v>6.24</v>
      </c>
      <c r="J132" s="7">
        <v>3.06</v>
      </c>
      <c r="K132" s="7">
        <v>5.32</v>
      </c>
      <c r="L132" s="6">
        <f t="shared" si="8"/>
        <v>0.32371794871794873</v>
      </c>
      <c r="M132" s="6">
        <f t="shared" si="9"/>
        <v>0.58012820512820518</v>
      </c>
      <c r="N132" s="6">
        <f t="shared" si="10"/>
        <v>9.6153846153846145E-2</v>
      </c>
      <c r="O132" s="4">
        <f t="shared" si="11"/>
        <v>1534.4888998238594</v>
      </c>
      <c r="P132" s="4">
        <f t="shared" si="12"/>
        <v>2749.9256521595894</v>
      </c>
      <c r="Q132" s="4">
        <f t="shared" si="13"/>
        <v>4284.4145519834492</v>
      </c>
      <c r="V132" s="3"/>
      <c r="W132" s="3"/>
      <c r="Y132" s="7"/>
      <c r="Z132" s="7"/>
      <c r="AA132" s="7"/>
      <c r="AB132" s="7"/>
      <c r="AC132" s="9"/>
      <c r="AD132" s="9"/>
      <c r="AE132" s="9"/>
      <c r="AF132" s="3"/>
      <c r="AG132" s="3"/>
      <c r="AH132" s="3"/>
    </row>
    <row r="133" spans="1:34" x14ac:dyDescent="0.3">
      <c r="A133">
        <v>100</v>
      </c>
      <c r="B133" s="1" t="s">
        <v>141</v>
      </c>
      <c r="C133" s="1" t="s">
        <v>682</v>
      </c>
      <c r="D133" s="2">
        <v>40827</v>
      </c>
      <c r="E133" s="3">
        <v>20.8</v>
      </c>
      <c r="F133" s="4">
        <f t="shared" si="7"/>
        <v>2874.3458083213486</v>
      </c>
      <c r="G133" s="2">
        <v>40200</v>
      </c>
      <c r="H133" s="7">
        <v>2.88</v>
      </c>
      <c r="I133" s="7">
        <f>H133+H114-2*$A$24</f>
        <v>5.26</v>
      </c>
      <c r="J133" s="7">
        <v>2.78</v>
      </c>
      <c r="K133" s="7">
        <v>4.68</v>
      </c>
      <c r="L133" s="6">
        <f t="shared" si="8"/>
        <v>0.33079847908745247</v>
      </c>
      <c r="M133" s="6">
        <f t="shared" si="9"/>
        <v>0.56653992395437258</v>
      </c>
      <c r="N133" s="6">
        <f t="shared" si="10"/>
        <v>0.10266159695817489</v>
      </c>
      <c r="O133" s="4">
        <f t="shared" si="11"/>
        <v>950.82922176409625</v>
      </c>
      <c r="P133" s="4">
        <f t="shared" si="12"/>
        <v>1628.4316556649464</v>
      </c>
      <c r="Q133" s="4">
        <f t="shared" si="13"/>
        <v>2579.2608774290429</v>
      </c>
      <c r="V133" s="3"/>
      <c r="W133" s="3"/>
      <c r="Y133" s="7"/>
      <c r="Z133" s="7"/>
      <c r="AA133" s="7"/>
      <c r="AB133" s="7"/>
      <c r="AC133" s="9"/>
      <c r="AD133" s="9"/>
      <c r="AE133" s="9"/>
      <c r="AF133" s="3"/>
      <c r="AG133" s="3"/>
      <c r="AH133" s="3"/>
    </row>
    <row r="134" spans="1:34" x14ac:dyDescent="0.3">
      <c r="A134">
        <v>101</v>
      </c>
      <c r="B134" s="1" t="s">
        <v>142</v>
      </c>
      <c r="C134" s="1" t="s">
        <v>682</v>
      </c>
      <c r="D134" s="2">
        <v>40827</v>
      </c>
      <c r="E134" s="3">
        <v>20.700000000000003</v>
      </c>
      <c r="F134" s="4">
        <f t="shared" si="7"/>
        <v>2858.9254981908689</v>
      </c>
      <c r="G134" s="2">
        <v>40200</v>
      </c>
      <c r="H134" s="7">
        <v>2.72</v>
      </c>
      <c r="I134" s="7">
        <f>H134+H153-2*$A$24</f>
        <v>6.0600000000000005</v>
      </c>
      <c r="J134" s="7">
        <v>3.12</v>
      </c>
      <c r="K134" s="7">
        <v>5.26</v>
      </c>
      <c r="L134" s="6">
        <f t="shared" si="8"/>
        <v>0.34323432343234322</v>
      </c>
      <c r="M134" s="6">
        <f t="shared" si="9"/>
        <v>0.58745874587458735</v>
      </c>
      <c r="N134" s="6">
        <f t="shared" si="10"/>
        <v>6.930693069306948E-2</v>
      </c>
      <c r="O134" s="4">
        <f t="shared" si="11"/>
        <v>981.28135911501772</v>
      </c>
      <c r="P134" s="4">
        <f t="shared" si="12"/>
        <v>1679.5007877160876</v>
      </c>
      <c r="Q134" s="4">
        <f t="shared" si="13"/>
        <v>2660.7821468311054</v>
      </c>
      <c r="V134" s="3"/>
      <c r="W134" s="3"/>
      <c r="Y134" s="7"/>
      <c r="Z134" s="7"/>
      <c r="AA134" s="7"/>
      <c r="AB134" s="7"/>
      <c r="AC134" s="9"/>
      <c r="AD134" s="9"/>
      <c r="AE134" s="9"/>
      <c r="AF134" s="3"/>
      <c r="AG134" s="3"/>
      <c r="AH134" s="3"/>
    </row>
    <row r="135" spans="1:34" x14ac:dyDescent="0.3">
      <c r="A135">
        <v>102</v>
      </c>
      <c r="B135" s="1" t="s">
        <v>143</v>
      </c>
      <c r="C135" s="1" t="s">
        <v>682</v>
      </c>
      <c r="D135" s="2">
        <v>40827</v>
      </c>
      <c r="E135" s="3">
        <v>32.5</v>
      </c>
      <c r="F135" s="4">
        <f t="shared" si="7"/>
        <v>4678.5220935874313</v>
      </c>
      <c r="G135" s="2">
        <v>40200</v>
      </c>
      <c r="H135" s="7">
        <v>3.24</v>
      </c>
      <c r="I135" s="7">
        <f>H135+H152-2*$A$24</f>
        <v>6.12</v>
      </c>
      <c r="J135" s="7">
        <v>3.08</v>
      </c>
      <c r="K135" s="7">
        <v>5.24</v>
      </c>
      <c r="L135" s="6">
        <f t="shared" si="8"/>
        <v>0.33333333333333331</v>
      </c>
      <c r="M135" s="6">
        <f t="shared" si="9"/>
        <v>0.57843137254901955</v>
      </c>
      <c r="N135" s="6">
        <f t="shared" si="10"/>
        <v>8.8235294117647189E-2</v>
      </c>
      <c r="O135" s="4">
        <f t="shared" si="11"/>
        <v>1559.5073645291436</v>
      </c>
      <c r="P135" s="4">
        <f t="shared" si="12"/>
        <v>2706.2039560946905</v>
      </c>
      <c r="Q135" s="4">
        <f t="shared" si="13"/>
        <v>4265.7113206238337</v>
      </c>
      <c r="V135" s="3"/>
      <c r="W135" s="3"/>
      <c r="Y135" s="7"/>
      <c r="Z135" s="7"/>
      <c r="AA135" s="7"/>
      <c r="AB135" s="7"/>
      <c r="AC135" s="9"/>
      <c r="AD135" s="9"/>
      <c r="AE135" s="9"/>
      <c r="AF135" s="3"/>
      <c r="AG135" s="3"/>
      <c r="AH135" s="3"/>
    </row>
    <row r="136" spans="1:34" x14ac:dyDescent="0.3">
      <c r="A136">
        <v>103</v>
      </c>
      <c r="B136" s="1" t="s">
        <v>144</v>
      </c>
      <c r="C136" s="1" t="s">
        <v>682</v>
      </c>
      <c r="D136" s="2">
        <v>40827</v>
      </c>
      <c r="E136" s="3">
        <v>27.799999999999997</v>
      </c>
      <c r="F136" s="4">
        <f t="shared" si="7"/>
        <v>3953.7675174549013</v>
      </c>
      <c r="G136" s="2">
        <v>40200</v>
      </c>
      <c r="H136" s="7">
        <v>3.18</v>
      </c>
      <c r="I136" s="7">
        <f>H136+H151-2*$A$24</f>
        <v>6.0600000000000005</v>
      </c>
      <c r="J136" s="7">
        <v>3.08</v>
      </c>
      <c r="K136" s="7">
        <v>5.22</v>
      </c>
      <c r="L136" s="6">
        <f t="shared" si="8"/>
        <v>0.3366336633663366</v>
      </c>
      <c r="M136" s="6">
        <f t="shared" si="9"/>
        <v>0.58085808580858078</v>
      </c>
      <c r="N136" s="6">
        <f t="shared" si="10"/>
        <v>8.2508250825082619E-2</v>
      </c>
      <c r="O136" s="4">
        <f t="shared" si="11"/>
        <v>1330.9712434996695</v>
      </c>
      <c r="P136" s="4">
        <f t="shared" si="12"/>
        <v>2296.5778319209985</v>
      </c>
      <c r="Q136" s="4">
        <f t="shared" si="13"/>
        <v>3627.549075420668</v>
      </c>
      <c r="V136" s="3"/>
      <c r="W136" s="3"/>
      <c r="Y136" s="7"/>
      <c r="Z136" s="7"/>
      <c r="AA136" s="7"/>
      <c r="AB136" s="7"/>
      <c r="AC136" s="9"/>
      <c r="AD136" s="9"/>
      <c r="AE136" s="9"/>
      <c r="AF136" s="3"/>
      <c r="AG136" s="3"/>
      <c r="AH136" s="3"/>
    </row>
    <row r="137" spans="1:34" x14ac:dyDescent="0.3">
      <c r="A137">
        <v>104</v>
      </c>
      <c r="B137" s="1" t="s">
        <v>145</v>
      </c>
      <c r="C137" s="1" t="s">
        <v>682</v>
      </c>
      <c r="D137" s="2">
        <v>40827</v>
      </c>
      <c r="E137" s="3">
        <v>29.3</v>
      </c>
      <c r="F137" s="4">
        <f t="shared" si="7"/>
        <v>4185.0721694120921</v>
      </c>
      <c r="G137" s="2">
        <v>40200</v>
      </c>
      <c r="H137" s="7">
        <v>3.24</v>
      </c>
      <c r="I137" s="7">
        <f>H137+H150-2*$A$24</f>
        <v>6.18</v>
      </c>
      <c r="J137" s="7">
        <v>3.02</v>
      </c>
      <c r="K137" s="7">
        <v>5.34</v>
      </c>
      <c r="L137" s="6">
        <f t="shared" si="8"/>
        <v>0.32038834951456313</v>
      </c>
      <c r="M137" s="6">
        <f t="shared" si="9"/>
        <v>0.5889967637540453</v>
      </c>
      <c r="N137" s="6">
        <f t="shared" si="10"/>
        <v>9.0614886731391509E-2</v>
      </c>
      <c r="O137" s="4">
        <f t="shared" si="11"/>
        <v>1340.8483649572722</v>
      </c>
      <c r="P137" s="4">
        <f t="shared" si="12"/>
        <v>2464.9939638608439</v>
      </c>
      <c r="Q137" s="4">
        <f t="shared" si="13"/>
        <v>3805.8423288181161</v>
      </c>
      <c r="V137" s="3"/>
      <c r="W137" s="3"/>
      <c r="Y137" s="7"/>
      <c r="Z137" s="7"/>
      <c r="AA137" s="7"/>
      <c r="AB137" s="7"/>
      <c r="AC137" s="9"/>
      <c r="AD137" s="9"/>
      <c r="AE137" s="9"/>
      <c r="AF137" s="3"/>
      <c r="AG137" s="3"/>
      <c r="AH137" s="3"/>
    </row>
    <row r="138" spans="1:34" x14ac:dyDescent="0.3">
      <c r="A138">
        <v>105</v>
      </c>
      <c r="B138" s="1" t="s">
        <v>146</v>
      </c>
      <c r="C138" s="1" t="s">
        <v>682</v>
      </c>
      <c r="D138" s="2">
        <v>40827</v>
      </c>
      <c r="E138" s="3">
        <v>31.1</v>
      </c>
      <c r="F138" s="4">
        <f t="shared" si="7"/>
        <v>4462.6377517607198</v>
      </c>
      <c r="G138" s="2">
        <v>40200</v>
      </c>
      <c r="H138" s="7">
        <v>3.66</v>
      </c>
      <c r="I138" s="7">
        <f>H138+H149-2*$A$24</f>
        <v>6.3</v>
      </c>
      <c r="J138" s="7">
        <v>3.08</v>
      </c>
      <c r="K138" s="7">
        <v>5.34</v>
      </c>
      <c r="L138" s="6">
        <f t="shared" si="8"/>
        <v>0.32380952380952382</v>
      </c>
      <c r="M138" s="6">
        <f t="shared" si="9"/>
        <v>0.57777777777777772</v>
      </c>
      <c r="N138" s="6">
        <f t="shared" si="10"/>
        <v>9.8412698412698507E-2</v>
      </c>
      <c r="O138" s="4">
        <f t="shared" si="11"/>
        <v>1445.0446053320427</v>
      </c>
      <c r="P138" s="4">
        <f t="shared" si="12"/>
        <v>2578.4129232395267</v>
      </c>
      <c r="Q138" s="4">
        <f t="shared" si="13"/>
        <v>4023.4575285715691</v>
      </c>
      <c r="V138" s="3"/>
      <c r="W138" s="3"/>
      <c r="Y138" s="7"/>
      <c r="Z138" s="7"/>
      <c r="AA138" s="7"/>
      <c r="AB138" s="7"/>
      <c r="AC138" s="9"/>
      <c r="AD138" s="9"/>
      <c r="AE138" s="9"/>
      <c r="AF138" s="3"/>
      <c r="AG138" s="3"/>
      <c r="AH138" s="3"/>
    </row>
    <row r="139" spans="1:34" x14ac:dyDescent="0.3">
      <c r="A139">
        <v>106</v>
      </c>
      <c r="B139" s="1" t="s">
        <v>147</v>
      </c>
      <c r="C139" s="1" t="s">
        <v>682</v>
      </c>
      <c r="D139" s="2">
        <v>40827</v>
      </c>
      <c r="E139" s="3">
        <v>29.2</v>
      </c>
      <c r="F139" s="4">
        <f t="shared" si="7"/>
        <v>4169.6518592816119</v>
      </c>
      <c r="G139" s="2">
        <v>40200</v>
      </c>
      <c r="H139" s="7">
        <v>3.16</v>
      </c>
      <c r="I139" s="7">
        <f>H139+H148-2*$A$24</f>
        <v>6.58</v>
      </c>
      <c r="J139" s="7">
        <v>3.16</v>
      </c>
      <c r="K139" s="7">
        <v>5.56</v>
      </c>
      <c r="L139" s="6">
        <f t="shared" si="8"/>
        <v>0.32218844984802431</v>
      </c>
      <c r="M139" s="6">
        <f t="shared" si="9"/>
        <v>0.58662613981762912</v>
      </c>
      <c r="N139" s="6">
        <f t="shared" si="10"/>
        <v>9.1185410334346573E-2</v>
      </c>
      <c r="O139" s="4">
        <f t="shared" si="11"/>
        <v>1343.4136689478748</v>
      </c>
      <c r="P139" s="4">
        <f t="shared" si="12"/>
        <v>2446.0267745937722</v>
      </c>
      <c r="Q139" s="4">
        <f t="shared" si="13"/>
        <v>3789.4404435416473</v>
      </c>
      <c r="V139" s="3"/>
      <c r="W139" s="3"/>
      <c r="Y139" s="7"/>
      <c r="Z139" s="7"/>
      <c r="AA139" s="7"/>
      <c r="AB139" s="7"/>
      <c r="AC139" s="9"/>
      <c r="AD139" s="9"/>
      <c r="AE139" s="9"/>
      <c r="AF139" s="3"/>
      <c r="AG139" s="3"/>
      <c r="AH139" s="3"/>
    </row>
    <row r="140" spans="1:34" x14ac:dyDescent="0.3">
      <c r="A140">
        <v>107</v>
      </c>
      <c r="B140" s="1" t="s">
        <v>148</v>
      </c>
      <c r="C140" s="1" t="s">
        <v>682</v>
      </c>
      <c r="D140" s="2">
        <v>40827</v>
      </c>
      <c r="E140" s="3">
        <v>35.099999999999994</v>
      </c>
      <c r="F140" s="4">
        <f t="shared" si="7"/>
        <v>5079.4501569798931</v>
      </c>
      <c r="G140" s="2">
        <v>40200</v>
      </c>
      <c r="H140" s="7">
        <v>3.18</v>
      </c>
      <c r="I140" s="7">
        <f>H140+H147-2*$A$24</f>
        <v>6.84</v>
      </c>
      <c r="J140" s="7">
        <v>3.32</v>
      </c>
      <c r="K140" s="7">
        <v>5.58</v>
      </c>
      <c r="L140" s="6">
        <f t="shared" si="8"/>
        <v>0.33333333333333331</v>
      </c>
      <c r="M140" s="6">
        <f t="shared" si="9"/>
        <v>0.56725146198830412</v>
      </c>
      <c r="N140" s="6">
        <f t="shared" si="10"/>
        <v>9.9415204678362623E-2</v>
      </c>
      <c r="O140" s="4">
        <f t="shared" si="11"/>
        <v>1693.1500523266309</v>
      </c>
      <c r="P140" s="4">
        <f t="shared" si="12"/>
        <v>2881.3255276435652</v>
      </c>
      <c r="Q140" s="4">
        <f t="shared" si="13"/>
        <v>4574.4755799701961</v>
      </c>
      <c r="V140" s="3"/>
      <c r="W140" s="3"/>
      <c r="Y140" s="7"/>
      <c r="Z140" s="7"/>
      <c r="AA140" s="7"/>
      <c r="AB140" s="7"/>
      <c r="AC140" s="9"/>
      <c r="AD140" s="9"/>
      <c r="AE140" s="9"/>
      <c r="AF140" s="3"/>
      <c r="AG140" s="3"/>
      <c r="AH140" s="3"/>
    </row>
    <row r="141" spans="1:34" x14ac:dyDescent="0.3">
      <c r="A141">
        <v>108</v>
      </c>
      <c r="B141" s="1" t="s">
        <v>149</v>
      </c>
      <c r="C141" s="1" t="s">
        <v>682</v>
      </c>
      <c r="D141" s="2">
        <v>40827</v>
      </c>
      <c r="E141" s="3">
        <v>33.6</v>
      </c>
      <c r="F141" s="4">
        <f t="shared" si="7"/>
        <v>4848.1455050227032</v>
      </c>
      <c r="G141" s="2">
        <v>40200</v>
      </c>
      <c r="H141" s="7">
        <v>2.76</v>
      </c>
      <c r="I141" s="7">
        <f>H141+H146-2*$A$24</f>
        <v>5.5</v>
      </c>
      <c r="J141" s="7">
        <v>2.88</v>
      </c>
      <c r="K141" s="7">
        <v>4.9000000000000004</v>
      </c>
      <c r="L141" s="6">
        <f t="shared" si="8"/>
        <v>0.33454545454545453</v>
      </c>
      <c r="M141" s="6">
        <f t="shared" si="9"/>
        <v>0.5818181818181819</v>
      </c>
      <c r="N141" s="6">
        <f t="shared" si="10"/>
        <v>8.363636363636362E-2</v>
      </c>
      <c r="O141" s="4">
        <f t="shared" si="11"/>
        <v>1621.9250416803225</v>
      </c>
      <c r="P141" s="4">
        <f t="shared" si="12"/>
        <v>2820.7392029223006</v>
      </c>
      <c r="Q141" s="4">
        <f t="shared" si="13"/>
        <v>4442.6642446026235</v>
      </c>
      <c r="V141" s="3"/>
      <c r="W141" s="3"/>
      <c r="Y141" s="7"/>
      <c r="Z141" s="7"/>
      <c r="AA141" s="7"/>
      <c r="AB141" s="7"/>
      <c r="AC141" s="9"/>
      <c r="AD141" s="9"/>
      <c r="AE141" s="9"/>
      <c r="AF141" s="3"/>
      <c r="AG141" s="3"/>
      <c r="AH141" s="3"/>
    </row>
    <row r="142" spans="1:34" x14ac:dyDescent="0.3">
      <c r="A142">
        <v>109</v>
      </c>
      <c r="B142" s="1" t="s">
        <v>150</v>
      </c>
      <c r="C142" s="1" t="s">
        <v>682</v>
      </c>
      <c r="D142" s="2">
        <v>40827</v>
      </c>
      <c r="E142" s="3">
        <v>34.5</v>
      </c>
      <c r="F142" s="4">
        <f t="shared" si="7"/>
        <v>4986.9282961970175</v>
      </c>
      <c r="G142" s="2">
        <v>40200</v>
      </c>
      <c r="H142" s="7">
        <v>3.4</v>
      </c>
      <c r="I142" s="7">
        <f>H142+H145-2*$A$24</f>
        <v>6.22</v>
      </c>
      <c r="J142" s="7">
        <v>3.12</v>
      </c>
      <c r="K142" s="7">
        <v>5.22</v>
      </c>
      <c r="L142" s="6">
        <f t="shared" si="8"/>
        <v>0.33440514469453381</v>
      </c>
      <c r="M142" s="6">
        <f t="shared" si="9"/>
        <v>0.56591639871382637</v>
      </c>
      <c r="N142" s="6">
        <f t="shared" si="10"/>
        <v>9.9678456591639875E-2</v>
      </c>
      <c r="O142" s="4">
        <f t="shared" si="11"/>
        <v>1667.6544784710286</v>
      </c>
      <c r="P142" s="4">
        <f t="shared" si="12"/>
        <v>2822.1845020278943</v>
      </c>
      <c r="Q142" s="4">
        <f t="shared" si="13"/>
        <v>4489.8389804989229</v>
      </c>
      <c r="V142" s="3"/>
      <c r="W142" s="3"/>
      <c r="Y142" s="7"/>
      <c r="Z142" s="7"/>
      <c r="AA142" s="7"/>
      <c r="AB142" s="7"/>
      <c r="AC142" s="9"/>
      <c r="AD142" s="9"/>
      <c r="AE142" s="9"/>
      <c r="AF142" s="3"/>
      <c r="AG142" s="3"/>
      <c r="AH142" s="3"/>
    </row>
    <row r="143" spans="1:34" x14ac:dyDescent="0.3">
      <c r="A143">
        <v>110</v>
      </c>
      <c r="B143" s="1" t="s">
        <v>151</v>
      </c>
      <c r="C143" s="1" t="s">
        <v>682</v>
      </c>
      <c r="D143" s="2">
        <v>40827</v>
      </c>
      <c r="E143" s="3">
        <v>30.200000000000003</v>
      </c>
      <c r="F143" s="4">
        <f t="shared" si="7"/>
        <v>4323.8549605864064</v>
      </c>
      <c r="G143" s="2">
        <v>40200</v>
      </c>
      <c r="H143" s="7">
        <v>3.36</v>
      </c>
      <c r="I143" s="7">
        <f>H143+H144-2*$A$24</f>
        <v>6.42</v>
      </c>
      <c r="J143" s="7">
        <v>3.2</v>
      </c>
      <c r="K143" s="7">
        <v>5.44</v>
      </c>
      <c r="L143" s="6">
        <f t="shared" si="8"/>
        <v>0.33644859813084116</v>
      </c>
      <c r="M143" s="6">
        <f t="shared" si="9"/>
        <v>0.58255451713395645</v>
      </c>
      <c r="N143" s="6">
        <f t="shared" si="10"/>
        <v>8.099688473520239E-2</v>
      </c>
      <c r="O143" s="4">
        <f t="shared" si="11"/>
        <v>1454.7549400103799</v>
      </c>
      <c r="P143" s="4">
        <f t="shared" si="12"/>
        <v>2518.8812387216763</v>
      </c>
      <c r="Q143" s="4">
        <f t="shared" si="13"/>
        <v>3973.6361787320561</v>
      </c>
      <c r="V143" s="3"/>
      <c r="W143" s="3"/>
      <c r="Y143" s="7"/>
      <c r="Z143" s="7"/>
      <c r="AA143" s="7"/>
      <c r="AB143" s="7"/>
      <c r="AC143" s="9"/>
      <c r="AD143" s="9"/>
      <c r="AE143" s="9"/>
      <c r="AF143" s="3"/>
      <c r="AG143" s="3"/>
      <c r="AH143" s="3"/>
    </row>
    <row r="144" spans="1:34" x14ac:dyDescent="0.3">
      <c r="A144">
        <v>111</v>
      </c>
      <c r="B144" s="1" t="s">
        <v>152</v>
      </c>
      <c r="C144" s="1" t="s">
        <v>682</v>
      </c>
      <c r="D144" s="2">
        <v>40827</v>
      </c>
      <c r="E144" s="3">
        <v>24.2</v>
      </c>
      <c r="F144" s="4">
        <f t="shared" si="7"/>
        <v>3398.636352757645</v>
      </c>
      <c r="G144" s="2">
        <v>40200</v>
      </c>
      <c r="H144" s="7">
        <v>3.38</v>
      </c>
      <c r="I144" s="7">
        <f>H144+H143-2*$A$24</f>
        <v>6.42</v>
      </c>
      <c r="J144" s="7">
        <v>3.2</v>
      </c>
      <c r="K144" s="7">
        <v>5.44</v>
      </c>
      <c r="L144" s="6">
        <f t="shared" si="8"/>
        <v>0.33644859813084116</v>
      </c>
      <c r="M144" s="6">
        <f t="shared" si="9"/>
        <v>0.58255451713395645</v>
      </c>
      <c r="N144" s="6">
        <f t="shared" si="10"/>
        <v>8.099688473520239E-2</v>
      </c>
      <c r="O144" s="4">
        <f t="shared" si="11"/>
        <v>1143.4664364418247</v>
      </c>
      <c r="P144" s="4">
        <f t="shared" si="12"/>
        <v>1979.8909593946407</v>
      </c>
      <c r="Q144" s="4">
        <f t="shared" si="13"/>
        <v>3123.3573958364655</v>
      </c>
      <c r="V144" s="3"/>
      <c r="W144" s="3"/>
      <c r="Y144" s="7"/>
      <c r="Z144" s="7"/>
      <c r="AA144" s="7"/>
      <c r="AB144" s="7"/>
      <c r="AC144" s="9"/>
      <c r="AD144" s="9"/>
      <c r="AE144" s="9"/>
      <c r="AF144" s="3"/>
      <c r="AG144" s="3"/>
      <c r="AH144" s="3"/>
    </row>
    <row r="145" spans="1:34" x14ac:dyDescent="0.3">
      <c r="A145">
        <v>112</v>
      </c>
      <c r="B145" s="1" t="s">
        <v>153</v>
      </c>
      <c r="C145" s="1" t="s">
        <v>682</v>
      </c>
      <c r="D145" s="2">
        <v>40827</v>
      </c>
      <c r="E145" s="3">
        <v>29.799999999999997</v>
      </c>
      <c r="F145" s="4">
        <f t="shared" si="7"/>
        <v>4262.1737200644884</v>
      </c>
      <c r="G145" s="2">
        <v>40200</v>
      </c>
      <c r="H145" s="7">
        <v>3.14</v>
      </c>
      <c r="I145" s="7">
        <f>H145+H142-2*$A$24</f>
        <v>6.22</v>
      </c>
      <c r="J145" s="7">
        <v>3.12</v>
      </c>
      <c r="K145" s="7">
        <v>5.22</v>
      </c>
      <c r="L145" s="6">
        <f t="shared" si="8"/>
        <v>0.33440514469453381</v>
      </c>
      <c r="M145" s="6">
        <f t="shared" si="9"/>
        <v>0.56591639871382637</v>
      </c>
      <c r="N145" s="6">
        <f t="shared" si="10"/>
        <v>9.9678456591639875E-2</v>
      </c>
      <c r="O145" s="4">
        <f t="shared" si="11"/>
        <v>1425.2928195714046</v>
      </c>
      <c r="P145" s="4">
        <f t="shared" si="12"/>
        <v>2412.0340023516078</v>
      </c>
      <c r="Q145" s="4">
        <f t="shared" si="13"/>
        <v>3837.3268219230122</v>
      </c>
      <c r="V145" s="3"/>
      <c r="W145" s="3"/>
      <c r="Y145" s="7"/>
      <c r="Z145" s="7"/>
      <c r="AA145" s="7"/>
      <c r="AB145" s="7"/>
      <c r="AC145" s="9"/>
      <c r="AD145" s="9"/>
      <c r="AE145" s="9"/>
      <c r="AF145" s="3"/>
      <c r="AG145" s="3"/>
      <c r="AH145" s="3"/>
    </row>
    <row r="146" spans="1:34" x14ac:dyDescent="0.3">
      <c r="A146">
        <v>113</v>
      </c>
      <c r="B146" s="1" t="s">
        <v>154</v>
      </c>
      <c r="C146" s="1" t="s">
        <v>682</v>
      </c>
      <c r="D146" s="2">
        <v>40827</v>
      </c>
      <c r="E146" s="3">
        <v>30.4</v>
      </c>
      <c r="F146" s="4">
        <f t="shared" si="7"/>
        <v>4354.6955808473649</v>
      </c>
      <c r="G146" s="2">
        <v>40200</v>
      </c>
      <c r="H146" s="7">
        <v>3.06</v>
      </c>
      <c r="I146" s="7">
        <f>H146+H141-2*$A$24</f>
        <v>5.5</v>
      </c>
      <c r="J146" s="7">
        <v>2.88</v>
      </c>
      <c r="K146" s="7">
        <v>4.9000000000000004</v>
      </c>
      <c r="L146" s="6">
        <f t="shared" si="8"/>
        <v>0.33454545454545453</v>
      </c>
      <c r="M146" s="6">
        <f t="shared" si="9"/>
        <v>0.5818181818181819</v>
      </c>
      <c r="N146" s="6">
        <f t="shared" si="10"/>
        <v>8.363636363636362E-2</v>
      </c>
      <c r="O146" s="4">
        <f t="shared" si="11"/>
        <v>1456.8436125016638</v>
      </c>
      <c r="P146" s="4">
        <f t="shared" si="12"/>
        <v>2533.6410652202853</v>
      </c>
      <c r="Q146" s="4">
        <f t="shared" si="13"/>
        <v>3990.4846777219491</v>
      </c>
      <c r="V146" s="3"/>
      <c r="W146" s="3"/>
      <c r="Y146" s="7"/>
      <c r="Z146" s="7"/>
      <c r="AA146" s="7"/>
      <c r="AB146" s="7"/>
      <c r="AC146" s="9"/>
      <c r="AD146" s="9"/>
      <c r="AE146" s="9"/>
      <c r="AF146" s="3"/>
      <c r="AG146" s="3"/>
      <c r="AH146" s="3"/>
    </row>
    <row r="147" spans="1:34" x14ac:dyDescent="0.3">
      <c r="A147">
        <v>114</v>
      </c>
      <c r="B147" s="1" t="s">
        <v>155</v>
      </c>
      <c r="C147" s="1" t="s">
        <v>682</v>
      </c>
      <c r="D147" s="2">
        <v>40827</v>
      </c>
      <c r="E147" s="3">
        <v>32.200000000000003</v>
      </c>
      <c r="F147" s="4">
        <f t="shared" si="7"/>
        <v>4632.2611631959926</v>
      </c>
      <c r="G147" s="2">
        <v>40200</v>
      </c>
      <c r="H147" s="7">
        <v>3.98</v>
      </c>
      <c r="I147" s="7">
        <f>H147+H140-2*$A$24</f>
        <v>6.84</v>
      </c>
      <c r="J147" s="7">
        <v>3.32</v>
      </c>
      <c r="K147" s="7">
        <v>5.58</v>
      </c>
      <c r="L147" s="6">
        <f t="shared" si="8"/>
        <v>0.33333333333333331</v>
      </c>
      <c r="M147" s="6">
        <f t="shared" si="9"/>
        <v>0.56725146198830412</v>
      </c>
      <c r="N147" s="6">
        <f t="shared" si="10"/>
        <v>9.9415204678362623E-2</v>
      </c>
      <c r="O147" s="4">
        <f t="shared" si="11"/>
        <v>1544.0870543986641</v>
      </c>
      <c r="P147" s="4">
        <f t="shared" si="12"/>
        <v>2627.6569171345691</v>
      </c>
      <c r="Q147" s="4">
        <f t="shared" si="13"/>
        <v>4171.743971533233</v>
      </c>
      <c r="V147" s="3"/>
      <c r="W147" s="3"/>
      <c r="Y147" s="7"/>
      <c r="Z147" s="7"/>
      <c r="AA147" s="7"/>
      <c r="AB147" s="7"/>
      <c r="AC147" s="9"/>
      <c r="AD147" s="9"/>
      <c r="AE147" s="9"/>
      <c r="AF147" s="3"/>
      <c r="AG147" s="3"/>
      <c r="AH147" s="3"/>
    </row>
    <row r="148" spans="1:34" x14ac:dyDescent="0.3">
      <c r="A148">
        <v>115</v>
      </c>
      <c r="B148" s="1" t="s">
        <v>156</v>
      </c>
      <c r="C148" s="1" t="s">
        <v>682</v>
      </c>
      <c r="D148" s="2">
        <v>40827</v>
      </c>
      <c r="E148" s="3">
        <v>29.1</v>
      </c>
      <c r="F148" s="4">
        <f t="shared" si="7"/>
        <v>4154.2315491511335</v>
      </c>
      <c r="G148" s="2">
        <v>40200</v>
      </c>
      <c r="H148" s="7">
        <v>3.74</v>
      </c>
      <c r="I148" s="7">
        <f>H148+H139-2*$A$24</f>
        <v>6.58</v>
      </c>
      <c r="J148" s="7">
        <v>3.16</v>
      </c>
      <c r="K148" s="7">
        <v>5.56</v>
      </c>
      <c r="L148" s="6">
        <f t="shared" si="8"/>
        <v>0.32218844984802431</v>
      </c>
      <c r="M148" s="6">
        <f t="shared" si="9"/>
        <v>0.58662613981762912</v>
      </c>
      <c r="N148" s="6">
        <f t="shared" si="10"/>
        <v>9.1185410334346573E-2</v>
      </c>
      <c r="O148" s="4">
        <f t="shared" si="11"/>
        <v>1338.4454231307602</v>
      </c>
      <c r="P148" s="4">
        <f t="shared" si="12"/>
        <v>2436.980817587139</v>
      </c>
      <c r="Q148" s="4">
        <f t="shared" si="13"/>
        <v>3775.4262407178994</v>
      </c>
      <c r="V148" s="3"/>
      <c r="W148" s="3"/>
      <c r="Y148" s="7"/>
      <c r="Z148" s="7"/>
      <c r="AA148" s="7"/>
      <c r="AB148" s="7"/>
      <c r="AC148" s="9"/>
      <c r="AD148" s="9"/>
      <c r="AE148" s="9"/>
      <c r="AF148" s="3"/>
      <c r="AG148" s="3"/>
      <c r="AH148" s="3"/>
    </row>
    <row r="149" spans="1:34" x14ac:dyDescent="0.3">
      <c r="A149">
        <v>116</v>
      </c>
      <c r="B149" s="1" t="s">
        <v>157</v>
      </c>
      <c r="C149" s="1" t="s">
        <v>682</v>
      </c>
      <c r="D149" s="2">
        <v>40827</v>
      </c>
      <c r="E149" s="3">
        <v>32.299999999999997</v>
      </c>
      <c r="F149" s="4">
        <f t="shared" si="7"/>
        <v>4647.6814733264719</v>
      </c>
      <c r="G149" s="2">
        <v>40200</v>
      </c>
      <c r="H149" s="7">
        <v>2.96</v>
      </c>
      <c r="I149" s="7">
        <f>H149+H138-2*$A$24</f>
        <v>6.3</v>
      </c>
      <c r="J149" s="7">
        <v>3.08</v>
      </c>
      <c r="K149" s="7">
        <v>5.34</v>
      </c>
      <c r="L149" s="6">
        <f t="shared" si="8"/>
        <v>0.32380952380952382</v>
      </c>
      <c r="M149" s="6">
        <f t="shared" si="9"/>
        <v>0.57777777777777772</v>
      </c>
      <c r="N149" s="6">
        <f t="shared" si="10"/>
        <v>9.8412698412698507E-2</v>
      </c>
      <c r="O149" s="4">
        <f t="shared" si="11"/>
        <v>1504.9635246961909</v>
      </c>
      <c r="P149" s="4">
        <f t="shared" si="12"/>
        <v>2685.3270734775169</v>
      </c>
      <c r="Q149" s="4">
        <f t="shared" si="13"/>
        <v>4190.2905981737076</v>
      </c>
      <c r="V149" s="3"/>
      <c r="W149" s="3"/>
      <c r="Y149" s="7"/>
      <c r="Z149" s="7"/>
      <c r="AA149" s="7"/>
      <c r="AB149" s="7"/>
      <c r="AC149" s="9"/>
      <c r="AD149" s="9"/>
      <c r="AE149" s="9"/>
      <c r="AF149" s="3"/>
      <c r="AG149" s="3"/>
      <c r="AH149" s="3"/>
    </row>
    <row r="150" spans="1:34" x14ac:dyDescent="0.3">
      <c r="A150">
        <v>117</v>
      </c>
      <c r="B150" s="1" t="s">
        <v>158</v>
      </c>
      <c r="C150" s="1" t="s">
        <v>682</v>
      </c>
      <c r="D150" s="2">
        <v>40827</v>
      </c>
      <c r="E150" s="3">
        <v>26</v>
      </c>
      <c r="F150" s="4">
        <f t="shared" si="7"/>
        <v>3676.2019351062736</v>
      </c>
      <c r="G150" s="2">
        <v>40200</v>
      </c>
      <c r="H150" s="7">
        <v>3.26</v>
      </c>
      <c r="I150" s="7">
        <f>H150+H137-2*$A$24</f>
        <v>6.18</v>
      </c>
      <c r="J150" s="7">
        <v>3.02</v>
      </c>
      <c r="K150" s="7">
        <v>5.34</v>
      </c>
      <c r="L150" s="6">
        <f t="shared" si="8"/>
        <v>0.32038834951456313</v>
      </c>
      <c r="M150" s="6">
        <f t="shared" si="9"/>
        <v>0.5889967637540453</v>
      </c>
      <c r="N150" s="6">
        <f t="shared" si="10"/>
        <v>9.0614886731391509E-2</v>
      </c>
      <c r="O150" s="4">
        <f t="shared" si="11"/>
        <v>1177.8122704709422</v>
      </c>
      <c r="P150" s="4">
        <f t="shared" si="12"/>
        <v>2165.271042683954</v>
      </c>
      <c r="Q150" s="4">
        <f t="shared" si="13"/>
        <v>3343.0833131548961</v>
      </c>
      <c r="V150" s="3"/>
      <c r="W150" s="3"/>
      <c r="Y150" s="7"/>
      <c r="Z150" s="7"/>
      <c r="AA150" s="7"/>
      <c r="AB150" s="7"/>
      <c r="AC150" s="9"/>
      <c r="AD150" s="9"/>
      <c r="AE150" s="9"/>
      <c r="AF150" s="3"/>
      <c r="AG150" s="3"/>
      <c r="AH150" s="3"/>
    </row>
    <row r="151" spans="1:34" x14ac:dyDescent="0.3">
      <c r="A151">
        <v>118</v>
      </c>
      <c r="B151" s="1" t="s">
        <v>159</v>
      </c>
      <c r="C151" s="1" t="s">
        <v>682</v>
      </c>
      <c r="D151" s="2">
        <v>40827</v>
      </c>
      <c r="E151" s="3">
        <v>25.2</v>
      </c>
      <c r="F151" s="4">
        <f t="shared" si="7"/>
        <v>3552.8394540624386</v>
      </c>
      <c r="G151" s="2">
        <v>40200</v>
      </c>
      <c r="H151" s="7">
        <v>3.2</v>
      </c>
      <c r="I151" s="7">
        <f>H151+H136-2*$A$24</f>
        <v>6.0600000000000005</v>
      </c>
      <c r="J151" s="7">
        <v>3.08</v>
      </c>
      <c r="K151" s="7">
        <v>5.22</v>
      </c>
      <c r="L151" s="6">
        <f t="shared" si="8"/>
        <v>0.3366336633663366</v>
      </c>
      <c r="M151" s="6">
        <f t="shared" si="9"/>
        <v>0.58085808580858078</v>
      </c>
      <c r="N151" s="6">
        <f t="shared" si="10"/>
        <v>8.2508250825082619E-2</v>
      </c>
      <c r="O151" s="4">
        <f t="shared" si="11"/>
        <v>1196.005360773494</v>
      </c>
      <c r="P151" s="4">
        <f t="shared" si="12"/>
        <v>2063.6955244719111</v>
      </c>
      <c r="Q151" s="4">
        <f t="shared" si="13"/>
        <v>3259.7008852454051</v>
      </c>
      <c r="V151" s="3"/>
      <c r="W151" s="3"/>
      <c r="Y151" s="7"/>
      <c r="Z151" s="7"/>
      <c r="AA151" s="7"/>
      <c r="AB151" s="7"/>
      <c r="AC151" s="9"/>
      <c r="AD151" s="9"/>
      <c r="AE151" s="9"/>
      <c r="AF151" s="3"/>
      <c r="AG151" s="3"/>
      <c r="AH151" s="3"/>
    </row>
    <row r="152" spans="1:34" x14ac:dyDescent="0.3">
      <c r="A152">
        <v>119</v>
      </c>
      <c r="B152" s="1" t="s">
        <v>160</v>
      </c>
      <c r="C152" s="1" t="s">
        <v>682</v>
      </c>
      <c r="D152" s="2">
        <v>40827</v>
      </c>
      <c r="E152" s="3">
        <v>32</v>
      </c>
      <c r="F152" s="4">
        <f t="shared" si="7"/>
        <v>4601.4205429350341</v>
      </c>
      <c r="G152" s="2">
        <v>40200</v>
      </c>
      <c r="H152" s="7">
        <v>3.2</v>
      </c>
      <c r="I152" s="7">
        <f>H152+H135-2*$A$24</f>
        <v>6.12</v>
      </c>
      <c r="J152" s="7">
        <v>3.08</v>
      </c>
      <c r="K152" s="7">
        <v>5.24</v>
      </c>
      <c r="L152" s="6">
        <f t="shared" si="8"/>
        <v>0.33333333333333331</v>
      </c>
      <c r="M152" s="6">
        <f t="shared" si="9"/>
        <v>0.57843137254901955</v>
      </c>
      <c r="N152" s="6">
        <f t="shared" si="10"/>
        <v>8.8235294117647189E-2</v>
      </c>
      <c r="O152" s="4">
        <f t="shared" si="11"/>
        <v>1533.8068476450112</v>
      </c>
      <c r="P152" s="4">
        <f t="shared" si="12"/>
        <v>2661.6060003251664</v>
      </c>
      <c r="Q152" s="4">
        <f t="shared" si="13"/>
        <v>4195.4128479701776</v>
      </c>
      <c r="V152" s="3"/>
      <c r="W152" s="3"/>
      <c r="Y152" s="7"/>
      <c r="Z152" s="7"/>
      <c r="AA152" s="7"/>
      <c r="AB152" s="7"/>
      <c r="AC152" s="9"/>
      <c r="AD152" s="9"/>
      <c r="AE152" s="9"/>
      <c r="AF152" s="3"/>
      <c r="AG152" s="3"/>
      <c r="AH152" s="3"/>
    </row>
    <row r="153" spans="1:34" x14ac:dyDescent="0.3">
      <c r="A153">
        <v>120</v>
      </c>
      <c r="B153" s="1" t="s">
        <v>161</v>
      </c>
      <c r="C153" s="1" t="s">
        <v>682</v>
      </c>
      <c r="D153" s="2">
        <v>40827</v>
      </c>
      <c r="E153" s="3">
        <v>18.5</v>
      </c>
      <c r="F153" s="4">
        <f t="shared" si="7"/>
        <v>2519.6786753203237</v>
      </c>
      <c r="G153" s="2">
        <v>40200</v>
      </c>
      <c r="H153" s="7">
        <v>3.66</v>
      </c>
      <c r="I153" s="7">
        <f>H153+H134-2*$A$24</f>
        <v>6.0600000000000005</v>
      </c>
      <c r="J153" s="7">
        <v>3.12</v>
      </c>
      <c r="K153" s="7">
        <v>5.26</v>
      </c>
      <c r="L153" s="6">
        <f t="shared" si="8"/>
        <v>0.34323432343234322</v>
      </c>
      <c r="M153" s="6">
        <f t="shared" si="9"/>
        <v>0.58745874587458735</v>
      </c>
      <c r="N153" s="6">
        <f t="shared" si="10"/>
        <v>6.930693069306948E-2</v>
      </c>
      <c r="O153" s="4">
        <f t="shared" si="11"/>
        <v>864.84020539047413</v>
      </c>
      <c r="P153" s="4">
        <f t="shared" si="12"/>
        <v>1480.2072746106189</v>
      </c>
      <c r="Q153" s="4">
        <f t="shared" si="13"/>
        <v>2345.0474800010929</v>
      </c>
      <c r="V153" s="3"/>
      <c r="W153" s="3"/>
      <c r="Y153" s="7"/>
      <c r="Z153" s="7"/>
      <c r="AA153" s="7"/>
      <c r="AB153" s="7"/>
      <c r="AC153" s="9"/>
      <c r="AD153" s="9"/>
      <c r="AE153" s="9"/>
      <c r="AF153" s="3"/>
      <c r="AG153" s="3"/>
      <c r="AH153" s="3"/>
    </row>
    <row r="154" spans="1:34" x14ac:dyDescent="0.3">
      <c r="A154">
        <v>121</v>
      </c>
      <c r="B154" s="1" t="s">
        <v>162</v>
      </c>
      <c r="C154" s="1" t="s">
        <v>682</v>
      </c>
      <c r="D154" s="2">
        <v>40827</v>
      </c>
      <c r="E154" s="3">
        <v>27</v>
      </c>
      <c r="F154" s="4">
        <f t="shared" si="7"/>
        <v>3830.4050364110672</v>
      </c>
      <c r="G154" s="2">
        <v>40205</v>
      </c>
      <c r="H154" s="7">
        <v>2.76</v>
      </c>
      <c r="I154" s="7">
        <f>H154+H173-2*$A$24</f>
        <v>5.5</v>
      </c>
      <c r="J154" s="7">
        <v>2.86</v>
      </c>
      <c r="K154" s="7">
        <v>4.9000000000000004</v>
      </c>
      <c r="L154" s="6">
        <f t="shared" si="8"/>
        <v>0.33090909090909087</v>
      </c>
      <c r="M154" s="6">
        <f t="shared" si="9"/>
        <v>0.5818181818181819</v>
      </c>
      <c r="N154" s="6">
        <f t="shared" si="10"/>
        <v>8.727272727272728E-2</v>
      </c>
      <c r="O154" s="4">
        <f t="shared" si="11"/>
        <v>1267.5158484123895</v>
      </c>
      <c r="P154" s="4">
        <f t="shared" si="12"/>
        <v>2228.5992939118937</v>
      </c>
      <c r="Q154" s="4">
        <f t="shared" si="13"/>
        <v>3496.1151423242832</v>
      </c>
      <c r="S154" t="s">
        <v>28</v>
      </c>
      <c r="T154" t="s">
        <v>682</v>
      </c>
      <c r="U154" s="8">
        <f>D154</f>
        <v>40827</v>
      </c>
      <c r="V154" s="3">
        <f>SUM(E154:E193)</f>
        <v>1420.0000000000005</v>
      </c>
      <c r="W154" s="3">
        <f>(V154-80*$A$20)*$A$21/(40*$A$22)*$A$23</f>
        <v>5141.1313975018129</v>
      </c>
      <c r="X154" s="8">
        <f>G154</f>
        <v>40205</v>
      </c>
      <c r="Y154" s="7">
        <f>SUM(H154:H193)</f>
        <v>123.89999999999996</v>
      </c>
      <c r="Z154" s="7">
        <f>SUM(I154:I193)</f>
        <v>235</v>
      </c>
      <c r="AA154" s="7">
        <f>SUM(J154:J193)</f>
        <v>118.83999999999999</v>
      </c>
      <c r="AB154" s="7">
        <f>SUM(K154:K193)</f>
        <v>202.92000000000004</v>
      </c>
      <c r="AC154" s="9">
        <f>(AA154-40*$A$25)/Z154</f>
        <v>0.32868085106382972</v>
      </c>
      <c r="AD154" s="9">
        <f>(AB154-40*$A$26)/Z154</f>
        <v>0.57412765957446832</v>
      </c>
      <c r="AE154" s="9">
        <f>1-AC154-AD154</f>
        <v>9.7191489361701966E-2</v>
      </c>
      <c r="AF154" s="3">
        <f>W154*AC154</f>
        <v>1689.7914431618722</v>
      </c>
      <c r="AG154" s="3">
        <f>W154*AD154</f>
        <v>2951.6657368125316</v>
      </c>
      <c r="AH154" s="3">
        <f>AF154+AG154</f>
        <v>4641.4571799744035</v>
      </c>
    </row>
    <row r="155" spans="1:34" x14ac:dyDescent="0.3">
      <c r="A155">
        <v>122</v>
      </c>
      <c r="B155" s="1" t="s">
        <v>163</v>
      </c>
      <c r="C155" s="1" t="s">
        <v>682</v>
      </c>
      <c r="D155" s="2">
        <v>40827</v>
      </c>
      <c r="E155" s="3">
        <v>35</v>
      </c>
      <c r="F155" s="4">
        <f t="shared" si="7"/>
        <v>5064.0298468494148</v>
      </c>
      <c r="G155" s="2">
        <v>40205</v>
      </c>
      <c r="H155" s="7">
        <v>3.34</v>
      </c>
      <c r="I155" s="7">
        <f>H155+H172-2*$A$24</f>
        <v>6.379999999999999</v>
      </c>
      <c r="J155" s="7">
        <v>3.16</v>
      </c>
      <c r="K155" s="7">
        <v>5.32</v>
      </c>
      <c r="L155" s="6">
        <f t="shared" si="8"/>
        <v>0.33228840125391856</v>
      </c>
      <c r="M155" s="6">
        <f t="shared" si="9"/>
        <v>0.56739811912225713</v>
      </c>
      <c r="N155" s="6">
        <f t="shared" si="10"/>
        <v>0.10031347962382431</v>
      </c>
      <c r="O155" s="4">
        <f t="shared" si="11"/>
        <v>1682.7183817117182</v>
      </c>
      <c r="P155" s="4">
        <f t="shared" si="12"/>
        <v>2873.3210102813296</v>
      </c>
      <c r="Q155" s="4">
        <f t="shared" si="13"/>
        <v>4556.0393919930475</v>
      </c>
      <c r="V155" s="3"/>
      <c r="W155" s="3"/>
      <c r="Y155" s="7"/>
      <c r="Z155" s="7"/>
      <c r="AA155" s="7"/>
      <c r="AB155" s="7"/>
      <c r="AC155" s="9"/>
      <c r="AD155" s="9"/>
      <c r="AE155" s="9"/>
      <c r="AF155" s="3"/>
      <c r="AG155" s="3"/>
      <c r="AH155" s="3"/>
    </row>
    <row r="156" spans="1:34" x14ac:dyDescent="0.3">
      <c r="A156">
        <v>123</v>
      </c>
      <c r="B156" s="1" t="s">
        <v>164</v>
      </c>
      <c r="C156" s="1" t="s">
        <v>682</v>
      </c>
      <c r="D156" s="2">
        <v>40827</v>
      </c>
      <c r="E156" s="3">
        <v>33.700000000000003</v>
      </c>
      <c r="F156" s="4">
        <f t="shared" si="7"/>
        <v>4863.5658151531834</v>
      </c>
      <c r="G156" s="2">
        <v>40205</v>
      </c>
      <c r="H156" s="7">
        <v>3.56</v>
      </c>
      <c r="I156" s="7">
        <f>H156+H171-2*$A$24</f>
        <v>6.5399999999999991</v>
      </c>
      <c r="J156" s="7">
        <v>3.24</v>
      </c>
      <c r="K156" s="7">
        <v>5.44</v>
      </c>
      <c r="L156" s="6">
        <f t="shared" si="8"/>
        <v>0.33639143730886856</v>
      </c>
      <c r="M156" s="6">
        <f t="shared" si="9"/>
        <v>0.57186544342507661</v>
      </c>
      <c r="N156" s="6">
        <f t="shared" si="10"/>
        <v>9.1743119266054829E-2</v>
      </c>
      <c r="O156" s="4">
        <f t="shared" si="11"/>
        <v>1636.0618950056582</v>
      </c>
      <c r="P156" s="4">
        <f t="shared" si="12"/>
        <v>2781.3052215096195</v>
      </c>
      <c r="Q156" s="4">
        <f t="shared" si="13"/>
        <v>4417.3671165152773</v>
      </c>
      <c r="V156" s="3"/>
      <c r="W156" s="3"/>
      <c r="Y156" s="7"/>
      <c r="Z156" s="7"/>
      <c r="AA156" s="7"/>
      <c r="AB156" s="7"/>
      <c r="AC156" s="9"/>
      <c r="AD156" s="9"/>
      <c r="AE156" s="9"/>
      <c r="AF156" s="3"/>
      <c r="AG156" s="3"/>
      <c r="AH156" s="3"/>
    </row>
    <row r="157" spans="1:34" x14ac:dyDescent="0.3">
      <c r="A157">
        <v>124</v>
      </c>
      <c r="B157" s="1" t="s">
        <v>165</v>
      </c>
      <c r="C157" s="1" t="s">
        <v>682</v>
      </c>
      <c r="D157" s="2">
        <v>40827</v>
      </c>
      <c r="E157" s="3">
        <v>35.5</v>
      </c>
      <c r="F157" s="4">
        <f t="shared" si="7"/>
        <v>5141.1313975018111</v>
      </c>
      <c r="G157" s="2">
        <v>40205</v>
      </c>
      <c r="H157" s="7">
        <v>3.82</v>
      </c>
      <c r="I157" s="7">
        <f>H157+H170-2*$A$24</f>
        <v>6.3999999999999995</v>
      </c>
      <c r="J157" s="7">
        <v>3.16</v>
      </c>
      <c r="K157" s="7">
        <v>5.4</v>
      </c>
      <c r="L157" s="6">
        <f t="shared" si="8"/>
        <v>0.33125000000000004</v>
      </c>
      <c r="M157" s="6">
        <f t="shared" si="9"/>
        <v>0.57812500000000011</v>
      </c>
      <c r="N157" s="6">
        <f t="shared" si="10"/>
        <v>9.0624999999999845E-2</v>
      </c>
      <c r="O157" s="4">
        <f t="shared" si="11"/>
        <v>1702.9997754224751</v>
      </c>
      <c r="P157" s="4">
        <f t="shared" si="12"/>
        <v>2972.2165891807349</v>
      </c>
      <c r="Q157" s="4">
        <f t="shared" si="13"/>
        <v>4675.2163646032095</v>
      </c>
      <c r="V157" s="3"/>
      <c r="W157" s="3"/>
      <c r="Y157" s="7"/>
      <c r="Z157" s="7"/>
      <c r="AA157" s="7"/>
      <c r="AB157" s="7"/>
      <c r="AC157" s="9"/>
      <c r="AD157" s="9"/>
      <c r="AE157" s="9"/>
      <c r="AF157" s="3"/>
      <c r="AG157" s="3"/>
      <c r="AH157" s="3"/>
    </row>
    <row r="158" spans="1:34" x14ac:dyDescent="0.3">
      <c r="A158">
        <v>125</v>
      </c>
      <c r="B158" s="1" t="s">
        <v>166</v>
      </c>
      <c r="C158" s="1" t="s">
        <v>682</v>
      </c>
      <c r="D158" s="2">
        <v>40827</v>
      </c>
      <c r="E158" s="3">
        <v>39.799999999999997</v>
      </c>
      <c r="F158" s="4">
        <f t="shared" si="7"/>
        <v>5804.2047331124222</v>
      </c>
      <c r="G158" s="2">
        <v>40205</v>
      </c>
      <c r="H158" s="7">
        <v>3.28</v>
      </c>
      <c r="I158" s="7">
        <f>H158+H169-2*$A$24</f>
        <v>6.4399999999999995</v>
      </c>
      <c r="J158" s="7">
        <v>3.18</v>
      </c>
      <c r="K158" s="7">
        <v>5.32</v>
      </c>
      <c r="L158" s="6">
        <f t="shared" si="8"/>
        <v>0.3322981366459628</v>
      </c>
      <c r="M158" s="6">
        <f t="shared" si="9"/>
        <v>0.56211180124223603</v>
      </c>
      <c r="N158" s="6">
        <f t="shared" si="10"/>
        <v>0.10559006211180122</v>
      </c>
      <c r="O158" s="4">
        <f t="shared" si="11"/>
        <v>1928.7264175249356</v>
      </c>
      <c r="P158" s="4">
        <f t="shared" si="12"/>
        <v>3262.6119773085356</v>
      </c>
      <c r="Q158" s="4">
        <f t="shared" si="13"/>
        <v>5191.3383948334713</v>
      </c>
      <c r="V158" s="3"/>
      <c r="W158" s="3"/>
      <c r="Y158" s="7"/>
      <c r="Z158" s="7"/>
      <c r="AA158" s="7"/>
      <c r="AB158" s="7"/>
      <c r="AC158" s="9"/>
      <c r="AD158" s="9"/>
      <c r="AE158" s="9"/>
      <c r="AF158" s="3"/>
      <c r="AG158" s="3"/>
      <c r="AH158" s="3"/>
    </row>
    <row r="159" spans="1:34" x14ac:dyDescent="0.3">
      <c r="A159">
        <v>126</v>
      </c>
      <c r="B159" s="1" t="s">
        <v>167</v>
      </c>
      <c r="C159" s="1" t="s">
        <v>682</v>
      </c>
      <c r="D159" s="2">
        <v>40827</v>
      </c>
      <c r="E159" s="3">
        <v>37.5</v>
      </c>
      <c r="F159" s="4">
        <f t="shared" si="7"/>
        <v>5449.5376001113982</v>
      </c>
      <c r="G159" s="2">
        <v>40205</v>
      </c>
      <c r="H159" s="7">
        <v>3.08</v>
      </c>
      <c r="I159" s="7">
        <f>H159+H168-2*$A$24</f>
        <v>6.02</v>
      </c>
      <c r="J159" s="7">
        <v>3.04</v>
      </c>
      <c r="K159" s="7">
        <v>5.16</v>
      </c>
      <c r="L159" s="6">
        <f t="shared" si="8"/>
        <v>0.33222591362126247</v>
      </c>
      <c r="M159" s="6">
        <f t="shared" si="9"/>
        <v>0.57475083056478404</v>
      </c>
      <c r="N159" s="6">
        <f t="shared" si="10"/>
        <v>9.3023255813953543E-2</v>
      </c>
      <c r="O159" s="4">
        <f t="shared" si="11"/>
        <v>1810.4776080104314</v>
      </c>
      <c r="P159" s="4">
        <f t="shared" si="12"/>
        <v>3132.1262618580463</v>
      </c>
      <c r="Q159" s="4">
        <f t="shared" si="13"/>
        <v>4942.6038698684779</v>
      </c>
      <c r="V159" s="3"/>
      <c r="W159" s="3"/>
      <c r="Y159" s="7"/>
      <c r="Z159" s="7"/>
      <c r="AA159" s="7"/>
      <c r="AB159" s="7"/>
      <c r="AC159" s="9"/>
      <c r="AD159" s="9"/>
      <c r="AE159" s="9"/>
      <c r="AF159" s="3"/>
      <c r="AG159" s="3"/>
      <c r="AH159" s="3"/>
    </row>
    <row r="160" spans="1:34" x14ac:dyDescent="0.3">
      <c r="A160">
        <v>127</v>
      </c>
      <c r="B160" s="1" t="s">
        <v>168</v>
      </c>
      <c r="C160" s="1" t="s">
        <v>682</v>
      </c>
      <c r="D160" s="2">
        <v>40827</v>
      </c>
      <c r="E160" s="3">
        <v>39.599999999999994</v>
      </c>
      <c r="F160" s="4">
        <f t="shared" si="7"/>
        <v>5773.3641128514637</v>
      </c>
      <c r="G160" s="2">
        <v>40205</v>
      </c>
      <c r="H160" s="7">
        <v>2.72</v>
      </c>
      <c r="I160" s="7">
        <f>H160+H167-2*$A$24</f>
        <v>5.7799999999999994</v>
      </c>
      <c r="J160" s="7">
        <v>2.96</v>
      </c>
      <c r="K160" s="7">
        <v>5.0199999999999996</v>
      </c>
      <c r="L160" s="6">
        <f t="shared" si="8"/>
        <v>0.33217993079584779</v>
      </c>
      <c r="M160" s="6">
        <f t="shared" si="9"/>
        <v>0.57439446366781999</v>
      </c>
      <c r="N160" s="6">
        <f t="shared" si="10"/>
        <v>9.3425605536332279E-2</v>
      </c>
      <c r="O160" s="4">
        <f t="shared" si="11"/>
        <v>1917.7956914662304</v>
      </c>
      <c r="P160" s="4">
        <f t="shared" si="12"/>
        <v>3316.1883831603559</v>
      </c>
      <c r="Q160" s="4">
        <f t="shared" si="13"/>
        <v>5233.9840746265863</v>
      </c>
      <c r="V160" s="3"/>
      <c r="W160" s="3"/>
      <c r="Y160" s="7"/>
      <c r="Z160" s="7"/>
      <c r="AA160" s="7"/>
      <c r="AB160" s="7"/>
      <c r="AC160" s="9"/>
      <c r="AD160" s="9"/>
      <c r="AE160" s="9"/>
      <c r="AF160" s="3"/>
      <c r="AG160" s="3"/>
      <c r="AH160" s="3"/>
    </row>
    <row r="161" spans="1:34" x14ac:dyDescent="0.3">
      <c r="A161">
        <v>128</v>
      </c>
      <c r="B161" s="1" t="s">
        <v>169</v>
      </c>
      <c r="C161" s="1" t="s">
        <v>682</v>
      </c>
      <c r="D161" s="2">
        <v>40827</v>
      </c>
      <c r="E161" s="3">
        <v>35.700000000000003</v>
      </c>
      <c r="F161" s="4">
        <f t="shared" si="7"/>
        <v>5171.9720177627705</v>
      </c>
      <c r="G161" s="2">
        <v>40205</v>
      </c>
      <c r="H161" s="7">
        <v>2.62</v>
      </c>
      <c r="I161" s="7">
        <f>H161+H166-2*$A$24</f>
        <v>5.3599999999999994</v>
      </c>
      <c r="J161" s="7">
        <v>2.76</v>
      </c>
      <c r="K161" s="7">
        <v>4.74</v>
      </c>
      <c r="L161" s="6">
        <f t="shared" si="8"/>
        <v>0.32089552238805968</v>
      </c>
      <c r="M161" s="6">
        <f t="shared" si="9"/>
        <v>0.56716417910447769</v>
      </c>
      <c r="N161" s="6">
        <f t="shared" si="10"/>
        <v>0.11194029850746268</v>
      </c>
      <c r="O161" s="4">
        <f t="shared" si="11"/>
        <v>1659.6626624164114</v>
      </c>
      <c r="P161" s="4">
        <f t="shared" si="12"/>
        <v>2933.3572638057508</v>
      </c>
      <c r="Q161" s="4">
        <f t="shared" si="13"/>
        <v>4593.0199262221622</v>
      </c>
      <c r="V161" s="3"/>
      <c r="W161" s="3"/>
      <c r="Y161" s="7"/>
      <c r="Z161" s="7"/>
      <c r="AA161" s="7"/>
      <c r="AB161" s="7"/>
      <c r="AC161" s="9"/>
      <c r="AD161" s="9"/>
      <c r="AE161" s="9"/>
      <c r="AF161" s="3"/>
      <c r="AG161" s="3"/>
      <c r="AH161" s="3"/>
    </row>
    <row r="162" spans="1:34" x14ac:dyDescent="0.3">
      <c r="A162">
        <v>129</v>
      </c>
      <c r="B162" s="1" t="s">
        <v>170</v>
      </c>
      <c r="C162" s="1" t="s">
        <v>682</v>
      </c>
      <c r="D162" s="2">
        <v>40827</v>
      </c>
      <c r="E162" s="3">
        <v>35.200000000000003</v>
      </c>
      <c r="F162" s="4">
        <f t="shared" si="7"/>
        <v>5094.8704671103742</v>
      </c>
      <c r="G162" s="2">
        <v>40205</v>
      </c>
      <c r="H162" s="7">
        <v>2.64</v>
      </c>
      <c r="I162" s="7">
        <f>H162+H165-2*$A$24</f>
        <v>5.38</v>
      </c>
      <c r="J162" s="7">
        <v>2.86</v>
      </c>
      <c r="K162" s="7">
        <v>4.8600000000000003</v>
      </c>
      <c r="L162" s="6">
        <f t="shared" si="8"/>
        <v>0.33828996282527879</v>
      </c>
      <c r="M162" s="6">
        <f t="shared" si="9"/>
        <v>0.58736059479553904</v>
      </c>
      <c r="N162" s="6">
        <f t="shared" si="10"/>
        <v>7.4349442379182173E-2</v>
      </c>
      <c r="O162" s="4">
        <f t="shared" si="11"/>
        <v>1723.5435409183792</v>
      </c>
      <c r="P162" s="4">
        <f t="shared" si="12"/>
        <v>2992.5261479681753</v>
      </c>
      <c r="Q162" s="4">
        <f t="shared" si="13"/>
        <v>4716.069688886555</v>
      </c>
      <c r="V162" s="3"/>
      <c r="W162" s="3"/>
      <c r="Y162" s="7"/>
      <c r="Z162" s="7"/>
      <c r="AA162" s="7"/>
      <c r="AB162" s="7"/>
      <c r="AC162" s="9"/>
      <c r="AD162" s="9"/>
      <c r="AE162" s="9"/>
      <c r="AF162" s="3"/>
      <c r="AG162" s="3"/>
      <c r="AH162" s="3"/>
    </row>
    <row r="163" spans="1:34" x14ac:dyDescent="0.3">
      <c r="A163">
        <v>130</v>
      </c>
      <c r="B163" s="1" t="s">
        <v>171</v>
      </c>
      <c r="C163" s="1" t="s">
        <v>682</v>
      </c>
      <c r="D163" s="2">
        <v>40827</v>
      </c>
      <c r="E163" s="3">
        <v>29.4</v>
      </c>
      <c r="F163" s="4">
        <f t="shared" ref="F163:F226" si="14">(E163-2*$A$20)*$A$21/$A$22*$A$23</f>
        <v>4200.4924795425704</v>
      </c>
      <c r="G163" s="2">
        <v>40205</v>
      </c>
      <c r="H163" s="7">
        <v>3.46</v>
      </c>
      <c r="I163" s="7">
        <f>H163+H164-2*$A$24</f>
        <v>5.9599999999999991</v>
      </c>
      <c r="J163" s="7">
        <v>2.9</v>
      </c>
      <c r="K163" s="7">
        <v>5.14</v>
      </c>
      <c r="L163" s="6">
        <f t="shared" ref="L163:L226" si="15">(J163-$A$25)/I163</f>
        <v>0.31208053691275173</v>
      </c>
      <c r="M163" s="6">
        <f t="shared" ref="M163:M226" si="16">(K163-$A$26)/I163</f>
        <v>0.57718120805369133</v>
      </c>
      <c r="N163" s="6">
        <f t="shared" ref="N163:N226" si="17">1-L163-M163</f>
        <v>0.11073825503355694</v>
      </c>
      <c r="O163" s="4">
        <f t="shared" ref="O163:O226" si="18">F163*L163</f>
        <v>1310.8919483136212</v>
      </c>
      <c r="P163" s="4">
        <f t="shared" ref="P163:P226" si="19">F163*M163</f>
        <v>2424.4453237628263</v>
      </c>
      <c r="Q163" s="4">
        <f t="shared" ref="Q163:Q226" si="20">O163+P163</f>
        <v>3735.3372720764473</v>
      </c>
      <c r="V163" s="3"/>
      <c r="W163" s="3"/>
      <c r="Y163" s="7"/>
      <c r="Z163" s="7"/>
      <c r="AA163" s="7"/>
      <c r="AB163" s="7"/>
      <c r="AC163" s="9"/>
      <c r="AD163" s="9"/>
      <c r="AE163" s="9"/>
      <c r="AF163" s="3"/>
      <c r="AG163" s="3"/>
      <c r="AH163" s="3"/>
    </row>
    <row r="164" spans="1:34" x14ac:dyDescent="0.3">
      <c r="A164">
        <v>131</v>
      </c>
      <c r="B164" s="1" t="s">
        <v>172</v>
      </c>
      <c r="C164" s="1" t="s">
        <v>682</v>
      </c>
      <c r="D164" s="2">
        <v>40827</v>
      </c>
      <c r="E164" s="3">
        <v>33.700000000000003</v>
      </c>
      <c r="F164" s="4">
        <f t="shared" si="14"/>
        <v>4863.5658151531834</v>
      </c>
      <c r="G164" s="2">
        <v>40205</v>
      </c>
      <c r="H164" s="7">
        <v>2.82</v>
      </c>
      <c r="I164" s="7">
        <f>H164+H163-2*$A$24</f>
        <v>5.9599999999999991</v>
      </c>
      <c r="J164" s="7">
        <v>2.9</v>
      </c>
      <c r="K164" s="7">
        <v>5.14</v>
      </c>
      <c r="L164" s="6">
        <f t="shared" si="15"/>
        <v>0.31208053691275173</v>
      </c>
      <c r="M164" s="6">
        <f t="shared" si="16"/>
        <v>0.57718120805369133</v>
      </c>
      <c r="N164" s="6">
        <f t="shared" si="17"/>
        <v>0.11073825503355694</v>
      </c>
      <c r="O164" s="4">
        <f t="shared" si="18"/>
        <v>1517.8242309035104</v>
      </c>
      <c r="P164" s="4">
        <f t="shared" si="19"/>
        <v>2807.1587926387506</v>
      </c>
      <c r="Q164" s="4">
        <f t="shared" si="20"/>
        <v>4324.9830235422614</v>
      </c>
      <c r="V164" s="3"/>
      <c r="W164" s="3"/>
      <c r="Y164" s="7"/>
      <c r="Z164" s="7"/>
      <c r="AA164" s="7"/>
      <c r="AB164" s="7"/>
      <c r="AC164" s="9"/>
      <c r="AD164" s="9"/>
      <c r="AE164" s="9"/>
      <c r="AF164" s="3"/>
      <c r="AG164" s="3"/>
      <c r="AH164" s="3"/>
    </row>
    <row r="165" spans="1:34" x14ac:dyDescent="0.3">
      <c r="A165">
        <v>132</v>
      </c>
      <c r="B165" s="1" t="s">
        <v>173</v>
      </c>
      <c r="C165" s="1" t="s">
        <v>682</v>
      </c>
      <c r="D165" s="2">
        <v>40827</v>
      </c>
      <c r="E165" s="3">
        <v>38.700000000000003</v>
      </c>
      <c r="F165" s="4">
        <f t="shared" si="14"/>
        <v>5634.5813216771503</v>
      </c>
      <c r="G165" s="2">
        <v>40205</v>
      </c>
      <c r="H165" s="7">
        <v>3.06</v>
      </c>
      <c r="I165" s="7">
        <f>H165+H162-2*$A$24</f>
        <v>5.38</v>
      </c>
      <c r="J165" s="7">
        <v>2.86</v>
      </c>
      <c r="K165" s="7">
        <v>4.8600000000000003</v>
      </c>
      <c r="L165" s="6">
        <f t="shared" si="15"/>
        <v>0.33828996282527879</v>
      </c>
      <c r="M165" s="6">
        <f t="shared" si="16"/>
        <v>0.58736059479553904</v>
      </c>
      <c r="N165" s="6">
        <f t="shared" si="17"/>
        <v>7.4349442379182173E-2</v>
      </c>
      <c r="O165" s="4">
        <f t="shared" si="18"/>
        <v>1906.1223058461735</v>
      </c>
      <c r="P165" s="4">
        <f t="shared" si="19"/>
        <v>3309.5310365241253</v>
      </c>
      <c r="Q165" s="4">
        <f t="shared" si="20"/>
        <v>5215.6533423702986</v>
      </c>
      <c r="V165" s="3"/>
      <c r="W165" s="3"/>
      <c r="Y165" s="7"/>
      <c r="Z165" s="7"/>
      <c r="AA165" s="7"/>
      <c r="AB165" s="7"/>
      <c r="AC165" s="9"/>
      <c r="AD165" s="9"/>
      <c r="AE165" s="9"/>
      <c r="AF165" s="3"/>
      <c r="AG165" s="3"/>
      <c r="AH165" s="3"/>
    </row>
    <row r="166" spans="1:34" x14ac:dyDescent="0.3">
      <c r="A166">
        <v>133</v>
      </c>
      <c r="B166" s="1" t="s">
        <v>174</v>
      </c>
      <c r="C166" s="1" t="s">
        <v>682</v>
      </c>
      <c r="D166" s="2">
        <v>40827</v>
      </c>
      <c r="E166" s="3">
        <v>38</v>
      </c>
      <c r="F166" s="4">
        <f t="shared" si="14"/>
        <v>5526.6391507637945</v>
      </c>
      <c r="G166" s="2">
        <v>40205</v>
      </c>
      <c r="H166" s="7">
        <v>3.06</v>
      </c>
      <c r="I166" s="7">
        <f>H166+H161-2*$A$24</f>
        <v>5.3599999999999994</v>
      </c>
      <c r="J166" s="7">
        <v>2.76</v>
      </c>
      <c r="K166" s="7">
        <v>4.74</v>
      </c>
      <c r="L166" s="6">
        <f t="shared" si="15"/>
        <v>0.32089552238805968</v>
      </c>
      <c r="M166" s="6">
        <f t="shared" si="16"/>
        <v>0.56716417910447769</v>
      </c>
      <c r="N166" s="6">
        <f t="shared" si="17"/>
        <v>0.11194029850746268</v>
      </c>
      <c r="O166" s="4">
        <f t="shared" si="18"/>
        <v>1773.4737573346504</v>
      </c>
      <c r="P166" s="4">
        <f t="shared" si="19"/>
        <v>3134.5117571496153</v>
      </c>
      <c r="Q166" s="4">
        <f t="shared" si="20"/>
        <v>4907.9855144842659</v>
      </c>
      <c r="V166" s="3"/>
      <c r="W166" s="3"/>
      <c r="Y166" s="7"/>
      <c r="Z166" s="7"/>
      <c r="AA166" s="7"/>
      <c r="AB166" s="7"/>
      <c r="AC166" s="9"/>
      <c r="AD166" s="9"/>
      <c r="AE166" s="9"/>
      <c r="AF166" s="3"/>
      <c r="AG166" s="3"/>
      <c r="AH166" s="3"/>
    </row>
    <row r="167" spans="1:34" x14ac:dyDescent="0.3">
      <c r="A167">
        <v>134</v>
      </c>
      <c r="B167" s="1" t="s">
        <v>175</v>
      </c>
      <c r="C167" s="1" t="s">
        <v>682</v>
      </c>
      <c r="D167" s="2">
        <v>40827</v>
      </c>
      <c r="E167" s="3">
        <v>43.8</v>
      </c>
      <c r="F167" s="4">
        <f t="shared" si="14"/>
        <v>6421.0171383315947</v>
      </c>
      <c r="G167" s="2">
        <v>40205</v>
      </c>
      <c r="H167" s="7">
        <v>3.38</v>
      </c>
      <c r="I167" s="7">
        <f>H167+H160-2*$A$24</f>
        <v>5.7799999999999994</v>
      </c>
      <c r="J167" s="7">
        <v>2.96</v>
      </c>
      <c r="K167" s="7">
        <v>5.0199999999999996</v>
      </c>
      <c r="L167" s="6">
        <f t="shared" si="15"/>
        <v>0.33217993079584779</v>
      </c>
      <c r="M167" s="6">
        <f t="shared" si="16"/>
        <v>0.57439446366781999</v>
      </c>
      <c r="N167" s="6">
        <f t="shared" si="17"/>
        <v>9.3425605536332279E-2</v>
      </c>
      <c r="O167" s="4">
        <f t="shared" si="18"/>
        <v>2132.9330286499417</v>
      </c>
      <c r="P167" s="4">
        <f t="shared" si="19"/>
        <v>3688.1966953738565</v>
      </c>
      <c r="Q167" s="4">
        <f t="shared" si="20"/>
        <v>5821.1297240237982</v>
      </c>
      <c r="V167" s="3"/>
      <c r="W167" s="3"/>
      <c r="Y167" s="7"/>
      <c r="Z167" s="7"/>
      <c r="AA167" s="7"/>
      <c r="AB167" s="7"/>
      <c r="AC167" s="9"/>
      <c r="AD167" s="9"/>
      <c r="AE167" s="9"/>
      <c r="AF167" s="3"/>
      <c r="AG167" s="3"/>
      <c r="AH167" s="3"/>
    </row>
    <row r="168" spans="1:34" x14ac:dyDescent="0.3">
      <c r="A168">
        <v>135</v>
      </c>
      <c r="B168" s="1" t="s">
        <v>176</v>
      </c>
      <c r="C168" s="1" t="s">
        <v>682</v>
      </c>
      <c r="D168" s="2">
        <v>40827</v>
      </c>
      <c r="E168" s="3">
        <v>40.900000000000006</v>
      </c>
      <c r="F168" s="4">
        <f t="shared" si="14"/>
        <v>5973.828144547696</v>
      </c>
      <c r="G168" s="2">
        <v>40205</v>
      </c>
      <c r="H168" s="7">
        <v>3.26</v>
      </c>
      <c r="I168" s="7">
        <f>H168+H159-2*$A$24</f>
        <v>6.02</v>
      </c>
      <c r="J168" s="7">
        <v>3.04</v>
      </c>
      <c r="K168" s="7">
        <v>5.16</v>
      </c>
      <c r="L168" s="6">
        <f t="shared" si="15"/>
        <v>0.33222591362126247</v>
      </c>
      <c r="M168" s="6">
        <f t="shared" si="16"/>
        <v>0.57475083056478404</v>
      </c>
      <c r="N168" s="6">
        <f t="shared" si="17"/>
        <v>9.3023255813953543E-2</v>
      </c>
      <c r="O168" s="4">
        <f t="shared" si="18"/>
        <v>1984.6605131387694</v>
      </c>
      <c r="P168" s="4">
        <f t="shared" si="19"/>
        <v>3433.4626877300711</v>
      </c>
      <c r="Q168" s="4">
        <f t="shared" si="20"/>
        <v>5418.1232008688403</v>
      </c>
      <c r="V168" s="3"/>
      <c r="W168" s="3"/>
      <c r="Y168" s="7"/>
      <c r="Z168" s="7"/>
      <c r="AA168" s="7"/>
      <c r="AB168" s="7"/>
      <c r="AC168" s="9"/>
      <c r="AD168" s="9"/>
      <c r="AE168" s="9"/>
      <c r="AF168" s="3"/>
      <c r="AG168" s="3"/>
      <c r="AH168" s="3"/>
    </row>
    <row r="169" spans="1:34" x14ac:dyDescent="0.3">
      <c r="A169">
        <v>136</v>
      </c>
      <c r="B169" s="1" t="s">
        <v>177</v>
      </c>
      <c r="C169" s="1" t="s">
        <v>682</v>
      </c>
      <c r="D169" s="2">
        <v>40827</v>
      </c>
      <c r="E169" s="3">
        <v>39.5</v>
      </c>
      <c r="F169" s="4">
        <f t="shared" si="14"/>
        <v>5757.9438027209835</v>
      </c>
      <c r="G169" s="2">
        <v>40205</v>
      </c>
      <c r="H169" s="7">
        <v>3.48</v>
      </c>
      <c r="I169" s="7">
        <f>H169+H158-2*$A$24</f>
        <v>6.4399999999999995</v>
      </c>
      <c r="J169" s="7">
        <v>3.18</v>
      </c>
      <c r="K169" s="7">
        <v>5.32</v>
      </c>
      <c r="L169" s="6">
        <f t="shared" si="15"/>
        <v>0.3322981366459628</v>
      </c>
      <c r="M169" s="6">
        <f t="shared" si="16"/>
        <v>0.56211180124223603</v>
      </c>
      <c r="N169" s="6">
        <f t="shared" si="17"/>
        <v>0.10559006211180122</v>
      </c>
      <c r="O169" s="4">
        <f t="shared" si="18"/>
        <v>1913.3539965563521</v>
      </c>
      <c r="P169" s="4">
        <f t="shared" si="19"/>
        <v>3236.6081623990622</v>
      </c>
      <c r="Q169" s="4">
        <f t="shared" si="20"/>
        <v>5149.9621589554145</v>
      </c>
      <c r="V169" s="3"/>
      <c r="W169" s="3"/>
      <c r="Y169" s="7"/>
      <c r="Z169" s="7"/>
      <c r="AA169" s="7"/>
      <c r="AB169" s="7"/>
      <c r="AC169" s="9"/>
      <c r="AD169" s="9"/>
      <c r="AE169" s="9"/>
      <c r="AF169" s="3"/>
      <c r="AG169" s="3"/>
      <c r="AH169" s="3"/>
    </row>
    <row r="170" spans="1:34" x14ac:dyDescent="0.3">
      <c r="A170">
        <v>137</v>
      </c>
      <c r="B170" s="1" t="s">
        <v>178</v>
      </c>
      <c r="C170" s="1" t="s">
        <v>682</v>
      </c>
      <c r="D170" s="2">
        <v>40827</v>
      </c>
      <c r="E170" s="3">
        <v>38.5</v>
      </c>
      <c r="F170" s="4">
        <f t="shared" si="14"/>
        <v>5603.7407014161909</v>
      </c>
      <c r="G170" s="2">
        <v>40205</v>
      </c>
      <c r="H170" s="7">
        <v>2.9</v>
      </c>
      <c r="I170" s="7">
        <f>H170+H157-2*$A$24</f>
        <v>6.3999999999999995</v>
      </c>
      <c r="J170" s="7">
        <v>3.16</v>
      </c>
      <c r="K170" s="7">
        <v>5.4</v>
      </c>
      <c r="L170" s="6">
        <f t="shared" si="15"/>
        <v>0.33125000000000004</v>
      </c>
      <c r="M170" s="6">
        <f t="shared" si="16"/>
        <v>0.57812500000000011</v>
      </c>
      <c r="N170" s="6">
        <f t="shared" si="17"/>
        <v>9.0624999999999845E-2</v>
      </c>
      <c r="O170" s="4">
        <f t="shared" si="18"/>
        <v>1856.2391073441136</v>
      </c>
      <c r="P170" s="4">
        <f t="shared" si="19"/>
        <v>3239.662593006236</v>
      </c>
      <c r="Q170" s="4">
        <f t="shared" si="20"/>
        <v>5095.9017003503495</v>
      </c>
      <c r="V170" s="3"/>
      <c r="W170" s="3"/>
      <c r="Y170" s="7"/>
      <c r="Z170" s="7"/>
      <c r="AA170" s="7"/>
      <c r="AB170" s="7"/>
      <c r="AC170" s="9"/>
      <c r="AD170" s="9"/>
      <c r="AE170" s="9"/>
      <c r="AF170" s="3"/>
      <c r="AG170" s="3"/>
      <c r="AH170" s="3"/>
    </row>
    <row r="171" spans="1:34" x14ac:dyDescent="0.3">
      <c r="A171">
        <v>138</v>
      </c>
      <c r="B171" s="1" t="s">
        <v>179</v>
      </c>
      <c r="C171" s="1" t="s">
        <v>682</v>
      </c>
      <c r="D171" s="2">
        <v>40827</v>
      </c>
      <c r="E171" s="3">
        <v>36.700000000000003</v>
      </c>
      <c r="F171" s="4">
        <f t="shared" si="14"/>
        <v>5326.1751190675632</v>
      </c>
      <c r="G171" s="2">
        <v>40205</v>
      </c>
      <c r="H171" s="7">
        <v>3.3</v>
      </c>
      <c r="I171" s="7">
        <f>H171+H156-2*$A$24</f>
        <v>6.5399999999999991</v>
      </c>
      <c r="J171" s="7">
        <v>3.24</v>
      </c>
      <c r="K171" s="7">
        <v>5.44</v>
      </c>
      <c r="L171" s="6">
        <f t="shared" si="15"/>
        <v>0.33639143730886856</v>
      </c>
      <c r="M171" s="6">
        <f t="shared" si="16"/>
        <v>0.57186544342507661</v>
      </c>
      <c r="N171" s="6">
        <f t="shared" si="17"/>
        <v>9.1743119266054829E-2</v>
      </c>
      <c r="O171" s="4">
        <f t="shared" si="18"/>
        <v>1791.6797036618716</v>
      </c>
      <c r="P171" s="4">
        <f t="shared" si="19"/>
        <v>3045.8554962251824</v>
      </c>
      <c r="Q171" s="4">
        <f t="shared" si="20"/>
        <v>4837.5351998870537</v>
      </c>
      <c r="V171" s="3"/>
      <c r="W171" s="3"/>
      <c r="Y171" s="7"/>
      <c r="Z171" s="7"/>
      <c r="AA171" s="7"/>
      <c r="AB171" s="7"/>
      <c r="AC171" s="9"/>
      <c r="AD171" s="9"/>
      <c r="AE171" s="9"/>
      <c r="AF171" s="3"/>
      <c r="AG171" s="3"/>
      <c r="AH171" s="3"/>
    </row>
    <row r="172" spans="1:34" x14ac:dyDescent="0.3">
      <c r="A172">
        <v>139</v>
      </c>
      <c r="B172" s="1" t="s">
        <v>180</v>
      </c>
      <c r="C172" s="1" t="s">
        <v>682</v>
      </c>
      <c r="D172" s="2">
        <v>40827</v>
      </c>
      <c r="E172" s="3">
        <v>34.799999999999997</v>
      </c>
      <c r="F172" s="4">
        <f t="shared" si="14"/>
        <v>5033.1892265884544</v>
      </c>
      <c r="G172" s="2">
        <v>40205</v>
      </c>
      <c r="H172" s="7">
        <v>3.36</v>
      </c>
      <c r="I172" s="7">
        <f>H172+H155-2*$A$24</f>
        <v>6.379999999999999</v>
      </c>
      <c r="J172" s="7">
        <v>3.16</v>
      </c>
      <c r="K172" s="7">
        <v>5.32</v>
      </c>
      <c r="L172" s="6">
        <f t="shared" si="15"/>
        <v>0.33228840125391856</v>
      </c>
      <c r="M172" s="6">
        <f t="shared" si="16"/>
        <v>0.56739811912225713</v>
      </c>
      <c r="N172" s="6">
        <f t="shared" si="17"/>
        <v>0.10031347962382431</v>
      </c>
      <c r="O172" s="4">
        <f t="shared" si="18"/>
        <v>1672.4704013115245</v>
      </c>
      <c r="P172" s="4">
        <f t="shared" si="19"/>
        <v>2855.8221003526969</v>
      </c>
      <c r="Q172" s="4">
        <f t="shared" si="20"/>
        <v>4528.2925016642212</v>
      </c>
      <c r="V172" s="3"/>
      <c r="W172" s="3"/>
      <c r="Y172" s="7"/>
      <c r="Z172" s="7"/>
      <c r="AA172" s="7"/>
      <c r="AB172" s="7"/>
      <c r="AC172" s="9"/>
      <c r="AD172" s="9"/>
      <c r="AE172" s="9"/>
      <c r="AF172" s="3"/>
      <c r="AG172" s="3"/>
      <c r="AH172" s="3"/>
    </row>
    <row r="173" spans="1:34" x14ac:dyDescent="0.3">
      <c r="A173">
        <v>140</v>
      </c>
      <c r="B173" s="1" t="s">
        <v>181</v>
      </c>
      <c r="C173" s="1" t="s">
        <v>682</v>
      </c>
      <c r="D173" s="2">
        <v>40827</v>
      </c>
      <c r="E173" s="3">
        <v>28.4</v>
      </c>
      <c r="F173" s="4">
        <f t="shared" si="14"/>
        <v>4046.2893782377773</v>
      </c>
      <c r="G173" s="2">
        <v>40205</v>
      </c>
      <c r="H173" s="7">
        <v>3.06</v>
      </c>
      <c r="I173" s="7">
        <f>H173+H154-2*$A$24</f>
        <v>5.5</v>
      </c>
      <c r="J173" s="7">
        <v>2.86</v>
      </c>
      <c r="K173" s="7">
        <v>4.9000000000000004</v>
      </c>
      <c r="L173" s="6">
        <f t="shared" si="15"/>
        <v>0.33090909090909087</v>
      </c>
      <c r="M173" s="6">
        <f t="shared" si="16"/>
        <v>0.5818181818181819</v>
      </c>
      <c r="N173" s="6">
        <f t="shared" si="17"/>
        <v>8.727272727272728E-2</v>
      </c>
      <c r="O173" s="4">
        <f t="shared" si="18"/>
        <v>1338.9539397077735</v>
      </c>
      <c r="P173" s="4">
        <f t="shared" si="19"/>
        <v>2354.2047291565254</v>
      </c>
      <c r="Q173" s="4">
        <f t="shared" si="20"/>
        <v>3693.1586688642992</v>
      </c>
      <c r="V173" s="3"/>
      <c r="W173" s="3"/>
      <c r="Y173" s="7"/>
      <c r="Z173" s="7"/>
      <c r="AA173" s="7"/>
      <c r="AB173" s="7"/>
      <c r="AC173" s="9"/>
      <c r="AD173" s="9"/>
      <c r="AE173" s="9"/>
      <c r="AF173" s="3"/>
      <c r="AG173" s="3"/>
      <c r="AH173" s="3"/>
    </row>
    <row r="174" spans="1:34" x14ac:dyDescent="0.3">
      <c r="A174">
        <v>141</v>
      </c>
      <c r="B174" s="1" t="s">
        <v>182</v>
      </c>
      <c r="C174" s="1" t="s">
        <v>682</v>
      </c>
      <c r="D174" s="2">
        <v>40827</v>
      </c>
      <c r="E174" s="3">
        <v>25.7</v>
      </c>
      <c r="F174" s="4">
        <f t="shared" si="14"/>
        <v>3629.9410047148358</v>
      </c>
      <c r="G174" s="2">
        <v>40205</v>
      </c>
      <c r="H174" s="7">
        <v>2.9</v>
      </c>
      <c r="I174" s="7">
        <f>H174+H193-2*$A$24</f>
        <v>6</v>
      </c>
      <c r="J174" s="7">
        <v>2.96</v>
      </c>
      <c r="K174" s="7">
        <v>5.24</v>
      </c>
      <c r="L174" s="6">
        <f t="shared" si="15"/>
        <v>0.32</v>
      </c>
      <c r="M174" s="6">
        <f t="shared" si="16"/>
        <v>0.59</v>
      </c>
      <c r="N174" s="6">
        <f t="shared" si="17"/>
        <v>8.9999999999999969E-2</v>
      </c>
      <c r="O174" s="4">
        <f t="shared" si="18"/>
        <v>1161.5811215087474</v>
      </c>
      <c r="P174" s="4">
        <f t="shared" si="19"/>
        <v>2141.6651927817529</v>
      </c>
      <c r="Q174" s="4">
        <f t="shared" si="20"/>
        <v>3303.2463142905003</v>
      </c>
      <c r="V174" s="3"/>
      <c r="W174" s="3"/>
      <c r="Y174" s="7"/>
      <c r="Z174" s="7"/>
      <c r="AA174" s="7"/>
      <c r="AB174" s="7"/>
      <c r="AC174" s="9"/>
      <c r="AD174" s="9"/>
      <c r="AE174" s="9"/>
      <c r="AF174" s="3"/>
      <c r="AG174" s="3"/>
      <c r="AH174" s="3"/>
    </row>
    <row r="175" spans="1:34" x14ac:dyDescent="0.3">
      <c r="A175">
        <v>142</v>
      </c>
      <c r="B175" s="1" t="s">
        <v>183</v>
      </c>
      <c r="C175" s="1" t="s">
        <v>682</v>
      </c>
      <c r="D175" s="2">
        <v>40827</v>
      </c>
      <c r="E175" s="3">
        <v>30.700000000000003</v>
      </c>
      <c r="F175" s="4">
        <f t="shared" si="14"/>
        <v>4400.9565112388036</v>
      </c>
      <c r="G175" s="2">
        <v>40205</v>
      </c>
      <c r="H175" s="7">
        <v>3.24</v>
      </c>
      <c r="I175" s="7">
        <f>H175+H192-2*$A$24</f>
        <v>5.74</v>
      </c>
      <c r="J175" s="7">
        <v>2.92</v>
      </c>
      <c r="K175" s="7">
        <v>5.0199999999999996</v>
      </c>
      <c r="L175" s="6">
        <f t="shared" si="15"/>
        <v>0.32752613240418116</v>
      </c>
      <c r="M175" s="6">
        <f t="shared" si="16"/>
        <v>0.57839721254355392</v>
      </c>
      <c r="N175" s="6">
        <f t="shared" si="17"/>
        <v>9.4076655052264924E-2</v>
      </c>
      <c r="O175" s="4">
        <f t="shared" si="18"/>
        <v>1441.4282650050436</v>
      </c>
      <c r="P175" s="4">
        <f t="shared" si="19"/>
        <v>2545.5009786259279</v>
      </c>
      <c r="Q175" s="4">
        <f t="shared" si="20"/>
        <v>3986.9292436309715</v>
      </c>
      <c r="V175" s="3"/>
      <c r="W175" s="3"/>
      <c r="Y175" s="7"/>
      <c r="Z175" s="7"/>
      <c r="AA175" s="7"/>
      <c r="AB175" s="7"/>
      <c r="AC175" s="9"/>
      <c r="AD175" s="9"/>
      <c r="AE175" s="9"/>
      <c r="AF175" s="3"/>
      <c r="AG175" s="3"/>
      <c r="AH175" s="3"/>
    </row>
    <row r="176" spans="1:34" x14ac:dyDescent="0.3">
      <c r="A176">
        <v>143</v>
      </c>
      <c r="B176" s="1" t="s">
        <v>184</v>
      </c>
      <c r="C176" s="1" t="s">
        <v>682</v>
      </c>
      <c r="D176" s="2">
        <v>40827</v>
      </c>
      <c r="E176" s="3">
        <v>33.700000000000003</v>
      </c>
      <c r="F176" s="4">
        <f t="shared" si="14"/>
        <v>4863.5658151531834</v>
      </c>
      <c r="G176" s="2">
        <v>40205</v>
      </c>
      <c r="H176" s="7">
        <v>2.52</v>
      </c>
      <c r="I176" s="7">
        <f>H176+H191-2*$A$24</f>
        <v>5.4</v>
      </c>
      <c r="J176" s="7">
        <v>2.76</v>
      </c>
      <c r="K176" s="7">
        <v>4.84</v>
      </c>
      <c r="L176" s="6">
        <f t="shared" si="15"/>
        <v>0.31851851851851848</v>
      </c>
      <c r="M176" s="6">
        <f t="shared" si="16"/>
        <v>0.58148148148148138</v>
      </c>
      <c r="N176" s="6">
        <f t="shared" si="17"/>
        <v>0.1000000000000002</v>
      </c>
      <c r="O176" s="4">
        <f t="shared" si="18"/>
        <v>1549.1357781599027</v>
      </c>
      <c r="P176" s="4">
        <f t="shared" si="19"/>
        <v>2828.0734554779615</v>
      </c>
      <c r="Q176" s="4">
        <f t="shared" si="20"/>
        <v>4377.2092336378646</v>
      </c>
      <c r="V176" s="3"/>
      <c r="W176" s="3"/>
      <c r="Y176" s="7"/>
      <c r="Z176" s="7"/>
      <c r="AA176" s="7"/>
      <c r="AB176" s="7"/>
      <c r="AC176" s="9"/>
      <c r="AD176" s="9"/>
      <c r="AE176" s="9"/>
      <c r="AF176" s="3"/>
      <c r="AG176" s="3"/>
      <c r="AH176" s="3"/>
    </row>
    <row r="177" spans="1:34" x14ac:dyDescent="0.3">
      <c r="A177">
        <v>144</v>
      </c>
      <c r="B177" s="1" t="s">
        <v>185</v>
      </c>
      <c r="C177" s="1" t="s">
        <v>682</v>
      </c>
      <c r="D177" s="2">
        <v>40827</v>
      </c>
      <c r="E177" s="3">
        <v>38.1</v>
      </c>
      <c r="F177" s="4">
        <f t="shared" si="14"/>
        <v>5542.0594608942729</v>
      </c>
      <c r="G177" s="2">
        <v>40205</v>
      </c>
      <c r="H177" s="7">
        <v>3.28</v>
      </c>
      <c r="I177" s="7">
        <f>H177+H190-2*$A$24</f>
        <v>6.2999999999999989</v>
      </c>
      <c r="J177" s="7">
        <v>3.14</v>
      </c>
      <c r="K177" s="7">
        <v>5.3</v>
      </c>
      <c r="L177" s="6">
        <f t="shared" si="15"/>
        <v>0.33333333333333343</v>
      </c>
      <c r="M177" s="6">
        <f t="shared" si="16"/>
        <v>0.57142857142857151</v>
      </c>
      <c r="N177" s="6">
        <f t="shared" si="17"/>
        <v>9.5238095238095011E-2</v>
      </c>
      <c r="O177" s="4">
        <f t="shared" si="18"/>
        <v>1847.3531536314249</v>
      </c>
      <c r="P177" s="4">
        <f t="shared" si="19"/>
        <v>3166.8911205110135</v>
      </c>
      <c r="Q177" s="4">
        <f t="shared" si="20"/>
        <v>5014.2442741424384</v>
      </c>
      <c r="V177" s="3"/>
      <c r="W177" s="3"/>
      <c r="Y177" s="7"/>
      <c r="Z177" s="7"/>
      <c r="AA177" s="7"/>
      <c r="AB177" s="7"/>
      <c r="AC177" s="9"/>
      <c r="AD177" s="9"/>
      <c r="AE177" s="9"/>
      <c r="AF177" s="3"/>
      <c r="AG177" s="3"/>
      <c r="AH177" s="3"/>
    </row>
    <row r="178" spans="1:34" x14ac:dyDescent="0.3">
      <c r="A178">
        <v>145</v>
      </c>
      <c r="B178" s="1" t="s">
        <v>186</v>
      </c>
      <c r="C178" s="1" t="s">
        <v>682</v>
      </c>
      <c r="D178" s="2">
        <v>40827</v>
      </c>
      <c r="E178" s="3">
        <v>36.4</v>
      </c>
      <c r="F178" s="4">
        <f t="shared" si="14"/>
        <v>5279.9141886761236</v>
      </c>
      <c r="G178" s="2">
        <v>40205</v>
      </c>
      <c r="H178" s="7">
        <v>3.1</v>
      </c>
      <c r="I178" s="7">
        <f>H178+H189-2*$A$24</f>
        <v>5.92</v>
      </c>
      <c r="J178" s="7">
        <v>3.02</v>
      </c>
      <c r="K178" s="7">
        <v>5.12</v>
      </c>
      <c r="L178" s="6">
        <f t="shared" si="15"/>
        <v>0.33445945945945948</v>
      </c>
      <c r="M178" s="6">
        <f t="shared" si="16"/>
        <v>0.57770270270270274</v>
      </c>
      <c r="N178" s="6">
        <f t="shared" si="17"/>
        <v>8.7837837837837829E-2</v>
      </c>
      <c r="O178" s="4">
        <f t="shared" si="18"/>
        <v>1765.9172455369469</v>
      </c>
      <c r="P178" s="4">
        <f t="shared" si="19"/>
        <v>3050.2206968365444</v>
      </c>
      <c r="Q178" s="4">
        <f t="shared" si="20"/>
        <v>4816.1379423734916</v>
      </c>
      <c r="V178" s="3"/>
      <c r="W178" s="3"/>
      <c r="Y178" s="7"/>
      <c r="Z178" s="7"/>
      <c r="AA178" s="7"/>
      <c r="AB178" s="7"/>
      <c r="AC178" s="9"/>
      <c r="AD178" s="9"/>
      <c r="AE178" s="9"/>
      <c r="AF178" s="3"/>
      <c r="AG178" s="3"/>
      <c r="AH178" s="3"/>
    </row>
    <row r="179" spans="1:34" x14ac:dyDescent="0.3">
      <c r="A179">
        <v>146</v>
      </c>
      <c r="B179" s="1" t="s">
        <v>187</v>
      </c>
      <c r="C179" s="1" t="s">
        <v>682</v>
      </c>
      <c r="D179" s="2">
        <v>40827</v>
      </c>
      <c r="E179" s="3">
        <v>42.2</v>
      </c>
      <c r="F179" s="4">
        <f t="shared" si="14"/>
        <v>6174.2921762439264</v>
      </c>
      <c r="G179" s="2">
        <v>40205</v>
      </c>
      <c r="H179" s="7">
        <v>2.94</v>
      </c>
      <c r="I179" s="7">
        <f>H179+H188-2*$A$24</f>
        <v>5.72</v>
      </c>
      <c r="J179" s="7">
        <v>2.96</v>
      </c>
      <c r="K179" s="7">
        <v>4.9400000000000004</v>
      </c>
      <c r="L179" s="6">
        <f t="shared" si="15"/>
        <v>0.33566433566433568</v>
      </c>
      <c r="M179" s="6">
        <f t="shared" si="16"/>
        <v>0.56643356643356646</v>
      </c>
      <c r="N179" s="6">
        <f t="shared" si="17"/>
        <v>9.7902097902097918E-2</v>
      </c>
      <c r="O179" s="4">
        <f t="shared" si="18"/>
        <v>2072.4896815364227</v>
      </c>
      <c r="P179" s="4">
        <f t="shared" si="19"/>
        <v>3497.3263375927136</v>
      </c>
      <c r="Q179" s="4">
        <f t="shared" si="20"/>
        <v>5569.8160191291363</v>
      </c>
      <c r="V179" s="3"/>
      <c r="W179" s="3"/>
      <c r="Y179" s="7"/>
      <c r="Z179" s="7"/>
      <c r="AA179" s="7"/>
      <c r="AB179" s="7"/>
      <c r="AC179" s="9"/>
      <c r="AD179" s="9"/>
      <c r="AE179" s="9"/>
      <c r="AF179" s="3"/>
      <c r="AG179" s="3"/>
      <c r="AH179" s="3"/>
    </row>
    <row r="180" spans="1:34" x14ac:dyDescent="0.3">
      <c r="A180">
        <v>147</v>
      </c>
      <c r="B180" s="1" t="s">
        <v>188</v>
      </c>
      <c r="C180" s="1" t="s">
        <v>682</v>
      </c>
      <c r="D180" s="2">
        <v>40827</v>
      </c>
      <c r="E180" s="3">
        <v>42.5</v>
      </c>
      <c r="F180" s="4">
        <f t="shared" si="14"/>
        <v>6220.5531066353651</v>
      </c>
      <c r="G180" s="2">
        <v>40205</v>
      </c>
      <c r="H180" s="7">
        <v>3.14</v>
      </c>
      <c r="I180" s="7">
        <f>H180+H187-2*$A$24</f>
        <v>5.7799999999999994</v>
      </c>
      <c r="J180" s="7">
        <v>2.92</v>
      </c>
      <c r="K180" s="7">
        <v>5</v>
      </c>
      <c r="L180" s="6">
        <f t="shared" si="15"/>
        <v>0.3252595155709343</v>
      </c>
      <c r="M180" s="6">
        <f t="shared" si="16"/>
        <v>0.57093425605536341</v>
      </c>
      <c r="N180" s="6">
        <f t="shared" si="17"/>
        <v>0.10380622837370224</v>
      </c>
      <c r="O180" s="4">
        <f t="shared" si="18"/>
        <v>2023.2940900474894</v>
      </c>
      <c r="P180" s="4">
        <f t="shared" si="19"/>
        <v>3551.5268601897419</v>
      </c>
      <c r="Q180" s="4">
        <f t="shared" si="20"/>
        <v>5574.820950237231</v>
      </c>
      <c r="V180" s="3"/>
      <c r="W180" s="3"/>
      <c r="Y180" s="7"/>
      <c r="Z180" s="7"/>
      <c r="AA180" s="7"/>
      <c r="AB180" s="7"/>
      <c r="AC180" s="9"/>
      <c r="AD180" s="9"/>
      <c r="AE180" s="9"/>
      <c r="AF180" s="3"/>
      <c r="AG180" s="3"/>
      <c r="AH180" s="3"/>
    </row>
    <row r="181" spans="1:34" x14ac:dyDescent="0.3">
      <c r="A181">
        <v>148</v>
      </c>
      <c r="B181" s="1" t="s">
        <v>189</v>
      </c>
      <c r="C181" s="1" t="s">
        <v>682</v>
      </c>
      <c r="D181" s="2">
        <v>40827</v>
      </c>
      <c r="E181" s="3">
        <v>37.1</v>
      </c>
      <c r="F181" s="4">
        <f t="shared" si="14"/>
        <v>5387.8563595894802</v>
      </c>
      <c r="G181" s="2">
        <v>40205</v>
      </c>
      <c r="H181" s="7">
        <v>3.34</v>
      </c>
      <c r="I181" s="7">
        <f>H181+H186-2*$A$24</f>
        <v>5.6</v>
      </c>
      <c r="J181" s="7">
        <v>2.9</v>
      </c>
      <c r="K181" s="7">
        <v>4.84</v>
      </c>
      <c r="L181" s="6">
        <f t="shared" si="15"/>
        <v>0.33214285714285713</v>
      </c>
      <c r="M181" s="6">
        <f t="shared" si="16"/>
        <v>0.56071428571428572</v>
      </c>
      <c r="N181" s="6">
        <f t="shared" si="17"/>
        <v>0.10714285714285721</v>
      </c>
      <c r="O181" s="4">
        <f t="shared" si="18"/>
        <v>1789.538005149363</v>
      </c>
      <c r="P181" s="4">
        <f t="shared" si="19"/>
        <v>3021.0480301983871</v>
      </c>
      <c r="Q181" s="4">
        <f t="shared" si="20"/>
        <v>4810.5860353477501</v>
      </c>
      <c r="V181" s="3"/>
      <c r="W181" s="3"/>
      <c r="Y181" s="7"/>
      <c r="Z181" s="7"/>
      <c r="AA181" s="7"/>
      <c r="AB181" s="7"/>
      <c r="AC181" s="9"/>
      <c r="AD181" s="9"/>
      <c r="AE181" s="9"/>
      <c r="AF181" s="3"/>
      <c r="AG181" s="3"/>
      <c r="AH181" s="3"/>
    </row>
    <row r="182" spans="1:34" x14ac:dyDescent="0.3">
      <c r="A182">
        <v>149</v>
      </c>
      <c r="B182" s="1" t="s">
        <v>190</v>
      </c>
      <c r="C182" s="1" t="s">
        <v>682</v>
      </c>
      <c r="D182" s="2">
        <v>40827</v>
      </c>
      <c r="E182" s="3">
        <v>37.4</v>
      </c>
      <c r="F182" s="4">
        <f t="shared" si="14"/>
        <v>5434.117289980918</v>
      </c>
      <c r="G182" s="2">
        <v>40205</v>
      </c>
      <c r="H182" s="7">
        <v>3.1</v>
      </c>
      <c r="I182" s="7">
        <f>H182+H185-2*$A$24</f>
        <v>5.58</v>
      </c>
      <c r="J182" s="7">
        <v>2.86</v>
      </c>
      <c r="K182" s="7">
        <v>4.9000000000000004</v>
      </c>
      <c r="L182" s="6">
        <f t="shared" si="15"/>
        <v>0.3261648745519713</v>
      </c>
      <c r="M182" s="6">
        <f t="shared" si="16"/>
        <v>0.57347670250896055</v>
      </c>
      <c r="N182" s="6">
        <f t="shared" si="17"/>
        <v>0.10035842293906816</v>
      </c>
      <c r="O182" s="4">
        <f t="shared" si="18"/>
        <v>1772.4181841873244</v>
      </c>
      <c r="P182" s="4">
        <f t="shared" si="19"/>
        <v>3116.3396645051857</v>
      </c>
      <c r="Q182" s="4">
        <f t="shared" si="20"/>
        <v>4888.7578486925104</v>
      </c>
      <c r="V182" s="3"/>
      <c r="W182" s="3"/>
      <c r="Y182" s="7"/>
      <c r="Z182" s="7"/>
      <c r="AA182" s="7"/>
      <c r="AB182" s="7"/>
      <c r="AC182" s="9"/>
      <c r="AD182" s="9"/>
      <c r="AE182" s="9"/>
      <c r="AF182" s="3"/>
      <c r="AG182" s="3"/>
      <c r="AH182" s="3"/>
    </row>
    <row r="183" spans="1:34" x14ac:dyDescent="0.3">
      <c r="A183">
        <v>150</v>
      </c>
      <c r="B183" s="1" t="s">
        <v>191</v>
      </c>
      <c r="C183" s="1" t="s">
        <v>682</v>
      </c>
      <c r="D183" s="2">
        <v>40827</v>
      </c>
      <c r="E183" s="3">
        <v>32.9</v>
      </c>
      <c r="F183" s="4">
        <f t="shared" si="14"/>
        <v>4740.2033341093475</v>
      </c>
      <c r="G183" s="2">
        <v>40205</v>
      </c>
      <c r="H183" s="7">
        <v>3</v>
      </c>
      <c r="I183" s="7">
        <f>H183+H184-2*$A$24</f>
        <v>5.6999999999999993</v>
      </c>
      <c r="J183" s="7">
        <v>2.86</v>
      </c>
      <c r="K183" s="7">
        <v>4.96</v>
      </c>
      <c r="L183" s="6">
        <f t="shared" si="15"/>
        <v>0.31929824561403508</v>
      </c>
      <c r="M183" s="6">
        <f t="shared" si="16"/>
        <v>0.57192982456140351</v>
      </c>
      <c r="N183" s="6">
        <f t="shared" si="17"/>
        <v>0.10877192982456141</v>
      </c>
      <c r="O183" s="4">
        <f t="shared" si="18"/>
        <v>1513.5386084349145</v>
      </c>
      <c r="P183" s="4">
        <f t="shared" si="19"/>
        <v>2711.063661262539</v>
      </c>
      <c r="Q183" s="4">
        <f t="shared" si="20"/>
        <v>4224.6022696974533</v>
      </c>
      <c r="V183" s="3"/>
      <c r="W183" s="3"/>
      <c r="Y183" s="7"/>
      <c r="Z183" s="7"/>
      <c r="AA183" s="7"/>
      <c r="AB183" s="7"/>
      <c r="AC183" s="9"/>
      <c r="AD183" s="9"/>
      <c r="AE183" s="9"/>
      <c r="AF183" s="3"/>
      <c r="AG183" s="3"/>
      <c r="AH183" s="3"/>
    </row>
    <row r="184" spans="1:34" x14ac:dyDescent="0.3">
      <c r="A184">
        <v>151</v>
      </c>
      <c r="B184" s="1" t="s">
        <v>192</v>
      </c>
      <c r="C184" s="1" t="s">
        <v>682</v>
      </c>
      <c r="D184" s="2">
        <v>40827</v>
      </c>
      <c r="E184" s="3">
        <v>29.9</v>
      </c>
      <c r="F184" s="4">
        <f t="shared" si="14"/>
        <v>4277.5940301949677</v>
      </c>
      <c r="G184" s="2">
        <v>40205</v>
      </c>
      <c r="H184" s="7">
        <v>3.02</v>
      </c>
      <c r="I184" s="7">
        <f>H184+H183-2*$A$24</f>
        <v>5.6999999999999993</v>
      </c>
      <c r="J184" s="7">
        <v>2.86</v>
      </c>
      <c r="K184" s="7">
        <v>4.96</v>
      </c>
      <c r="L184" s="6">
        <f t="shared" si="15"/>
        <v>0.31929824561403508</v>
      </c>
      <c r="M184" s="6">
        <f t="shared" si="16"/>
        <v>0.57192982456140351</v>
      </c>
      <c r="N184" s="6">
        <f t="shared" si="17"/>
        <v>0.10877192982456141</v>
      </c>
      <c r="O184" s="4">
        <f t="shared" si="18"/>
        <v>1365.8282692903231</v>
      </c>
      <c r="P184" s="4">
        <f t="shared" si="19"/>
        <v>2446.4836032343151</v>
      </c>
      <c r="Q184" s="4">
        <f t="shared" si="20"/>
        <v>3812.3118725246381</v>
      </c>
      <c r="V184" s="3"/>
      <c r="W184" s="3"/>
      <c r="Y184" s="7"/>
      <c r="Z184" s="7"/>
      <c r="AA184" s="7"/>
      <c r="AB184" s="7"/>
      <c r="AC184" s="9"/>
      <c r="AD184" s="9"/>
      <c r="AE184" s="9"/>
      <c r="AF184" s="3"/>
      <c r="AG184" s="3"/>
      <c r="AH184" s="3"/>
    </row>
    <row r="185" spans="1:34" x14ac:dyDescent="0.3">
      <c r="A185">
        <v>152</v>
      </c>
      <c r="B185" s="1" t="s">
        <v>193</v>
      </c>
      <c r="C185" s="1" t="s">
        <v>682</v>
      </c>
      <c r="D185" s="2">
        <v>40827</v>
      </c>
      <c r="E185" s="3">
        <v>34.400000000000006</v>
      </c>
      <c r="F185" s="4">
        <f t="shared" si="14"/>
        <v>4971.5079860665392</v>
      </c>
      <c r="G185" s="2">
        <v>40205</v>
      </c>
      <c r="H185" s="7">
        <v>2.8</v>
      </c>
      <c r="I185" s="7">
        <f>H185+H182-2*$A$24</f>
        <v>5.58</v>
      </c>
      <c r="J185" s="7">
        <v>2.86</v>
      </c>
      <c r="K185" s="7">
        <v>4.9000000000000004</v>
      </c>
      <c r="L185" s="6">
        <f t="shared" si="15"/>
        <v>0.3261648745519713</v>
      </c>
      <c r="M185" s="6">
        <f t="shared" si="16"/>
        <v>0.57347670250896055</v>
      </c>
      <c r="N185" s="6">
        <f t="shared" si="17"/>
        <v>0.10035842293906816</v>
      </c>
      <c r="O185" s="4">
        <f t="shared" si="18"/>
        <v>1621.5312786095162</v>
      </c>
      <c r="P185" s="4">
        <f t="shared" si="19"/>
        <v>2851.0440063464021</v>
      </c>
      <c r="Q185" s="4">
        <f t="shared" si="20"/>
        <v>4472.5752849559185</v>
      </c>
      <c r="V185" s="3"/>
      <c r="W185" s="3"/>
      <c r="Y185" s="7"/>
      <c r="Z185" s="7"/>
      <c r="AA185" s="7"/>
      <c r="AB185" s="7"/>
      <c r="AC185" s="9"/>
      <c r="AD185" s="9"/>
      <c r="AE185" s="9"/>
      <c r="AF185" s="3"/>
      <c r="AG185" s="3"/>
      <c r="AH185" s="3"/>
    </row>
    <row r="186" spans="1:34" x14ac:dyDescent="0.3">
      <c r="A186">
        <v>153</v>
      </c>
      <c r="B186" s="1" t="s">
        <v>194</v>
      </c>
      <c r="C186" s="1" t="s">
        <v>682</v>
      </c>
      <c r="D186" s="2">
        <v>40827</v>
      </c>
      <c r="E186" s="3">
        <v>37.099999999999994</v>
      </c>
      <c r="F186" s="4">
        <f t="shared" si="14"/>
        <v>5387.8563595894802</v>
      </c>
      <c r="G186" s="2">
        <v>40205</v>
      </c>
      <c r="H186" s="7">
        <v>2.58</v>
      </c>
      <c r="I186" s="7">
        <f>H186+H181-2*$A$24</f>
        <v>5.6</v>
      </c>
      <c r="J186" s="7">
        <v>2.9</v>
      </c>
      <c r="K186" s="7">
        <v>4.84</v>
      </c>
      <c r="L186" s="6">
        <f t="shared" si="15"/>
        <v>0.33214285714285713</v>
      </c>
      <c r="M186" s="6">
        <f t="shared" si="16"/>
        <v>0.56071428571428572</v>
      </c>
      <c r="N186" s="6">
        <f t="shared" si="17"/>
        <v>0.10714285714285721</v>
      </c>
      <c r="O186" s="4">
        <f t="shared" si="18"/>
        <v>1789.538005149363</v>
      </c>
      <c r="P186" s="4">
        <f t="shared" si="19"/>
        <v>3021.0480301983871</v>
      </c>
      <c r="Q186" s="4">
        <f t="shared" si="20"/>
        <v>4810.5860353477501</v>
      </c>
      <c r="V186" s="3"/>
      <c r="W186" s="3"/>
      <c r="Y186" s="7"/>
      <c r="Z186" s="7"/>
      <c r="AA186" s="7"/>
      <c r="AB186" s="7"/>
      <c r="AC186" s="9"/>
      <c r="AD186" s="9"/>
      <c r="AE186" s="9"/>
      <c r="AF186" s="3"/>
      <c r="AG186" s="3"/>
      <c r="AH186" s="3"/>
    </row>
    <row r="187" spans="1:34" x14ac:dyDescent="0.3">
      <c r="A187">
        <v>154</v>
      </c>
      <c r="B187" s="1" t="s">
        <v>195</v>
      </c>
      <c r="C187" s="1" t="s">
        <v>682</v>
      </c>
      <c r="D187" s="2">
        <v>40827</v>
      </c>
      <c r="E187" s="3">
        <v>39.200000000000003</v>
      </c>
      <c r="F187" s="4">
        <f t="shared" si="14"/>
        <v>5711.6828723295475</v>
      </c>
      <c r="G187" s="2">
        <v>40205</v>
      </c>
      <c r="H187" s="7">
        <v>2.96</v>
      </c>
      <c r="I187" s="7">
        <f>H187+H180-2*$A$24</f>
        <v>5.7799999999999994</v>
      </c>
      <c r="J187" s="7">
        <v>2.92</v>
      </c>
      <c r="K187" s="7">
        <v>5</v>
      </c>
      <c r="L187" s="6">
        <f t="shared" si="15"/>
        <v>0.3252595155709343</v>
      </c>
      <c r="M187" s="6">
        <f t="shared" si="16"/>
        <v>0.57093425605536341</v>
      </c>
      <c r="N187" s="6">
        <f t="shared" si="17"/>
        <v>0.10380622837370224</v>
      </c>
      <c r="O187" s="4">
        <f t="shared" si="18"/>
        <v>1857.7792041487112</v>
      </c>
      <c r="P187" s="4">
        <f t="shared" si="19"/>
        <v>3260.9954115376313</v>
      </c>
      <c r="Q187" s="4">
        <f t="shared" si="20"/>
        <v>5118.7746156863423</v>
      </c>
      <c r="V187" s="3"/>
      <c r="W187" s="3"/>
      <c r="Y187" s="7"/>
      <c r="Z187" s="7"/>
      <c r="AA187" s="7"/>
      <c r="AB187" s="7"/>
      <c r="AC187" s="9"/>
      <c r="AD187" s="9"/>
      <c r="AE187" s="9"/>
      <c r="AF187" s="3"/>
      <c r="AG187" s="3"/>
      <c r="AH187" s="3"/>
    </row>
    <row r="188" spans="1:34" x14ac:dyDescent="0.3">
      <c r="A188">
        <v>155</v>
      </c>
      <c r="B188" s="1" t="s">
        <v>196</v>
      </c>
      <c r="C188" s="1" t="s">
        <v>682</v>
      </c>
      <c r="D188" s="2">
        <v>40827</v>
      </c>
      <c r="E188" s="3">
        <v>41.599999999999994</v>
      </c>
      <c r="F188" s="4">
        <f t="shared" si="14"/>
        <v>6081.770315461049</v>
      </c>
      <c r="G188" s="2">
        <v>40205</v>
      </c>
      <c r="H188" s="7">
        <v>3.1</v>
      </c>
      <c r="I188" s="7">
        <f>H188+H179-2*$A$24</f>
        <v>5.72</v>
      </c>
      <c r="J188" s="7">
        <v>2.96</v>
      </c>
      <c r="K188" s="7">
        <v>4.9400000000000004</v>
      </c>
      <c r="L188" s="6">
        <f t="shared" si="15"/>
        <v>0.33566433566433568</v>
      </c>
      <c r="M188" s="6">
        <f t="shared" si="16"/>
        <v>0.56643356643356646</v>
      </c>
      <c r="N188" s="6">
        <f t="shared" si="17"/>
        <v>9.7902097902097918E-2</v>
      </c>
      <c r="O188" s="4">
        <f t="shared" si="18"/>
        <v>2041.4333926023103</v>
      </c>
      <c r="P188" s="4">
        <f t="shared" si="19"/>
        <v>3444.9188500163987</v>
      </c>
      <c r="Q188" s="4">
        <f t="shared" si="20"/>
        <v>5486.3522426187092</v>
      </c>
      <c r="V188" s="3"/>
      <c r="W188" s="3"/>
      <c r="Y188" s="7"/>
      <c r="Z188" s="7"/>
      <c r="AA188" s="7"/>
      <c r="AB188" s="7"/>
      <c r="AC188" s="9"/>
      <c r="AD188" s="9"/>
      <c r="AE188" s="9"/>
      <c r="AF188" s="3"/>
      <c r="AG188" s="3"/>
      <c r="AH188" s="3"/>
    </row>
    <row r="189" spans="1:34" x14ac:dyDescent="0.3">
      <c r="A189">
        <v>156</v>
      </c>
      <c r="B189" s="1" t="s">
        <v>197</v>
      </c>
      <c r="C189" s="1" t="s">
        <v>682</v>
      </c>
      <c r="D189" s="2">
        <v>40827</v>
      </c>
      <c r="E189" s="3">
        <v>33.6</v>
      </c>
      <c r="F189" s="4">
        <f t="shared" si="14"/>
        <v>4848.1455050227032</v>
      </c>
      <c r="G189" s="2">
        <v>40205</v>
      </c>
      <c r="H189" s="7">
        <v>3.14</v>
      </c>
      <c r="I189" s="7">
        <f>H189+H178-2*$A$24</f>
        <v>5.92</v>
      </c>
      <c r="J189" s="7">
        <v>3.02</v>
      </c>
      <c r="K189" s="7">
        <v>5.12</v>
      </c>
      <c r="L189" s="6">
        <f t="shared" si="15"/>
        <v>0.33445945945945948</v>
      </c>
      <c r="M189" s="6">
        <f t="shared" si="16"/>
        <v>0.57770270270270274</v>
      </c>
      <c r="N189" s="6">
        <f t="shared" si="17"/>
        <v>8.7837837837837829E-2</v>
      </c>
      <c r="O189" s="4">
        <f t="shared" si="18"/>
        <v>1621.5081249907016</v>
      </c>
      <c r="P189" s="4">
        <f t="shared" si="19"/>
        <v>2800.7867613475755</v>
      </c>
      <c r="Q189" s="4">
        <f t="shared" si="20"/>
        <v>4422.2948863382771</v>
      </c>
      <c r="V189" s="3"/>
      <c r="W189" s="3"/>
      <c r="Y189" s="7"/>
      <c r="Z189" s="7"/>
      <c r="AA189" s="7"/>
      <c r="AB189" s="7"/>
      <c r="AC189" s="9"/>
      <c r="AD189" s="9"/>
      <c r="AE189" s="9"/>
      <c r="AF189" s="3"/>
      <c r="AG189" s="3"/>
      <c r="AH189" s="3"/>
    </row>
    <row r="190" spans="1:34" x14ac:dyDescent="0.3">
      <c r="A190">
        <v>157</v>
      </c>
      <c r="B190" s="1" t="s">
        <v>198</v>
      </c>
      <c r="C190" s="1" t="s">
        <v>682</v>
      </c>
      <c r="D190" s="2">
        <v>40827</v>
      </c>
      <c r="E190" s="3">
        <v>37.1</v>
      </c>
      <c r="F190" s="4">
        <f t="shared" si="14"/>
        <v>5387.8563595894802</v>
      </c>
      <c r="G190" s="2">
        <v>40205</v>
      </c>
      <c r="H190" s="7">
        <v>3.34</v>
      </c>
      <c r="I190" s="7">
        <f>H190+H177-2*$A$24</f>
        <v>6.2999999999999989</v>
      </c>
      <c r="J190" s="7">
        <v>3.14</v>
      </c>
      <c r="K190" s="7">
        <v>5.3</v>
      </c>
      <c r="L190" s="6">
        <f t="shared" si="15"/>
        <v>0.33333333333333343</v>
      </c>
      <c r="M190" s="6">
        <f t="shared" si="16"/>
        <v>0.57142857142857151</v>
      </c>
      <c r="N190" s="6">
        <f t="shared" si="17"/>
        <v>9.5238095238095011E-2</v>
      </c>
      <c r="O190" s="4">
        <f t="shared" si="18"/>
        <v>1795.9521198631605</v>
      </c>
      <c r="P190" s="4">
        <f t="shared" si="19"/>
        <v>3078.7750626225607</v>
      </c>
      <c r="Q190" s="4">
        <f t="shared" si="20"/>
        <v>4874.7271824857216</v>
      </c>
      <c r="V190" s="3"/>
      <c r="W190" s="3"/>
      <c r="Y190" s="7"/>
      <c r="Z190" s="7"/>
      <c r="AA190" s="7"/>
      <c r="AB190" s="7"/>
      <c r="AC190" s="9"/>
      <c r="AD190" s="9"/>
      <c r="AE190" s="9"/>
      <c r="AF190" s="3"/>
      <c r="AG190" s="3"/>
      <c r="AH190" s="3"/>
    </row>
    <row r="191" spans="1:34" x14ac:dyDescent="0.3">
      <c r="A191">
        <v>158</v>
      </c>
      <c r="B191" s="1" t="s">
        <v>199</v>
      </c>
      <c r="C191" s="1" t="s">
        <v>682</v>
      </c>
      <c r="D191" s="2">
        <v>40827</v>
      </c>
      <c r="E191" s="3">
        <v>32.9</v>
      </c>
      <c r="F191" s="4">
        <f t="shared" si="14"/>
        <v>4740.2033341093475</v>
      </c>
      <c r="G191" s="2">
        <v>40205</v>
      </c>
      <c r="H191" s="7">
        <v>3.2</v>
      </c>
      <c r="I191" s="7">
        <f>H191+H176-2*$A$24</f>
        <v>5.4</v>
      </c>
      <c r="J191" s="7">
        <v>2.76</v>
      </c>
      <c r="K191" s="7">
        <v>4.84</v>
      </c>
      <c r="L191" s="6">
        <f t="shared" si="15"/>
        <v>0.31851851851851848</v>
      </c>
      <c r="M191" s="6">
        <f t="shared" si="16"/>
        <v>0.58148148148148138</v>
      </c>
      <c r="N191" s="6">
        <f t="shared" si="17"/>
        <v>0.1000000000000002</v>
      </c>
      <c r="O191" s="4">
        <f t="shared" si="18"/>
        <v>1509.8425434570513</v>
      </c>
      <c r="P191" s="4">
        <f t="shared" si="19"/>
        <v>2756.3404572413606</v>
      </c>
      <c r="Q191" s="4">
        <f t="shared" si="20"/>
        <v>4266.1830006984119</v>
      </c>
      <c r="V191" s="3"/>
      <c r="W191" s="3"/>
      <c r="Y191" s="7"/>
      <c r="Z191" s="7"/>
      <c r="AA191" s="7"/>
      <c r="AB191" s="7"/>
      <c r="AC191" s="9"/>
      <c r="AD191" s="9"/>
      <c r="AE191" s="9"/>
      <c r="AF191" s="3"/>
      <c r="AG191" s="3"/>
      <c r="AH191" s="3"/>
    </row>
    <row r="192" spans="1:34" x14ac:dyDescent="0.3">
      <c r="A192">
        <v>159</v>
      </c>
      <c r="B192" s="1" t="s">
        <v>200</v>
      </c>
      <c r="C192" s="1" t="s">
        <v>682</v>
      </c>
      <c r="D192" s="2">
        <v>40827</v>
      </c>
      <c r="E192" s="3">
        <v>31.9</v>
      </c>
      <c r="F192" s="4">
        <f t="shared" si="14"/>
        <v>4586.0002328045539</v>
      </c>
      <c r="G192" s="2">
        <v>40205</v>
      </c>
      <c r="H192" s="7">
        <v>2.82</v>
      </c>
      <c r="I192" s="7">
        <f>H192+H175-2*$A$24</f>
        <v>5.74</v>
      </c>
      <c r="J192" s="7">
        <v>2.92</v>
      </c>
      <c r="K192" s="7">
        <v>5.0199999999999996</v>
      </c>
      <c r="L192" s="6">
        <f t="shared" si="15"/>
        <v>0.32752613240418116</v>
      </c>
      <c r="M192" s="6">
        <f t="shared" si="16"/>
        <v>0.57839721254355392</v>
      </c>
      <c r="N192" s="6">
        <f t="shared" si="17"/>
        <v>9.4076655052264924E-2</v>
      </c>
      <c r="O192" s="4">
        <f t="shared" si="18"/>
        <v>1502.03491945515</v>
      </c>
      <c r="P192" s="4">
        <f t="shared" si="19"/>
        <v>2652.5297513782434</v>
      </c>
      <c r="Q192" s="4">
        <f t="shared" si="20"/>
        <v>4154.5646708333934</v>
      </c>
      <c r="V192" s="3"/>
      <c r="W192" s="3"/>
      <c r="Y192" s="7"/>
      <c r="Z192" s="7"/>
      <c r="AA192" s="7"/>
      <c r="AB192" s="7"/>
      <c r="AC192" s="9"/>
      <c r="AD192" s="9"/>
      <c r="AE192" s="9"/>
      <c r="AF192" s="3"/>
      <c r="AG192" s="3"/>
      <c r="AH192" s="3"/>
    </row>
    <row r="193" spans="1:34" x14ac:dyDescent="0.3">
      <c r="A193">
        <v>160</v>
      </c>
      <c r="B193" s="1" t="s">
        <v>201</v>
      </c>
      <c r="C193" s="1" t="s">
        <v>682</v>
      </c>
      <c r="D193" s="2">
        <v>40827</v>
      </c>
      <c r="E193" s="3">
        <v>24.2</v>
      </c>
      <c r="F193" s="4">
        <f t="shared" si="14"/>
        <v>3398.636352757645</v>
      </c>
      <c r="G193" s="2">
        <v>40205</v>
      </c>
      <c r="H193" s="7">
        <v>3.42</v>
      </c>
      <c r="I193" s="7">
        <f>H193+H174-2*$A$24</f>
        <v>6</v>
      </c>
      <c r="J193" s="7">
        <v>2.96</v>
      </c>
      <c r="K193" s="7">
        <v>5.24</v>
      </c>
      <c r="L193" s="6">
        <f t="shared" si="15"/>
        <v>0.32</v>
      </c>
      <c r="M193" s="6">
        <f t="shared" si="16"/>
        <v>0.59</v>
      </c>
      <c r="N193" s="6">
        <f t="shared" si="17"/>
        <v>8.9999999999999969E-2</v>
      </c>
      <c r="O193" s="4">
        <f t="shared" si="18"/>
        <v>1087.5636328824464</v>
      </c>
      <c r="P193" s="4">
        <f t="shared" si="19"/>
        <v>2005.1954481270104</v>
      </c>
      <c r="Q193" s="4">
        <f t="shared" si="20"/>
        <v>3092.7590810094571</v>
      </c>
      <c r="V193" s="3"/>
      <c r="W193" s="3"/>
      <c r="Y193" s="7"/>
      <c r="Z193" s="7"/>
      <c r="AA193" s="7"/>
      <c r="AB193" s="7"/>
      <c r="AC193" s="9"/>
      <c r="AD193" s="9"/>
      <c r="AE193" s="9"/>
      <c r="AF193" s="3"/>
      <c r="AG193" s="3"/>
      <c r="AH193" s="3"/>
    </row>
    <row r="194" spans="1:34" x14ac:dyDescent="0.3">
      <c r="A194">
        <v>161</v>
      </c>
      <c r="B194" s="1" t="s">
        <v>202</v>
      </c>
      <c r="C194" s="1" t="s">
        <v>682</v>
      </c>
      <c r="D194" s="2">
        <v>40827</v>
      </c>
      <c r="E194" s="3">
        <v>29.8</v>
      </c>
      <c r="F194" s="4">
        <f t="shared" si="14"/>
        <v>4262.1737200644884</v>
      </c>
      <c r="G194" s="2">
        <v>40205</v>
      </c>
      <c r="H194" s="7">
        <v>3.12</v>
      </c>
      <c r="I194" s="7">
        <f>H194+H213-2*$A$24</f>
        <v>5.58</v>
      </c>
      <c r="J194" s="7">
        <v>2.88</v>
      </c>
      <c r="K194" s="7">
        <v>4.9000000000000004</v>
      </c>
      <c r="L194" s="6">
        <f t="shared" si="15"/>
        <v>0.32974910394265228</v>
      </c>
      <c r="M194" s="6">
        <f t="shared" si="16"/>
        <v>0.57347670250896055</v>
      </c>
      <c r="N194" s="6">
        <f t="shared" si="17"/>
        <v>9.6774193548387122E-2</v>
      </c>
      <c r="O194" s="4">
        <f t="shared" si="18"/>
        <v>1405.4479650391859</v>
      </c>
      <c r="P194" s="4">
        <f t="shared" si="19"/>
        <v>2444.2573305029323</v>
      </c>
      <c r="Q194" s="4">
        <f t="shared" si="20"/>
        <v>3849.7052955421182</v>
      </c>
      <c r="S194" t="s">
        <v>29</v>
      </c>
      <c r="T194" t="s">
        <v>682</v>
      </c>
      <c r="U194" s="8">
        <f>D194</f>
        <v>40827</v>
      </c>
      <c r="V194" s="3">
        <f>SUM(E194:E233)</f>
        <v>1419.1</v>
      </c>
      <c r="W194" s="3">
        <f>(V194-80*$A$20)*$A$21/(40*$A$22)*$A$23</f>
        <v>5137.6618277224516</v>
      </c>
      <c r="X194" s="8">
        <f>G194</f>
        <v>40205</v>
      </c>
      <c r="Y194" s="7">
        <f>SUM(H194:H233)</f>
        <v>113.75999999999998</v>
      </c>
      <c r="Z194" s="7">
        <f>SUM(I194:I233)</f>
        <v>214.72</v>
      </c>
      <c r="AA194" s="7">
        <f>SUM(J194:J233)</f>
        <v>112.92</v>
      </c>
      <c r="AB194" s="7">
        <f>SUM(K194:K233)</f>
        <v>189.03999999999996</v>
      </c>
      <c r="AC194" s="9">
        <f>(AA194-40*$A$25)/Z194</f>
        <v>0.33215350223546941</v>
      </c>
      <c r="AD194" s="9">
        <f>(AB194-40*$A$26)/Z194</f>
        <v>0.56371087928464958</v>
      </c>
      <c r="AE194" s="9">
        <f>1-AC194-AD194</f>
        <v>0.10413561847988106</v>
      </c>
      <c r="AF194" s="3">
        <f>W194*AC194</f>
        <v>1706.4923693794951</v>
      </c>
      <c r="AG194" s="3">
        <f>W194*AD194</f>
        <v>2896.1558663726032</v>
      </c>
      <c r="AH194" s="3">
        <f>AF194+AG194</f>
        <v>4602.6482357520981</v>
      </c>
    </row>
    <row r="195" spans="1:34" x14ac:dyDescent="0.3">
      <c r="A195">
        <v>162</v>
      </c>
      <c r="B195" s="1" t="s">
        <v>203</v>
      </c>
      <c r="C195" s="1" t="s">
        <v>682</v>
      </c>
      <c r="D195" s="2">
        <v>40827</v>
      </c>
      <c r="E195" s="3">
        <v>37.299999999999997</v>
      </c>
      <c r="F195" s="4">
        <f t="shared" si="14"/>
        <v>5418.6969798504388</v>
      </c>
      <c r="G195" s="2">
        <v>40205</v>
      </c>
      <c r="H195" s="7">
        <v>2.54</v>
      </c>
      <c r="I195" s="7">
        <f>H195+H212-2*$A$24</f>
        <v>5.3599999999999994</v>
      </c>
      <c r="J195" s="7">
        <v>2.82</v>
      </c>
      <c r="K195" s="7">
        <v>4.78</v>
      </c>
      <c r="L195" s="6">
        <f t="shared" si="15"/>
        <v>0.33208955223880599</v>
      </c>
      <c r="M195" s="6">
        <f t="shared" si="16"/>
        <v>0.5746268656716419</v>
      </c>
      <c r="N195" s="6">
        <f t="shared" si="17"/>
        <v>9.3283582089552119E-2</v>
      </c>
      <c r="O195" s="4">
        <f t="shared" si="18"/>
        <v>1799.4926537563026</v>
      </c>
      <c r="P195" s="4">
        <f t="shared" si="19"/>
        <v>3113.7288615558496</v>
      </c>
      <c r="Q195" s="4">
        <f t="shared" si="20"/>
        <v>4913.2215153121524</v>
      </c>
      <c r="V195" s="3"/>
      <c r="W195" s="3"/>
      <c r="Y195" s="7"/>
      <c r="Z195" s="7"/>
      <c r="AA195" s="7"/>
      <c r="AB195" s="7"/>
      <c r="AC195" s="9"/>
      <c r="AD195" s="9"/>
      <c r="AE195" s="9"/>
      <c r="AF195" s="3"/>
      <c r="AG195" s="3"/>
      <c r="AH195" s="3"/>
    </row>
    <row r="196" spans="1:34" x14ac:dyDescent="0.3">
      <c r="A196">
        <v>163</v>
      </c>
      <c r="B196" s="1" t="s">
        <v>204</v>
      </c>
      <c r="C196" s="1" t="s">
        <v>682</v>
      </c>
      <c r="D196" s="2">
        <v>40827</v>
      </c>
      <c r="E196" s="3">
        <v>43.6</v>
      </c>
      <c r="F196" s="4">
        <f t="shared" si="14"/>
        <v>6390.1765180706361</v>
      </c>
      <c r="G196" s="2">
        <v>40205</v>
      </c>
      <c r="H196" s="7">
        <v>3.54</v>
      </c>
      <c r="I196" s="7">
        <f>H196+H211-2*$A$24</f>
        <v>5.9799999999999995</v>
      </c>
      <c r="J196" s="7">
        <v>2.96</v>
      </c>
      <c r="K196" s="7">
        <v>5.0199999999999996</v>
      </c>
      <c r="L196" s="6">
        <f t="shared" si="15"/>
        <v>0.32107023411371238</v>
      </c>
      <c r="M196" s="6">
        <f t="shared" si="16"/>
        <v>0.55518394648829428</v>
      </c>
      <c r="N196" s="6">
        <f t="shared" si="17"/>
        <v>0.12374581939799334</v>
      </c>
      <c r="O196" s="4">
        <f t="shared" si="18"/>
        <v>2051.6954706848865</v>
      </c>
      <c r="P196" s="4">
        <f t="shared" si="19"/>
        <v>3547.7234180592827</v>
      </c>
      <c r="Q196" s="4">
        <f t="shared" si="20"/>
        <v>5599.4188887441687</v>
      </c>
      <c r="V196" s="3"/>
      <c r="W196" s="3"/>
      <c r="Y196" s="7"/>
      <c r="Z196" s="7"/>
      <c r="AA196" s="7"/>
      <c r="AB196" s="7"/>
      <c r="AC196" s="9"/>
      <c r="AD196" s="9"/>
      <c r="AE196" s="9"/>
      <c r="AF196" s="3"/>
      <c r="AG196" s="3"/>
      <c r="AH196" s="3"/>
    </row>
    <row r="197" spans="1:34" x14ac:dyDescent="0.3">
      <c r="A197">
        <v>164</v>
      </c>
      <c r="B197" s="1" t="s">
        <v>205</v>
      </c>
      <c r="C197" s="1" t="s">
        <v>682</v>
      </c>
      <c r="D197" s="2">
        <v>40827</v>
      </c>
      <c r="E197" s="3">
        <v>27.6</v>
      </c>
      <c r="F197" s="4">
        <f t="shared" si="14"/>
        <v>3922.9268971939437</v>
      </c>
      <c r="G197" s="2">
        <v>40205</v>
      </c>
      <c r="H197" s="7">
        <v>3.16</v>
      </c>
      <c r="I197" s="7">
        <f>H197+H210-2*$A$24</f>
        <v>5.42</v>
      </c>
      <c r="J197" s="7">
        <v>2.8</v>
      </c>
      <c r="K197" s="7">
        <v>4.74</v>
      </c>
      <c r="L197" s="6">
        <f t="shared" si="15"/>
        <v>0.32472324723247231</v>
      </c>
      <c r="M197" s="6">
        <f t="shared" si="16"/>
        <v>0.56088560885608862</v>
      </c>
      <c r="N197" s="6">
        <f t="shared" si="17"/>
        <v>0.11439114391143901</v>
      </c>
      <c r="O197" s="4">
        <f t="shared" si="18"/>
        <v>1273.8655607124244</v>
      </c>
      <c r="P197" s="4">
        <f t="shared" si="19"/>
        <v>2200.3132412305517</v>
      </c>
      <c r="Q197" s="4">
        <f t="shared" si="20"/>
        <v>3474.178801942976</v>
      </c>
      <c r="V197" s="3"/>
      <c r="W197" s="3"/>
      <c r="Y197" s="7"/>
      <c r="Z197" s="7"/>
      <c r="AA197" s="7"/>
      <c r="AB197" s="7"/>
      <c r="AC197" s="9"/>
      <c r="AD197" s="9"/>
      <c r="AE197" s="9"/>
      <c r="AF197" s="3"/>
      <c r="AG197" s="3"/>
      <c r="AH197" s="3"/>
    </row>
    <row r="198" spans="1:34" x14ac:dyDescent="0.3">
      <c r="A198">
        <v>165</v>
      </c>
      <c r="B198" s="1" t="s">
        <v>206</v>
      </c>
      <c r="C198" s="1" t="s">
        <v>682</v>
      </c>
      <c r="D198" s="2">
        <v>40827</v>
      </c>
      <c r="E198" s="3">
        <v>36.4</v>
      </c>
      <c r="F198" s="4">
        <f t="shared" si="14"/>
        <v>5279.9141886761236</v>
      </c>
      <c r="G198" s="2">
        <v>40205</v>
      </c>
      <c r="H198" s="7">
        <v>2.96</v>
      </c>
      <c r="I198" s="7">
        <f>H198+H209-2*$A$24</f>
        <v>5.5</v>
      </c>
      <c r="J198" s="7">
        <v>2.86</v>
      </c>
      <c r="K198" s="7">
        <v>4.82</v>
      </c>
      <c r="L198" s="6">
        <f t="shared" si="15"/>
        <v>0.33090909090909087</v>
      </c>
      <c r="M198" s="6">
        <f t="shared" si="16"/>
        <v>0.56727272727272726</v>
      </c>
      <c r="N198" s="6">
        <f t="shared" si="17"/>
        <v>0.10181818181818192</v>
      </c>
      <c r="O198" s="4">
        <f t="shared" si="18"/>
        <v>1747.1716042528262</v>
      </c>
      <c r="P198" s="4">
        <f t="shared" si="19"/>
        <v>2995.1513215762739</v>
      </c>
      <c r="Q198" s="4">
        <f t="shared" si="20"/>
        <v>4742.3229258291003</v>
      </c>
      <c r="V198" s="3"/>
      <c r="W198" s="3"/>
      <c r="Y198" s="7"/>
      <c r="Z198" s="7"/>
      <c r="AA198" s="7"/>
      <c r="AB198" s="7"/>
      <c r="AC198" s="9"/>
      <c r="AD198" s="9"/>
      <c r="AE198" s="9"/>
      <c r="AF198" s="3"/>
      <c r="AG198" s="3"/>
      <c r="AH198" s="3"/>
    </row>
    <row r="199" spans="1:34" x14ac:dyDescent="0.3">
      <c r="A199">
        <v>166</v>
      </c>
      <c r="B199" s="1" t="s">
        <v>207</v>
      </c>
      <c r="C199" s="1" t="s">
        <v>682</v>
      </c>
      <c r="D199" s="2">
        <v>40827</v>
      </c>
      <c r="E199" s="3">
        <v>37.1</v>
      </c>
      <c r="F199" s="4">
        <f t="shared" si="14"/>
        <v>5387.8563595894802</v>
      </c>
      <c r="G199" s="2">
        <v>40205</v>
      </c>
      <c r="H199" s="7">
        <v>2.88</v>
      </c>
      <c r="I199" s="7">
        <f>H199+H208-2*$A$24</f>
        <v>5.24</v>
      </c>
      <c r="J199" s="7">
        <v>2.8</v>
      </c>
      <c r="K199" s="7">
        <v>4.5999999999999996</v>
      </c>
      <c r="L199" s="6">
        <f t="shared" si="15"/>
        <v>0.3358778625954198</v>
      </c>
      <c r="M199" s="6">
        <f t="shared" si="16"/>
        <v>0.55343511450381666</v>
      </c>
      <c r="N199" s="6">
        <f t="shared" si="17"/>
        <v>0.1106870229007636</v>
      </c>
      <c r="O199" s="4">
        <f t="shared" si="18"/>
        <v>1809.6616780300542</v>
      </c>
      <c r="P199" s="4">
        <f t="shared" si="19"/>
        <v>2981.8289012995206</v>
      </c>
      <c r="Q199" s="4">
        <f t="shared" si="20"/>
        <v>4791.4905793295748</v>
      </c>
      <c r="V199" s="3"/>
      <c r="W199" s="3"/>
      <c r="Y199" s="7"/>
      <c r="Z199" s="7"/>
      <c r="AA199" s="7"/>
      <c r="AB199" s="7"/>
      <c r="AC199" s="9"/>
      <c r="AD199" s="9"/>
      <c r="AE199" s="9"/>
      <c r="AF199" s="3"/>
      <c r="AG199" s="3"/>
      <c r="AH199" s="3"/>
    </row>
    <row r="200" spans="1:34" x14ac:dyDescent="0.3">
      <c r="A200">
        <v>167</v>
      </c>
      <c r="B200" s="1" t="s">
        <v>208</v>
      </c>
      <c r="C200" s="1" t="s">
        <v>682</v>
      </c>
      <c r="D200" s="2">
        <v>40827</v>
      </c>
      <c r="E200" s="3">
        <v>35</v>
      </c>
      <c r="F200" s="4">
        <f t="shared" si="14"/>
        <v>5064.0298468494148</v>
      </c>
      <c r="G200" s="2">
        <v>40205</v>
      </c>
      <c r="H200" s="7">
        <v>2.6</v>
      </c>
      <c r="I200" s="7">
        <f>H200+H207-2*$A$24</f>
        <v>5.24</v>
      </c>
      <c r="J200" s="7">
        <v>2.82</v>
      </c>
      <c r="K200" s="7">
        <v>4.68</v>
      </c>
      <c r="L200" s="6">
        <f t="shared" si="15"/>
        <v>0.33969465648854957</v>
      </c>
      <c r="M200" s="6">
        <f t="shared" si="16"/>
        <v>0.56870229007633577</v>
      </c>
      <c r="N200" s="6">
        <f t="shared" si="17"/>
        <v>9.1603053435114656E-2</v>
      </c>
      <c r="O200" s="4">
        <f t="shared" si="18"/>
        <v>1720.2238792732742</v>
      </c>
      <c r="P200" s="4">
        <f t="shared" si="19"/>
        <v>2879.925370918178</v>
      </c>
      <c r="Q200" s="4">
        <f t="shared" si="20"/>
        <v>4600.1492501914527</v>
      </c>
      <c r="V200" s="3"/>
      <c r="W200" s="3"/>
      <c r="Y200" s="7"/>
      <c r="Z200" s="7"/>
      <c r="AA200" s="7"/>
      <c r="AB200" s="7"/>
      <c r="AC200" s="9"/>
      <c r="AD200" s="9"/>
      <c r="AE200" s="9"/>
      <c r="AF200" s="3"/>
      <c r="AG200" s="3"/>
      <c r="AH200" s="3"/>
    </row>
    <row r="201" spans="1:34" x14ac:dyDescent="0.3">
      <c r="A201">
        <v>168</v>
      </c>
      <c r="B201" s="1" t="s">
        <v>209</v>
      </c>
      <c r="C201" s="1" t="s">
        <v>682</v>
      </c>
      <c r="D201" s="2">
        <v>40827</v>
      </c>
      <c r="E201" s="3">
        <v>34.5</v>
      </c>
      <c r="F201" s="4">
        <f t="shared" si="14"/>
        <v>4986.9282961970175</v>
      </c>
      <c r="G201" s="2">
        <v>40205</v>
      </c>
      <c r="H201" s="7">
        <v>2.44</v>
      </c>
      <c r="I201" s="7">
        <f>H201+H206-2*$A$24</f>
        <v>5.0999999999999996</v>
      </c>
      <c r="J201" s="7">
        <v>2.76</v>
      </c>
      <c r="K201" s="7">
        <v>4.54</v>
      </c>
      <c r="L201" s="6">
        <f t="shared" si="15"/>
        <v>0.33725490196078428</v>
      </c>
      <c r="M201" s="6">
        <f t="shared" si="16"/>
        <v>0.55686274509803924</v>
      </c>
      <c r="N201" s="6">
        <f t="shared" si="17"/>
        <v>0.10588235294117654</v>
      </c>
      <c r="O201" s="4">
        <f t="shared" si="18"/>
        <v>1681.8660136193862</v>
      </c>
      <c r="P201" s="4">
        <f t="shared" si="19"/>
        <v>2777.034580627359</v>
      </c>
      <c r="Q201" s="4">
        <f t="shared" si="20"/>
        <v>4458.9005942467447</v>
      </c>
      <c r="V201" s="3"/>
      <c r="W201" s="3"/>
      <c r="Y201" s="7"/>
      <c r="Z201" s="7"/>
      <c r="AA201" s="7"/>
      <c r="AB201" s="7"/>
      <c r="AC201" s="9"/>
      <c r="AD201" s="9"/>
      <c r="AE201" s="9"/>
      <c r="AF201" s="3"/>
      <c r="AG201" s="3"/>
      <c r="AH201" s="3"/>
    </row>
    <row r="202" spans="1:34" x14ac:dyDescent="0.3">
      <c r="A202">
        <v>169</v>
      </c>
      <c r="B202" s="1" t="s">
        <v>210</v>
      </c>
      <c r="C202" s="1" t="s">
        <v>682</v>
      </c>
      <c r="D202" s="2">
        <v>40827</v>
      </c>
      <c r="E202" s="3">
        <v>36.099999999999994</v>
      </c>
      <c r="F202" s="4">
        <f t="shared" si="14"/>
        <v>5233.6532582846858</v>
      </c>
      <c r="G202" s="2">
        <v>40205</v>
      </c>
      <c r="H202" s="7">
        <v>2.88</v>
      </c>
      <c r="I202" s="7">
        <f>H202+H205-2*$A$24</f>
        <v>5.26</v>
      </c>
      <c r="J202" s="7">
        <v>2.78</v>
      </c>
      <c r="K202" s="7">
        <v>4.66</v>
      </c>
      <c r="L202" s="6">
        <f t="shared" si="15"/>
        <v>0.33079847908745247</v>
      </c>
      <c r="M202" s="6">
        <f t="shared" si="16"/>
        <v>0.56273764258555137</v>
      </c>
      <c r="N202" s="6">
        <f t="shared" si="17"/>
        <v>0.10646387832699611</v>
      </c>
      <c r="O202" s="4">
        <f t="shared" si="18"/>
        <v>1731.2845379116641</v>
      </c>
      <c r="P202" s="4">
        <f t="shared" si="19"/>
        <v>2945.1736966773137</v>
      </c>
      <c r="Q202" s="4">
        <f t="shared" si="20"/>
        <v>4676.4582345889776</v>
      </c>
      <c r="V202" s="3"/>
      <c r="W202" s="3"/>
      <c r="Y202" s="7"/>
      <c r="Z202" s="7"/>
      <c r="AA202" s="7"/>
      <c r="AB202" s="7"/>
      <c r="AC202" s="9"/>
      <c r="AD202" s="9"/>
      <c r="AE202" s="9"/>
      <c r="AF202" s="3"/>
      <c r="AG202" s="3"/>
      <c r="AH202" s="3"/>
    </row>
    <row r="203" spans="1:34" x14ac:dyDescent="0.3">
      <c r="A203">
        <v>170</v>
      </c>
      <c r="B203" s="1" t="s">
        <v>211</v>
      </c>
      <c r="C203" s="1" t="s">
        <v>682</v>
      </c>
      <c r="D203" s="2">
        <v>40827</v>
      </c>
      <c r="E203" s="3">
        <v>35.200000000000003</v>
      </c>
      <c r="F203" s="4">
        <f t="shared" si="14"/>
        <v>5094.8704671103742</v>
      </c>
      <c r="G203" s="2">
        <v>40205</v>
      </c>
      <c r="H203" s="7">
        <v>2.68</v>
      </c>
      <c r="I203" s="7">
        <f>H203+H204-2*$A$24</f>
        <v>5.4399999999999995</v>
      </c>
      <c r="J203" s="7">
        <v>2.86</v>
      </c>
      <c r="K203" s="7">
        <v>4.74</v>
      </c>
      <c r="L203" s="6">
        <f t="shared" si="15"/>
        <v>0.33455882352941174</v>
      </c>
      <c r="M203" s="6">
        <f t="shared" si="16"/>
        <v>0.55882352941176472</v>
      </c>
      <c r="N203" s="6">
        <f t="shared" si="17"/>
        <v>0.10661764705882359</v>
      </c>
      <c r="O203" s="4">
        <f t="shared" si="18"/>
        <v>1704.5338695111911</v>
      </c>
      <c r="P203" s="4">
        <f t="shared" si="19"/>
        <v>2847.1334963263857</v>
      </c>
      <c r="Q203" s="4">
        <f t="shared" si="20"/>
        <v>4551.6673658375767</v>
      </c>
      <c r="V203" s="3"/>
      <c r="W203" s="3"/>
      <c r="Y203" s="7"/>
      <c r="Z203" s="7"/>
      <c r="AA203" s="7"/>
      <c r="AB203" s="7"/>
      <c r="AC203" s="9"/>
      <c r="AD203" s="9"/>
      <c r="AE203" s="9"/>
      <c r="AF203" s="3"/>
      <c r="AG203" s="3"/>
      <c r="AH203" s="3"/>
    </row>
    <row r="204" spans="1:34" x14ac:dyDescent="0.3">
      <c r="A204">
        <v>171</v>
      </c>
      <c r="B204" s="1" t="s">
        <v>212</v>
      </c>
      <c r="C204" s="1" t="s">
        <v>682</v>
      </c>
      <c r="D204" s="2">
        <v>40827</v>
      </c>
      <c r="E204" s="3">
        <v>36.6</v>
      </c>
      <c r="F204" s="4">
        <f t="shared" si="14"/>
        <v>5310.754808937083</v>
      </c>
      <c r="G204" s="2">
        <v>40205</v>
      </c>
      <c r="H204" s="7">
        <v>3.08</v>
      </c>
      <c r="I204" s="7">
        <f>H204+H203-2*$A$24</f>
        <v>5.4399999999999995</v>
      </c>
      <c r="J204" s="7">
        <v>2.86</v>
      </c>
      <c r="K204" s="7">
        <v>4.74</v>
      </c>
      <c r="L204" s="6">
        <f t="shared" si="15"/>
        <v>0.33455882352941174</v>
      </c>
      <c r="M204" s="6">
        <f t="shared" si="16"/>
        <v>0.55882352941176472</v>
      </c>
      <c r="N204" s="6">
        <f t="shared" si="17"/>
        <v>0.10661764705882359</v>
      </c>
      <c r="O204" s="4">
        <f t="shared" si="18"/>
        <v>1776.7598809311564</v>
      </c>
      <c r="P204" s="4">
        <f t="shared" si="19"/>
        <v>2967.7747461707231</v>
      </c>
      <c r="Q204" s="4">
        <f t="shared" si="20"/>
        <v>4744.5346271018798</v>
      </c>
      <c r="V204" s="3"/>
      <c r="W204" s="3"/>
      <c r="Y204" s="7"/>
      <c r="Z204" s="7"/>
      <c r="AA204" s="7"/>
      <c r="AB204" s="7"/>
      <c r="AC204" s="9"/>
      <c r="AD204" s="9"/>
      <c r="AE204" s="9"/>
      <c r="AF204" s="3"/>
      <c r="AG204" s="3"/>
      <c r="AH204" s="3"/>
    </row>
    <row r="205" spans="1:34" x14ac:dyDescent="0.3">
      <c r="A205">
        <v>172</v>
      </c>
      <c r="B205" s="1" t="s">
        <v>213</v>
      </c>
      <c r="C205" s="1" t="s">
        <v>682</v>
      </c>
      <c r="D205" s="2">
        <v>40827</v>
      </c>
      <c r="E205" s="3">
        <v>39.200000000000003</v>
      </c>
      <c r="F205" s="4">
        <f t="shared" si="14"/>
        <v>5711.6828723295475</v>
      </c>
      <c r="G205" s="2">
        <v>40205</v>
      </c>
      <c r="H205" s="7">
        <v>2.7</v>
      </c>
      <c r="I205" s="7">
        <f>H205+H202-2*$A$24</f>
        <v>5.26</v>
      </c>
      <c r="J205" s="7">
        <v>2.78</v>
      </c>
      <c r="K205" s="7">
        <v>4.66</v>
      </c>
      <c r="L205" s="6">
        <f t="shared" si="15"/>
        <v>0.33079847908745247</v>
      </c>
      <c r="M205" s="6">
        <f t="shared" si="16"/>
        <v>0.56273764258555137</v>
      </c>
      <c r="N205" s="6">
        <f t="shared" si="17"/>
        <v>0.10646387832699611</v>
      </c>
      <c r="O205" s="4">
        <f t="shared" si="18"/>
        <v>1889.4160071964664</v>
      </c>
      <c r="P205" s="4">
        <f t="shared" si="19"/>
        <v>3214.1789547710005</v>
      </c>
      <c r="Q205" s="4">
        <f t="shared" si="20"/>
        <v>5103.5949619674666</v>
      </c>
      <c r="V205" s="3"/>
      <c r="W205" s="3"/>
      <c r="Y205" s="7"/>
      <c r="Z205" s="7"/>
      <c r="AA205" s="7"/>
      <c r="AB205" s="7"/>
      <c r="AC205" s="9"/>
      <c r="AD205" s="9"/>
      <c r="AE205" s="9"/>
      <c r="AF205" s="3"/>
      <c r="AG205" s="3"/>
      <c r="AH205" s="3"/>
    </row>
    <row r="206" spans="1:34" x14ac:dyDescent="0.3">
      <c r="A206">
        <v>173</v>
      </c>
      <c r="B206" s="1" t="s">
        <v>214</v>
      </c>
      <c r="C206" s="1" t="s">
        <v>682</v>
      </c>
      <c r="D206" s="2">
        <v>40827</v>
      </c>
      <c r="E206" s="3">
        <v>36.6</v>
      </c>
      <c r="F206" s="4">
        <f t="shared" si="14"/>
        <v>5310.754808937083</v>
      </c>
      <c r="G206" s="2">
        <v>40205</v>
      </c>
      <c r="H206" s="7">
        <v>2.98</v>
      </c>
      <c r="I206" s="7">
        <f>H206+H201-2*$A$24</f>
        <v>5.0999999999999996</v>
      </c>
      <c r="J206" s="7">
        <v>2.76</v>
      </c>
      <c r="K206" s="7">
        <v>4.54</v>
      </c>
      <c r="L206" s="6">
        <f t="shared" si="15"/>
        <v>0.33725490196078428</v>
      </c>
      <c r="M206" s="6">
        <f t="shared" si="16"/>
        <v>0.55686274509803924</v>
      </c>
      <c r="N206" s="6">
        <f t="shared" si="17"/>
        <v>0.10588235294117654</v>
      </c>
      <c r="O206" s="4">
        <f t="shared" si="18"/>
        <v>1791.0780924258395</v>
      </c>
      <c r="P206" s="4">
        <f t="shared" si="19"/>
        <v>2957.3615014473171</v>
      </c>
      <c r="Q206" s="4">
        <f t="shared" si="20"/>
        <v>4748.4395938731568</v>
      </c>
      <c r="V206" s="3"/>
      <c r="W206" s="3"/>
      <c r="Y206" s="7"/>
      <c r="Z206" s="7"/>
      <c r="AA206" s="7"/>
      <c r="AB206" s="7"/>
      <c r="AC206" s="9"/>
      <c r="AD206" s="9"/>
      <c r="AE206" s="9"/>
      <c r="AF206" s="3"/>
      <c r="AG206" s="3"/>
      <c r="AH206" s="3"/>
    </row>
    <row r="207" spans="1:34" x14ac:dyDescent="0.3">
      <c r="A207">
        <v>174</v>
      </c>
      <c r="B207" s="1" t="s">
        <v>215</v>
      </c>
      <c r="C207" s="1" t="s">
        <v>682</v>
      </c>
      <c r="D207" s="2">
        <v>40827</v>
      </c>
      <c r="E207" s="3">
        <v>35.299999999999997</v>
      </c>
      <c r="F207" s="4">
        <f t="shared" si="14"/>
        <v>5110.2907772408525</v>
      </c>
      <c r="G207" s="2">
        <v>40205</v>
      </c>
      <c r="H207" s="7">
        <v>2.96</v>
      </c>
      <c r="I207" s="7">
        <f>H207+H200-2*$A$24</f>
        <v>5.24</v>
      </c>
      <c r="J207" s="7">
        <v>2.82</v>
      </c>
      <c r="K207" s="7">
        <v>4.68</v>
      </c>
      <c r="L207" s="6">
        <f t="shared" si="15"/>
        <v>0.33969465648854957</v>
      </c>
      <c r="M207" s="6">
        <f t="shared" si="16"/>
        <v>0.56870229007633577</v>
      </c>
      <c r="N207" s="6">
        <f t="shared" si="17"/>
        <v>9.1603053435114656E-2</v>
      </c>
      <c r="O207" s="4">
        <f t="shared" si="18"/>
        <v>1735.9384701314343</v>
      </c>
      <c r="P207" s="4">
        <f t="shared" si="19"/>
        <v>2906.2340679728509</v>
      </c>
      <c r="Q207" s="4">
        <f t="shared" si="20"/>
        <v>4642.1725381042852</v>
      </c>
      <c r="V207" s="3"/>
      <c r="W207" s="3"/>
      <c r="Y207" s="7"/>
      <c r="Z207" s="7"/>
      <c r="AA207" s="7"/>
      <c r="AB207" s="7"/>
      <c r="AC207" s="9"/>
      <c r="AD207" s="9"/>
      <c r="AE207" s="9"/>
      <c r="AF207" s="3"/>
      <c r="AG207" s="3"/>
      <c r="AH207" s="3"/>
    </row>
    <row r="208" spans="1:34" x14ac:dyDescent="0.3">
      <c r="A208">
        <v>175</v>
      </c>
      <c r="B208" s="1" t="s">
        <v>216</v>
      </c>
      <c r="C208" s="1" t="s">
        <v>682</v>
      </c>
      <c r="D208" s="2">
        <v>40827</v>
      </c>
      <c r="E208" s="3">
        <v>38.799999999999997</v>
      </c>
      <c r="F208" s="4">
        <f t="shared" si="14"/>
        <v>5650.0016318076287</v>
      </c>
      <c r="G208" s="2">
        <v>40205</v>
      </c>
      <c r="H208" s="7">
        <v>2.68</v>
      </c>
      <c r="I208" s="7">
        <f>H208+H199-2*$A$24</f>
        <v>5.24</v>
      </c>
      <c r="J208" s="7">
        <v>2.8</v>
      </c>
      <c r="K208" s="7">
        <v>4.5999999999999996</v>
      </c>
      <c r="L208" s="6">
        <f t="shared" si="15"/>
        <v>0.3358778625954198</v>
      </c>
      <c r="M208" s="6">
        <f t="shared" si="16"/>
        <v>0.55343511450381666</v>
      </c>
      <c r="N208" s="6">
        <f t="shared" si="17"/>
        <v>0.1106870229007636</v>
      </c>
      <c r="O208" s="4">
        <f t="shared" si="18"/>
        <v>1897.7104717521804</v>
      </c>
      <c r="P208" s="4">
        <f t="shared" si="19"/>
        <v>3126.9093000462058</v>
      </c>
      <c r="Q208" s="4">
        <f t="shared" si="20"/>
        <v>5024.619771798386</v>
      </c>
      <c r="V208" s="3"/>
      <c r="W208" s="3"/>
      <c r="Y208" s="7"/>
      <c r="Z208" s="7"/>
      <c r="AA208" s="7"/>
      <c r="AB208" s="7"/>
      <c r="AC208" s="9"/>
      <c r="AD208" s="9"/>
      <c r="AE208" s="9"/>
      <c r="AF208" s="3"/>
      <c r="AG208" s="3"/>
      <c r="AH208" s="3"/>
    </row>
    <row r="209" spans="1:34" x14ac:dyDescent="0.3">
      <c r="A209">
        <v>176</v>
      </c>
      <c r="B209" s="1" t="s">
        <v>217</v>
      </c>
      <c r="C209" s="1" t="s">
        <v>682</v>
      </c>
      <c r="D209" s="2">
        <v>40827</v>
      </c>
      <c r="E209" s="3">
        <v>41.4</v>
      </c>
      <c r="F209" s="4">
        <f t="shared" si="14"/>
        <v>6050.9296952000905</v>
      </c>
      <c r="G209" s="2">
        <v>40205</v>
      </c>
      <c r="H209" s="7">
        <v>2.86</v>
      </c>
      <c r="I209" s="7">
        <f>H209+H198-2*$A$24</f>
        <v>5.5</v>
      </c>
      <c r="J209" s="7">
        <v>2.86</v>
      </c>
      <c r="K209" s="7">
        <v>4.82</v>
      </c>
      <c r="L209" s="6">
        <f t="shared" si="15"/>
        <v>0.33090909090909087</v>
      </c>
      <c r="M209" s="6">
        <f t="shared" si="16"/>
        <v>0.56727272727272726</v>
      </c>
      <c r="N209" s="6">
        <f t="shared" si="17"/>
        <v>0.10181818181818192</v>
      </c>
      <c r="O209" s="4">
        <f t="shared" si="18"/>
        <v>2002.3076445934844</v>
      </c>
      <c r="P209" s="4">
        <f t="shared" si="19"/>
        <v>3432.5273907316878</v>
      </c>
      <c r="Q209" s="4">
        <f t="shared" si="20"/>
        <v>5434.8350353251717</v>
      </c>
      <c r="V209" s="3"/>
      <c r="W209" s="3"/>
      <c r="Y209" s="7"/>
      <c r="Z209" s="7"/>
      <c r="AA209" s="7"/>
      <c r="AB209" s="7"/>
      <c r="AC209" s="9"/>
      <c r="AD209" s="9"/>
      <c r="AE209" s="9"/>
      <c r="AF209" s="3"/>
      <c r="AG209" s="3"/>
      <c r="AH209" s="3"/>
    </row>
    <row r="210" spans="1:34" x14ac:dyDescent="0.3">
      <c r="A210">
        <v>177</v>
      </c>
      <c r="B210" s="1" t="s">
        <v>218</v>
      </c>
      <c r="C210" s="1" t="s">
        <v>682</v>
      </c>
      <c r="D210" s="2">
        <v>40827</v>
      </c>
      <c r="E210" s="3">
        <v>37.9</v>
      </c>
      <c r="F210" s="4">
        <f t="shared" si="14"/>
        <v>5511.2188406333125</v>
      </c>
      <c r="G210" s="2">
        <v>40205</v>
      </c>
      <c r="H210" s="7">
        <v>2.58</v>
      </c>
      <c r="I210" s="7">
        <f>H210+H197-2*$A$24</f>
        <v>5.42</v>
      </c>
      <c r="J210" s="7">
        <v>2.8</v>
      </c>
      <c r="K210" s="7">
        <v>4.74</v>
      </c>
      <c r="L210" s="6">
        <f t="shared" si="15"/>
        <v>0.32472324723247231</v>
      </c>
      <c r="M210" s="6">
        <f t="shared" si="16"/>
        <v>0.56088560885608862</v>
      </c>
      <c r="N210" s="6">
        <f t="shared" si="17"/>
        <v>0.11439114391143901</v>
      </c>
      <c r="O210" s="4">
        <f t="shared" si="18"/>
        <v>1789.6208781392306</v>
      </c>
      <c r="P210" s="4">
        <f t="shared" si="19"/>
        <v>3091.1633349677622</v>
      </c>
      <c r="Q210" s="4">
        <f t="shared" si="20"/>
        <v>4880.7842131069929</v>
      </c>
      <c r="V210" s="3"/>
      <c r="W210" s="3"/>
      <c r="Y210" s="7"/>
      <c r="Z210" s="7"/>
      <c r="AA210" s="7"/>
      <c r="AB210" s="7"/>
      <c r="AC210" s="9"/>
      <c r="AD210" s="9"/>
      <c r="AE210" s="9"/>
      <c r="AF210" s="3"/>
      <c r="AG210" s="3"/>
      <c r="AH210" s="3"/>
    </row>
    <row r="211" spans="1:34" x14ac:dyDescent="0.3">
      <c r="A211">
        <v>178</v>
      </c>
      <c r="B211" s="1" t="s">
        <v>219</v>
      </c>
      <c r="C211" s="1" t="s">
        <v>682</v>
      </c>
      <c r="D211" s="2">
        <v>40827</v>
      </c>
      <c r="E211" s="3">
        <v>34</v>
      </c>
      <c r="F211" s="4">
        <f t="shared" si="14"/>
        <v>4909.8267455446203</v>
      </c>
      <c r="G211" s="2">
        <v>40205</v>
      </c>
      <c r="H211" s="7">
        <v>2.76</v>
      </c>
      <c r="I211" s="7">
        <f>H211+H196-2*$A$24</f>
        <v>5.9799999999999995</v>
      </c>
      <c r="J211" s="7">
        <v>2.96</v>
      </c>
      <c r="K211" s="7">
        <v>5.0199999999999996</v>
      </c>
      <c r="L211" s="6">
        <f t="shared" si="15"/>
        <v>0.32107023411371238</v>
      </c>
      <c r="M211" s="6">
        <f t="shared" si="16"/>
        <v>0.55518394648829428</v>
      </c>
      <c r="N211" s="6">
        <f t="shared" si="17"/>
        <v>0.12374581939799334</v>
      </c>
      <c r="O211" s="4">
        <f t="shared" si="18"/>
        <v>1576.3992226497778</v>
      </c>
      <c r="P211" s="4">
        <f t="shared" si="19"/>
        <v>2725.8569891652405</v>
      </c>
      <c r="Q211" s="4">
        <f t="shared" si="20"/>
        <v>4302.2562118150181</v>
      </c>
      <c r="V211" s="3"/>
      <c r="W211" s="3"/>
      <c r="Y211" s="7"/>
      <c r="Z211" s="7"/>
      <c r="AA211" s="7"/>
      <c r="AB211" s="7"/>
      <c r="AC211" s="9"/>
      <c r="AD211" s="9"/>
      <c r="AE211" s="9"/>
      <c r="AF211" s="3"/>
      <c r="AG211" s="3"/>
      <c r="AH211" s="3"/>
    </row>
    <row r="212" spans="1:34" x14ac:dyDescent="0.3">
      <c r="A212">
        <v>179</v>
      </c>
      <c r="B212" s="1" t="s">
        <v>220</v>
      </c>
      <c r="C212" s="1" t="s">
        <v>682</v>
      </c>
      <c r="D212" s="2">
        <v>40827</v>
      </c>
      <c r="E212" s="3">
        <v>35.5</v>
      </c>
      <c r="F212" s="4">
        <f t="shared" si="14"/>
        <v>5141.1313975018111</v>
      </c>
      <c r="G212" s="2">
        <v>40205</v>
      </c>
      <c r="H212" s="7">
        <v>3.14</v>
      </c>
      <c r="I212" s="7">
        <f>H212+H195-2*$A$24</f>
        <v>5.3599999999999994</v>
      </c>
      <c r="J212" s="7">
        <v>2.82</v>
      </c>
      <c r="K212" s="7">
        <v>4.78</v>
      </c>
      <c r="L212" s="6">
        <f t="shared" si="15"/>
        <v>0.33208955223880599</v>
      </c>
      <c r="M212" s="6">
        <f t="shared" si="16"/>
        <v>0.5746268656716419</v>
      </c>
      <c r="N212" s="6">
        <f t="shared" si="17"/>
        <v>9.3283582089552119E-2</v>
      </c>
      <c r="O212" s="4">
        <f t="shared" si="18"/>
        <v>1707.3160237972434</v>
      </c>
      <c r="P212" s="4">
        <f t="shared" si="19"/>
        <v>2954.2322209525337</v>
      </c>
      <c r="Q212" s="4">
        <f t="shared" si="20"/>
        <v>4661.548244749777</v>
      </c>
      <c r="V212" s="3"/>
      <c r="W212" s="3"/>
      <c r="Y212" s="7"/>
      <c r="Z212" s="7"/>
      <c r="AA212" s="7"/>
      <c r="AB212" s="7"/>
      <c r="AC212" s="9"/>
      <c r="AD212" s="9"/>
      <c r="AE212" s="9"/>
      <c r="AF212" s="3"/>
      <c r="AG212" s="3"/>
      <c r="AH212" s="3"/>
    </row>
    <row r="213" spans="1:34" x14ac:dyDescent="0.3">
      <c r="A213">
        <v>180</v>
      </c>
      <c r="B213" s="1" t="s">
        <v>221</v>
      </c>
      <c r="C213" s="1" t="s">
        <v>682</v>
      </c>
      <c r="D213" s="2">
        <v>40827</v>
      </c>
      <c r="E213" s="3">
        <v>32.5</v>
      </c>
      <c r="F213" s="4">
        <f t="shared" si="14"/>
        <v>4678.5220935874313</v>
      </c>
      <c r="G213" s="2">
        <v>40205</v>
      </c>
      <c r="H213" s="7">
        <v>2.78</v>
      </c>
      <c r="I213" s="7">
        <f>H213+H194-2*$A$24</f>
        <v>5.58</v>
      </c>
      <c r="J213" s="7">
        <v>2.88</v>
      </c>
      <c r="K213" s="7">
        <v>4.9000000000000004</v>
      </c>
      <c r="L213" s="6">
        <f t="shared" si="15"/>
        <v>0.32974910394265228</v>
      </c>
      <c r="M213" s="6">
        <f t="shared" si="16"/>
        <v>0.57347670250896055</v>
      </c>
      <c r="N213" s="6">
        <f t="shared" si="17"/>
        <v>9.6774193548387122E-2</v>
      </c>
      <c r="O213" s="4">
        <f t="shared" si="18"/>
        <v>1542.7384681363571</v>
      </c>
      <c r="P213" s="4">
        <f t="shared" si="19"/>
        <v>2683.0234228458385</v>
      </c>
      <c r="Q213" s="4">
        <f t="shared" si="20"/>
        <v>4225.7618909821958</v>
      </c>
      <c r="V213" s="3"/>
      <c r="W213" s="3"/>
      <c r="Y213" s="7"/>
      <c r="Z213" s="7"/>
      <c r="AA213" s="7"/>
      <c r="AB213" s="7"/>
      <c r="AC213" s="9"/>
      <c r="AD213" s="9"/>
      <c r="AE213" s="9"/>
      <c r="AF213" s="3"/>
      <c r="AG213" s="3"/>
      <c r="AH213" s="3"/>
    </row>
    <row r="214" spans="1:34" x14ac:dyDescent="0.3">
      <c r="A214">
        <v>181</v>
      </c>
      <c r="B214" s="1" t="s">
        <v>222</v>
      </c>
      <c r="C214" s="1" t="s">
        <v>682</v>
      </c>
      <c r="D214" s="2">
        <v>40827</v>
      </c>
      <c r="E214" s="3">
        <v>30.5</v>
      </c>
      <c r="F214" s="4">
        <f t="shared" si="14"/>
        <v>4370.1158909778433</v>
      </c>
      <c r="G214" s="2">
        <v>40205</v>
      </c>
      <c r="H214" s="7">
        <v>2.48</v>
      </c>
      <c r="I214" s="7">
        <f>H214+H233-2*$A$24</f>
        <v>5.0599999999999996</v>
      </c>
      <c r="J214" s="7">
        <v>2.76</v>
      </c>
      <c r="K214" s="7">
        <v>4.5599999999999996</v>
      </c>
      <c r="L214" s="6">
        <f t="shared" si="15"/>
        <v>0.33992094861660077</v>
      </c>
      <c r="M214" s="6">
        <f t="shared" si="16"/>
        <v>0.56521739130434778</v>
      </c>
      <c r="N214" s="6">
        <f t="shared" si="17"/>
        <v>9.4861660079051391E-2</v>
      </c>
      <c r="O214" s="4">
        <f t="shared" si="18"/>
        <v>1485.4939392256699</v>
      </c>
      <c r="P214" s="4">
        <f t="shared" si="19"/>
        <v>2470.0655035961722</v>
      </c>
      <c r="Q214" s="4">
        <f t="shared" si="20"/>
        <v>3955.5594428218419</v>
      </c>
      <c r="V214" s="3"/>
      <c r="W214" s="3"/>
      <c r="Y214" s="7"/>
      <c r="Z214" s="7"/>
      <c r="AA214" s="7"/>
      <c r="AB214" s="7"/>
      <c r="AC214" s="9"/>
      <c r="AD214" s="9"/>
      <c r="AE214" s="9"/>
      <c r="AF214" s="3"/>
      <c r="AG214" s="3"/>
      <c r="AH214" s="3"/>
    </row>
    <row r="215" spans="1:34" x14ac:dyDescent="0.3">
      <c r="A215">
        <v>182</v>
      </c>
      <c r="B215" s="1" t="s">
        <v>223</v>
      </c>
      <c r="C215" s="1" t="s">
        <v>682</v>
      </c>
      <c r="D215" s="2">
        <v>40827</v>
      </c>
      <c r="E215" s="3">
        <v>36</v>
      </c>
      <c r="F215" s="4">
        <f t="shared" si="14"/>
        <v>5218.2329481542074</v>
      </c>
      <c r="G215" s="2">
        <v>40205</v>
      </c>
      <c r="H215" s="7">
        <v>2.72</v>
      </c>
      <c r="I215" s="7">
        <f>H215+H232-2*$A$24</f>
        <v>5.6999999999999993</v>
      </c>
      <c r="J215" s="7">
        <v>2.92</v>
      </c>
      <c r="K215" s="7">
        <v>4.88</v>
      </c>
      <c r="L215" s="6">
        <f t="shared" si="15"/>
        <v>0.3298245614035088</v>
      </c>
      <c r="M215" s="6">
        <f t="shared" si="16"/>
        <v>0.55789473684210533</v>
      </c>
      <c r="N215" s="6">
        <f t="shared" si="17"/>
        <v>0.11228070175438587</v>
      </c>
      <c r="O215" s="4">
        <f t="shared" si="18"/>
        <v>1721.1013934263001</v>
      </c>
      <c r="P215" s="4">
        <f t="shared" si="19"/>
        <v>2911.2246973912952</v>
      </c>
      <c r="Q215" s="4">
        <f t="shared" si="20"/>
        <v>4632.3260908175953</v>
      </c>
      <c r="V215" s="3"/>
      <c r="W215" s="3"/>
      <c r="Y215" s="7"/>
      <c r="Z215" s="7"/>
      <c r="AA215" s="7"/>
      <c r="AB215" s="7"/>
      <c r="AC215" s="9"/>
      <c r="AD215" s="9"/>
      <c r="AE215" s="9"/>
      <c r="AF215" s="3"/>
      <c r="AG215" s="3"/>
      <c r="AH215" s="3"/>
    </row>
    <row r="216" spans="1:34" x14ac:dyDescent="0.3">
      <c r="A216">
        <v>183</v>
      </c>
      <c r="B216" s="1" t="s">
        <v>224</v>
      </c>
      <c r="C216" s="1" t="s">
        <v>682</v>
      </c>
      <c r="D216" s="2">
        <v>40827</v>
      </c>
      <c r="E216" s="3">
        <v>32.299999999999997</v>
      </c>
      <c r="F216" s="4">
        <f t="shared" si="14"/>
        <v>4647.6814733264719</v>
      </c>
      <c r="G216" s="2">
        <v>40205</v>
      </c>
      <c r="H216" s="7">
        <v>2.6</v>
      </c>
      <c r="I216" s="7">
        <f>H216+H231-2*$A$24</f>
        <v>5.0599999999999996</v>
      </c>
      <c r="J216" s="7">
        <v>2.72</v>
      </c>
      <c r="K216" s="7">
        <v>4.5599999999999996</v>
      </c>
      <c r="L216" s="6">
        <f t="shared" si="15"/>
        <v>0.33201581027667992</v>
      </c>
      <c r="M216" s="6">
        <f t="shared" si="16"/>
        <v>0.56521739130434778</v>
      </c>
      <c r="N216" s="6">
        <f t="shared" si="17"/>
        <v>0.10276679841897229</v>
      </c>
      <c r="O216" s="4">
        <f t="shared" si="18"/>
        <v>1543.1037302744021</v>
      </c>
      <c r="P216" s="4">
        <f t="shared" si="19"/>
        <v>2626.9503979671363</v>
      </c>
      <c r="Q216" s="4">
        <f t="shared" si="20"/>
        <v>4170.0541282415379</v>
      </c>
      <c r="V216" s="3"/>
      <c r="W216" s="3"/>
      <c r="Y216" s="7"/>
      <c r="Z216" s="7"/>
      <c r="AA216" s="7"/>
      <c r="AB216" s="7"/>
      <c r="AC216" s="9"/>
      <c r="AD216" s="9"/>
      <c r="AE216" s="9"/>
      <c r="AF216" s="3"/>
      <c r="AG216" s="3"/>
      <c r="AH216" s="3"/>
    </row>
    <row r="217" spans="1:34" x14ac:dyDescent="0.3">
      <c r="A217">
        <v>184</v>
      </c>
      <c r="B217" s="1" t="s">
        <v>225</v>
      </c>
      <c r="C217" s="1" t="s">
        <v>682</v>
      </c>
      <c r="D217" s="2">
        <v>40827</v>
      </c>
      <c r="E217" s="3">
        <v>37.299999999999997</v>
      </c>
      <c r="F217" s="4">
        <f t="shared" si="14"/>
        <v>5418.6969798504388</v>
      </c>
      <c r="G217" s="2">
        <v>40205</v>
      </c>
      <c r="H217" s="7">
        <v>2.3199999999999998</v>
      </c>
      <c r="I217" s="7">
        <f>H217+H230-2*$A$24</f>
        <v>5.18</v>
      </c>
      <c r="J217" s="7">
        <v>2.74</v>
      </c>
      <c r="K217" s="7">
        <v>4.5999999999999996</v>
      </c>
      <c r="L217" s="6">
        <f t="shared" si="15"/>
        <v>0.32818532818532825</v>
      </c>
      <c r="M217" s="6">
        <f t="shared" si="16"/>
        <v>0.55984555984555973</v>
      </c>
      <c r="N217" s="6">
        <f t="shared" si="17"/>
        <v>0.11196911196911208</v>
      </c>
      <c r="O217" s="4">
        <f t="shared" si="18"/>
        <v>1778.3368466690633</v>
      </c>
      <c r="P217" s="4">
        <f t="shared" si="19"/>
        <v>3033.6334443178125</v>
      </c>
      <c r="Q217" s="4">
        <f t="shared" si="20"/>
        <v>4811.9702909868756</v>
      </c>
      <c r="V217" s="3"/>
      <c r="W217" s="3"/>
      <c r="Y217" s="7"/>
      <c r="Z217" s="7"/>
      <c r="AA217" s="7"/>
      <c r="AB217" s="7"/>
      <c r="AC217" s="9"/>
      <c r="AD217" s="9"/>
      <c r="AE217" s="9"/>
      <c r="AF217" s="3"/>
      <c r="AG217" s="3"/>
      <c r="AH217" s="3"/>
    </row>
    <row r="218" spans="1:34" x14ac:dyDescent="0.3">
      <c r="A218">
        <v>185</v>
      </c>
      <c r="B218" s="1" t="s">
        <v>226</v>
      </c>
      <c r="C218" s="1" t="s">
        <v>682</v>
      </c>
      <c r="D218" s="2">
        <v>40827</v>
      </c>
      <c r="E218" s="3">
        <v>36</v>
      </c>
      <c r="F218" s="4">
        <f t="shared" si="14"/>
        <v>5218.2329481542074</v>
      </c>
      <c r="G218" s="2">
        <v>40205</v>
      </c>
      <c r="H218" s="7">
        <v>2.52</v>
      </c>
      <c r="I218" s="7">
        <f>H218+H229-2*$A$24</f>
        <v>5.7799999999999994</v>
      </c>
      <c r="J218" s="7">
        <v>2.98</v>
      </c>
      <c r="K218" s="7">
        <v>4.92</v>
      </c>
      <c r="L218" s="6">
        <f t="shared" si="15"/>
        <v>0.33564013840830453</v>
      </c>
      <c r="M218" s="6">
        <f t="shared" si="16"/>
        <v>0.55709342560553632</v>
      </c>
      <c r="N218" s="6">
        <f t="shared" si="17"/>
        <v>0.10726643598615915</v>
      </c>
      <c r="O218" s="4">
        <f t="shared" si="18"/>
        <v>1751.4484289652532</v>
      </c>
      <c r="P218" s="4">
        <f t="shared" si="19"/>
        <v>2907.0432686949043</v>
      </c>
      <c r="Q218" s="4">
        <f t="shared" si="20"/>
        <v>4658.491697660158</v>
      </c>
      <c r="V218" s="3"/>
      <c r="W218" s="3"/>
      <c r="Y218" s="7"/>
      <c r="Z218" s="7"/>
      <c r="AA218" s="7"/>
      <c r="AB218" s="7"/>
      <c r="AC218" s="9"/>
      <c r="AD218" s="9"/>
      <c r="AE218" s="9"/>
      <c r="AF218" s="3"/>
      <c r="AG218" s="3"/>
      <c r="AH218" s="3"/>
    </row>
    <row r="219" spans="1:34" x14ac:dyDescent="0.3">
      <c r="A219">
        <v>186</v>
      </c>
      <c r="B219" s="1" t="s">
        <v>227</v>
      </c>
      <c r="C219" s="1" t="s">
        <v>682</v>
      </c>
      <c r="D219" s="2">
        <v>40827</v>
      </c>
      <c r="E219" s="3">
        <v>38.299999999999997</v>
      </c>
      <c r="F219" s="4">
        <f t="shared" si="14"/>
        <v>5572.9000811552323</v>
      </c>
      <c r="G219" s="2">
        <v>40205</v>
      </c>
      <c r="H219" s="7">
        <v>2.58</v>
      </c>
      <c r="I219" s="7">
        <f>H219+H228-2*$A$24</f>
        <v>5.08</v>
      </c>
      <c r="J219" s="7">
        <v>2.72</v>
      </c>
      <c r="K219" s="7">
        <v>4.58</v>
      </c>
      <c r="L219" s="6">
        <f t="shared" si="15"/>
        <v>0.33070866141732286</v>
      </c>
      <c r="M219" s="6">
        <f t="shared" si="16"/>
        <v>0.56692913385826771</v>
      </c>
      <c r="N219" s="6">
        <f t="shared" si="17"/>
        <v>0.10236220472440938</v>
      </c>
      <c r="O219" s="4">
        <f t="shared" si="18"/>
        <v>1843.0063260513368</v>
      </c>
      <c r="P219" s="4">
        <f t="shared" si="19"/>
        <v>3159.4394160880056</v>
      </c>
      <c r="Q219" s="4">
        <f t="shared" si="20"/>
        <v>5002.4457421393427</v>
      </c>
      <c r="V219" s="3"/>
      <c r="W219" s="3"/>
      <c r="Y219" s="7"/>
      <c r="Z219" s="7"/>
      <c r="AA219" s="7"/>
      <c r="AB219" s="7"/>
      <c r="AC219" s="9"/>
      <c r="AD219" s="9"/>
      <c r="AE219" s="9"/>
      <c r="AF219" s="3"/>
      <c r="AG219" s="3"/>
      <c r="AH219" s="3"/>
    </row>
    <row r="220" spans="1:34" x14ac:dyDescent="0.3">
      <c r="A220">
        <v>187</v>
      </c>
      <c r="B220" s="1" t="s">
        <v>228</v>
      </c>
      <c r="C220" s="1" t="s">
        <v>682</v>
      </c>
      <c r="D220" s="2">
        <v>40827</v>
      </c>
      <c r="E220" s="3">
        <v>35.799999999999997</v>
      </c>
      <c r="F220" s="4">
        <f t="shared" si="14"/>
        <v>5187.3923278932489</v>
      </c>
      <c r="G220" s="2">
        <v>40205</v>
      </c>
      <c r="H220" s="7">
        <v>2.44</v>
      </c>
      <c r="I220" s="7">
        <f>H220+H227-2*$A$24</f>
        <v>4.92</v>
      </c>
      <c r="J220" s="7">
        <v>2.72</v>
      </c>
      <c r="K220" s="7">
        <v>4.5</v>
      </c>
      <c r="L220" s="6">
        <f t="shared" si="15"/>
        <v>0.34146341463414637</v>
      </c>
      <c r="M220" s="6">
        <f t="shared" si="16"/>
        <v>0.56910569105691056</v>
      </c>
      <c r="N220" s="6">
        <f t="shared" si="17"/>
        <v>8.9430894308943021E-2</v>
      </c>
      <c r="O220" s="4">
        <f t="shared" si="18"/>
        <v>1771.3046973294022</v>
      </c>
      <c r="P220" s="4">
        <f t="shared" si="19"/>
        <v>2952.1744955490035</v>
      </c>
      <c r="Q220" s="4">
        <f t="shared" si="20"/>
        <v>4723.4791928784052</v>
      </c>
      <c r="V220" s="3"/>
      <c r="W220" s="3"/>
      <c r="Y220" s="7"/>
      <c r="Z220" s="7"/>
      <c r="AA220" s="7"/>
      <c r="AB220" s="7"/>
      <c r="AC220" s="9"/>
      <c r="AD220" s="9"/>
      <c r="AE220" s="9"/>
      <c r="AF220" s="3"/>
      <c r="AG220" s="3"/>
      <c r="AH220" s="3"/>
    </row>
    <row r="221" spans="1:34" x14ac:dyDescent="0.3">
      <c r="A221">
        <v>188</v>
      </c>
      <c r="B221" s="1" t="s">
        <v>229</v>
      </c>
      <c r="C221" s="1" t="s">
        <v>682</v>
      </c>
      <c r="D221" s="2">
        <v>40827</v>
      </c>
      <c r="E221" s="3">
        <v>33.9</v>
      </c>
      <c r="F221" s="4">
        <f t="shared" si="14"/>
        <v>4894.406435414141</v>
      </c>
      <c r="G221" s="2">
        <v>40205</v>
      </c>
      <c r="H221" s="7">
        <v>2.72</v>
      </c>
      <c r="I221" s="7">
        <f>H221+H226-2*$A$24</f>
        <v>5.4</v>
      </c>
      <c r="J221" s="7">
        <v>2.84</v>
      </c>
      <c r="K221" s="7">
        <v>4.8</v>
      </c>
      <c r="L221" s="6">
        <f t="shared" si="15"/>
        <v>0.33333333333333326</v>
      </c>
      <c r="M221" s="6">
        <f t="shared" si="16"/>
        <v>0.57407407407407396</v>
      </c>
      <c r="N221" s="6">
        <f t="shared" si="17"/>
        <v>9.2592592592592782E-2</v>
      </c>
      <c r="O221" s="4">
        <f t="shared" si="18"/>
        <v>1631.4688118047134</v>
      </c>
      <c r="P221" s="4">
        <f t="shared" si="19"/>
        <v>2809.7518425525618</v>
      </c>
      <c r="Q221" s="4">
        <f t="shared" si="20"/>
        <v>4441.2206543572756</v>
      </c>
      <c r="V221" s="3"/>
      <c r="W221" s="3"/>
      <c r="Y221" s="7"/>
      <c r="Z221" s="7"/>
      <c r="AA221" s="7"/>
      <c r="AB221" s="7"/>
      <c r="AC221" s="9"/>
      <c r="AD221" s="9"/>
      <c r="AE221" s="9"/>
      <c r="AF221" s="3"/>
      <c r="AG221" s="3"/>
      <c r="AH221" s="3"/>
    </row>
    <row r="222" spans="1:34" x14ac:dyDescent="0.3">
      <c r="A222">
        <v>189</v>
      </c>
      <c r="B222" s="1" t="s">
        <v>230</v>
      </c>
      <c r="C222" s="1" t="s">
        <v>682</v>
      </c>
      <c r="D222" s="2">
        <v>40827</v>
      </c>
      <c r="E222" s="3">
        <v>37.299999999999997</v>
      </c>
      <c r="F222" s="4">
        <f t="shared" si="14"/>
        <v>5418.6969798504388</v>
      </c>
      <c r="G222" s="2">
        <v>40205</v>
      </c>
      <c r="H222" s="7">
        <v>2.2400000000000002</v>
      </c>
      <c r="I222" s="7">
        <f>H222+H225-2*$A$24</f>
        <v>5.18</v>
      </c>
      <c r="J222" s="7">
        <v>2.76</v>
      </c>
      <c r="K222" s="7">
        <v>4.6399999999999997</v>
      </c>
      <c r="L222" s="6">
        <f t="shared" si="15"/>
        <v>0.33204633204633199</v>
      </c>
      <c r="M222" s="6">
        <f t="shared" si="16"/>
        <v>0.56756756756756754</v>
      </c>
      <c r="N222" s="6">
        <f t="shared" si="17"/>
        <v>0.10038610038610041</v>
      </c>
      <c r="O222" s="4">
        <f t="shared" si="18"/>
        <v>1799.2584566298751</v>
      </c>
      <c r="P222" s="4">
        <f t="shared" si="19"/>
        <v>3075.4766642394379</v>
      </c>
      <c r="Q222" s="4">
        <f t="shared" si="20"/>
        <v>4874.7351208693126</v>
      </c>
      <c r="V222" s="3"/>
      <c r="W222" s="3"/>
      <c r="Y222" s="7"/>
      <c r="Z222" s="7"/>
      <c r="AA222" s="7"/>
      <c r="AB222" s="7"/>
      <c r="AC222" s="9"/>
      <c r="AD222" s="9"/>
      <c r="AE222" s="9"/>
      <c r="AF222" s="3"/>
      <c r="AG222" s="3"/>
      <c r="AH222" s="3"/>
    </row>
    <row r="223" spans="1:34" x14ac:dyDescent="0.3">
      <c r="A223">
        <v>190</v>
      </c>
      <c r="B223" s="1" t="s">
        <v>231</v>
      </c>
      <c r="C223" s="1" t="s">
        <v>682</v>
      </c>
      <c r="D223" s="2">
        <v>40827</v>
      </c>
      <c r="E223" s="3">
        <v>36.5</v>
      </c>
      <c r="F223" s="4">
        <f t="shared" si="14"/>
        <v>5295.3344988066046</v>
      </c>
      <c r="G223" s="2">
        <v>40205</v>
      </c>
      <c r="H223" s="7">
        <v>2.48</v>
      </c>
      <c r="I223" s="7">
        <f>H223+H224-2*$A$24</f>
        <v>5.88</v>
      </c>
      <c r="J223" s="7">
        <v>2.96</v>
      </c>
      <c r="K223" s="7">
        <v>5</v>
      </c>
      <c r="L223" s="6">
        <f t="shared" si="15"/>
        <v>0.32653061224489793</v>
      </c>
      <c r="M223" s="6">
        <f t="shared" si="16"/>
        <v>0.56122448979591832</v>
      </c>
      <c r="N223" s="6">
        <f t="shared" si="17"/>
        <v>0.1122448979591838</v>
      </c>
      <c r="O223" s="4">
        <f t="shared" si="18"/>
        <v>1729.0888159368503</v>
      </c>
      <c r="P223" s="4">
        <f t="shared" si="19"/>
        <v>2971.8714023914617</v>
      </c>
      <c r="Q223" s="4">
        <f t="shared" si="20"/>
        <v>4700.9602183283123</v>
      </c>
      <c r="V223" s="3"/>
      <c r="W223" s="3"/>
      <c r="Y223" s="7"/>
      <c r="Z223" s="7"/>
      <c r="AA223" s="7"/>
      <c r="AB223" s="7"/>
      <c r="AC223" s="9"/>
      <c r="AD223" s="9"/>
      <c r="AE223" s="9"/>
      <c r="AF223" s="3"/>
      <c r="AG223" s="3"/>
      <c r="AH223" s="3"/>
    </row>
    <row r="224" spans="1:34" x14ac:dyDescent="0.3">
      <c r="A224">
        <v>191</v>
      </c>
      <c r="B224" s="1" t="s">
        <v>232</v>
      </c>
      <c r="C224" s="1" t="s">
        <v>682</v>
      </c>
      <c r="D224" s="2">
        <v>40827</v>
      </c>
      <c r="E224" s="3">
        <v>32.099999999999994</v>
      </c>
      <c r="F224" s="4">
        <f t="shared" si="14"/>
        <v>4616.8408530655124</v>
      </c>
      <c r="G224" s="2">
        <v>40205</v>
      </c>
      <c r="H224" s="7">
        <v>3.72</v>
      </c>
      <c r="I224" s="7">
        <f>H224+H223-2*$A$24</f>
        <v>5.88</v>
      </c>
      <c r="J224" s="7">
        <v>2.96</v>
      </c>
      <c r="K224" s="7">
        <v>5</v>
      </c>
      <c r="L224" s="6">
        <f t="shared" si="15"/>
        <v>0.32653061224489793</v>
      </c>
      <c r="M224" s="6">
        <f t="shared" si="16"/>
        <v>0.56122448979591832</v>
      </c>
      <c r="N224" s="6">
        <f t="shared" si="17"/>
        <v>0.1122448979591838</v>
      </c>
      <c r="O224" s="4">
        <f t="shared" si="18"/>
        <v>1507.5398703887386</v>
      </c>
      <c r="P224" s="4">
        <f t="shared" si="19"/>
        <v>2591.0841522306446</v>
      </c>
      <c r="Q224" s="4">
        <f t="shared" si="20"/>
        <v>4098.6240226193831</v>
      </c>
      <c r="V224" s="3"/>
      <c r="W224" s="3"/>
      <c r="Y224" s="7"/>
      <c r="Z224" s="7"/>
      <c r="AA224" s="7"/>
      <c r="AB224" s="7"/>
      <c r="AC224" s="9"/>
      <c r="AD224" s="9"/>
      <c r="AE224" s="9"/>
      <c r="AF224" s="3"/>
      <c r="AG224" s="3"/>
      <c r="AH224" s="3"/>
    </row>
    <row r="225" spans="1:34" x14ac:dyDescent="0.3">
      <c r="A225">
        <v>192</v>
      </c>
      <c r="B225" s="1" t="s">
        <v>233</v>
      </c>
      <c r="C225" s="1" t="s">
        <v>682</v>
      </c>
      <c r="D225" s="2">
        <v>40827</v>
      </c>
      <c r="E225" s="3">
        <v>34</v>
      </c>
      <c r="F225" s="4">
        <f t="shared" si="14"/>
        <v>4909.8267455446203</v>
      </c>
      <c r="G225" s="2">
        <v>40205</v>
      </c>
      <c r="H225" s="7">
        <v>3.26</v>
      </c>
      <c r="I225" s="7">
        <f>H225+H222-2*$A$24</f>
        <v>5.18</v>
      </c>
      <c r="J225" s="7">
        <v>2.76</v>
      </c>
      <c r="K225" s="7">
        <v>4.6399999999999997</v>
      </c>
      <c r="L225" s="6">
        <f t="shared" si="15"/>
        <v>0.33204633204633199</v>
      </c>
      <c r="M225" s="6">
        <f t="shared" si="16"/>
        <v>0.56756756756756754</v>
      </c>
      <c r="N225" s="6">
        <f t="shared" si="17"/>
        <v>0.10038610038610041</v>
      </c>
      <c r="O225" s="4">
        <f t="shared" si="18"/>
        <v>1630.2899618410706</v>
      </c>
      <c r="P225" s="4">
        <f t="shared" si="19"/>
        <v>2786.6584231469465</v>
      </c>
      <c r="Q225" s="4">
        <f t="shared" si="20"/>
        <v>4416.9483849880171</v>
      </c>
      <c r="V225" s="3"/>
      <c r="W225" s="3"/>
      <c r="Y225" s="7"/>
      <c r="Z225" s="7"/>
      <c r="AA225" s="7"/>
      <c r="AB225" s="7"/>
      <c r="AC225" s="9"/>
      <c r="AD225" s="9"/>
      <c r="AE225" s="9"/>
      <c r="AF225" s="3"/>
      <c r="AG225" s="3"/>
      <c r="AH225" s="3"/>
    </row>
    <row r="226" spans="1:34" x14ac:dyDescent="0.3">
      <c r="A226">
        <v>193</v>
      </c>
      <c r="B226" s="1" t="s">
        <v>234</v>
      </c>
      <c r="C226" s="1" t="s">
        <v>682</v>
      </c>
      <c r="D226" s="2">
        <v>40827</v>
      </c>
      <c r="E226" s="3">
        <v>36</v>
      </c>
      <c r="F226" s="4">
        <f t="shared" si="14"/>
        <v>5218.2329481542074</v>
      </c>
      <c r="G226" s="2">
        <v>40205</v>
      </c>
      <c r="H226" s="7">
        <v>3</v>
      </c>
      <c r="I226" s="7">
        <f>H226+H221-2*$A$24</f>
        <v>5.4</v>
      </c>
      <c r="J226" s="7">
        <v>2.84</v>
      </c>
      <c r="K226" s="7">
        <v>4.8</v>
      </c>
      <c r="L226" s="6">
        <f t="shared" si="15"/>
        <v>0.33333333333333326</v>
      </c>
      <c r="M226" s="6">
        <f t="shared" si="16"/>
        <v>0.57407407407407396</v>
      </c>
      <c r="N226" s="6">
        <f t="shared" si="17"/>
        <v>9.2592592592592782E-2</v>
      </c>
      <c r="O226" s="4">
        <f t="shared" si="18"/>
        <v>1739.4109827180687</v>
      </c>
      <c r="P226" s="4">
        <f t="shared" si="19"/>
        <v>2995.6522480144517</v>
      </c>
      <c r="Q226" s="4">
        <f t="shared" si="20"/>
        <v>4735.0632307325204</v>
      </c>
      <c r="V226" s="3"/>
      <c r="W226" s="3"/>
      <c r="Y226" s="7"/>
      <c r="Z226" s="7"/>
      <c r="AA226" s="7"/>
      <c r="AB226" s="7"/>
      <c r="AC226" s="9"/>
      <c r="AD226" s="9"/>
      <c r="AE226" s="9"/>
      <c r="AF226" s="3"/>
      <c r="AG226" s="3"/>
      <c r="AH226" s="3"/>
    </row>
    <row r="227" spans="1:34" x14ac:dyDescent="0.3">
      <c r="A227">
        <v>194</v>
      </c>
      <c r="B227" s="1" t="s">
        <v>235</v>
      </c>
      <c r="C227" s="1" t="s">
        <v>682</v>
      </c>
      <c r="D227" s="2">
        <v>40827</v>
      </c>
      <c r="E227" s="3">
        <v>34.200000000000003</v>
      </c>
      <c r="F227" s="4">
        <f t="shared" ref="F227:F290" si="21">(E227-2*$A$20)*$A$21/$A$22*$A$23</f>
        <v>4940.6673658055806</v>
      </c>
      <c r="G227" s="2">
        <v>40205</v>
      </c>
      <c r="H227" s="7">
        <v>2.8</v>
      </c>
      <c r="I227" s="7">
        <f>H227+H220-2*$A$24</f>
        <v>4.92</v>
      </c>
      <c r="J227" s="7">
        <v>2.72</v>
      </c>
      <c r="K227" s="7">
        <v>4.5</v>
      </c>
      <c r="L227" s="6">
        <f t="shared" ref="L227:L290" si="22">(J227-$A$25)/I227</f>
        <v>0.34146341463414637</v>
      </c>
      <c r="M227" s="6">
        <f t="shared" ref="M227:M290" si="23">(K227-$A$26)/I227</f>
        <v>0.56910569105691056</v>
      </c>
      <c r="N227" s="6">
        <f t="shared" ref="N227:N290" si="24">1-L227-M227</f>
        <v>8.9430894308943021E-2</v>
      </c>
      <c r="O227" s="4">
        <f t="shared" ref="O227:O290" si="25">F227*L227</f>
        <v>1687.0571492994666</v>
      </c>
      <c r="P227" s="4">
        <f t="shared" ref="P227:P290" si="26">F227*M227</f>
        <v>2811.7619154991107</v>
      </c>
      <c r="Q227" s="4">
        <f t="shared" ref="Q227:Q290" si="27">O227+P227</f>
        <v>4498.8190647985775</v>
      </c>
      <c r="V227" s="3"/>
      <c r="W227" s="3"/>
      <c r="Y227" s="7"/>
      <c r="Z227" s="7"/>
      <c r="AA227" s="7"/>
      <c r="AB227" s="7"/>
      <c r="AC227" s="9"/>
      <c r="AD227" s="9"/>
      <c r="AE227" s="9"/>
      <c r="AF227" s="3"/>
      <c r="AG227" s="3"/>
      <c r="AH227" s="3"/>
    </row>
    <row r="228" spans="1:34" x14ac:dyDescent="0.3">
      <c r="A228">
        <v>195</v>
      </c>
      <c r="B228" s="1" t="s">
        <v>236</v>
      </c>
      <c r="C228" s="1" t="s">
        <v>682</v>
      </c>
      <c r="D228" s="2">
        <v>40827</v>
      </c>
      <c r="E228" s="3">
        <v>37.299999999999997</v>
      </c>
      <c r="F228" s="4">
        <f t="shared" si="21"/>
        <v>5418.6969798504388</v>
      </c>
      <c r="G228" s="2">
        <v>40205</v>
      </c>
      <c r="H228" s="7">
        <v>2.82</v>
      </c>
      <c r="I228" s="7">
        <f>H228+H219-2*$A$24</f>
        <v>5.08</v>
      </c>
      <c r="J228" s="7">
        <v>2.72</v>
      </c>
      <c r="K228" s="7">
        <v>4.58</v>
      </c>
      <c r="L228" s="6">
        <f t="shared" si="22"/>
        <v>0.33070866141732286</v>
      </c>
      <c r="M228" s="6">
        <f t="shared" si="23"/>
        <v>0.56692913385826771</v>
      </c>
      <c r="N228" s="6">
        <f t="shared" si="24"/>
        <v>0.10236220472440938</v>
      </c>
      <c r="O228" s="4">
        <f t="shared" si="25"/>
        <v>1792.0100248324286</v>
      </c>
      <c r="P228" s="4">
        <f t="shared" si="26"/>
        <v>3072.0171854270202</v>
      </c>
      <c r="Q228" s="4">
        <f t="shared" si="27"/>
        <v>4864.027210259449</v>
      </c>
      <c r="V228" s="3"/>
      <c r="W228" s="3"/>
      <c r="Y228" s="7"/>
      <c r="Z228" s="7"/>
      <c r="AA228" s="7"/>
      <c r="AB228" s="7"/>
      <c r="AC228" s="9"/>
      <c r="AD228" s="9"/>
      <c r="AE228" s="9"/>
      <c r="AF228" s="3"/>
      <c r="AG228" s="3"/>
      <c r="AH228" s="3"/>
    </row>
    <row r="229" spans="1:34" x14ac:dyDescent="0.3">
      <c r="A229">
        <v>196</v>
      </c>
      <c r="B229" s="1" t="s">
        <v>237</v>
      </c>
      <c r="C229" s="1" t="s">
        <v>682</v>
      </c>
      <c r="D229" s="2">
        <v>40827</v>
      </c>
      <c r="E229" s="3">
        <v>37.299999999999997</v>
      </c>
      <c r="F229" s="4">
        <f t="shared" si="21"/>
        <v>5418.6969798504388</v>
      </c>
      <c r="G229" s="2">
        <v>40205</v>
      </c>
      <c r="H229" s="7">
        <v>3.58</v>
      </c>
      <c r="I229" s="7">
        <f>H229+H218-2*$A$24</f>
        <v>5.7799999999999994</v>
      </c>
      <c r="J229" s="7">
        <v>2.98</v>
      </c>
      <c r="K229" s="7">
        <v>4.92</v>
      </c>
      <c r="L229" s="6">
        <f t="shared" si="22"/>
        <v>0.33564013840830453</v>
      </c>
      <c r="M229" s="6">
        <f t="shared" si="23"/>
        <v>0.55709342560553632</v>
      </c>
      <c r="N229" s="6">
        <f t="shared" si="24"/>
        <v>0.10726643598615915</v>
      </c>
      <c r="O229" s="4">
        <f t="shared" si="25"/>
        <v>1818.7322043096631</v>
      </c>
      <c r="P229" s="4">
        <f t="shared" si="26"/>
        <v>3018.7204628232548</v>
      </c>
      <c r="Q229" s="4">
        <f t="shared" si="27"/>
        <v>4837.4526671329177</v>
      </c>
      <c r="V229" s="3"/>
      <c r="W229" s="3"/>
      <c r="Y229" s="7"/>
      <c r="Z229" s="7"/>
      <c r="AA229" s="7"/>
      <c r="AB229" s="7"/>
      <c r="AC229" s="9"/>
      <c r="AD229" s="9"/>
      <c r="AE229" s="9"/>
      <c r="AF229" s="3"/>
      <c r="AG229" s="3"/>
      <c r="AH229" s="3"/>
    </row>
    <row r="230" spans="1:34" x14ac:dyDescent="0.3">
      <c r="A230">
        <v>197</v>
      </c>
      <c r="B230" s="1" t="s">
        <v>238</v>
      </c>
      <c r="C230" s="1" t="s">
        <v>682</v>
      </c>
      <c r="D230" s="2">
        <v>40827</v>
      </c>
      <c r="E230" s="3">
        <v>38.200000000000003</v>
      </c>
      <c r="F230" s="4">
        <f t="shared" si="21"/>
        <v>5557.479771024754</v>
      </c>
      <c r="G230" s="2">
        <v>40205</v>
      </c>
      <c r="H230" s="7">
        <v>3.18</v>
      </c>
      <c r="I230" s="7">
        <f>H230+H217-2*$A$24</f>
        <v>5.18</v>
      </c>
      <c r="J230" s="7">
        <v>2.74</v>
      </c>
      <c r="K230" s="7">
        <v>4.5999999999999996</v>
      </c>
      <c r="L230" s="6">
        <f t="shared" si="22"/>
        <v>0.32818532818532825</v>
      </c>
      <c r="M230" s="6">
        <f t="shared" si="23"/>
        <v>0.55984555984555973</v>
      </c>
      <c r="N230" s="6">
        <f t="shared" si="24"/>
        <v>0.11196911196911208</v>
      </c>
      <c r="O230" s="4">
        <f t="shared" si="25"/>
        <v>1823.8833225370818</v>
      </c>
      <c r="P230" s="4">
        <f t="shared" si="26"/>
        <v>3111.3303737397264</v>
      </c>
      <c r="Q230" s="4">
        <f t="shared" si="27"/>
        <v>4935.2136962768082</v>
      </c>
      <c r="V230" s="3"/>
      <c r="W230" s="3"/>
      <c r="Y230" s="7"/>
      <c r="Z230" s="7"/>
      <c r="AA230" s="7"/>
      <c r="AB230" s="7"/>
      <c r="AC230" s="9"/>
      <c r="AD230" s="9"/>
      <c r="AE230" s="9"/>
      <c r="AF230" s="3"/>
      <c r="AG230" s="3"/>
      <c r="AH230" s="3"/>
    </row>
    <row r="231" spans="1:34" x14ac:dyDescent="0.3">
      <c r="A231">
        <v>198</v>
      </c>
      <c r="B231" s="1" t="s">
        <v>239</v>
      </c>
      <c r="C231" s="1" t="s">
        <v>682</v>
      </c>
      <c r="D231" s="2">
        <v>40827</v>
      </c>
      <c r="E231" s="3">
        <v>33.400000000000006</v>
      </c>
      <c r="F231" s="4">
        <f t="shared" si="21"/>
        <v>4817.3048847617456</v>
      </c>
      <c r="G231" s="2">
        <v>40205</v>
      </c>
      <c r="H231" s="7">
        <v>2.78</v>
      </c>
      <c r="I231" s="7">
        <f>H231+H216-2*$A$24</f>
        <v>5.0599999999999996</v>
      </c>
      <c r="J231" s="7">
        <v>2.72</v>
      </c>
      <c r="K231" s="7">
        <v>4.5599999999999996</v>
      </c>
      <c r="L231" s="6">
        <f t="shared" si="22"/>
        <v>0.33201581027667992</v>
      </c>
      <c r="M231" s="6">
        <f t="shared" si="23"/>
        <v>0.56521739130434778</v>
      </c>
      <c r="N231" s="6">
        <f t="shared" si="24"/>
        <v>0.10276679841897229</v>
      </c>
      <c r="O231" s="4">
        <f t="shared" si="25"/>
        <v>1599.4213846639791</v>
      </c>
      <c r="P231" s="4">
        <f t="shared" si="26"/>
        <v>2722.8245000827255</v>
      </c>
      <c r="Q231" s="4">
        <f t="shared" si="27"/>
        <v>4322.2458847467042</v>
      </c>
      <c r="V231" s="3"/>
      <c r="W231" s="3"/>
      <c r="Y231" s="7"/>
      <c r="Z231" s="7"/>
      <c r="AA231" s="7"/>
      <c r="AB231" s="7"/>
      <c r="AC231" s="9"/>
      <c r="AD231" s="9"/>
      <c r="AE231" s="9"/>
      <c r="AF231" s="3"/>
      <c r="AG231" s="3"/>
      <c r="AH231" s="3"/>
    </row>
    <row r="232" spans="1:34" x14ac:dyDescent="0.3">
      <c r="A232">
        <v>199</v>
      </c>
      <c r="B232" s="1" t="s">
        <v>240</v>
      </c>
      <c r="C232" s="1" t="s">
        <v>682</v>
      </c>
      <c r="D232" s="2">
        <v>40827</v>
      </c>
      <c r="E232" s="3">
        <v>31.900000000000002</v>
      </c>
      <c r="F232" s="4">
        <f t="shared" si="21"/>
        <v>4586.0002328045548</v>
      </c>
      <c r="G232" s="2">
        <v>40205</v>
      </c>
      <c r="H232" s="7">
        <v>3.3</v>
      </c>
      <c r="I232" s="7">
        <f>H232+H215-2*$A$24</f>
        <v>5.6999999999999993</v>
      </c>
      <c r="J232" s="7">
        <v>2.92</v>
      </c>
      <c r="K232" s="7">
        <v>4.88</v>
      </c>
      <c r="L232" s="6">
        <f t="shared" si="22"/>
        <v>0.3298245614035088</v>
      </c>
      <c r="M232" s="6">
        <f t="shared" si="23"/>
        <v>0.55789473684210533</v>
      </c>
      <c r="N232" s="6">
        <f t="shared" si="24"/>
        <v>0.11228070175438587</v>
      </c>
      <c r="O232" s="4">
        <f t="shared" si="25"/>
        <v>1512.5755153811515</v>
      </c>
      <c r="P232" s="4">
        <f t="shared" si="26"/>
        <v>2558.505393038331</v>
      </c>
      <c r="Q232" s="4">
        <f t="shared" si="27"/>
        <v>4071.0809084194825</v>
      </c>
      <c r="V232" s="3"/>
      <c r="W232" s="3"/>
      <c r="Y232" s="7"/>
      <c r="Z232" s="7"/>
      <c r="AA232" s="7"/>
      <c r="AB232" s="7"/>
      <c r="AC232" s="9"/>
      <c r="AD232" s="9"/>
      <c r="AE232" s="9"/>
      <c r="AF232" s="3"/>
      <c r="AG232" s="3"/>
      <c r="AH232" s="3"/>
    </row>
    <row r="233" spans="1:34" x14ac:dyDescent="0.3">
      <c r="A233">
        <v>200</v>
      </c>
      <c r="B233" s="1" t="s">
        <v>241</v>
      </c>
      <c r="C233" s="1" t="s">
        <v>682</v>
      </c>
      <c r="D233" s="2">
        <v>40827</v>
      </c>
      <c r="E233" s="3">
        <v>30.4</v>
      </c>
      <c r="F233" s="4">
        <f t="shared" si="21"/>
        <v>4354.6955808473649</v>
      </c>
      <c r="G233" s="2">
        <v>40205</v>
      </c>
      <c r="H233" s="7">
        <v>2.9</v>
      </c>
      <c r="I233" s="7">
        <f>H233+H214-2*$A$24</f>
        <v>5.0599999999999996</v>
      </c>
      <c r="J233" s="7">
        <v>2.76</v>
      </c>
      <c r="K233" s="7">
        <v>4.5599999999999996</v>
      </c>
      <c r="L233" s="6">
        <f t="shared" si="22"/>
        <v>0.33992094861660077</v>
      </c>
      <c r="M233" s="6">
        <f t="shared" si="23"/>
        <v>0.56521739130434778</v>
      </c>
      <c r="N233" s="6">
        <f t="shared" si="24"/>
        <v>9.4861660079051391E-2</v>
      </c>
      <c r="O233" s="4">
        <f t="shared" si="25"/>
        <v>1480.2522527781555</v>
      </c>
      <c r="P233" s="4">
        <f t="shared" si="26"/>
        <v>2461.3496761311189</v>
      </c>
      <c r="Q233" s="4">
        <f t="shared" si="27"/>
        <v>3941.6019289092746</v>
      </c>
      <c r="V233" s="3"/>
      <c r="W233" s="3"/>
      <c r="Y233" s="7"/>
      <c r="Z233" s="7"/>
      <c r="AA233" s="7"/>
      <c r="AB233" s="7"/>
      <c r="AC233" s="9"/>
      <c r="AD233" s="9"/>
      <c r="AE233" s="9"/>
      <c r="AF233" s="3"/>
      <c r="AG233" s="3"/>
      <c r="AH233" s="3"/>
    </row>
    <row r="234" spans="1:34" x14ac:dyDescent="0.3">
      <c r="A234">
        <v>201</v>
      </c>
      <c r="B234" s="1" t="s">
        <v>242</v>
      </c>
      <c r="C234" s="1" t="s">
        <v>682</v>
      </c>
      <c r="D234" s="2">
        <v>40828</v>
      </c>
      <c r="E234" s="3">
        <v>29</v>
      </c>
      <c r="F234" s="4">
        <f t="shared" si="21"/>
        <v>4138.8112390206534</v>
      </c>
      <c r="G234" s="2">
        <v>40205</v>
      </c>
      <c r="H234" s="7">
        <v>4.32</v>
      </c>
      <c r="I234" s="7">
        <f>H234+H253-2*$A$24</f>
        <v>7.6400000000000006</v>
      </c>
      <c r="J234" s="7">
        <v>3.58</v>
      </c>
      <c r="K234" s="7">
        <v>5.94</v>
      </c>
      <c r="L234" s="6">
        <f t="shared" si="22"/>
        <v>0.33246073298429318</v>
      </c>
      <c r="M234" s="6">
        <f t="shared" si="23"/>
        <v>0.55497382198952883</v>
      </c>
      <c r="N234" s="6">
        <f t="shared" si="24"/>
        <v>0.11256544502617793</v>
      </c>
      <c r="O234" s="4">
        <f t="shared" si="25"/>
        <v>1375.9922182084372</v>
      </c>
      <c r="P234" s="4">
        <f t="shared" si="26"/>
        <v>2296.9318918125095</v>
      </c>
      <c r="Q234" s="4">
        <f t="shared" si="27"/>
        <v>3672.9241100209465</v>
      </c>
      <c r="S234" t="s">
        <v>30</v>
      </c>
      <c r="T234" t="s">
        <v>682</v>
      </c>
      <c r="U234" s="8">
        <f>D234</f>
        <v>40828</v>
      </c>
      <c r="V234" s="3">
        <f>SUM(E234:E273)</f>
        <v>1335.9999999999998</v>
      </c>
      <c r="W234" s="3">
        <f>(V234-80*$A$20)*$A$21/(40*$A$22)*$A$23</f>
        <v>4817.3048847617438</v>
      </c>
      <c r="X234" s="8">
        <f>G234</f>
        <v>40205</v>
      </c>
      <c r="Y234" s="7">
        <f>SUM(H234:H273)</f>
        <v>132.54</v>
      </c>
      <c r="Z234" s="7">
        <f>SUM(I234:I273)</f>
        <v>252.28</v>
      </c>
      <c r="AA234" s="7">
        <f>SUM(J234:J273)</f>
        <v>125.23999999999998</v>
      </c>
      <c r="AB234" s="7">
        <f>SUM(K234:K273)</f>
        <v>211.12000000000003</v>
      </c>
      <c r="AC234" s="9">
        <f>(AA234-40*$A$25)/Z234</f>
        <v>0.33153638814016168</v>
      </c>
      <c r="AD234" s="9">
        <f>(AB234-40*$A$26)/Z234</f>
        <v>0.56730616775011899</v>
      </c>
      <c r="AE234" s="9">
        <f>1-AC234-AD234</f>
        <v>0.10115744410971939</v>
      </c>
      <c r="AF234" s="3">
        <f>W234*AC234</f>
        <v>1597.1118620638663</v>
      </c>
      <c r="AG234" s="3">
        <f>W234*AD234</f>
        <v>2732.8867730581132</v>
      </c>
      <c r="AH234" s="3">
        <f>AF234+AG234</f>
        <v>4329.9986351219795</v>
      </c>
    </row>
    <row r="235" spans="1:34" x14ac:dyDescent="0.3">
      <c r="A235">
        <v>202</v>
      </c>
      <c r="B235" s="1" t="s">
        <v>243</v>
      </c>
      <c r="C235" s="1" t="s">
        <v>682</v>
      </c>
      <c r="D235" s="2">
        <v>40828</v>
      </c>
      <c r="E235" s="3">
        <v>29.799999999999997</v>
      </c>
      <c r="F235" s="4">
        <f t="shared" si="21"/>
        <v>4262.1737200644884</v>
      </c>
      <c r="G235" s="2">
        <v>40205</v>
      </c>
      <c r="H235" s="7">
        <v>3.06</v>
      </c>
      <c r="I235" s="7">
        <f>H235+H252-2*$A$24</f>
        <v>6.3599999999999994</v>
      </c>
      <c r="J235" s="7">
        <v>3.16</v>
      </c>
      <c r="K235" s="7">
        <v>5.32</v>
      </c>
      <c r="L235" s="6">
        <f t="shared" si="22"/>
        <v>0.33333333333333337</v>
      </c>
      <c r="M235" s="6">
        <f t="shared" si="23"/>
        <v>0.56918238993710701</v>
      </c>
      <c r="N235" s="6">
        <f t="shared" si="24"/>
        <v>9.7484276729559616E-2</v>
      </c>
      <c r="O235" s="4">
        <f t="shared" si="25"/>
        <v>1420.7245733548295</v>
      </c>
      <c r="P235" s="4">
        <f t="shared" si="26"/>
        <v>2425.9542243134356</v>
      </c>
      <c r="Q235" s="4">
        <f t="shared" si="27"/>
        <v>3846.6787976682654</v>
      </c>
      <c r="V235" s="3"/>
      <c r="W235" s="3"/>
      <c r="Y235" s="7"/>
      <c r="Z235" s="7"/>
      <c r="AA235" s="7"/>
      <c r="AB235" s="7"/>
      <c r="AC235" s="9"/>
      <c r="AD235" s="9"/>
      <c r="AE235" s="9"/>
      <c r="AF235" s="3"/>
      <c r="AG235" s="3"/>
      <c r="AH235" s="3"/>
    </row>
    <row r="236" spans="1:34" x14ac:dyDescent="0.3">
      <c r="A236">
        <v>203</v>
      </c>
      <c r="B236" s="1" t="s">
        <v>244</v>
      </c>
      <c r="C236" s="1" t="s">
        <v>682</v>
      </c>
      <c r="D236" s="2">
        <v>40828</v>
      </c>
      <c r="E236" s="3">
        <v>32</v>
      </c>
      <c r="F236" s="4">
        <f t="shared" si="21"/>
        <v>4601.4205429350341</v>
      </c>
      <c r="G236" s="2">
        <v>40205</v>
      </c>
      <c r="H236" s="7">
        <v>2.92</v>
      </c>
      <c r="I236" s="7">
        <f>H236+H251-2*$A$24</f>
        <v>5.8599999999999994</v>
      </c>
      <c r="J236" s="7">
        <v>3.02</v>
      </c>
      <c r="K236" s="7">
        <v>4.9800000000000004</v>
      </c>
      <c r="L236" s="6">
        <f t="shared" si="22"/>
        <v>0.33788395904436863</v>
      </c>
      <c r="M236" s="6">
        <f t="shared" si="23"/>
        <v>0.559726962457338</v>
      </c>
      <c r="N236" s="6">
        <f t="shared" si="24"/>
        <v>0.10238907849829337</v>
      </c>
      <c r="O236" s="4">
        <f t="shared" si="25"/>
        <v>1554.7461902749776</v>
      </c>
      <c r="P236" s="4">
        <f t="shared" si="26"/>
        <v>2575.5391434858216</v>
      </c>
      <c r="Q236" s="4">
        <f t="shared" si="27"/>
        <v>4130.2853337607994</v>
      </c>
      <c r="V236" s="3"/>
      <c r="W236" s="3"/>
      <c r="Y236" s="7"/>
      <c r="Z236" s="7"/>
      <c r="AA236" s="7"/>
      <c r="AB236" s="7"/>
      <c r="AC236" s="9"/>
      <c r="AD236" s="9"/>
      <c r="AE236" s="9"/>
      <c r="AF236" s="3"/>
      <c r="AG236" s="3"/>
      <c r="AH236" s="3"/>
    </row>
    <row r="237" spans="1:34" x14ac:dyDescent="0.3">
      <c r="A237">
        <v>204</v>
      </c>
      <c r="B237" s="1" t="s">
        <v>245</v>
      </c>
      <c r="C237" s="1" t="s">
        <v>682</v>
      </c>
      <c r="D237" s="2">
        <v>40828</v>
      </c>
      <c r="E237" s="3">
        <v>31.1</v>
      </c>
      <c r="F237" s="4">
        <f t="shared" si="21"/>
        <v>4462.6377517607198</v>
      </c>
      <c r="G237" s="2">
        <v>40205</v>
      </c>
      <c r="H237" s="7">
        <v>3.3</v>
      </c>
      <c r="I237" s="7">
        <f>H237+H250-2*$A$24</f>
        <v>6.18</v>
      </c>
      <c r="J237" s="7">
        <v>3.08</v>
      </c>
      <c r="K237" s="7">
        <v>5.16</v>
      </c>
      <c r="L237" s="6">
        <f t="shared" si="22"/>
        <v>0.3300970873786408</v>
      </c>
      <c r="M237" s="6">
        <f t="shared" si="23"/>
        <v>0.55987055016181231</v>
      </c>
      <c r="N237" s="6">
        <f t="shared" si="24"/>
        <v>0.11003236245954684</v>
      </c>
      <c r="O237" s="4">
        <f t="shared" si="25"/>
        <v>1473.1037238821793</v>
      </c>
      <c r="P237" s="4">
        <f t="shared" si="26"/>
        <v>2498.4994532511473</v>
      </c>
      <c r="Q237" s="4">
        <f t="shared" si="27"/>
        <v>3971.6031771333264</v>
      </c>
      <c r="V237" s="3"/>
      <c r="W237" s="3"/>
      <c r="Y237" s="7"/>
      <c r="Z237" s="7"/>
      <c r="AA237" s="7"/>
      <c r="AB237" s="7"/>
      <c r="AC237" s="9"/>
      <c r="AD237" s="9"/>
      <c r="AE237" s="9"/>
      <c r="AF237" s="3"/>
      <c r="AG237" s="3"/>
      <c r="AH237" s="3"/>
    </row>
    <row r="238" spans="1:34" x14ac:dyDescent="0.3">
      <c r="A238">
        <v>205</v>
      </c>
      <c r="B238" s="1" t="s">
        <v>246</v>
      </c>
      <c r="C238" s="1" t="s">
        <v>682</v>
      </c>
      <c r="D238" s="2">
        <v>40828</v>
      </c>
      <c r="E238" s="3">
        <v>35.700000000000003</v>
      </c>
      <c r="F238" s="4">
        <f t="shared" si="21"/>
        <v>5171.9720177627705</v>
      </c>
      <c r="G238" s="2">
        <v>40205</v>
      </c>
      <c r="H238" s="7">
        <v>3</v>
      </c>
      <c r="I238" s="7">
        <f>H238+H249-2*$A$24</f>
        <v>5.9799999999999995</v>
      </c>
      <c r="J238" s="7">
        <v>3.02</v>
      </c>
      <c r="K238" s="7">
        <v>5.12</v>
      </c>
      <c r="L238" s="6">
        <f t="shared" si="22"/>
        <v>0.33110367892976589</v>
      </c>
      <c r="M238" s="6">
        <f t="shared" si="23"/>
        <v>0.57190635451505023</v>
      </c>
      <c r="N238" s="6">
        <f t="shared" si="24"/>
        <v>9.6989966555183882E-2</v>
      </c>
      <c r="O238" s="4">
        <f t="shared" si="25"/>
        <v>1712.4589624030577</v>
      </c>
      <c r="P238" s="4">
        <f t="shared" si="26"/>
        <v>2957.8836623325546</v>
      </c>
      <c r="Q238" s="4">
        <f t="shared" si="27"/>
        <v>4670.3426247356128</v>
      </c>
      <c r="V238" s="3"/>
      <c r="W238" s="3"/>
      <c r="Y238" s="7"/>
      <c r="Z238" s="7"/>
      <c r="AA238" s="7"/>
      <c r="AB238" s="7"/>
      <c r="AC238" s="9"/>
      <c r="AD238" s="9"/>
      <c r="AE238" s="9"/>
      <c r="AF238" s="3"/>
      <c r="AG238" s="3"/>
      <c r="AH238" s="3"/>
    </row>
    <row r="239" spans="1:34" x14ac:dyDescent="0.3">
      <c r="A239">
        <v>206</v>
      </c>
      <c r="B239" s="1" t="s">
        <v>247</v>
      </c>
      <c r="C239" s="1" t="s">
        <v>682</v>
      </c>
      <c r="D239" s="2">
        <v>40828</v>
      </c>
      <c r="E239" s="3">
        <v>37</v>
      </c>
      <c r="F239" s="4">
        <f t="shared" si="21"/>
        <v>5372.436049459001</v>
      </c>
      <c r="G239" s="2">
        <v>40205</v>
      </c>
      <c r="H239" s="7">
        <v>2.9</v>
      </c>
      <c r="I239" s="7">
        <f>H239+H248-2*$A$24</f>
        <v>5.58</v>
      </c>
      <c r="J239" s="7">
        <v>2.86</v>
      </c>
      <c r="K239" s="7">
        <v>4.84</v>
      </c>
      <c r="L239" s="6">
        <f t="shared" si="22"/>
        <v>0.3261648745519713</v>
      </c>
      <c r="M239" s="6">
        <f t="shared" si="23"/>
        <v>0.56272401433691754</v>
      </c>
      <c r="N239" s="6">
        <f t="shared" si="24"/>
        <v>0.11111111111111116</v>
      </c>
      <c r="O239" s="4">
        <f t="shared" si="25"/>
        <v>1752.2999301102834</v>
      </c>
      <c r="P239" s="4">
        <f t="shared" si="26"/>
        <v>3023.1987805199396</v>
      </c>
      <c r="Q239" s="4">
        <f t="shared" si="27"/>
        <v>4775.4987106302233</v>
      </c>
      <c r="V239" s="3"/>
      <c r="W239" s="3"/>
      <c r="Y239" s="7"/>
      <c r="Z239" s="7"/>
      <c r="AA239" s="7"/>
      <c r="AB239" s="7"/>
      <c r="AC239" s="9"/>
      <c r="AD239" s="9"/>
      <c r="AE239" s="9"/>
      <c r="AF239" s="3"/>
      <c r="AG239" s="3"/>
      <c r="AH239" s="3"/>
    </row>
    <row r="240" spans="1:34" x14ac:dyDescent="0.3">
      <c r="A240">
        <v>207</v>
      </c>
      <c r="B240" s="1" t="s">
        <v>248</v>
      </c>
      <c r="C240" s="1" t="s">
        <v>682</v>
      </c>
      <c r="D240" s="2">
        <v>40828</v>
      </c>
      <c r="E240" s="3">
        <v>34.099999999999994</v>
      </c>
      <c r="F240" s="4">
        <f t="shared" si="21"/>
        <v>4925.2470556750995</v>
      </c>
      <c r="G240" s="2">
        <v>40205</v>
      </c>
      <c r="H240" s="7">
        <v>3.22</v>
      </c>
      <c r="I240" s="7">
        <f>H240+H247-2*$A$24</f>
        <v>6.46</v>
      </c>
      <c r="J240" s="7">
        <v>3.2</v>
      </c>
      <c r="K240" s="7">
        <v>5.42</v>
      </c>
      <c r="L240" s="6">
        <f t="shared" si="22"/>
        <v>0.33436532507739941</v>
      </c>
      <c r="M240" s="6">
        <f t="shared" si="23"/>
        <v>0.57585139318885448</v>
      </c>
      <c r="N240" s="6">
        <f t="shared" si="24"/>
        <v>8.9783281733746056E-2</v>
      </c>
      <c r="O240" s="4">
        <f t="shared" si="25"/>
        <v>1646.8318328573089</v>
      </c>
      <c r="P240" s="4">
        <f t="shared" si="26"/>
        <v>2836.2103788098098</v>
      </c>
      <c r="Q240" s="4">
        <f t="shared" si="27"/>
        <v>4483.0422116671189</v>
      </c>
      <c r="V240" s="3"/>
      <c r="W240" s="3"/>
      <c r="Y240" s="7"/>
      <c r="Z240" s="7"/>
      <c r="AA240" s="7"/>
      <c r="AB240" s="7"/>
      <c r="AC240" s="9"/>
      <c r="AD240" s="9"/>
      <c r="AE240" s="9"/>
      <c r="AF240" s="3"/>
      <c r="AG240" s="3"/>
      <c r="AH240" s="3"/>
    </row>
    <row r="241" spans="1:34" x14ac:dyDescent="0.3">
      <c r="A241">
        <v>208</v>
      </c>
      <c r="B241" s="1" t="s">
        <v>249</v>
      </c>
      <c r="C241" s="1" t="s">
        <v>682</v>
      </c>
      <c r="D241" s="2">
        <v>40828</v>
      </c>
      <c r="E241" s="3">
        <v>35.1</v>
      </c>
      <c r="F241" s="4">
        <f t="shared" si="21"/>
        <v>5079.4501569798931</v>
      </c>
      <c r="G241" s="2">
        <v>40205</v>
      </c>
      <c r="H241" s="7">
        <v>3.04</v>
      </c>
      <c r="I241" s="7">
        <f>H241+H246-2*$A$24</f>
        <v>6.1199999999999992</v>
      </c>
      <c r="J241" s="7">
        <v>3.08</v>
      </c>
      <c r="K241" s="7">
        <v>5.2</v>
      </c>
      <c r="L241" s="6">
        <f t="shared" si="22"/>
        <v>0.33333333333333337</v>
      </c>
      <c r="M241" s="6">
        <f t="shared" si="23"/>
        <v>0.57189542483660138</v>
      </c>
      <c r="N241" s="6">
        <f t="shared" si="24"/>
        <v>9.4771241830065245E-2</v>
      </c>
      <c r="O241" s="4">
        <f t="shared" si="25"/>
        <v>1693.1500523266311</v>
      </c>
      <c r="P241" s="4">
        <f t="shared" si="26"/>
        <v>2904.9143054623578</v>
      </c>
      <c r="Q241" s="4">
        <f t="shared" si="27"/>
        <v>4598.0643577889887</v>
      </c>
      <c r="V241" s="3"/>
      <c r="W241" s="3"/>
      <c r="Y241" s="7"/>
      <c r="Z241" s="7"/>
      <c r="AA241" s="7"/>
      <c r="AB241" s="7"/>
      <c r="AC241" s="9"/>
      <c r="AD241" s="9"/>
      <c r="AE241" s="9"/>
      <c r="AF241" s="3"/>
      <c r="AG241" s="3"/>
      <c r="AH241" s="3"/>
    </row>
    <row r="242" spans="1:34" x14ac:dyDescent="0.3">
      <c r="A242">
        <v>209</v>
      </c>
      <c r="B242" s="1" t="s">
        <v>250</v>
      </c>
      <c r="C242" s="1" t="s">
        <v>682</v>
      </c>
      <c r="D242" s="2">
        <v>40828</v>
      </c>
      <c r="E242" s="3">
        <v>31.8</v>
      </c>
      <c r="F242" s="4">
        <f t="shared" si="21"/>
        <v>4570.5799226740755</v>
      </c>
      <c r="G242" s="2">
        <v>40205</v>
      </c>
      <c r="H242" s="7">
        <v>4.2</v>
      </c>
      <c r="I242" s="7">
        <f>H242+H245-2*$A$24</f>
        <v>7.38</v>
      </c>
      <c r="J242" s="7">
        <v>3.52</v>
      </c>
      <c r="K242" s="7">
        <v>5.9</v>
      </c>
      <c r="L242" s="6">
        <f t="shared" si="22"/>
        <v>0.33604336043360433</v>
      </c>
      <c r="M242" s="6">
        <f t="shared" si="23"/>
        <v>0.56910569105691056</v>
      </c>
      <c r="N242" s="6">
        <f t="shared" si="24"/>
        <v>9.4850948509485056E-2</v>
      </c>
      <c r="O242" s="4">
        <f t="shared" si="25"/>
        <v>1535.9130363457598</v>
      </c>
      <c r="P242" s="4">
        <f t="shared" si="26"/>
        <v>2601.1430454242704</v>
      </c>
      <c r="Q242" s="4">
        <f t="shared" si="27"/>
        <v>4137.0560817700298</v>
      </c>
      <c r="V242" s="3"/>
      <c r="W242" s="3"/>
      <c r="Y242" s="7"/>
      <c r="Z242" s="7"/>
      <c r="AA242" s="7"/>
      <c r="AB242" s="7"/>
      <c r="AC242" s="9"/>
      <c r="AD242" s="9"/>
      <c r="AE242" s="9"/>
      <c r="AF242" s="3"/>
      <c r="AG242" s="3"/>
      <c r="AH242" s="3"/>
    </row>
    <row r="243" spans="1:34" x14ac:dyDescent="0.3">
      <c r="A243">
        <v>210</v>
      </c>
      <c r="B243" s="1" t="s">
        <v>251</v>
      </c>
      <c r="C243" s="1" t="s">
        <v>682</v>
      </c>
      <c r="D243" s="2">
        <v>40828</v>
      </c>
      <c r="E243" s="3">
        <v>26</v>
      </c>
      <c r="F243" s="4">
        <f t="shared" si="21"/>
        <v>3676.2019351062736</v>
      </c>
      <c r="G243" s="2">
        <v>40205</v>
      </c>
      <c r="H243" s="7">
        <v>3.7</v>
      </c>
      <c r="I243" s="7">
        <f>H243+H244-2*$A$24</f>
        <v>7.54</v>
      </c>
      <c r="J243" s="7">
        <v>3.48</v>
      </c>
      <c r="K243" s="7">
        <v>5.86</v>
      </c>
      <c r="L243" s="6">
        <f t="shared" si="22"/>
        <v>0.32360742705570289</v>
      </c>
      <c r="M243" s="6">
        <f t="shared" si="23"/>
        <v>0.55172413793103448</v>
      </c>
      <c r="N243" s="6">
        <f t="shared" si="24"/>
        <v>0.12466843501326264</v>
      </c>
      <c r="O243" s="4">
        <f t="shared" si="25"/>
        <v>1189.6462495569372</v>
      </c>
      <c r="P243" s="4">
        <f t="shared" si="26"/>
        <v>2028.2493435069096</v>
      </c>
      <c r="Q243" s="4">
        <f t="shared" si="27"/>
        <v>3217.8955930638467</v>
      </c>
      <c r="V243" s="3"/>
      <c r="W243" s="3"/>
      <c r="Y243" s="7"/>
      <c r="Z243" s="7"/>
      <c r="AA243" s="7"/>
      <c r="AB243" s="7"/>
      <c r="AC243" s="9"/>
      <c r="AD243" s="9"/>
      <c r="AE243" s="9"/>
      <c r="AF243" s="3"/>
      <c r="AG243" s="3"/>
      <c r="AH243" s="3"/>
    </row>
    <row r="244" spans="1:34" x14ac:dyDescent="0.3">
      <c r="A244">
        <v>211</v>
      </c>
      <c r="B244" s="1" t="s">
        <v>252</v>
      </c>
      <c r="C244" s="1" t="s">
        <v>682</v>
      </c>
      <c r="D244" s="2">
        <v>40828</v>
      </c>
      <c r="E244" s="3">
        <v>27.6</v>
      </c>
      <c r="F244" s="4">
        <f t="shared" si="21"/>
        <v>3922.9268971939437</v>
      </c>
      <c r="G244" s="2">
        <v>40205</v>
      </c>
      <c r="H244" s="7">
        <v>4.16</v>
      </c>
      <c r="I244" s="7">
        <f>H244+H243-2*$A$24</f>
        <v>7.54</v>
      </c>
      <c r="J244" s="7">
        <v>3.48</v>
      </c>
      <c r="K244" s="7">
        <v>5.86</v>
      </c>
      <c r="L244" s="6">
        <f t="shared" si="22"/>
        <v>0.32360742705570289</v>
      </c>
      <c r="M244" s="6">
        <f t="shared" si="23"/>
        <v>0.55172413793103448</v>
      </c>
      <c r="N244" s="6">
        <f t="shared" si="24"/>
        <v>0.12466843501326264</v>
      </c>
      <c r="O244" s="4">
        <f t="shared" si="25"/>
        <v>1269.4882797285441</v>
      </c>
      <c r="P244" s="4">
        <f t="shared" si="26"/>
        <v>2164.3734605207965</v>
      </c>
      <c r="Q244" s="4">
        <f t="shared" si="27"/>
        <v>3433.8617402493405</v>
      </c>
      <c r="V244" s="3"/>
      <c r="W244" s="3"/>
      <c r="Y244" s="7"/>
      <c r="Z244" s="7"/>
      <c r="AA244" s="7"/>
      <c r="AB244" s="7"/>
      <c r="AC244" s="9"/>
      <c r="AD244" s="9"/>
      <c r="AE244" s="9"/>
      <c r="AF244" s="3"/>
      <c r="AG244" s="3"/>
      <c r="AH244" s="3"/>
    </row>
    <row r="245" spans="1:34" x14ac:dyDescent="0.3">
      <c r="A245">
        <v>212</v>
      </c>
      <c r="B245" s="1" t="s">
        <v>253</v>
      </c>
      <c r="C245" s="1" t="s">
        <v>682</v>
      </c>
      <c r="D245" s="2">
        <v>40828</v>
      </c>
      <c r="E245" s="3">
        <v>37.599999999999994</v>
      </c>
      <c r="F245" s="4">
        <f t="shared" si="21"/>
        <v>5464.9579102418766</v>
      </c>
      <c r="G245" s="2">
        <v>40205</v>
      </c>
      <c r="H245" s="7">
        <v>3.5</v>
      </c>
      <c r="I245" s="7">
        <f>H245+H242-2*$A$24</f>
        <v>7.38</v>
      </c>
      <c r="J245" s="7">
        <v>3.52</v>
      </c>
      <c r="K245" s="7">
        <v>5.9</v>
      </c>
      <c r="L245" s="6">
        <f t="shared" si="22"/>
        <v>0.33604336043360433</v>
      </c>
      <c r="M245" s="6">
        <f t="shared" si="23"/>
        <v>0.56910569105691056</v>
      </c>
      <c r="N245" s="6">
        <f t="shared" si="24"/>
        <v>9.4850948509485056E-2</v>
      </c>
      <c r="O245" s="4">
        <f t="shared" si="25"/>
        <v>1836.462820785888</v>
      </c>
      <c r="P245" s="4">
        <f t="shared" si="26"/>
        <v>3110.1386481051331</v>
      </c>
      <c r="Q245" s="4">
        <f t="shared" si="27"/>
        <v>4946.6014688910209</v>
      </c>
      <c r="V245" s="3"/>
      <c r="W245" s="3"/>
      <c r="Y245" s="7"/>
      <c r="Z245" s="7"/>
      <c r="AA245" s="7"/>
      <c r="AB245" s="7"/>
      <c r="AC245" s="9"/>
      <c r="AD245" s="9"/>
      <c r="AE245" s="9"/>
      <c r="AF245" s="3"/>
      <c r="AG245" s="3"/>
      <c r="AH245" s="3"/>
    </row>
    <row r="246" spans="1:34" x14ac:dyDescent="0.3">
      <c r="A246">
        <v>213</v>
      </c>
      <c r="B246" s="1" t="s">
        <v>254</v>
      </c>
      <c r="C246" s="1" t="s">
        <v>682</v>
      </c>
      <c r="D246" s="2">
        <v>40828</v>
      </c>
      <c r="E246" s="3">
        <v>38.299999999999997</v>
      </c>
      <c r="F246" s="4">
        <f t="shared" si="21"/>
        <v>5572.9000811552323</v>
      </c>
      <c r="G246" s="2">
        <v>40205</v>
      </c>
      <c r="H246" s="7">
        <v>3.4</v>
      </c>
      <c r="I246" s="7">
        <f>H246+H241-2*$A$24</f>
        <v>6.1199999999999992</v>
      </c>
      <c r="J246" s="7">
        <v>3.08</v>
      </c>
      <c r="K246" s="7">
        <v>5.2</v>
      </c>
      <c r="L246" s="6">
        <f t="shared" si="22"/>
        <v>0.33333333333333337</v>
      </c>
      <c r="M246" s="6">
        <f t="shared" si="23"/>
        <v>0.57189542483660138</v>
      </c>
      <c r="N246" s="6">
        <f t="shared" si="24"/>
        <v>9.4771241830065245E-2</v>
      </c>
      <c r="O246" s="4">
        <f t="shared" si="25"/>
        <v>1857.6333603850776</v>
      </c>
      <c r="P246" s="4">
        <f t="shared" si="26"/>
        <v>3187.1160594842017</v>
      </c>
      <c r="Q246" s="4">
        <f t="shared" si="27"/>
        <v>5044.7494198692793</v>
      </c>
      <c r="V246" s="3"/>
      <c r="W246" s="3"/>
      <c r="Y246" s="7"/>
      <c r="Z246" s="7"/>
      <c r="AA246" s="7"/>
      <c r="AB246" s="7"/>
      <c r="AC246" s="9"/>
      <c r="AD246" s="9"/>
      <c r="AE246" s="9"/>
      <c r="AF246" s="3"/>
      <c r="AG246" s="3"/>
      <c r="AH246" s="3"/>
    </row>
    <row r="247" spans="1:34" x14ac:dyDescent="0.3">
      <c r="A247">
        <v>214</v>
      </c>
      <c r="B247" s="1" t="s">
        <v>255</v>
      </c>
      <c r="C247" s="1" t="s">
        <v>682</v>
      </c>
      <c r="D247" s="2">
        <v>40828</v>
      </c>
      <c r="E247" s="3">
        <v>38.200000000000003</v>
      </c>
      <c r="F247" s="4">
        <f t="shared" si="21"/>
        <v>5557.479771024754</v>
      </c>
      <c r="G247" s="2">
        <v>40205</v>
      </c>
      <c r="H247" s="7">
        <v>3.56</v>
      </c>
      <c r="I247" s="7">
        <f>H247+H240-2*$A$24</f>
        <v>6.46</v>
      </c>
      <c r="J247" s="7">
        <v>3.2</v>
      </c>
      <c r="K247" s="7">
        <v>5.42</v>
      </c>
      <c r="L247" s="6">
        <f t="shared" si="22"/>
        <v>0.33436532507739941</v>
      </c>
      <c r="M247" s="6">
        <f t="shared" si="23"/>
        <v>0.57585139318885448</v>
      </c>
      <c r="N247" s="6">
        <f t="shared" si="24"/>
        <v>8.9783281733746056E-2</v>
      </c>
      <c r="O247" s="4">
        <f t="shared" si="25"/>
        <v>1858.228530249763</v>
      </c>
      <c r="P247" s="4">
        <f t="shared" si="26"/>
        <v>3200.2824687634807</v>
      </c>
      <c r="Q247" s="4">
        <f t="shared" si="27"/>
        <v>5058.5109990132441</v>
      </c>
      <c r="V247" s="3"/>
      <c r="W247" s="3"/>
      <c r="Y247" s="7"/>
      <c r="Z247" s="7"/>
      <c r="AA247" s="7"/>
      <c r="AB247" s="7"/>
      <c r="AC247" s="9"/>
      <c r="AD247" s="9"/>
      <c r="AE247" s="9"/>
      <c r="AF247" s="3"/>
      <c r="AG247" s="3"/>
      <c r="AH247" s="3"/>
    </row>
    <row r="248" spans="1:34" x14ac:dyDescent="0.3">
      <c r="A248">
        <v>215</v>
      </c>
      <c r="B248" s="1" t="s">
        <v>256</v>
      </c>
      <c r="C248" s="1" t="s">
        <v>682</v>
      </c>
      <c r="D248" s="2">
        <v>40828</v>
      </c>
      <c r="E248" s="3">
        <v>40</v>
      </c>
      <c r="F248" s="4">
        <f t="shared" si="21"/>
        <v>5835.0453533733817</v>
      </c>
      <c r="G248" s="2">
        <v>40205</v>
      </c>
      <c r="H248" s="7">
        <v>3</v>
      </c>
      <c r="I248" s="7">
        <f>H248+H239-2*$A$24</f>
        <v>5.58</v>
      </c>
      <c r="J248" s="7">
        <v>2.86</v>
      </c>
      <c r="K248" s="7">
        <v>4.84</v>
      </c>
      <c r="L248" s="6">
        <f t="shared" si="22"/>
        <v>0.3261648745519713</v>
      </c>
      <c r="M248" s="6">
        <f t="shared" si="23"/>
        <v>0.56272401433691754</v>
      </c>
      <c r="N248" s="6">
        <f t="shared" si="24"/>
        <v>0.11111111111111116</v>
      </c>
      <c r="O248" s="4">
        <f t="shared" si="25"/>
        <v>1903.1868356880921</v>
      </c>
      <c r="P248" s="4">
        <f t="shared" si="26"/>
        <v>3283.5201450882469</v>
      </c>
      <c r="Q248" s="4">
        <f t="shared" si="27"/>
        <v>5186.7069807763392</v>
      </c>
      <c r="V248" s="3"/>
      <c r="W248" s="3"/>
      <c r="Y248" s="7"/>
      <c r="Z248" s="7"/>
      <c r="AA248" s="7"/>
      <c r="AB248" s="7"/>
      <c r="AC248" s="9"/>
      <c r="AD248" s="9"/>
      <c r="AE248" s="9"/>
      <c r="AF248" s="3"/>
      <c r="AG248" s="3"/>
      <c r="AH248" s="3"/>
    </row>
    <row r="249" spans="1:34" x14ac:dyDescent="0.3">
      <c r="A249">
        <v>216</v>
      </c>
      <c r="B249" s="1" t="s">
        <v>257</v>
      </c>
      <c r="C249" s="1" t="s">
        <v>682</v>
      </c>
      <c r="D249" s="2">
        <v>40828</v>
      </c>
      <c r="E249" s="3">
        <v>40.4</v>
      </c>
      <c r="F249" s="4">
        <f t="shared" si="21"/>
        <v>5896.7265938952969</v>
      </c>
      <c r="G249" s="2">
        <v>40205</v>
      </c>
      <c r="H249" s="7">
        <v>3.3</v>
      </c>
      <c r="I249" s="7">
        <f>H249+H238-2*$A$24</f>
        <v>5.9799999999999995</v>
      </c>
      <c r="J249" s="7">
        <v>3.02</v>
      </c>
      <c r="K249" s="7">
        <v>5.12</v>
      </c>
      <c r="L249" s="6">
        <f t="shared" si="22"/>
        <v>0.33110367892976589</v>
      </c>
      <c r="M249" s="6">
        <f t="shared" si="23"/>
        <v>0.57190635451505023</v>
      </c>
      <c r="N249" s="6">
        <f t="shared" si="24"/>
        <v>9.6989966555183882E-2</v>
      </c>
      <c r="O249" s="4">
        <f t="shared" si="25"/>
        <v>1952.4278688817203</v>
      </c>
      <c r="P249" s="4">
        <f t="shared" si="26"/>
        <v>3372.3754098866084</v>
      </c>
      <c r="Q249" s="4">
        <f t="shared" si="27"/>
        <v>5324.8032787683287</v>
      </c>
      <c r="V249" s="3"/>
      <c r="W249" s="3"/>
      <c r="Y249" s="7"/>
      <c r="Z249" s="7"/>
      <c r="AA249" s="7"/>
      <c r="AB249" s="7"/>
      <c r="AC249" s="9"/>
      <c r="AD249" s="9"/>
      <c r="AE249" s="9"/>
      <c r="AF249" s="3"/>
      <c r="AG249" s="3"/>
      <c r="AH249" s="3"/>
    </row>
    <row r="250" spans="1:34" x14ac:dyDescent="0.3">
      <c r="A250">
        <v>217</v>
      </c>
      <c r="B250" s="1" t="s">
        <v>258</v>
      </c>
      <c r="C250" s="1" t="s">
        <v>682</v>
      </c>
      <c r="D250" s="2">
        <v>40828</v>
      </c>
      <c r="E250" s="3">
        <v>37.700000000000003</v>
      </c>
      <c r="F250" s="4">
        <f t="shared" si="21"/>
        <v>5480.3782203723576</v>
      </c>
      <c r="G250" s="2">
        <v>40205</v>
      </c>
      <c r="H250" s="7">
        <v>3.2</v>
      </c>
      <c r="I250" s="7">
        <f>H250+H237-2*$A$24</f>
        <v>6.18</v>
      </c>
      <c r="J250" s="7">
        <v>3.08</v>
      </c>
      <c r="K250" s="7">
        <v>5.16</v>
      </c>
      <c r="L250" s="6">
        <f t="shared" si="22"/>
        <v>0.3300970873786408</v>
      </c>
      <c r="M250" s="6">
        <f t="shared" si="23"/>
        <v>0.55987055016181231</v>
      </c>
      <c r="N250" s="6">
        <f t="shared" si="24"/>
        <v>0.11003236245954684</v>
      </c>
      <c r="O250" s="4">
        <f t="shared" si="25"/>
        <v>1809.0568882782541</v>
      </c>
      <c r="P250" s="4">
        <f t="shared" si="26"/>
        <v>3068.3023693346859</v>
      </c>
      <c r="Q250" s="4">
        <f t="shared" si="27"/>
        <v>4877.3592576129395</v>
      </c>
      <c r="V250" s="3"/>
      <c r="W250" s="3"/>
      <c r="Y250" s="7"/>
      <c r="Z250" s="7"/>
      <c r="AA250" s="7"/>
      <c r="AB250" s="7"/>
      <c r="AC250" s="9"/>
      <c r="AD250" s="9"/>
      <c r="AE250" s="9"/>
      <c r="AF250" s="3"/>
      <c r="AG250" s="3"/>
      <c r="AH250" s="3"/>
    </row>
    <row r="251" spans="1:34" x14ac:dyDescent="0.3">
      <c r="A251">
        <v>218</v>
      </c>
      <c r="B251" s="1" t="s">
        <v>259</v>
      </c>
      <c r="C251" s="1" t="s">
        <v>682</v>
      </c>
      <c r="D251" s="2">
        <v>40828</v>
      </c>
      <c r="E251" s="3">
        <v>36.400000000000006</v>
      </c>
      <c r="F251" s="4">
        <f t="shared" si="21"/>
        <v>5279.9141886761254</v>
      </c>
      <c r="G251" s="2">
        <v>40205</v>
      </c>
      <c r="H251" s="7">
        <v>3.26</v>
      </c>
      <c r="I251" s="7">
        <f>H251+H236-2*$A$24</f>
        <v>5.8599999999999994</v>
      </c>
      <c r="J251" s="7">
        <v>3.02</v>
      </c>
      <c r="K251" s="7">
        <v>4.9800000000000004</v>
      </c>
      <c r="L251" s="6">
        <f t="shared" si="22"/>
        <v>0.33788395904436863</v>
      </c>
      <c r="M251" s="6">
        <f t="shared" si="23"/>
        <v>0.559726962457338</v>
      </c>
      <c r="N251" s="6">
        <f t="shared" si="24"/>
        <v>0.10238907849829337</v>
      </c>
      <c r="O251" s="4">
        <f t="shared" si="25"/>
        <v>1783.9983094844247</v>
      </c>
      <c r="P251" s="4">
        <f t="shared" si="26"/>
        <v>2955.310330863088</v>
      </c>
      <c r="Q251" s="4">
        <f t="shared" si="27"/>
        <v>4739.3086403475127</v>
      </c>
      <c r="V251" s="3"/>
      <c r="W251" s="3"/>
      <c r="Y251" s="7"/>
      <c r="Z251" s="7"/>
      <c r="AA251" s="7"/>
      <c r="AB251" s="7"/>
      <c r="AC251" s="9"/>
      <c r="AD251" s="9"/>
      <c r="AE251" s="9"/>
      <c r="AF251" s="3"/>
      <c r="AG251" s="3"/>
      <c r="AH251" s="3"/>
    </row>
    <row r="252" spans="1:34" x14ac:dyDescent="0.3">
      <c r="A252">
        <v>219</v>
      </c>
      <c r="B252" s="1" t="s">
        <v>260</v>
      </c>
      <c r="C252" s="1" t="s">
        <v>682</v>
      </c>
      <c r="D252" s="2">
        <v>40828</v>
      </c>
      <c r="E252" s="3">
        <v>33.6</v>
      </c>
      <c r="F252" s="4">
        <f t="shared" si="21"/>
        <v>4848.1455050227032</v>
      </c>
      <c r="G252" s="2">
        <v>40205</v>
      </c>
      <c r="H252" s="7">
        <v>3.62</v>
      </c>
      <c r="I252" s="7">
        <f>H252+H235-2*$A$24</f>
        <v>6.3599999999999994</v>
      </c>
      <c r="J252" s="7">
        <v>3.16</v>
      </c>
      <c r="K252" s="7">
        <v>5.32</v>
      </c>
      <c r="L252" s="6">
        <f t="shared" si="22"/>
        <v>0.33333333333333337</v>
      </c>
      <c r="M252" s="6">
        <f t="shared" si="23"/>
        <v>0.56918238993710701</v>
      </c>
      <c r="N252" s="6">
        <f t="shared" si="24"/>
        <v>9.7484276729559616E-2</v>
      </c>
      <c r="O252" s="4">
        <f t="shared" si="25"/>
        <v>1616.0485016742346</v>
      </c>
      <c r="P252" s="4">
        <f t="shared" si="26"/>
        <v>2759.4790453116648</v>
      </c>
      <c r="Q252" s="4">
        <f t="shared" si="27"/>
        <v>4375.5275469858989</v>
      </c>
      <c r="V252" s="3"/>
      <c r="W252" s="3"/>
      <c r="Y252" s="7"/>
      <c r="Z252" s="7"/>
      <c r="AA252" s="7"/>
      <c r="AB252" s="7"/>
      <c r="AC252" s="9"/>
      <c r="AD252" s="9"/>
      <c r="AE252" s="9"/>
      <c r="AF252" s="3"/>
      <c r="AG252" s="3"/>
      <c r="AH252" s="3"/>
    </row>
    <row r="253" spans="1:34" x14ac:dyDescent="0.3">
      <c r="A253">
        <v>220</v>
      </c>
      <c r="B253" s="1" t="s">
        <v>261</v>
      </c>
      <c r="C253" s="1" t="s">
        <v>682</v>
      </c>
      <c r="D253" s="2">
        <v>40828</v>
      </c>
      <c r="E253" s="3">
        <v>32.799999999999997</v>
      </c>
      <c r="F253" s="4">
        <f t="shared" si="21"/>
        <v>4724.7830239788682</v>
      </c>
      <c r="G253" s="2">
        <v>40205</v>
      </c>
      <c r="H253" s="7">
        <v>3.64</v>
      </c>
      <c r="I253" s="7">
        <f>H253+H234-2*$A$24</f>
        <v>7.6400000000000006</v>
      </c>
      <c r="J253" s="7">
        <v>3.58</v>
      </c>
      <c r="K253" s="7">
        <v>5.94</v>
      </c>
      <c r="L253" s="6">
        <f t="shared" si="22"/>
        <v>0.33246073298429318</v>
      </c>
      <c r="M253" s="6">
        <f t="shared" si="23"/>
        <v>0.55497382198952883</v>
      </c>
      <c r="N253" s="6">
        <f t="shared" si="24"/>
        <v>0.11256544502617793</v>
      </c>
      <c r="O253" s="4">
        <f t="shared" si="25"/>
        <v>1570.8048273437598</v>
      </c>
      <c r="P253" s="4">
        <f t="shared" si="26"/>
        <v>2622.1308928887961</v>
      </c>
      <c r="Q253" s="4">
        <f t="shared" si="27"/>
        <v>4192.9357202325555</v>
      </c>
      <c r="V253" s="3"/>
      <c r="W253" s="3"/>
      <c r="Y253" s="7"/>
      <c r="Z253" s="7"/>
      <c r="AA253" s="7"/>
      <c r="AB253" s="7"/>
      <c r="AC253" s="9"/>
      <c r="AD253" s="9"/>
      <c r="AE253" s="9"/>
      <c r="AF253" s="3"/>
      <c r="AG253" s="3"/>
      <c r="AH253" s="3"/>
    </row>
    <row r="254" spans="1:34" x14ac:dyDescent="0.3">
      <c r="A254">
        <v>221</v>
      </c>
      <c r="B254" s="1" t="s">
        <v>262</v>
      </c>
      <c r="C254" s="1" t="s">
        <v>682</v>
      </c>
      <c r="D254" s="2">
        <v>40828</v>
      </c>
      <c r="E254" s="3">
        <v>30.4</v>
      </c>
      <c r="F254" s="4">
        <f t="shared" si="21"/>
        <v>4354.6955808473649</v>
      </c>
      <c r="G254" s="2">
        <v>40205</v>
      </c>
      <c r="H254" s="7">
        <v>3.46</v>
      </c>
      <c r="I254" s="7">
        <f>H254+H273-2*$A$24</f>
        <v>6.02</v>
      </c>
      <c r="J254" s="7">
        <v>3.04</v>
      </c>
      <c r="K254" s="7">
        <v>5.14</v>
      </c>
      <c r="L254" s="6">
        <f t="shared" si="22"/>
        <v>0.33222591362126247</v>
      </c>
      <c r="M254" s="6">
        <f t="shared" si="23"/>
        <v>0.5714285714285714</v>
      </c>
      <c r="N254" s="6">
        <f t="shared" si="24"/>
        <v>9.6345514950166189E-2</v>
      </c>
      <c r="O254" s="4">
        <f t="shared" si="25"/>
        <v>1446.74271788949</v>
      </c>
      <c r="P254" s="4">
        <f t="shared" si="26"/>
        <v>2488.3974747699226</v>
      </c>
      <c r="Q254" s="4">
        <f t="shared" si="27"/>
        <v>3935.1401926594126</v>
      </c>
      <c r="V254" s="3"/>
      <c r="W254" s="3"/>
      <c r="Y254" s="7"/>
      <c r="Z254" s="7"/>
      <c r="AA254" s="7"/>
      <c r="AB254" s="7"/>
      <c r="AC254" s="9"/>
      <c r="AD254" s="9"/>
      <c r="AE254" s="9"/>
      <c r="AF254" s="3"/>
      <c r="AG254" s="3"/>
      <c r="AH254" s="3"/>
    </row>
    <row r="255" spans="1:34" x14ac:dyDescent="0.3">
      <c r="A255">
        <v>222</v>
      </c>
      <c r="B255" s="1" t="s">
        <v>263</v>
      </c>
      <c r="C255" s="1" t="s">
        <v>682</v>
      </c>
      <c r="D255" s="2">
        <v>40828</v>
      </c>
      <c r="E255" s="3">
        <v>33.5</v>
      </c>
      <c r="F255" s="4">
        <f t="shared" si="21"/>
        <v>4832.725194892224</v>
      </c>
      <c r="G255" s="2">
        <v>40205</v>
      </c>
      <c r="H255" s="7">
        <v>3.68</v>
      </c>
      <c r="I255" s="7">
        <f>H255+H272-2*$A$24</f>
        <v>6.64</v>
      </c>
      <c r="J255" s="7">
        <v>3.26</v>
      </c>
      <c r="K255" s="7">
        <v>5.42</v>
      </c>
      <c r="L255" s="6">
        <f t="shared" si="22"/>
        <v>0.33433734939759036</v>
      </c>
      <c r="M255" s="6">
        <f t="shared" si="23"/>
        <v>0.56024096385542166</v>
      </c>
      <c r="N255" s="6">
        <f t="shared" si="24"/>
        <v>0.10542168674698804</v>
      </c>
      <c r="O255" s="4">
        <f t="shared" si="25"/>
        <v>1615.7605320272194</v>
      </c>
      <c r="P255" s="4">
        <f t="shared" si="26"/>
        <v>2707.4906212348001</v>
      </c>
      <c r="Q255" s="4">
        <f t="shared" si="27"/>
        <v>4323.2511532620192</v>
      </c>
      <c r="V255" s="3"/>
      <c r="W255" s="3"/>
      <c r="Y255" s="7"/>
      <c r="Z255" s="7"/>
      <c r="AA255" s="7"/>
      <c r="AB255" s="7"/>
      <c r="AC255" s="9"/>
      <c r="AD255" s="9"/>
      <c r="AE255" s="9"/>
      <c r="AF255" s="3"/>
      <c r="AG255" s="3"/>
      <c r="AH255" s="3"/>
    </row>
    <row r="256" spans="1:34" x14ac:dyDescent="0.3">
      <c r="A256">
        <v>223</v>
      </c>
      <c r="B256" s="1" t="s">
        <v>264</v>
      </c>
      <c r="C256" s="1" t="s">
        <v>682</v>
      </c>
      <c r="D256" s="2">
        <v>40828</v>
      </c>
      <c r="E256" s="3">
        <v>33.9</v>
      </c>
      <c r="F256" s="4">
        <f t="shared" si="21"/>
        <v>4894.406435414141</v>
      </c>
      <c r="G256" s="2">
        <v>40205</v>
      </c>
      <c r="H256" s="7">
        <v>2.82</v>
      </c>
      <c r="I256" s="7">
        <f>H256+H271-2*$A$24</f>
        <v>5.76</v>
      </c>
      <c r="J256" s="7">
        <v>2.94</v>
      </c>
      <c r="K256" s="7">
        <v>5.0599999999999996</v>
      </c>
      <c r="L256" s="6">
        <f t="shared" si="22"/>
        <v>0.3298611111111111</v>
      </c>
      <c r="M256" s="6">
        <f t="shared" si="23"/>
        <v>0.58333333333333326</v>
      </c>
      <c r="N256" s="6">
        <f t="shared" si="24"/>
        <v>8.680555555555558E-2</v>
      </c>
      <c r="O256" s="4">
        <f t="shared" si="25"/>
        <v>1614.4743450150811</v>
      </c>
      <c r="P256" s="4">
        <f t="shared" si="26"/>
        <v>2855.0704206582486</v>
      </c>
      <c r="Q256" s="4">
        <f t="shared" si="27"/>
        <v>4469.5447656733295</v>
      </c>
      <c r="V256" s="3"/>
      <c r="W256" s="3"/>
      <c r="Y256" s="7"/>
      <c r="Z256" s="7"/>
      <c r="AA256" s="7"/>
      <c r="AB256" s="7"/>
      <c r="AC256" s="9"/>
      <c r="AD256" s="9"/>
      <c r="AE256" s="9"/>
      <c r="AF256" s="3"/>
      <c r="AG256" s="3"/>
      <c r="AH256" s="3"/>
    </row>
    <row r="257" spans="1:34" x14ac:dyDescent="0.3">
      <c r="A257">
        <v>224</v>
      </c>
      <c r="B257" s="1" t="s">
        <v>265</v>
      </c>
      <c r="C257" s="1" t="s">
        <v>682</v>
      </c>
      <c r="D257" s="2">
        <v>40828</v>
      </c>
      <c r="E257" s="3">
        <v>34.599999999999994</v>
      </c>
      <c r="F257" s="4">
        <f t="shared" si="21"/>
        <v>5002.3486063274968</v>
      </c>
      <c r="G257" s="2">
        <v>40205</v>
      </c>
      <c r="H257" s="7">
        <v>3.34</v>
      </c>
      <c r="I257" s="7">
        <f>H257+H270-2*$A$24</f>
        <v>5.8599999999999994</v>
      </c>
      <c r="J257" s="7">
        <v>2.94</v>
      </c>
      <c r="K257" s="7">
        <v>4.9400000000000004</v>
      </c>
      <c r="L257" s="6">
        <f t="shared" si="22"/>
        <v>0.32423208191126279</v>
      </c>
      <c r="M257" s="6">
        <f t="shared" si="23"/>
        <v>0.5529010238907851</v>
      </c>
      <c r="N257" s="6">
        <f t="shared" si="24"/>
        <v>0.12286689419795216</v>
      </c>
      <c r="O257" s="4">
        <f t="shared" si="25"/>
        <v>1621.9219030754682</v>
      </c>
      <c r="P257" s="4">
        <f t="shared" si="26"/>
        <v>2765.8036662971149</v>
      </c>
      <c r="Q257" s="4">
        <f t="shared" si="27"/>
        <v>4387.7255693725829</v>
      </c>
      <c r="V257" s="3"/>
      <c r="W257" s="3"/>
      <c r="Y257" s="7"/>
      <c r="Z257" s="7"/>
      <c r="AA257" s="7"/>
      <c r="AB257" s="7"/>
      <c r="AC257" s="9"/>
      <c r="AD257" s="9"/>
      <c r="AE257" s="9"/>
      <c r="AF257" s="3"/>
      <c r="AG257" s="3"/>
      <c r="AH257" s="3"/>
    </row>
    <row r="258" spans="1:34" x14ac:dyDescent="0.3">
      <c r="A258">
        <v>225</v>
      </c>
      <c r="B258" s="1" t="s">
        <v>266</v>
      </c>
      <c r="C258" s="1" t="s">
        <v>682</v>
      </c>
      <c r="D258" s="2">
        <v>40828</v>
      </c>
      <c r="E258" s="3">
        <v>35.400000000000006</v>
      </c>
      <c r="F258" s="4">
        <f t="shared" si="21"/>
        <v>5125.7110873713327</v>
      </c>
      <c r="G258" s="2">
        <v>40205</v>
      </c>
      <c r="H258" s="7">
        <v>3.64</v>
      </c>
      <c r="I258" s="7">
        <f>H258+H269-2*$A$24</f>
        <v>6.66</v>
      </c>
      <c r="J258" s="7">
        <v>3.32</v>
      </c>
      <c r="K258" s="7">
        <v>5.52</v>
      </c>
      <c r="L258" s="6">
        <f t="shared" si="22"/>
        <v>0.34234234234234229</v>
      </c>
      <c r="M258" s="6">
        <f t="shared" si="23"/>
        <v>0.57357357357357353</v>
      </c>
      <c r="N258" s="6">
        <f t="shared" si="24"/>
        <v>8.4084084084084187E-2</v>
      </c>
      <c r="O258" s="4">
        <f t="shared" si="25"/>
        <v>1754.7479398208163</v>
      </c>
      <c r="P258" s="4">
        <f t="shared" si="26"/>
        <v>2939.9724254892626</v>
      </c>
      <c r="Q258" s="4">
        <f t="shared" si="27"/>
        <v>4694.7203653100787</v>
      </c>
      <c r="V258" s="3"/>
      <c r="W258" s="3"/>
      <c r="Y258" s="7"/>
      <c r="Z258" s="7"/>
      <c r="AA258" s="7"/>
      <c r="AB258" s="7"/>
      <c r="AC258" s="9"/>
      <c r="AD258" s="9"/>
      <c r="AE258" s="9"/>
      <c r="AF258" s="3"/>
      <c r="AG258" s="3"/>
      <c r="AH258" s="3"/>
    </row>
    <row r="259" spans="1:34" x14ac:dyDescent="0.3">
      <c r="A259">
        <v>226</v>
      </c>
      <c r="B259" s="1" t="s">
        <v>267</v>
      </c>
      <c r="C259" s="1" t="s">
        <v>682</v>
      </c>
      <c r="D259" s="2">
        <v>40828</v>
      </c>
      <c r="E259" s="3">
        <v>38.9</v>
      </c>
      <c r="F259" s="4">
        <f t="shared" si="21"/>
        <v>5665.421941938107</v>
      </c>
      <c r="G259" s="2">
        <v>40205</v>
      </c>
      <c r="H259" s="7">
        <v>2.88</v>
      </c>
      <c r="I259" s="7">
        <f>H259+H268-2*$A$24</f>
        <v>5.4599999999999991</v>
      </c>
      <c r="J259" s="7">
        <v>2.86</v>
      </c>
      <c r="K259" s="7">
        <v>4.82</v>
      </c>
      <c r="L259" s="6">
        <f t="shared" si="22"/>
        <v>0.33333333333333337</v>
      </c>
      <c r="M259" s="6">
        <f t="shared" si="23"/>
        <v>0.57142857142857151</v>
      </c>
      <c r="N259" s="6">
        <f t="shared" si="24"/>
        <v>9.5238095238095122E-2</v>
      </c>
      <c r="O259" s="4">
        <f t="shared" si="25"/>
        <v>1888.4739806460359</v>
      </c>
      <c r="P259" s="4">
        <f t="shared" si="26"/>
        <v>3237.3839668217761</v>
      </c>
      <c r="Q259" s="4">
        <f t="shared" si="27"/>
        <v>5125.8579474678118</v>
      </c>
      <c r="V259" s="3"/>
      <c r="W259" s="3"/>
      <c r="Y259" s="7"/>
      <c r="Z259" s="7"/>
      <c r="AA259" s="7"/>
      <c r="AB259" s="7"/>
      <c r="AC259" s="9"/>
      <c r="AD259" s="9"/>
      <c r="AE259" s="9"/>
      <c r="AF259" s="3"/>
      <c r="AG259" s="3"/>
      <c r="AH259" s="3"/>
    </row>
    <row r="260" spans="1:34" x14ac:dyDescent="0.3">
      <c r="A260">
        <v>227</v>
      </c>
      <c r="B260" s="1" t="s">
        <v>268</v>
      </c>
      <c r="C260" s="1" t="s">
        <v>682</v>
      </c>
      <c r="D260" s="2">
        <v>40828</v>
      </c>
      <c r="E260" s="3">
        <v>35.099999999999994</v>
      </c>
      <c r="F260" s="4">
        <f t="shared" si="21"/>
        <v>5079.4501569798931</v>
      </c>
      <c r="G260" s="2">
        <v>40205</v>
      </c>
      <c r="H260" s="7">
        <v>2.84</v>
      </c>
      <c r="I260" s="7">
        <f>H260+H267-2*$A$24</f>
        <v>5.8999999999999995</v>
      </c>
      <c r="J260" s="7">
        <v>2.94</v>
      </c>
      <c r="K260" s="7">
        <v>5.0599999999999996</v>
      </c>
      <c r="L260" s="6">
        <f t="shared" si="22"/>
        <v>0.32203389830508478</v>
      </c>
      <c r="M260" s="6">
        <f t="shared" si="23"/>
        <v>0.56949152542372872</v>
      </c>
      <c r="N260" s="6">
        <f t="shared" si="24"/>
        <v>0.10847457627118651</v>
      </c>
      <c r="O260" s="4">
        <f t="shared" si="25"/>
        <v>1635.7551352986097</v>
      </c>
      <c r="P260" s="4">
        <f t="shared" si="26"/>
        <v>2892.7038182122778</v>
      </c>
      <c r="Q260" s="4">
        <f t="shared" si="27"/>
        <v>4528.458953510888</v>
      </c>
      <c r="V260" s="3"/>
      <c r="W260" s="3"/>
      <c r="Y260" s="7"/>
      <c r="Z260" s="7"/>
      <c r="AA260" s="7"/>
      <c r="AB260" s="7"/>
      <c r="AC260" s="9"/>
      <c r="AD260" s="9"/>
      <c r="AE260" s="9"/>
      <c r="AF260" s="3"/>
      <c r="AG260" s="3"/>
      <c r="AH260" s="3"/>
    </row>
    <row r="261" spans="1:34" x14ac:dyDescent="0.3">
      <c r="A261">
        <v>228</v>
      </c>
      <c r="B261" s="1" t="s">
        <v>269</v>
      </c>
      <c r="C261" s="1" t="s">
        <v>682</v>
      </c>
      <c r="D261" s="2">
        <v>40828</v>
      </c>
      <c r="E261" s="3">
        <v>38</v>
      </c>
      <c r="F261" s="4">
        <f t="shared" si="21"/>
        <v>5526.6391507637945</v>
      </c>
      <c r="G261" s="2">
        <v>40205</v>
      </c>
      <c r="H261" s="7">
        <v>3.34</v>
      </c>
      <c r="I261" s="7">
        <f>H261+H266-2*$A$24</f>
        <v>6.1199999999999992</v>
      </c>
      <c r="J261" s="7">
        <v>3.08</v>
      </c>
      <c r="K261" s="7">
        <v>5.18</v>
      </c>
      <c r="L261" s="6">
        <f t="shared" si="22"/>
        <v>0.33333333333333337</v>
      </c>
      <c r="M261" s="6">
        <f t="shared" si="23"/>
        <v>0.56862745098039214</v>
      </c>
      <c r="N261" s="6">
        <f t="shared" si="24"/>
        <v>9.8039215686274495E-2</v>
      </c>
      <c r="O261" s="4">
        <f t="shared" si="25"/>
        <v>1842.2130502545983</v>
      </c>
      <c r="P261" s="4">
        <f t="shared" si="26"/>
        <v>3142.5987327872558</v>
      </c>
      <c r="Q261" s="4">
        <f t="shared" si="27"/>
        <v>4984.8117830418541</v>
      </c>
      <c r="V261" s="3"/>
      <c r="W261" s="3"/>
      <c r="Y261" s="7"/>
      <c r="Z261" s="7"/>
      <c r="AA261" s="7"/>
      <c r="AB261" s="7"/>
      <c r="AC261" s="9"/>
      <c r="AD261" s="9"/>
      <c r="AE261" s="9"/>
      <c r="AF261" s="3"/>
      <c r="AG261" s="3"/>
      <c r="AH261" s="3"/>
    </row>
    <row r="262" spans="1:34" x14ac:dyDescent="0.3">
      <c r="A262">
        <v>229</v>
      </c>
      <c r="B262" s="1" t="s">
        <v>270</v>
      </c>
      <c r="C262" s="1" t="s">
        <v>682</v>
      </c>
      <c r="D262" s="2">
        <v>40828</v>
      </c>
      <c r="E262" s="3">
        <v>34.099999999999994</v>
      </c>
      <c r="F262" s="4">
        <f t="shared" si="21"/>
        <v>4925.2470556750995</v>
      </c>
      <c r="G262" s="2">
        <v>40205</v>
      </c>
      <c r="H262" s="7">
        <v>3.08</v>
      </c>
      <c r="I262" s="7">
        <f>H262+H265-2*$A$24</f>
        <v>6.4</v>
      </c>
      <c r="J262" s="7">
        <v>3.16</v>
      </c>
      <c r="K262" s="7">
        <v>5.38</v>
      </c>
      <c r="L262" s="6">
        <f t="shared" si="22"/>
        <v>0.33124999999999999</v>
      </c>
      <c r="M262" s="6">
        <f t="shared" si="23"/>
        <v>0.57499999999999996</v>
      </c>
      <c r="N262" s="6">
        <f t="shared" si="24"/>
        <v>9.375E-2</v>
      </c>
      <c r="O262" s="4">
        <f t="shared" si="25"/>
        <v>1631.4880871923767</v>
      </c>
      <c r="P262" s="4">
        <f t="shared" si="26"/>
        <v>2832.0170570131822</v>
      </c>
      <c r="Q262" s="4">
        <f t="shared" si="27"/>
        <v>4463.5051442055592</v>
      </c>
      <c r="V262" s="3"/>
      <c r="W262" s="3"/>
      <c r="Y262" s="7"/>
      <c r="Z262" s="7"/>
      <c r="AA262" s="7"/>
      <c r="AB262" s="7"/>
      <c r="AC262" s="9"/>
      <c r="AD262" s="9"/>
      <c r="AE262" s="9"/>
      <c r="AF262" s="3"/>
      <c r="AG262" s="3"/>
      <c r="AH262" s="3"/>
    </row>
    <row r="263" spans="1:34" x14ac:dyDescent="0.3">
      <c r="A263">
        <v>230</v>
      </c>
      <c r="B263" s="1" t="s">
        <v>271</v>
      </c>
      <c r="C263" s="1" t="s">
        <v>682</v>
      </c>
      <c r="D263" s="2">
        <v>40828</v>
      </c>
      <c r="E263" s="3">
        <v>28.299999999999997</v>
      </c>
      <c r="F263" s="4">
        <f t="shared" si="21"/>
        <v>4030.8690681072981</v>
      </c>
      <c r="G263" s="2">
        <v>40205</v>
      </c>
      <c r="H263" s="7">
        <v>3.6</v>
      </c>
      <c r="I263" s="7">
        <f>H263+H264-2*$A$24</f>
        <v>6.22</v>
      </c>
      <c r="J263" s="7">
        <v>3.08</v>
      </c>
      <c r="K263" s="7">
        <v>5.3</v>
      </c>
      <c r="L263" s="6">
        <f t="shared" si="22"/>
        <v>0.32797427652733119</v>
      </c>
      <c r="M263" s="6">
        <f t="shared" si="23"/>
        <v>0.5787781350482315</v>
      </c>
      <c r="N263" s="6">
        <f t="shared" si="24"/>
        <v>9.3247588424437255E-2</v>
      </c>
      <c r="O263" s="4">
        <f t="shared" si="25"/>
        <v>1322.0213663888887</v>
      </c>
      <c r="P263" s="4">
        <f t="shared" si="26"/>
        <v>2332.9788818627449</v>
      </c>
      <c r="Q263" s="4">
        <f t="shared" si="27"/>
        <v>3655.0002482516338</v>
      </c>
      <c r="V263" s="3"/>
      <c r="W263" s="3"/>
      <c r="Y263" s="7"/>
      <c r="Z263" s="7"/>
      <c r="AA263" s="7"/>
      <c r="AB263" s="7"/>
      <c r="AC263" s="9"/>
      <c r="AD263" s="9"/>
      <c r="AE263" s="9"/>
      <c r="AF263" s="3"/>
      <c r="AG263" s="3"/>
      <c r="AH263" s="3"/>
    </row>
    <row r="264" spans="1:34" x14ac:dyDescent="0.3">
      <c r="A264">
        <v>231</v>
      </c>
      <c r="B264" s="1" t="s">
        <v>272</v>
      </c>
      <c r="C264" s="1" t="s">
        <v>682</v>
      </c>
      <c r="D264" s="2">
        <v>40828</v>
      </c>
      <c r="E264" s="3">
        <v>25.1</v>
      </c>
      <c r="F264" s="4">
        <f t="shared" si="21"/>
        <v>3537.4191439319602</v>
      </c>
      <c r="G264" s="2">
        <v>40205</v>
      </c>
      <c r="H264" s="7">
        <v>2.94</v>
      </c>
      <c r="I264" s="7">
        <f>H264+H263-2*$A$24</f>
        <v>6.22</v>
      </c>
      <c r="J264" s="7">
        <v>3.08</v>
      </c>
      <c r="K264" s="7">
        <v>5.3</v>
      </c>
      <c r="L264" s="6">
        <f t="shared" si="22"/>
        <v>0.32797427652733119</v>
      </c>
      <c r="M264" s="6">
        <f t="shared" si="23"/>
        <v>0.5787781350482315</v>
      </c>
      <c r="N264" s="6">
        <f t="shared" si="24"/>
        <v>9.3247588424437255E-2</v>
      </c>
      <c r="O264" s="4">
        <f t="shared" si="25"/>
        <v>1160.182484505016</v>
      </c>
      <c r="P264" s="4">
        <f t="shared" si="26"/>
        <v>2047.3808550088515</v>
      </c>
      <c r="Q264" s="4">
        <f t="shared" si="27"/>
        <v>3207.5633395138675</v>
      </c>
      <c r="V264" s="3"/>
      <c r="W264" s="3"/>
      <c r="Y264" s="7"/>
      <c r="Z264" s="7"/>
      <c r="AA264" s="7"/>
      <c r="AB264" s="7"/>
      <c r="AC264" s="9"/>
      <c r="AD264" s="9"/>
      <c r="AE264" s="9"/>
      <c r="AF264" s="3"/>
      <c r="AG264" s="3"/>
      <c r="AH264" s="3"/>
    </row>
    <row r="265" spans="1:34" x14ac:dyDescent="0.3">
      <c r="A265">
        <v>232</v>
      </c>
      <c r="B265" s="1" t="s">
        <v>273</v>
      </c>
      <c r="C265" s="1" t="s">
        <v>682</v>
      </c>
      <c r="D265" s="2">
        <v>40828</v>
      </c>
      <c r="E265" s="3">
        <v>30.200000000000003</v>
      </c>
      <c r="F265" s="4">
        <f t="shared" si="21"/>
        <v>4323.8549605864064</v>
      </c>
      <c r="G265" s="2">
        <v>40205</v>
      </c>
      <c r="H265" s="7">
        <v>3.64</v>
      </c>
      <c r="I265" s="7">
        <f>H265+H262-2*$A$24</f>
        <v>6.4</v>
      </c>
      <c r="J265" s="7">
        <v>3.16</v>
      </c>
      <c r="K265" s="7">
        <v>5.38</v>
      </c>
      <c r="L265" s="6">
        <f t="shared" si="22"/>
        <v>0.33124999999999999</v>
      </c>
      <c r="M265" s="6">
        <f t="shared" si="23"/>
        <v>0.57499999999999996</v>
      </c>
      <c r="N265" s="6">
        <f t="shared" si="24"/>
        <v>9.375E-2</v>
      </c>
      <c r="O265" s="4">
        <f t="shared" si="25"/>
        <v>1432.2769556942471</v>
      </c>
      <c r="P265" s="4">
        <f t="shared" si="26"/>
        <v>2486.2166023371833</v>
      </c>
      <c r="Q265" s="4">
        <f t="shared" si="27"/>
        <v>3918.4935580314304</v>
      </c>
      <c r="V265" s="3"/>
      <c r="W265" s="3"/>
      <c r="Y265" s="7"/>
      <c r="Z265" s="7"/>
      <c r="AA265" s="7"/>
      <c r="AB265" s="7"/>
      <c r="AC265" s="9"/>
      <c r="AD265" s="9"/>
      <c r="AE265" s="9"/>
      <c r="AF265" s="3"/>
      <c r="AG265" s="3"/>
      <c r="AH265" s="3"/>
    </row>
    <row r="266" spans="1:34" x14ac:dyDescent="0.3">
      <c r="A266">
        <v>233</v>
      </c>
      <c r="B266" s="1" t="s">
        <v>274</v>
      </c>
      <c r="C266" s="1" t="s">
        <v>682</v>
      </c>
      <c r="D266" s="2">
        <v>40828</v>
      </c>
      <c r="E266" s="3">
        <v>35.200000000000003</v>
      </c>
      <c r="F266" s="4">
        <f t="shared" si="21"/>
        <v>5094.8704671103742</v>
      </c>
      <c r="G266" s="2">
        <v>40205</v>
      </c>
      <c r="H266" s="7">
        <v>3.1</v>
      </c>
      <c r="I266" s="7">
        <f>H266+H261-2*$A$24</f>
        <v>6.1199999999999992</v>
      </c>
      <c r="J266" s="7">
        <v>3.08</v>
      </c>
      <c r="K266" s="7">
        <v>5.18</v>
      </c>
      <c r="L266" s="6">
        <f t="shared" si="22"/>
        <v>0.33333333333333337</v>
      </c>
      <c r="M266" s="6">
        <f t="shared" si="23"/>
        <v>0.56862745098039214</v>
      </c>
      <c r="N266" s="6">
        <f t="shared" si="24"/>
        <v>9.8039215686274495E-2</v>
      </c>
      <c r="O266" s="4">
        <f t="shared" si="25"/>
        <v>1698.2901557034581</v>
      </c>
      <c r="P266" s="4">
        <f t="shared" si="26"/>
        <v>2897.083206788252</v>
      </c>
      <c r="Q266" s="4">
        <f t="shared" si="27"/>
        <v>4595.3733624917104</v>
      </c>
      <c r="V266" s="3"/>
      <c r="W266" s="3"/>
      <c r="Y266" s="7"/>
      <c r="Z266" s="7"/>
      <c r="AA266" s="7"/>
      <c r="AB266" s="7"/>
      <c r="AC266" s="9"/>
      <c r="AD266" s="9"/>
      <c r="AE266" s="9"/>
      <c r="AF266" s="3"/>
      <c r="AG266" s="3"/>
      <c r="AH266" s="3"/>
    </row>
    <row r="267" spans="1:34" x14ac:dyDescent="0.3">
      <c r="A267">
        <v>234</v>
      </c>
      <c r="B267" s="1" t="s">
        <v>275</v>
      </c>
      <c r="C267" s="1" t="s">
        <v>682</v>
      </c>
      <c r="D267" s="2">
        <v>40828</v>
      </c>
      <c r="E267" s="3">
        <v>33.1</v>
      </c>
      <c r="F267" s="4">
        <f t="shared" si="21"/>
        <v>4771.0439543703069</v>
      </c>
      <c r="G267" s="2">
        <v>40205</v>
      </c>
      <c r="H267" s="7">
        <v>3.38</v>
      </c>
      <c r="I267" s="7">
        <f>H267+H260-2*$A$24</f>
        <v>5.8999999999999995</v>
      </c>
      <c r="J267" s="7">
        <v>2.94</v>
      </c>
      <c r="K267" s="7">
        <v>5.0599999999999996</v>
      </c>
      <c r="L267" s="6">
        <f t="shared" si="22"/>
        <v>0.32203389830508478</v>
      </c>
      <c r="M267" s="6">
        <f t="shared" si="23"/>
        <v>0.56949152542372872</v>
      </c>
      <c r="N267" s="6">
        <f t="shared" si="24"/>
        <v>0.10847457627118651</v>
      </c>
      <c r="O267" s="4">
        <f t="shared" si="25"/>
        <v>1536.4378836107769</v>
      </c>
      <c r="P267" s="4">
        <f t="shared" si="26"/>
        <v>2717.0690994380047</v>
      </c>
      <c r="Q267" s="4">
        <f t="shared" si="27"/>
        <v>4253.5069830487819</v>
      </c>
      <c r="V267" s="3"/>
      <c r="W267" s="3"/>
      <c r="Y267" s="7"/>
      <c r="Z267" s="7"/>
      <c r="AA267" s="7"/>
      <c r="AB267" s="7"/>
      <c r="AC267" s="9"/>
      <c r="AD267" s="9"/>
      <c r="AE267" s="9"/>
      <c r="AF267" s="3"/>
      <c r="AG267" s="3"/>
      <c r="AH267" s="3"/>
    </row>
    <row r="268" spans="1:34" x14ac:dyDescent="0.3">
      <c r="A268">
        <v>235</v>
      </c>
      <c r="B268" s="1" t="s">
        <v>276</v>
      </c>
      <c r="C268" s="1" t="s">
        <v>682</v>
      </c>
      <c r="D268" s="2">
        <v>40828</v>
      </c>
      <c r="E268" s="3">
        <v>35.700000000000003</v>
      </c>
      <c r="F268" s="4">
        <f t="shared" si="21"/>
        <v>5171.9720177627705</v>
      </c>
      <c r="G268" s="2">
        <v>40205</v>
      </c>
      <c r="H268" s="7">
        <v>2.9</v>
      </c>
      <c r="I268" s="7">
        <f>H268+H259-2*$A$24</f>
        <v>5.4599999999999991</v>
      </c>
      <c r="J268" s="7">
        <v>2.86</v>
      </c>
      <c r="K268" s="7">
        <v>4.82</v>
      </c>
      <c r="L268" s="6">
        <f t="shared" si="22"/>
        <v>0.33333333333333337</v>
      </c>
      <c r="M268" s="6">
        <f t="shared" si="23"/>
        <v>0.57142857142857151</v>
      </c>
      <c r="N268" s="6">
        <f t="shared" si="24"/>
        <v>9.5238095238095122E-2</v>
      </c>
      <c r="O268" s="4">
        <f t="shared" si="25"/>
        <v>1723.9906725875903</v>
      </c>
      <c r="P268" s="4">
        <f t="shared" si="26"/>
        <v>2955.4125815787265</v>
      </c>
      <c r="Q268" s="4">
        <f t="shared" si="27"/>
        <v>4679.4032541663164</v>
      </c>
      <c r="V268" s="3"/>
      <c r="W268" s="3"/>
      <c r="Y268" s="7"/>
      <c r="Z268" s="7"/>
      <c r="AA268" s="7"/>
      <c r="AB268" s="7"/>
      <c r="AC268" s="9"/>
      <c r="AD268" s="9"/>
      <c r="AE268" s="9"/>
      <c r="AF268" s="3"/>
      <c r="AG268" s="3"/>
      <c r="AH268" s="3"/>
    </row>
    <row r="269" spans="1:34" x14ac:dyDescent="0.3">
      <c r="A269">
        <v>236</v>
      </c>
      <c r="B269" s="1" t="s">
        <v>277</v>
      </c>
      <c r="C269" s="1" t="s">
        <v>682</v>
      </c>
      <c r="D269" s="2">
        <v>40828</v>
      </c>
      <c r="E269" s="3">
        <v>33</v>
      </c>
      <c r="F269" s="4">
        <f t="shared" si="21"/>
        <v>4755.6236442398267</v>
      </c>
      <c r="G269" s="2">
        <v>40205</v>
      </c>
      <c r="H269" s="7">
        <v>3.34</v>
      </c>
      <c r="I269" s="7">
        <f>H269+H258-2*$A$24</f>
        <v>6.66</v>
      </c>
      <c r="J269" s="7">
        <v>3.32</v>
      </c>
      <c r="K269" s="7">
        <v>5.52</v>
      </c>
      <c r="L269" s="6">
        <f t="shared" si="22"/>
        <v>0.34234234234234229</v>
      </c>
      <c r="M269" s="6">
        <f t="shared" si="23"/>
        <v>0.57357357357357353</v>
      </c>
      <c r="N269" s="6">
        <f t="shared" si="24"/>
        <v>8.4084084084084187E-2</v>
      </c>
      <c r="O269" s="4">
        <f t="shared" si="25"/>
        <v>1628.0513376676881</v>
      </c>
      <c r="P269" s="4">
        <f t="shared" si="26"/>
        <v>2727.7000481976179</v>
      </c>
      <c r="Q269" s="4">
        <f t="shared" si="27"/>
        <v>4355.7513858653056</v>
      </c>
      <c r="V269" s="3"/>
      <c r="W269" s="3"/>
      <c r="Y269" s="7"/>
      <c r="Z269" s="7"/>
      <c r="AA269" s="7"/>
      <c r="AB269" s="7"/>
      <c r="AC269" s="9"/>
      <c r="AD269" s="9"/>
      <c r="AE269" s="9"/>
      <c r="AF269" s="3"/>
      <c r="AG269" s="3"/>
      <c r="AH269" s="3"/>
    </row>
    <row r="270" spans="1:34" x14ac:dyDescent="0.3">
      <c r="A270">
        <v>237</v>
      </c>
      <c r="B270" s="1" t="s">
        <v>278</v>
      </c>
      <c r="C270" s="1" t="s">
        <v>682</v>
      </c>
      <c r="D270" s="2">
        <v>40828</v>
      </c>
      <c r="E270" s="3">
        <v>31.3</v>
      </c>
      <c r="F270" s="4">
        <f t="shared" si="21"/>
        <v>4493.4783720216783</v>
      </c>
      <c r="G270" s="2">
        <v>40205</v>
      </c>
      <c r="H270" s="7">
        <v>2.84</v>
      </c>
      <c r="I270" s="7">
        <f>H270+H257-2*$A$24</f>
        <v>5.8599999999999994</v>
      </c>
      <c r="J270" s="7">
        <v>2.94</v>
      </c>
      <c r="K270" s="7">
        <v>4.9400000000000004</v>
      </c>
      <c r="L270" s="6">
        <f t="shared" si="22"/>
        <v>0.32423208191126279</v>
      </c>
      <c r="M270" s="6">
        <f t="shared" si="23"/>
        <v>0.5529010238907851</v>
      </c>
      <c r="N270" s="6">
        <f t="shared" si="24"/>
        <v>0.12286689419795216</v>
      </c>
      <c r="O270" s="4">
        <f t="shared" si="25"/>
        <v>1456.9298475838207</v>
      </c>
      <c r="P270" s="4">
        <f t="shared" si="26"/>
        <v>2484.4487927218843</v>
      </c>
      <c r="Q270" s="4">
        <f t="shared" si="27"/>
        <v>3941.3786403057047</v>
      </c>
      <c r="V270" s="3"/>
      <c r="W270" s="3"/>
      <c r="Y270" s="7"/>
      <c r="Z270" s="7"/>
      <c r="AA270" s="7"/>
      <c r="AB270" s="7"/>
      <c r="AC270" s="9"/>
      <c r="AD270" s="9"/>
      <c r="AE270" s="9"/>
      <c r="AF270" s="3"/>
      <c r="AG270" s="3"/>
      <c r="AH270" s="3"/>
    </row>
    <row r="271" spans="1:34" x14ac:dyDescent="0.3">
      <c r="A271">
        <v>238</v>
      </c>
      <c r="B271" s="1" t="s">
        <v>279</v>
      </c>
      <c r="C271" s="1" t="s">
        <v>682</v>
      </c>
      <c r="D271" s="2">
        <v>40828</v>
      </c>
      <c r="E271" s="3">
        <v>29.6</v>
      </c>
      <c r="F271" s="4">
        <f t="shared" si="21"/>
        <v>4231.3330998035308</v>
      </c>
      <c r="G271" s="2">
        <v>40205</v>
      </c>
      <c r="H271" s="7">
        <v>3.26</v>
      </c>
      <c r="I271" s="7">
        <f>H271+H256-2*$A$24</f>
        <v>5.76</v>
      </c>
      <c r="J271" s="7">
        <v>2.94</v>
      </c>
      <c r="K271" s="7">
        <v>5.0599999999999996</v>
      </c>
      <c r="L271" s="6">
        <f t="shared" si="22"/>
        <v>0.3298611111111111</v>
      </c>
      <c r="M271" s="6">
        <f t="shared" si="23"/>
        <v>0.58333333333333326</v>
      </c>
      <c r="N271" s="6">
        <f t="shared" si="24"/>
        <v>8.680555555555558E-2</v>
      </c>
      <c r="O271" s="4">
        <f t="shared" si="25"/>
        <v>1395.7522377824146</v>
      </c>
      <c r="P271" s="4">
        <f t="shared" si="26"/>
        <v>2468.2776415520593</v>
      </c>
      <c r="Q271" s="4">
        <f t="shared" si="27"/>
        <v>3864.0298793344737</v>
      </c>
      <c r="V271" s="3"/>
      <c r="W271" s="3"/>
      <c r="Y271" s="7"/>
      <c r="Z271" s="7"/>
      <c r="AA271" s="7"/>
      <c r="AB271" s="7"/>
      <c r="AC271" s="9"/>
      <c r="AD271" s="9"/>
      <c r="AE271" s="9"/>
      <c r="AF271" s="3"/>
      <c r="AG271" s="3"/>
      <c r="AH271" s="3"/>
    </row>
    <row r="272" spans="1:34" x14ac:dyDescent="0.3">
      <c r="A272">
        <v>239</v>
      </c>
      <c r="B272" s="1" t="s">
        <v>280</v>
      </c>
      <c r="C272" s="1" t="s">
        <v>682</v>
      </c>
      <c r="D272" s="2">
        <v>40828</v>
      </c>
      <c r="E272" s="3">
        <v>29.3</v>
      </c>
      <c r="F272" s="4">
        <f t="shared" si="21"/>
        <v>4185.0721694120921</v>
      </c>
      <c r="G272" s="2">
        <v>40205</v>
      </c>
      <c r="H272" s="7">
        <v>3.28</v>
      </c>
      <c r="I272" s="7">
        <f>H272+H255-2*$A$24</f>
        <v>6.64</v>
      </c>
      <c r="J272" s="7">
        <v>3.26</v>
      </c>
      <c r="K272" s="7">
        <v>5.42</v>
      </c>
      <c r="L272" s="6">
        <f t="shared" si="22"/>
        <v>0.33433734939759036</v>
      </c>
      <c r="M272" s="6">
        <f t="shared" si="23"/>
        <v>0.56024096385542166</v>
      </c>
      <c r="N272" s="6">
        <f t="shared" si="24"/>
        <v>0.10542168674698804</v>
      </c>
      <c r="O272" s="4">
        <f t="shared" si="25"/>
        <v>1399.2259361588622</v>
      </c>
      <c r="P272" s="4">
        <f t="shared" si="26"/>
        <v>2344.6488659959309</v>
      </c>
      <c r="Q272" s="4">
        <f t="shared" si="27"/>
        <v>3743.8748021547931</v>
      </c>
      <c r="V272" s="3"/>
      <c r="W272" s="3"/>
      <c r="Y272" s="7"/>
      <c r="Z272" s="7"/>
      <c r="AA272" s="7"/>
      <c r="AB272" s="7"/>
      <c r="AC272" s="9"/>
      <c r="AD272" s="9"/>
      <c r="AE272" s="9"/>
      <c r="AF272" s="3"/>
      <c r="AG272" s="3"/>
      <c r="AH272" s="3"/>
    </row>
    <row r="273" spans="1:34" x14ac:dyDescent="0.3">
      <c r="A273">
        <v>240</v>
      </c>
      <c r="B273" s="1" t="s">
        <v>281</v>
      </c>
      <c r="C273" s="1" t="s">
        <v>682</v>
      </c>
      <c r="D273" s="2">
        <v>40828</v>
      </c>
      <c r="E273" s="3">
        <v>27.1</v>
      </c>
      <c r="F273" s="4">
        <f t="shared" si="21"/>
        <v>3845.8253465415464</v>
      </c>
      <c r="G273" s="2">
        <v>40205</v>
      </c>
      <c r="H273" s="7">
        <v>2.88</v>
      </c>
      <c r="I273" s="7">
        <f>H273+H254-2*$A$24</f>
        <v>6.02</v>
      </c>
      <c r="J273" s="7">
        <v>3.04</v>
      </c>
      <c r="K273" s="7">
        <v>5.14</v>
      </c>
      <c r="L273" s="6">
        <f t="shared" si="22"/>
        <v>0.33222591362126247</v>
      </c>
      <c r="M273" s="6">
        <f t="shared" si="23"/>
        <v>0.5714285714285714</v>
      </c>
      <c r="N273" s="6">
        <f t="shared" si="24"/>
        <v>9.6345514950166189E-2</v>
      </c>
      <c r="O273" s="4">
        <f t="shared" si="25"/>
        <v>1277.6828393825735</v>
      </c>
      <c r="P273" s="4">
        <f t="shared" si="26"/>
        <v>2197.6144837380266</v>
      </c>
      <c r="Q273" s="4">
        <f t="shared" si="27"/>
        <v>3475.2973231206001</v>
      </c>
      <c r="V273" s="3"/>
      <c r="W273" s="3"/>
      <c r="Y273" s="7"/>
      <c r="Z273" s="7"/>
      <c r="AA273" s="7"/>
      <c r="AB273" s="7"/>
      <c r="AC273" s="9"/>
      <c r="AD273" s="9"/>
      <c r="AE273" s="9"/>
      <c r="AF273" s="3"/>
      <c r="AG273" s="3"/>
      <c r="AH273" s="3"/>
    </row>
    <row r="274" spans="1:34" x14ac:dyDescent="0.3">
      <c r="A274">
        <v>241</v>
      </c>
      <c r="B274" s="1" t="s">
        <v>282</v>
      </c>
      <c r="C274" s="1" t="s">
        <v>682</v>
      </c>
      <c r="D274" s="2">
        <v>40828</v>
      </c>
      <c r="E274" s="3">
        <v>30.400000000000002</v>
      </c>
      <c r="F274" s="4">
        <f t="shared" si="21"/>
        <v>4354.6955808473649</v>
      </c>
      <c r="G274" s="2">
        <v>40204</v>
      </c>
      <c r="H274" s="7">
        <v>3.36</v>
      </c>
      <c r="I274" s="7">
        <f>H274+H293-2*$A$24</f>
        <v>6.6999999999999993</v>
      </c>
      <c r="J274" s="7">
        <v>3.3</v>
      </c>
      <c r="K274" s="7">
        <v>5.48</v>
      </c>
      <c r="L274" s="6">
        <f t="shared" si="22"/>
        <v>0.33731343283582088</v>
      </c>
      <c r="M274" s="6">
        <f t="shared" si="23"/>
        <v>0.56417910447761199</v>
      </c>
      <c r="N274" s="6">
        <f t="shared" si="24"/>
        <v>9.8507462686567071E-2</v>
      </c>
      <c r="O274" s="4">
        <f t="shared" si="25"/>
        <v>1468.8973153306035</v>
      </c>
      <c r="P274" s="4">
        <f t="shared" si="26"/>
        <v>2456.8282530750807</v>
      </c>
      <c r="Q274" s="4">
        <f t="shared" si="27"/>
        <v>3925.7255684056845</v>
      </c>
      <c r="S274" t="s">
        <v>31</v>
      </c>
      <c r="T274" t="s">
        <v>682</v>
      </c>
      <c r="U274" s="8">
        <f>D274</f>
        <v>40828</v>
      </c>
      <c r="V274" s="3">
        <f>SUM(E274:E313)</f>
        <v>1410.9</v>
      </c>
      <c r="W274" s="3">
        <f>(V274-80*$A$20)*$A$21/(40*$A$22)*$A$23</f>
        <v>5106.0501919549706</v>
      </c>
      <c r="X274" s="8">
        <f>G274</f>
        <v>40204</v>
      </c>
      <c r="Y274" s="7">
        <f>SUM(H274:H313)</f>
        <v>130.85999999999999</v>
      </c>
      <c r="Z274" s="7">
        <f>SUM(I274:I313)</f>
        <v>248.92</v>
      </c>
      <c r="AA274" s="7">
        <f>SUM(J274:J313)</f>
        <v>123.07999999999998</v>
      </c>
      <c r="AB274" s="7">
        <f>SUM(K274:K313)</f>
        <v>210.04000000000008</v>
      </c>
      <c r="AC274" s="9">
        <f>(AA274-40*$A$25)/Z274</f>
        <v>0.32733408323959501</v>
      </c>
      <c r="AD274" s="9">
        <f>(AB274-40*$A$26)/Z274</f>
        <v>0.57062510043387471</v>
      </c>
      <c r="AE274" s="9">
        <f>1-AC274-AD274</f>
        <v>0.10204081632653028</v>
      </c>
      <c r="AF274" s="3">
        <f>W274*AC274</f>
        <v>1671.3842585589384</v>
      </c>
      <c r="AG274" s="3">
        <f>W274*AD274</f>
        <v>2913.6404036047102</v>
      </c>
      <c r="AH274" s="3">
        <f>AF274+AG274</f>
        <v>4585.0246621636488</v>
      </c>
    </row>
    <row r="275" spans="1:34" x14ac:dyDescent="0.3">
      <c r="A275">
        <v>242</v>
      </c>
      <c r="B275" s="1" t="s">
        <v>283</v>
      </c>
      <c r="C275" s="1" t="s">
        <v>682</v>
      </c>
      <c r="D275" s="2">
        <v>40828</v>
      </c>
      <c r="E275" s="3">
        <v>31.1</v>
      </c>
      <c r="F275" s="4">
        <f t="shared" si="21"/>
        <v>4462.6377517607198</v>
      </c>
      <c r="G275" s="2">
        <v>40204</v>
      </c>
      <c r="H275" s="7">
        <v>2.48</v>
      </c>
      <c r="I275" s="7">
        <f>H275+H292-2*$A$24</f>
        <v>5.58</v>
      </c>
      <c r="J275" s="7">
        <v>2.9</v>
      </c>
      <c r="K275" s="7">
        <v>4.92</v>
      </c>
      <c r="L275" s="6">
        <f t="shared" si="22"/>
        <v>0.33333333333333331</v>
      </c>
      <c r="M275" s="6">
        <f t="shared" si="23"/>
        <v>0.57706093189964147</v>
      </c>
      <c r="N275" s="6">
        <f t="shared" si="24"/>
        <v>8.9605734767025269E-2</v>
      </c>
      <c r="O275" s="4">
        <f t="shared" si="25"/>
        <v>1487.5459172535732</v>
      </c>
      <c r="P275" s="4">
        <f t="shared" si="26"/>
        <v>2575.2138997615616</v>
      </c>
      <c r="Q275" s="4">
        <f t="shared" si="27"/>
        <v>4062.759817015135</v>
      </c>
      <c r="V275" s="3"/>
      <c r="W275" s="3"/>
      <c r="Y275" s="7"/>
      <c r="Z275" s="7"/>
      <c r="AA275" s="7"/>
      <c r="AB275" s="7"/>
      <c r="AC275" s="9"/>
      <c r="AD275" s="9"/>
      <c r="AE275" s="9"/>
      <c r="AF275" s="3"/>
      <c r="AG275" s="3"/>
      <c r="AH275" s="3"/>
    </row>
    <row r="276" spans="1:34" x14ac:dyDescent="0.3">
      <c r="A276">
        <v>243</v>
      </c>
      <c r="B276" s="1" t="s">
        <v>284</v>
      </c>
      <c r="C276" s="1" t="s">
        <v>682</v>
      </c>
      <c r="D276" s="2">
        <v>40828</v>
      </c>
      <c r="E276" s="3">
        <v>33</v>
      </c>
      <c r="F276" s="4">
        <f t="shared" si="21"/>
        <v>4755.6236442398267</v>
      </c>
      <c r="G276" s="2">
        <v>40204</v>
      </c>
      <c r="H276" s="7">
        <v>3.14</v>
      </c>
      <c r="I276" s="7">
        <f>H276+H291-2*$A$24</f>
        <v>6.08</v>
      </c>
      <c r="J276" s="7">
        <v>3.04</v>
      </c>
      <c r="K276" s="7">
        <v>5.22</v>
      </c>
      <c r="L276" s="6">
        <f t="shared" si="22"/>
        <v>0.32894736842105265</v>
      </c>
      <c r="M276" s="6">
        <f t="shared" si="23"/>
        <v>0.57894736842105254</v>
      </c>
      <c r="N276" s="6">
        <f t="shared" si="24"/>
        <v>9.2105263157894801E-2</v>
      </c>
      <c r="O276" s="4">
        <f t="shared" si="25"/>
        <v>1564.3498829736272</v>
      </c>
      <c r="P276" s="4">
        <f t="shared" si="26"/>
        <v>2753.2557940335837</v>
      </c>
      <c r="Q276" s="4">
        <f t="shared" si="27"/>
        <v>4317.6056770072109</v>
      </c>
      <c r="V276" s="3"/>
      <c r="W276" s="3"/>
      <c r="Y276" s="7"/>
      <c r="Z276" s="7"/>
      <c r="AA276" s="7"/>
      <c r="AB276" s="7"/>
      <c r="AC276" s="9"/>
      <c r="AD276" s="9"/>
      <c r="AE276" s="9"/>
      <c r="AF276" s="3"/>
      <c r="AG276" s="3"/>
      <c r="AH276" s="3"/>
    </row>
    <row r="277" spans="1:34" x14ac:dyDescent="0.3">
      <c r="A277">
        <v>244</v>
      </c>
      <c r="B277" s="1" t="s">
        <v>285</v>
      </c>
      <c r="C277" s="1" t="s">
        <v>682</v>
      </c>
      <c r="D277" s="2">
        <v>40828</v>
      </c>
      <c r="E277" s="3">
        <v>30.6</v>
      </c>
      <c r="F277" s="4">
        <f t="shared" si="21"/>
        <v>4385.5362011083234</v>
      </c>
      <c r="G277" s="2">
        <v>40204</v>
      </c>
      <c r="H277" s="7">
        <v>2.68</v>
      </c>
      <c r="I277" s="7">
        <f>H277+H290-2*$A$24</f>
        <v>5.74</v>
      </c>
      <c r="J277" s="7">
        <v>2.9</v>
      </c>
      <c r="K277" s="7">
        <v>4.9400000000000004</v>
      </c>
      <c r="L277" s="6">
        <f t="shared" si="22"/>
        <v>0.32404181184668984</v>
      </c>
      <c r="M277" s="6">
        <f t="shared" si="23"/>
        <v>0.56445993031358888</v>
      </c>
      <c r="N277" s="6">
        <f t="shared" si="24"/>
        <v>0.11149825783972123</v>
      </c>
      <c r="O277" s="4">
        <f t="shared" si="25"/>
        <v>1421.0970965263903</v>
      </c>
      <c r="P277" s="4">
        <f t="shared" si="26"/>
        <v>2475.4594584653255</v>
      </c>
      <c r="Q277" s="4">
        <f t="shared" si="27"/>
        <v>3896.5565549917155</v>
      </c>
      <c r="V277" s="3"/>
      <c r="W277" s="3"/>
      <c r="Y277" s="7"/>
      <c r="Z277" s="7"/>
      <c r="AA277" s="7"/>
      <c r="AB277" s="7"/>
      <c r="AC277" s="9"/>
      <c r="AD277" s="9"/>
      <c r="AE277" s="9"/>
      <c r="AF277" s="3"/>
      <c r="AG277" s="3"/>
      <c r="AH277" s="3"/>
    </row>
    <row r="278" spans="1:34" x14ac:dyDescent="0.3">
      <c r="A278">
        <v>245</v>
      </c>
      <c r="B278" s="1" t="s">
        <v>286</v>
      </c>
      <c r="C278" s="1" t="s">
        <v>682</v>
      </c>
      <c r="D278" s="2">
        <v>40828</v>
      </c>
      <c r="E278" s="3">
        <v>29.2</v>
      </c>
      <c r="F278" s="4">
        <f t="shared" si="21"/>
        <v>4169.6518592816119</v>
      </c>
      <c r="G278" s="2">
        <v>40204</v>
      </c>
      <c r="H278" s="7">
        <v>2.38</v>
      </c>
      <c r="I278" s="7">
        <f>H278+H289-2*$A$24</f>
        <v>5.18</v>
      </c>
      <c r="J278" s="7">
        <v>2.7</v>
      </c>
      <c r="K278" s="7">
        <v>4.74</v>
      </c>
      <c r="L278" s="6">
        <f t="shared" si="22"/>
        <v>0.32046332046332049</v>
      </c>
      <c r="M278" s="6">
        <f t="shared" si="23"/>
        <v>0.58687258687258692</v>
      </c>
      <c r="N278" s="6">
        <f t="shared" si="24"/>
        <v>9.266409266409259E-2</v>
      </c>
      <c r="O278" s="4">
        <f t="shared" si="25"/>
        <v>1336.2204800014433</v>
      </c>
      <c r="P278" s="4">
        <f t="shared" si="26"/>
        <v>2447.0543730146915</v>
      </c>
      <c r="Q278" s="4">
        <f t="shared" si="27"/>
        <v>3783.2748530161348</v>
      </c>
      <c r="V278" s="3"/>
      <c r="W278" s="3"/>
      <c r="Y278" s="7"/>
      <c r="Z278" s="7"/>
      <c r="AA278" s="7"/>
      <c r="AB278" s="7"/>
      <c r="AC278" s="9"/>
      <c r="AD278" s="9"/>
      <c r="AE278" s="9"/>
      <c r="AF278" s="3"/>
      <c r="AG278" s="3"/>
      <c r="AH278" s="3"/>
    </row>
    <row r="279" spans="1:34" x14ac:dyDescent="0.3">
      <c r="A279">
        <v>246</v>
      </c>
      <c r="B279" s="1" t="s">
        <v>287</v>
      </c>
      <c r="C279" s="1" t="s">
        <v>682</v>
      </c>
      <c r="D279" s="2">
        <v>40828</v>
      </c>
      <c r="E279" s="3">
        <v>31.9</v>
      </c>
      <c r="F279" s="4">
        <f t="shared" si="21"/>
        <v>4586.0002328045539</v>
      </c>
      <c r="G279" s="2">
        <v>40204</v>
      </c>
      <c r="H279" s="7">
        <v>3.46</v>
      </c>
      <c r="I279" s="7">
        <f>H279+H288-2*$A$24</f>
        <v>6.24</v>
      </c>
      <c r="J279" s="7">
        <v>3.08</v>
      </c>
      <c r="K279" s="7">
        <v>5.32</v>
      </c>
      <c r="L279" s="6">
        <f t="shared" si="22"/>
        <v>0.32692307692307693</v>
      </c>
      <c r="M279" s="6">
        <f t="shared" si="23"/>
        <v>0.58012820512820518</v>
      </c>
      <c r="N279" s="6">
        <f t="shared" si="24"/>
        <v>9.2948717948717952E-2</v>
      </c>
      <c r="O279" s="4">
        <f t="shared" si="25"/>
        <v>1499.269306878412</v>
      </c>
      <c r="P279" s="4">
        <f t="shared" si="26"/>
        <v>2660.4680837744368</v>
      </c>
      <c r="Q279" s="4">
        <f t="shared" si="27"/>
        <v>4159.7373906528483</v>
      </c>
      <c r="V279" s="3"/>
      <c r="W279" s="3"/>
      <c r="Y279" s="7"/>
      <c r="Z279" s="7"/>
      <c r="AA279" s="7"/>
      <c r="AB279" s="7"/>
      <c r="AC279" s="9"/>
      <c r="AD279" s="9"/>
      <c r="AE279" s="9"/>
      <c r="AF279" s="3"/>
      <c r="AG279" s="3"/>
      <c r="AH279" s="3"/>
    </row>
    <row r="280" spans="1:34" x14ac:dyDescent="0.3">
      <c r="A280">
        <v>247</v>
      </c>
      <c r="B280" s="1" t="s">
        <v>288</v>
      </c>
      <c r="C280" s="1" t="s">
        <v>682</v>
      </c>
      <c r="D280" s="2">
        <v>40828</v>
      </c>
      <c r="E280" s="3">
        <v>35.700000000000003</v>
      </c>
      <c r="F280" s="4">
        <f t="shared" si="21"/>
        <v>5171.9720177627705</v>
      </c>
      <c r="G280" s="2">
        <v>40204</v>
      </c>
      <c r="H280" s="7">
        <v>2.52</v>
      </c>
      <c r="I280" s="7">
        <f>H280+H287-2*$A$24</f>
        <v>5.84</v>
      </c>
      <c r="J280" s="7">
        <v>2.96</v>
      </c>
      <c r="K280" s="7">
        <v>4.9800000000000004</v>
      </c>
      <c r="L280" s="6">
        <f t="shared" si="22"/>
        <v>0.32876712328767121</v>
      </c>
      <c r="M280" s="6">
        <f t="shared" si="23"/>
        <v>0.56164383561643838</v>
      </c>
      <c r="N280" s="6">
        <f t="shared" si="24"/>
        <v>0.1095890410958904</v>
      </c>
      <c r="O280" s="4">
        <f t="shared" si="25"/>
        <v>1700.3743620041985</v>
      </c>
      <c r="P280" s="4">
        <f t="shared" si="26"/>
        <v>2904.8062017571724</v>
      </c>
      <c r="Q280" s="4">
        <f t="shared" si="27"/>
        <v>4605.1805637613706</v>
      </c>
      <c r="V280" s="3"/>
      <c r="W280" s="3"/>
      <c r="Y280" s="7"/>
      <c r="Z280" s="7"/>
      <c r="AA280" s="7"/>
      <c r="AB280" s="7"/>
      <c r="AC280" s="9"/>
      <c r="AD280" s="9"/>
      <c r="AE280" s="9"/>
      <c r="AF280" s="3"/>
      <c r="AG280" s="3"/>
      <c r="AH280" s="3"/>
    </row>
    <row r="281" spans="1:34" x14ac:dyDescent="0.3">
      <c r="A281">
        <v>248</v>
      </c>
      <c r="B281" s="1" t="s">
        <v>289</v>
      </c>
      <c r="C281" s="1" t="s">
        <v>682</v>
      </c>
      <c r="D281" s="2">
        <v>40828</v>
      </c>
      <c r="E281" s="3">
        <v>35</v>
      </c>
      <c r="F281" s="4">
        <f t="shared" si="21"/>
        <v>5064.0298468494148</v>
      </c>
      <c r="G281" s="2">
        <v>40204</v>
      </c>
      <c r="H281" s="7">
        <v>2.44</v>
      </c>
      <c r="I281" s="7">
        <f>H281+H286-2*$A$24</f>
        <v>5.58</v>
      </c>
      <c r="J281" s="7">
        <v>2.86</v>
      </c>
      <c r="K281" s="7">
        <v>4.8600000000000003</v>
      </c>
      <c r="L281" s="6">
        <f t="shared" si="22"/>
        <v>0.3261648745519713</v>
      </c>
      <c r="M281" s="6">
        <f t="shared" si="23"/>
        <v>0.56630824372759858</v>
      </c>
      <c r="N281" s="6">
        <f t="shared" si="24"/>
        <v>0.10752688172043012</v>
      </c>
      <c r="O281" s="4">
        <f t="shared" si="25"/>
        <v>1651.7086597250777</v>
      </c>
      <c r="P281" s="4">
        <f t="shared" si="26"/>
        <v>2867.8018487534323</v>
      </c>
      <c r="Q281" s="4">
        <f t="shared" si="27"/>
        <v>4519.51050847851</v>
      </c>
      <c r="V281" s="3"/>
      <c r="W281" s="3"/>
      <c r="Y281" s="7"/>
      <c r="Z281" s="7"/>
      <c r="AA281" s="7"/>
      <c r="AB281" s="7"/>
      <c r="AC281" s="9"/>
      <c r="AD281" s="9"/>
      <c r="AE281" s="9"/>
      <c r="AF281" s="3"/>
      <c r="AG281" s="3"/>
      <c r="AH281" s="3"/>
    </row>
    <row r="282" spans="1:34" x14ac:dyDescent="0.3">
      <c r="A282">
        <v>249</v>
      </c>
      <c r="B282" s="1" t="s">
        <v>290</v>
      </c>
      <c r="C282" s="1" t="s">
        <v>682</v>
      </c>
      <c r="D282" s="2">
        <v>40828</v>
      </c>
      <c r="E282" s="3">
        <v>32.799999999999997</v>
      </c>
      <c r="F282" s="4">
        <f t="shared" si="21"/>
        <v>4724.7830239788682</v>
      </c>
      <c r="G282" s="2">
        <v>40204</v>
      </c>
      <c r="H282" s="7">
        <v>3.52</v>
      </c>
      <c r="I282" s="7">
        <f>H282+H285-2*$A$24</f>
        <v>6.84</v>
      </c>
      <c r="J282" s="7">
        <v>3.28</v>
      </c>
      <c r="K282" s="7">
        <v>5.6</v>
      </c>
      <c r="L282" s="6">
        <f t="shared" si="22"/>
        <v>0.32748538011695905</v>
      </c>
      <c r="M282" s="6">
        <f t="shared" si="23"/>
        <v>0.57017543859649111</v>
      </c>
      <c r="N282" s="6">
        <f t="shared" si="24"/>
        <v>0.10233918128654984</v>
      </c>
      <c r="O282" s="4">
        <f t="shared" si="25"/>
        <v>1547.297364577875</v>
      </c>
      <c r="P282" s="4">
        <f t="shared" si="26"/>
        <v>2693.9552329704065</v>
      </c>
      <c r="Q282" s="4">
        <f t="shared" si="27"/>
        <v>4241.2525975482813</v>
      </c>
      <c r="V282" s="3"/>
      <c r="W282" s="3"/>
      <c r="Y282" s="7"/>
      <c r="Z282" s="7"/>
      <c r="AA282" s="7"/>
      <c r="AB282" s="7"/>
      <c r="AC282" s="9"/>
      <c r="AD282" s="9"/>
      <c r="AE282" s="9"/>
      <c r="AF282" s="3"/>
      <c r="AG282" s="3"/>
      <c r="AH282" s="3"/>
    </row>
    <row r="283" spans="1:34" x14ac:dyDescent="0.3">
      <c r="A283">
        <v>250</v>
      </c>
      <c r="B283" s="1" t="s">
        <v>291</v>
      </c>
      <c r="C283" s="1" t="s">
        <v>682</v>
      </c>
      <c r="D283" s="2">
        <v>40828</v>
      </c>
      <c r="E283" s="3">
        <v>33.1</v>
      </c>
      <c r="F283" s="4">
        <f t="shared" si="21"/>
        <v>4771.0439543703069</v>
      </c>
      <c r="G283" s="2">
        <v>40204</v>
      </c>
      <c r="H283" s="7">
        <v>3.92</v>
      </c>
      <c r="I283" s="7">
        <f>H283+H284-2*$A$24</f>
        <v>7.34</v>
      </c>
      <c r="J283" s="7">
        <v>3.5</v>
      </c>
      <c r="K283" s="7">
        <v>5.92</v>
      </c>
      <c r="L283" s="6">
        <f t="shared" si="22"/>
        <v>0.33514986376021799</v>
      </c>
      <c r="M283" s="6">
        <f t="shared" si="23"/>
        <v>0.57493188010899177</v>
      </c>
      <c r="N283" s="6">
        <f t="shared" si="24"/>
        <v>8.9918256130790297E-2</v>
      </c>
      <c r="O283" s="4">
        <f t="shared" si="25"/>
        <v>1599.0147313012201</v>
      </c>
      <c r="P283" s="4">
        <f t="shared" si="26"/>
        <v>2743.0252707687591</v>
      </c>
      <c r="Q283" s="4">
        <f t="shared" si="27"/>
        <v>4342.040002069979</v>
      </c>
      <c r="V283" s="3"/>
      <c r="W283" s="3"/>
      <c r="Y283" s="7"/>
      <c r="Z283" s="7"/>
      <c r="AA283" s="7"/>
      <c r="AB283" s="7"/>
      <c r="AC283" s="9"/>
      <c r="AD283" s="9"/>
      <c r="AE283" s="9"/>
      <c r="AF283" s="3"/>
      <c r="AG283" s="3"/>
      <c r="AH283" s="3"/>
    </row>
    <row r="284" spans="1:34" x14ac:dyDescent="0.3">
      <c r="A284">
        <v>251</v>
      </c>
      <c r="B284" s="1" t="s">
        <v>292</v>
      </c>
      <c r="C284" s="1" t="s">
        <v>682</v>
      </c>
      <c r="D284" s="2">
        <v>40828</v>
      </c>
      <c r="E284" s="3">
        <v>35.6</v>
      </c>
      <c r="F284" s="4">
        <f t="shared" si="21"/>
        <v>5156.5517076322894</v>
      </c>
      <c r="G284" s="2">
        <v>40204</v>
      </c>
      <c r="H284" s="7">
        <v>3.74</v>
      </c>
      <c r="I284" s="7">
        <f>H284+H283-2*$A$24</f>
        <v>7.34</v>
      </c>
      <c r="J284" s="7">
        <v>3.5</v>
      </c>
      <c r="K284" s="7">
        <v>5.92</v>
      </c>
      <c r="L284" s="6">
        <f t="shared" si="22"/>
        <v>0.33514986376021799</v>
      </c>
      <c r="M284" s="6">
        <f t="shared" si="23"/>
        <v>0.57493188010899177</v>
      </c>
      <c r="N284" s="6">
        <f t="shared" si="24"/>
        <v>8.9918256130790297E-2</v>
      </c>
      <c r="O284" s="4">
        <f t="shared" si="25"/>
        <v>1728.2176022854812</v>
      </c>
      <c r="P284" s="4">
        <f t="shared" si="26"/>
        <v>2964.6659681482643</v>
      </c>
      <c r="Q284" s="4">
        <f t="shared" si="27"/>
        <v>4692.8835704337453</v>
      </c>
      <c r="V284" s="3"/>
      <c r="W284" s="3"/>
      <c r="Y284" s="7"/>
      <c r="Z284" s="7"/>
      <c r="AA284" s="7"/>
      <c r="AB284" s="7"/>
      <c r="AC284" s="9"/>
      <c r="AD284" s="9"/>
      <c r="AE284" s="9"/>
      <c r="AF284" s="3"/>
      <c r="AG284" s="3"/>
      <c r="AH284" s="3"/>
    </row>
    <row r="285" spans="1:34" x14ac:dyDescent="0.3">
      <c r="A285">
        <v>252</v>
      </c>
      <c r="B285" s="1" t="s">
        <v>293</v>
      </c>
      <c r="C285" s="1" t="s">
        <v>682</v>
      </c>
      <c r="D285" s="2">
        <v>40828</v>
      </c>
      <c r="E285" s="3">
        <v>37.4</v>
      </c>
      <c r="F285" s="4">
        <f t="shared" si="21"/>
        <v>5434.117289980918</v>
      </c>
      <c r="G285" s="2">
        <v>40204</v>
      </c>
      <c r="H285" s="7">
        <v>3.64</v>
      </c>
      <c r="I285" s="7">
        <f>H285+H282-2*$A$24</f>
        <v>6.84</v>
      </c>
      <c r="J285" s="7">
        <v>3.28</v>
      </c>
      <c r="K285" s="7">
        <v>5.6</v>
      </c>
      <c r="L285" s="6">
        <f t="shared" si="22"/>
        <v>0.32748538011695905</v>
      </c>
      <c r="M285" s="6">
        <f t="shared" si="23"/>
        <v>0.57017543859649111</v>
      </c>
      <c r="N285" s="6">
        <f t="shared" si="24"/>
        <v>0.10233918128654984</v>
      </c>
      <c r="O285" s="4">
        <f t="shared" si="25"/>
        <v>1779.5939663095403</v>
      </c>
      <c r="P285" s="4">
        <f t="shared" si="26"/>
        <v>3098.4002091996458</v>
      </c>
      <c r="Q285" s="4">
        <f t="shared" si="27"/>
        <v>4877.9941755091859</v>
      </c>
      <c r="V285" s="3"/>
      <c r="W285" s="3"/>
      <c r="Y285" s="7"/>
      <c r="Z285" s="7"/>
      <c r="AA285" s="7"/>
      <c r="AB285" s="7"/>
      <c r="AC285" s="9"/>
      <c r="AD285" s="9"/>
      <c r="AE285" s="9"/>
      <c r="AF285" s="3"/>
      <c r="AG285" s="3"/>
      <c r="AH285" s="3"/>
    </row>
    <row r="286" spans="1:34" x14ac:dyDescent="0.3">
      <c r="A286">
        <v>253</v>
      </c>
      <c r="B286" s="1" t="s">
        <v>294</v>
      </c>
      <c r="C286" s="1" t="s">
        <v>682</v>
      </c>
      <c r="D286" s="2">
        <v>40828</v>
      </c>
      <c r="E286" s="3">
        <v>40.900000000000006</v>
      </c>
      <c r="F286" s="4">
        <f t="shared" si="21"/>
        <v>5973.828144547696</v>
      </c>
      <c r="G286" s="2">
        <v>40204</v>
      </c>
      <c r="H286" s="7">
        <v>3.46</v>
      </c>
      <c r="I286" s="7">
        <f>H286+H281-2*$A$24</f>
        <v>5.58</v>
      </c>
      <c r="J286" s="7">
        <v>2.86</v>
      </c>
      <c r="K286" s="7">
        <v>4.8600000000000003</v>
      </c>
      <c r="L286" s="6">
        <f t="shared" si="22"/>
        <v>0.3261648745519713</v>
      </c>
      <c r="M286" s="6">
        <f t="shared" si="23"/>
        <v>0.56630824372759858</v>
      </c>
      <c r="N286" s="6">
        <f t="shared" si="24"/>
        <v>0.10752688172043012</v>
      </c>
      <c r="O286" s="4">
        <f t="shared" si="25"/>
        <v>1948.4529073614347</v>
      </c>
      <c r="P286" s="4">
        <f t="shared" si="26"/>
        <v>3383.0281248693045</v>
      </c>
      <c r="Q286" s="4">
        <f t="shared" si="27"/>
        <v>5331.4810322307394</v>
      </c>
      <c r="V286" s="3"/>
      <c r="W286" s="3"/>
      <c r="Y286" s="7"/>
      <c r="Z286" s="7"/>
      <c r="AA286" s="7"/>
      <c r="AB286" s="7"/>
      <c r="AC286" s="9"/>
      <c r="AD286" s="9"/>
      <c r="AE286" s="9"/>
      <c r="AF286" s="3"/>
      <c r="AG286" s="3"/>
      <c r="AH286" s="3"/>
    </row>
    <row r="287" spans="1:34" x14ac:dyDescent="0.3">
      <c r="A287">
        <v>254</v>
      </c>
      <c r="B287" s="1" t="s">
        <v>295</v>
      </c>
      <c r="C287" s="1" t="s">
        <v>682</v>
      </c>
      <c r="D287" s="2">
        <v>40828</v>
      </c>
      <c r="E287" s="3">
        <v>42.5</v>
      </c>
      <c r="F287" s="4">
        <f t="shared" si="21"/>
        <v>6220.5531066353651</v>
      </c>
      <c r="G287" s="2">
        <v>40204</v>
      </c>
      <c r="H287" s="7">
        <v>3.64</v>
      </c>
      <c r="I287" s="7">
        <f>H287+H280-2*$A$24</f>
        <v>5.84</v>
      </c>
      <c r="J287" s="7">
        <v>2.96</v>
      </c>
      <c r="K287" s="7">
        <v>4.9800000000000004</v>
      </c>
      <c r="L287" s="6">
        <f t="shared" si="22"/>
        <v>0.32876712328767121</v>
      </c>
      <c r="M287" s="6">
        <f t="shared" si="23"/>
        <v>0.56164383561643838</v>
      </c>
      <c r="N287" s="6">
        <f t="shared" si="24"/>
        <v>0.1095890410958904</v>
      </c>
      <c r="O287" s="4">
        <f t="shared" si="25"/>
        <v>2045.1133501266952</v>
      </c>
      <c r="P287" s="4">
        <f t="shared" si="26"/>
        <v>3493.735306466438</v>
      </c>
      <c r="Q287" s="4">
        <f t="shared" si="27"/>
        <v>5538.8486565931335</v>
      </c>
      <c r="V287" s="3"/>
      <c r="W287" s="3"/>
      <c r="Y287" s="7"/>
      <c r="Z287" s="7"/>
      <c r="AA287" s="7"/>
      <c r="AB287" s="7"/>
      <c r="AC287" s="9"/>
      <c r="AD287" s="9"/>
      <c r="AE287" s="9"/>
      <c r="AF287" s="3"/>
      <c r="AG287" s="3"/>
      <c r="AH287" s="3"/>
    </row>
    <row r="288" spans="1:34" x14ac:dyDescent="0.3">
      <c r="A288">
        <v>255</v>
      </c>
      <c r="B288" s="1" t="s">
        <v>296</v>
      </c>
      <c r="C288" s="1" t="s">
        <v>682</v>
      </c>
      <c r="D288" s="2">
        <v>40828</v>
      </c>
      <c r="E288" s="3">
        <v>39.299999999999997</v>
      </c>
      <c r="F288" s="4">
        <f t="shared" si="21"/>
        <v>5727.1031824600259</v>
      </c>
      <c r="G288" s="2">
        <v>40204</v>
      </c>
      <c r="H288" s="7">
        <v>3.1</v>
      </c>
      <c r="I288" s="7">
        <f>H288+H279-2*$A$24</f>
        <v>6.24</v>
      </c>
      <c r="J288" s="7">
        <v>3.08</v>
      </c>
      <c r="K288" s="7">
        <v>5.32</v>
      </c>
      <c r="L288" s="6">
        <f t="shared" si="22"/>
        <v>0.32692307692307693</v>
      </c>
      <c r="M288" s="6">
        <f t="shared" si="23"/>
        <v>0.58012820512820518</v>
      </c>
      <c r="N288" s="6">
        <f t="shared" si="24"/>
        <v>9.2948717948717952E-2</v>
      </c>
      <c r="O288" s="4">
        <f t="shared" si="25"/>
        <v>1872.3221942657776</v>
      </c>
      <c r="P288" s="4">
        <f t="shared" si="26"/>
        <v>3322.4540898245664</v>
      </c>
      <c r="Q288" s="4">
        <f t="shared" si="27"/>
        <v>5194.7762840903442</v>
      </c>
      <c r="V288" s="3"/>
      <c r="W288" s="3"/>
      <c r="Y288" s="7"/>
      <c r="Z288" s="7"/>
      <c r="AA288" s="7"/>
      <c r="AB288" s="7"/>
      <c r="AC288" s="9"/>
      <c r="AD288" s="9"/>
      <c r="AE288" s="9"/>
      <c r="AF288" s="3"/>
      <c r="AG288" s="3"/>
      <c r="AH288" s="3"/>
    </row>
    <row r="289" spans="1:34" x14ac:dyDescent="0.3">
      <c r="A289">
        <v>256</v>
      </c>
      <c r="B289" s="1" t="s">
        <v>297</v>
      </c>
      <c r="C289" s="1" t="s">
        <v>682</v>
      </c>
      <c r="D289" s="2">
        <v>40828</v>
      </c>
      <c r="E289" s="3">
        <v>34.1</v>
      </c>
      <c r="F289" s="4">
        <f t="shared" si="21"/>
        <v>4925.2470556751005</v>
      </c>
      <c r="G289" s="2">
        <v>40204</v>
      </c>
      <c r="H289" s="7">
        <v>3.12</v>
      </c>
      <c r="I289" s="7">
        <f>H289+H278-2*$A$24</f>
        <v>5.18</v>
      </c>
      <c r="J289" s="7">
        <v>2.7</v>
      </c>
      <c r="K289" s="7">
        <v>4.74</v>
      </c>
      <c r="L289" s="6">
        <f t="shared" si="22"/>
        <v>0.32046332046332049</v>
      </c>
      <c r="M289" s="6">
        <f t="shared" si="23"/>
        <v>0.58687258687258692</v>
      </c>
      <c r="N289" s="6">
        <f t="shared" si="24"/>
        <v>9.266409266409259E-2</v>
      </c>
      <c r="O289" s="4">
        <f t="shared" si="25"/>
        <v>1578.3610255638355</v>
      </c>
      <c r="P289" s="4">
        <f t="shared" si="26"/>
        <v>2890.4924805506384</v>
      </c>
      <c r="Q289" s="4">
        <f t="shared" si="27"/>
        <v>4468.8535061144739</v>
      </c>
      <c r="V289" s="3"/>
      <c r="W289" s="3"/>
      <c r="Y289" s="7"/>
      <c r="Z289" s="7"/>
      <c r="AA289" s="7"/>
      <c r="AB289" s="7"/>
      <c r="AC289" s="9"/>
      <c r="AD289" s="9"/>
      <c r="AE289" s="9"/>
      <c r="AF289" s="3"/>
      <c r="AG289" s="3"/>
      <c r="AH289" s="3"/>
    </row>
    <row r="290" spans="1:34" x14ac:dyDescent="0.3">
      <c r="A290">
        <v>257</v>
      </c>
      <c r="B290" s="1" t="s">
        <v>298</v>
      </c>
      <c r="C290" s="1" t="s">
        <v>682</v>
      </c>
      <c r="D290" s="2">
        <v>40828</v>
      </c>
      <c r="E290" s="3">
        <v>33.200000000000003</v>
      </c>
      <c r="F290" s="4">
        <f t="shared" si="21"/>
        <v>4786.4642645007862</v>
      </c>
      <c r="G290" s="2">
        <v>40204</v>
      </c>
      <c r="H290" s="7">
        <v>3.38</v>
      </c>
      <c r="I290" s="7">
        <f>H290+H277-2*$A$24</f>
        <v>5.74</v>
      </c>
      <c r="J290" s="7">
        <v>2.9</v>
      </c>
      <c r="K290" s="7">
        <v>4.9400000000000004</v>
      </c>
      <c r="L290" s="6">
        <f t="shared" si="22"/>
        <v>0.32404181184668984</v>
      </c>
      <c r="M290" s="6">
        <f t="shared" si="23"/>
        <v>0.56445993031358888</v>
      </c>
      <c r="N290" s="6">
        <f t="shared" si="24"/>
        <v>0.11149825783972123</v>
      </c>
      <c r="O290" s="4">
        <f t="shared" si="25"/>
        <v>1551.0145526082683</v>
      </c>
      <c r="P290" s="4">
        <f t="shared" si="26"/>
        <v>2701.7672851885973</v>
      </c>
      <c r="Q290" s="4">
        <f t="shared" si="27"/>
        <v>4252.7818377968651</v>
      </c>
      <c r="V290" s="3"/>
      <c r="W290" s="3"/>
      <c r="Y290" s="7"/>
      <c r="Z290" s="7"/>
      <c r="AA290" s="7"/>
      <c r="AB290" s="7"/>
      <c r="AC290" s="9"/>
      <c r="AD290" s="9"/>
      <c r="AE290" s="9"/>
      <c r="AF290" s="3"/>
      <c r="AG290" s="3"/>
      <c r="AH290" s="3"/>
    </row>
    <row r="291" spans="1:34" x14ac:dyDescent="0.3">
      <c r="A291">
        <v>258</v>
      </c>
      <c r="B291" s="1" t="s">
        <v>299</v>
      </c>
      <c r="C291" s="1" t="s">
        <v>682</v>
      </c>
      <c r="D291" s="2">
        <v>40828</v>
      </c>
      <c r="E291" s="3">
        <v>35.599999999999994</v>
      </c>
      <c r="F291" s="4">
        <f t="shared" ref="F291:F354" si="28">(E291-2*$A$20)*$A$21/$A$22*$A$23</f>
        <v>5156.5517076322894</v>
      </c>
      <c r="G291" s="2">
        <v>40204</v>
      </c>
      <c r="H291" s="7">
        <v>3.26</v>
      </c>
      <c r="I291" s="7">
        <f>H291+H276-2*$A$24</f>
        <v>6.08</v>
      </c>
      <c r="J291" s="7">
        <v>3.04</v>
      </c>
      <c r="K291" s="7">
        <v>5.22</v>
      </c>
      <c r="L291" s="6">
        <f t="shared" ref="L291:L354" si="29">(J291-$A$25)/I291</f>
        <v>0.32894736842105265</v>
      </c>
      <c r="M291" s="6">
        <f t="shared" ref="M291:M354" si="30">(K291-$A$26)/I291</f>
        <v>0.57894736842105254</v>
      </c>
      <c r="N291" s="6">
        <f t="shared" ref="N291:N354" si="31">1-L291-M291</f>
        <v>9.2105263157894801E-2</v>
      </c>
      <c r="O291" s="4">
        <f t="shared" ref="O291:O354" si="32">F291*L291</f>
        <v>1696.2341143527269</v>
      </c>
      <c r="P291" s="4">
        <f t="shared" ref="P291:P354" si="33">F291*M291</f>
        <v>2985.3720412607986</v>
      </c>
      <c r="Q291" s="4">
        <f t="shared" ref="Q291:Q354" si="34">O291+P291</f>
        <v>4681.6061556135255</v>
      </c>
      <c r="V291" s="3"/>
      <c r="W291" s="3"/>
      <c r="Y291" s="7"/>
      <c r="Z291" s="7"/>
      <c r="AA291" s="7"/>
      <c r="AB291" s="7"/>
      <c r="AC291" s="9"/>
      <c r="AD291" s="9"/>
      <c r="AE291" s="9"/>
      <c r="AF291" s="3"/>
      <c r="AG291" s="3"/>
      <c r="AH291" s="3"/>
    </row>
    <row r="292" spans="1:34" x14ac:dyDescent="0.3">
      <c r="A292">
        <v>259</v>
      </c>
      <c r="B292" s="1" t="s">
        <v>300</v>
      </c>
      <c r="C292" s="1" t="s">
        <v>682</v>
      </c>
      <c r="D292" s="2">
        <v>40828</v>
      </c>
      <c r="E292" s="3">
        <v>36</v>
      </c>
      <c r="F292" s="4">
        <f t="shared" si="28"/>
        <v>5218.2329481542074</v>
      </c>
      <c r="G292" s="2">
        <v>40204</v>
      </c>
      <c r="H292" s="7">
        <v>3.42</v>
      </c>
      <c r="I292" s="7">
        <f>H292+H275-2*$A$24</f>
        <v>5.58</v>
      </c>
      <c r="J292" s="7">
        <v>2.9</v>
      </c>
      <c r="K292" s="7">
        <v>4.92</v>
      </c>
      <c r="L292" s="6">
        <f t="shared" si="29"/>
        <v>0.33333333333333331</v>
      </c>
      <c r="M292" s="6">
        <f t="shared" si="30"/>
        <v>0.57706093189964147</v>
      </c>
      <c r="N292" s="6">
        <f t="shared" si="31"/>
        <v>8.9605734767025269E-2</v>
      </c>
      <c r="O292" s="4">
        <f t="shared" si="32"/>
        <v>1739.4109827180691</v>
      </c>
      <c r="P292" s="4">
        <f t="shared" si="33"/>
        <v>3011.2383679312802</v>
      </c>
      <c r="Q292" s="4">
        <f t="shared" si="34"/>
        <v>4750.6493506493498</v>
      </c>
      <c r="V292" s="3"/>
      <c r="W292" s="3"/>
      <c r="Y292" s="7"/>
      <c r="Z292" s="7"/>
      <c r="AA292" s="7"/>
      <c r="AB292" s="7"/>
      <c r="AC292" s="9"/>
      <c r="AD292" s="9"/>
      <c r="AE292" s="9"/>
      <c r="AF292" s="3"/>
      <c r="AG292" s="3"/>
      <c r="AH292" s="3"/>
    </row>
    <row r="293" spans="1:34" x14ac:dyDescent="0.3">
      <c r="A293">
        <v>260</v>
      </c>
      <c r="B293" s="1" t="s">
        <v>301</v>
      </c>
      <c r="C293" s="1" t="s">
        <v>682</v>
      </c>
      <c r="D293" s="2">
        <v>40828</v>
      </c>
      <c r="E293" s="3">
        <v>33.900000000000006</v>
      </c>
      <c r="F293" s="4">
        <f t="shared" si="28"/>
        <v>4894.4064354141428</v>
      </c>
      <c r="G293" s="2">
        <v>40204</v>
      </c>
      <c r="H293" s="7">
        <v>3.66</v>
      </c>
      <c r="I293" s="7">
        <f>H293+H274-2*$A$24</f>
        <v>6.6999999999999993</v>
      </c>
      <c r="J293" s="7">
        <v>3.3</v>
      </c>
      <c r="K293" s="7">
        <v>5.48</v>
      </c>
      <c r="L293" s="6">
        <f t="shared" si="29"/>
        <v>0.33731343283582088</v>
      </c>
      <c r="M293" s="6">
        <f t="shared" si="30"/>
        <v>0.56417910447761199</v>
      </c>
      <c r="N293" s="6">
        <f t="shared" si="31"/>
        <v>9.8507462686567071E-2</v>
      </c>
      <c r="O293" s="4">
        <f t="shared" si="32"/>
        <v>1650.9490364232779</v>
      </c>
      <c r="P293" s="4">
        <f t="shared" si="33"/>
        <v>2761.3218396814123</v>
      </c>
      <c r="Q293" s="4">
        <f t="shared" si="34"/>
        <v>4412.2708761046906</v>
      </c>
      <c r="V293" s="3"/>
      <c r="W293" s="3"/>
      <c r="Y293" s="7"/>
      <c r="Z293" s="7"/>
      <c r="AA293" s="7"/>
      <c r="AB293" s="7"/>
      <c r="AC293" s="9"/>
      <c r="AD293" s="9"/>
      <c r="AE293" s="9"/>
      <c r="AF293" s="3"/>
      <c r="AG293" s="3"/>
      <c r="AH293" s="3"/>
    </row>
    <row r="294" spans="1:34" x14ac:dyDescent="0.3">
      <c r="A294">
        <v>261</v>
      </c>
      <c r="B294" s="1" t="s">
        <v>302</v>
      </c>
      <c r="C294" s="1" t="s">
        <v>682</v>
      </c>
      <c r="D294" s="2">
        <v>40828</v>
      </c>
      <c r="E294" s="3">
        <v>32.700000000000003</v>
      </c>
      <c r="F294" s="4">
        <f t="shared" si="28"/>
        <v>4709.3627138483898</v>
      </c>
      <c r="G294" s="2">
        <v>40204</v>
      </c>
      <c r="H294" s="7">
        <v>2.84</v>
      </c>
      <c r="I294" s="7">
        <f>H294+H313-2*$A$24</f>
        <v>6.1199999999999992</v>
      </c>
      <c r="J294" s="7">
        <v>3.06</v>
      </c>
      <c r="K294" s="7">
        <v>5.18</v>
      </c>
      <c r="L294" s="6">
        <f t="shared" si="29"/>
        <v>0.33006535947712423</v>
      </c>
      <c r="M294" s="6">
        <f t="shared" si="30"/>
        <v>0.56862745098039214</v>
      </c>
      <c r="N294" s="6">
        <f t="shared" si="31"/>
        <v>0.10130718954248363</v>
      </c>
      <c r="O294" s="4">
        <f t="shared" si="32"/>
        <v>1554.3974970545341</v>
      </c>
      <c r="P294" s="4">
        <f t="shared" si="33"/>
        <v>2677.8729157177117</v>
      </c>
      <c r="Q294" s="4">
        <f t="shared" si="34"/>
        <v>4232.2704127722463</v>
      </c>
      <c r="V294" s="3"/>
      <c r="W294" s="3"/>
      <c r="Y294" s="7"/>
      <c r="Z294" s="7"/>
      <c r="AA294" s="7"/>
      <c r="AB294" s="7"/>
      <c r="AC294" s="9"/>
      <c r="AD294" s="9"/>
      <c r="AE294" s="9"/>
      <c r="AF294" s="3"/>
      <c r="AG294" s="3"/>
      <c r="AH294" s="3"/>
    </row>
    <row r="295" spans="1:34" x14ac:dyDescent="0.3">
      <c r="A295">
        <v>262</v>
      </c>
      <c r="B295" s="1" t="s">
        <v>303</v>
      </c>
      <c r="C295" s="1" t="s">
        <v>682</v>
      </c>
      <c r="D295" s="2">
        <v>40828</v>
      </c>
      <c r="E295" s="3">
        <v>37.200000000000003</v>
      </c>
      <c r="F295" s="4">
        <f t="shared" si="28"/>
        <v>5403.2766697199604</v>
      </c>
      <c r="G295" s="2">
        <v>40204</v>
      </c>
      <c r="H295" s="7">
        <v>3.52</v>
      </c>
      <c r="I295" s="7">
        <f>H295+H312-2*$A$24</f>
        <v>5.72</v>
      </c>
      <c r="J295" s="7">
        <v>2.92</v>
      </c>
      <c r="K295" s="7">
        <v>5.04</v>
      </c>
      <c r="L295" s="6">
        <f t="shared" si="29"/>
        <v>0.32867132867132864</v>
      </c>
      <c r="M295" s="6">
        <f t="shared" si="30"/>
        <v>0.58391608391608396</v>
      </c>
      <c r="N295" s="6">
        <f t="shared" si="31"/>
        <v>8.7412587412587395E-2</v>
      </c>
      <c r="O295" s="4">
        <f t="shared" si="32"/>
        <v>1775.9021222156512</v>
      </c>
      <c r="P295" s="4">
        <f t="shared" si="33"/>
        <v>3155.060153298019</v>
      </c>
      <c r="Q295" s="4">
        <f t="shared" si="34"/>
        <v>4930.9622755136697</v>
      </c>
      <c r="V295" s="3"/>
      <c r="W295" s="3"/>
      <c r="Y295" s="7"/>
      <c r="Z295" s="7"/>
      <c r="AA295" s="7"/>
      <c r="AB295" s="7"/>
      <c r="AC295" s="9"/>
      <c r="AD295" s="9"/>
      <c r="AE295" s="9"/>
      <c r="AF295" s="3"/>
      <c r="AG295" s="3"/>
      <c r="AH295" s="3"/>
    </row>
    <row r="296" spans="1:34" x14ac:dyDescent="0.3">
      <c r="A296">
        <v>263</v>
      </c>
      <c r="B296" s="1" t="s">
        <v>304</v>
      </c>
      <c r="C296" s="1" t="s">
        <v>682</v>
      </c>
      <c r="D296" s="2">
        <v>40828</v>
      </c>
      <c r="E296" s="3">
        <v>36.1</v>
      </c>
      <c r="F296" s="4">
        <f t="shared" si="28"/>
        <v>5233.6532582846858</v>
      </c>
      <c r="G296" s="2">
        <v>40204</v>
      </c>
      <c r="H296" s="7">
        <v>3.56</v>
      </c>
      <c r="I296" s="7">
        <f>H296+H311-2*$A$24</f>
        <v>6.68</v>
      </c>
      <c r="J296" s="7">
        <v>3.14</v>
      </c>
      <c r="K296" s="7">
        <v>5.34</v>
      </c>
      <c r="L296" s="6">
        <f t="shared" si="29"/>
        <v>0.31437125748502998</v>
      </c>
      <c r="M296" s="6">
        <f t="shared" si="30"/>
        <v>0.54491017964071853</v>
      </c>
      <c r="N296" s="6">
        <f t="shared" si="31"/>
        <v>0.14071856287425155</v>
      </c>
      <c r="O296" s="4">
        <f t="shared" si="32"/>
        <v>1645.3101560475811</v>
      </c>
      <c r="P296" s="4">
        <f t="shared" si="33"/>
        <v>2851.87093714914</v>
      </c>
      <c r="Q296" s="4">
        <f t="shared" si="34"/>
        <v>4497.1810931967211</v>
      </c>
      <c r="V296" s="3"/>
      <c r="W296" s="3"/>
      <c r="Y296" s="7"/>
      <c r="Z296" s="7"/>
      <c r="AA296" s="7"/>
      <c r="AB296" s="7"/>
      <c r="AC296" s="9"/>
      <c r="AD296" s="9"/>
      <c r="AE296" s="9"/>
      <c r="AF296" s="3"/>
      <c r="AG296" s="3"/>
      <c r="AH296" s="3"/>
    </row>
    <row r="297" spans="1:34" x14ac:dyDescent="0.3">
      <c r="A297">
        <v>264</v>
      </c>
      <c r="B297" s="1" t="s">
        <v>305</v>
      </c>
      <c r="C297" s="1" t="s">
        <v>682</v>
      </c>
      <c r="D297" s="2">
        <v>40828</v>
      </c>
      <c r="E297" s="3">
        <v>31.8</v>
      </c>
      <c r="F297" s="4">
        <f t="shared" si="28"/>
        <v>4570.5799226740755</v>
      </c>
      <c r="G297" s="2">
        <v>40204</v>
      </c>
      <c r="H297" s="7">
        <v>2.8</v>
      </c>
      <c r="I297" s="7">
        <f>H297+H310-2*$A$24</f>
        <v>6.14</v>
      </c>
      <c r="J297" s="7">
        <v>3.02</v>
      </c>
      <c r="K297" s="7">
        <v>5.2</v>
      </c>
      <c r="L297" s="6">
        <f t="shared" si="29"/>
        <v>0.32247557003257332</v>
      </c>
      <c r="M297" s="6">
        <f t="shared" si="30"/>
        <v>0.57003257328990231</v>
      </c>
      <c r="N297" s="6">
        <f t="shared" si="31"/>
        <v>0.10749185667752437</v>
      </c>
      <c r="O297" s="4">
        <f t="shared" si="32"/>
        <v>1473.9003659437574</v>
      </c>
      <c r="P297" s="4">
        <f t="shared" si="33"/>
        <v>2605.3794347490661</v>
      </c>
      <c r="Q297" s="4">
        <f t="shared" si="34"/>
        <v>4079.2798006928233</v>
      </c>
      <c r="V297" s="3"/>
      <c r="W297" s="3"/>
      <c r="Y297" s="7"/>
      <c r="Z297" s="7"/>
      <c r="AA297" s="7"/>
      <c r="AB297" s="7"/>
      <c r="AC297" s="9"/>
      <c r="AD297" s="9"/>
      <c r="AE297" s="9"/>
      <c r="AF297" s="3"/>
      <c r="AG297" s="3"/>
      <c r="AH297" s="3"/>
    </row>
    <row r="298" spans="1:34" x14ac:dyDescent="0.3">
      <c r="A298">
        <v>265</v>
      </c>
      <c r="B298" s="1" t="s">
        <v>306</v>
      </c>
      <c r="C298" s="1" t="s">
        <v>682</v>
      </c>
      <c r="D298" s="2">
        <v>40828</v>
      </c>
      <c r="E298" s="3">
        <v>34.4</v>
      </c>
      <c r="F298" s="4">
        <f t="shared" si="28"/>
        <v>4971.5079860665373</v>
      </c>
      <c r="G298" s="2">
        <v>40204</v>
      </c>
      <c r="H298" s="7">
        <v>3.02</v>
      </c>
      <c r="I298" s="7">
        <f>H298+H309-2*$A$24</f>
        <v>6.3599999999999994</v>
      </c>
      <c r="J298" s="7">
        <v>3.08</v>
      </c>
      <c r="K298" s="7">
        <v>5.3</v>
      </c>
      <c r="L298" s="6">
        <f t="shared" si="29"/>
        <v>0.32075471698113212</v>
      </c>
      <c r="M298" s="6">
        <f t="shared" si="30"/>
        <v>0.56603773584905659</v>
      </c>
      <c r="N298" s="6">
        <f t="shared" si="31"/>
        <v>0.1132075471698113</v>
      </c>
      <c r="O298" s="4">
        <f t="shared" si="32"/>
        <v>1594.6346370402102</v>
      </c>
      <c r="P298" s="4">
        <f t="shared" si="33"/>
        <v>2814.0611241886058</v>
      </c>
      <c r="Q298" s="4">
        <f t="shared" si="34"/>
        <v>4408.6957612288161</v>
      </c>
      <c r="V298" s="3"/>
      <c r="W298" s="3"/>
      <c r="Y298" s="7"/>
      <c r="Z298" s="7"/>
      <c r="AA298" s="7"/>
      <c r="AB298" s="7"/>
      <c r="AC298" s="9"/>
      <c r="AD298" s="9"/>
      <c r="AE298" s="9"/>
      <c r="AF298" s="3"/>
      <c r="AG298" s="3"/>
      <c r="AH298" s="3"/>
    </row>
    <row r="299" spans="1:34" x14ac:dyDescent="0.3">
      <c r="A299">
        <v>266</v>
      </c>
      <c r="B299" s="1" t="s">
        <v>307</v>
      </c>
      <c r="C299" s="1" t="s">
        <v>682</v>
      </c>
      <c r="D299" s="2">
        <v>40828</v>
      </c>
      <c r="E299" s="3">
        <v>38.6</v>
      </c>
      <c r="F299" s="4">
        <f t="shared" si="28"/>
        <v>5619.161011546671</v>
      </c>
      <c r="G299" s="2">
        <v>40204</v>
      </c>
      <c r="H299" s="7">
        <v>3.16</v>
      </c>
      <c r="I299" s="7">
        <f>H299+H308-2*$A$24</f>
        <v>6.82</v>
      </c>
      <c r="J299" s="7">
        <v>3.3</v>
      </c>
      <c r="K299" s="7">
        <v>5.62</v>
      </c>
      <c r="L299" s="6">
        <f t="shared" si="29"/>
        <v>0.33137829912023453</v>
      </c>
      <c r="M299" s="6">
        <f t="shared" si="30"/>
        <v>0.57478005865102633</v>
      </c>
      <c r="N299" s="6">
        <f t="shared" si="31"/>
        <v>9.3841642228739142E-2</v>
      </c>
      <c r="O299" s="4">
        <f t="shared" si="32"/>
        <v>1862.0680184890723</v>
      </c>
      <c r="P299" s="4">
        <f t="shared" si="33"/>
        <v>3229.7816957863561</v>
      </c>
      <c r="Q299" s="4">
        <f t="shared" si="34"/>
        <v>5091.8497142754286</v>
      </c>
      <c r="V299" s="3"/>
      <c r="W299" s="3"/>
      <c r="Y299" s="7"/>
      <c r="Z299" s="7"/>
      <c r="AA299" s="7"/>
      <c r="AB299" s="7"/>
      <c r="AC299" s="9"/>
      <c r="AD299" s="9"/>
      <c r="AE299" s="9"/>
      <c r="AF299" s="3"/>
      <c r="AG299" s="3"/>
      <c r="AH299" s="3"/>
    </row>
    <row r="300" spans="1:34" x14ac:dyDescent="0.3">
      <c r="A300">
        <v>267</v>
      </c>
      <c r="B300" s="1" t="s">
        <v>308</v>
      </c>
      <c r="C300" s="1" t="s">
        <v>682</v>
      </c>
      <c r="D300" s="2">
        <v>40828</v>
      </c>
      <c r="E300" s="3">
        <v>39.5</v>
      </c>
      <c r="F300" s="4">
        <f t="shared" si="28"/>
        <v>5757.9438027209835</v>
      </c>
      <c r="G300" s="2">
        <v>40204</v>
      </c>
      <c r="H300" s="7">
        <v>3.88</v>
      </c>
      <c r="I300" s="7">
        <f>H300+H307-2*$A$24</f>
        <v>6.6199999999999992</v>
      </c>
      <c r="J300" s="7">
        <v>3.26</v>
      </c>
      <c r="K300" s="7">
        <v>5.46</v>
      </c>
      <c r="L300" s="6">
        <f t="shared" si="29"/>
        <v>0.33534743202416917</v>
      </c>
      <c r="M300" s="6">
        <f t="shared" si="30"/>
        <v>0.56797583081571001</v>
      </c>
      <c r="N300" s="6">
        <f t="shared" si="31"/>
        <v>9.6676737160120818E-2</v>
      </c>
      <c r="O300" s="4">
        <f t="shared" si="32"/>
        <v>1930.911667981961</v>
      </c>
      <c r="P300" s="4">
        <f t="shared" si="33"/>
        <v>3270.3729151406192</v>
      </c>
      <c r="Q300" s="4">
        <f t="shared" si="34"/>
        <v>5201.2845831225804</v>
      </c>
      <c r="V300" s="3"/>
      <c r="W300" s="3"/>
      <c r="Y300" s="7"/>
      <c r="Z300" s="7"/>
      <c r="AA300" s="7"/>
      <c r="AB300" s="7"/>
      <c r="AC300" s="9"/>
      <c r="AD300" s="9"/>
      <c r="AE300" s="9"/>
      <c r="AF300" s="3"/>
      <c r="AG300" s="3"/>
      <c r="AH300" s="3"/>
    </row>
    <row r="301" spans="1:34" x14ac:dyDescent="0.3">
      <c r="A301">
        <v>268</v>
      </c>
      <c r="B301" s="1" t="s">
        <v>309</v>
      </c>
      <c r="C301" s="1" t="s">
        <v>682</v>
      </c>
      <c r="D301" s="2">
        <v>40828</v>
      </c>
      <c r="E301" s="3">
        <v>38.700000000000003</v>
      </c>
      <c r="F301" s="4">
        <f t="shared" si="28"/>
        <v>5634.5813216771503</v>
      </c>
      <c r="G301" s="2">
        <v>40204</v>
      </c>
      <c r="H301" s="7">
        <v>2.92</v>
      </c>
      <c r="I301" s="7">
        <f>H301+H306-2*$A$24</f>
        <v>5.68</v>
      </c>
      <c r="J301" s="7">
        <v>2.92</v>
      </c>
      <c r="K301" s="7">
        <v>4.96</v>
      </c>
      <c r="L301" s="6">
        <f t="shared" si="29"/>
        <v>0.33098591549295775</v>
      </c>
      <c r="M301" s="6">
        <f t="shared" si="30"/>
        <v>0.573943661971831</v>
      </c>
      <c r="N301" s="6">
        <f t="shared" si="31"/>
        <v>9.5070422535211252E-2</v>
      </c>
      <c r="O301" s="4">
        <f t="shared" si="32"/>
        <v>1864.9670571748316</v>
      </c>
      <c r="P301" s="4">
        <f t="shared" si="33"/>
        <v>3233.9322374414633</v>
      </c>
      <c r="Q301" s="4">
        <f t="shared" si="34"/>
        <v>5098.8992946162944</v>
      </c>
      <c r="V301" s="3"/>
      <c r="W301" s="3"/>
      <c r="Y301" s="7"/>
      <c r="Z301" s="7"/>
      <c r="AA301" s="7"/>
      <c r="AB301" s="7"/>
      <c r="AC301" s="9"/>
      <c r="AD301" s="9"/>
      <c r="AE301" s="9"/>
      <c r="AF301" s="3"/>
      <c r="AG301" s="3"/>
      <c r="AH301" s="3"/>
    </row>
    <row r="302" spans="1:34" x14ac:dyDescent="0.3">
      <c r="A302">
        <v>269</v>
      </c>
      <c r="B302" s="1" t="s">
        <v>310</v>
      </c>
      <c r="C302" s="1" t="s">
        <v>682</v>
      </c>
      <c r="D302" s="2">
        <v>40828</v>
      </c>
      <c r="E302" s="3">
        <v>36.799999999999997</v>
      </c>
      <c r="F302" s="4">
        <f t="shared" si="28"/>
        <v>5341.5954291980424</v>
      </c>
      <c r="G302" s="2">
        <v>40204</v>
      </c>
      <c r="H302" s="7">
        <v>3.48</v>
      </c>
      <c r="I302" s="7">
        <f>H302+H305-2*$A$24</f>
        <v>6.4399999999999995</v>
      </c>
      <c r="J302" s="7">
        <v>3.16</v>
      </c>
      <c r="K302" s="7">
        <v>5.38</v>
      </c>
      <c r="L302" s="6">
        <f t="shared" si="29"/>
        <v>0.329192546583851</v>
      </c>
      <c r="M302" s="6">
        <f t="shared" si="30"/>
        <v>0.5714285714285714</v>
      </c>
      <c r="N302" s="6">
        <f t="shared" si="31"/>
        <v>9.9378881987577605E-2</v>
      </c>
      <c r="O302" s="4">
        <f t="shared" si="32"/>
        <v>1758.4134021583623</v>
      </c>
      <c r="P302" s="4">
        <f t="shared" si="33"/>
        <v>3052.340245256024</v>
      </c>
      <c r="Q302" s="4">
        <f t="shared" si="34"/>
        <v>4810.7536474143863</v>
      </c>
      <c r="V302" s="3"/>
      <c r="W302" s="3"/>
      <c r="Y302" s="7"/>
      <c r="Z302" s="7"/>
      <c r="AA302" s="7"/>
      <c r="AB302" s="7"/>
      <c r="AC302" s="9"/>
      <c r="AD302" s="9"/>
      <c r="AE302" s="9"/>
      <c r="AF302" s="3"/>
      <c r="AG302" s="3"/>
      <c r="AH302" s="3"/>
    </row>
    <row r="303" spans="1:34" x14ac:dyDescent="0.3">
      <c r="A303">
        <v>270</v>
      </c>
      <c r="B303" s="1" t="s">
        <v>311</v>
      </c>
      <c r="C303" s="1" t="s">
        <v>682</v>
      </c>
      <c r="D303" s="2">
        <v>40828</v>
      </c>
      <c r="E303" s="3">
        <v>35.099999999999994</v>
      </c>
      <c r="F303" s="4">
        <f t="shared" si="28"/>
        <v>5079.4501569798931</v>
      </c>
      <c r="G303" s="2">
        <v>40204</v>
      </c>
      <c r="H303" s="7">
        <v>3.56</v>
      </c>
      <c r="I303" s="7">
        <f>H303+H304-2*$A$24</f>
        <v>6.76</v>
      </c>
      <c r="J303" s="7">
        <v>3.16</v>
      </c>
      <c r="K303" s="7">
        <v>5.56</v>
      </c>
      <c r="L303" s="6">
        <f t="shared" si="29"/>
        <v>0.31360946745562135</v>
      </c>
      <c r="M303" s="6">
        <f t="shared" si="30"/>
        <v>0.57100591715976323</v>
      </c>
      <c r="N303" s="6">
        <f t="shared" si="31"/>
        <v>0.11538461538461542</v>
      </c>
      <c r="O303" s="4">
        <f t="shared" si="32"/>
        <v>1592.9636586978365</v>
      </c>
      <c r="P303" s="4">
        <f t="shared" si="33"/>
        <v>2900.3960955536072</v>
      </c>
      <c r="Q303" s="4">
        <f t="shared" si="34"/>
        <v>4493.3597542514435</v>
      </c>
      <c r="V303" s="3"/>
      <c r="W303" s="3"/>
      <c r="Y303" s="7"/>
      <c r="Z303" s="7"/>
      <c r="AA303" s="7"/>
      <c r="AB303" s="7"/>
      <c r="AC303" s="9"/>
      <c r="AD303" s="9"/>
      <c r="AE303" s="9"/>
      <c r="AF303" s="3"/>
      <c r="AG303" s="3"/>
      <c r="AH303" s="3"/>
    </row>
    <row r="304" spans="1:34" x14ac:dyDescent="0.3">
      <c r="A304">
        <v>271</v>
      </c>
      <c r="B304" s="1" t="s">
        <v>312</v>
      </c>
      <c r="C304" s="1" t="s">
        <v>682</v>
      </c>
      <c r="D304" s="2">
        <v>40828</v>
      </c>
      <c r="E304" s="3">
        <v>33</v>
      </c>
      <c r="F304" s="4">
        <f t="shared" si="28"/>
        <v>4755.6236442398267</v>
      </c>
      <c r="G304" s="2">
        <v>40204</v>
      </c>
      <c r="H304" s="7">
        <v>3.52</v>
      </c>
      <c r="I304" s="7">
        <f>H304+H303-2*$A$24</f>
        <v>6.76</v>
      </c>
      <c r="J304" s="7">
        <v>3.16</v>
      </c>
      <c r="K304" s="7">
        <v>5.56</v>
      </c>
      <c r="L304" s="6">
        <f t="shared" si="29"/>
        <v>0.31360946745562135</v>
      </c>
      <c r="M304" s="6">
        <f t="shared" si="30"/>
        <v>0.57100591715976323</v>
      </c>
      <c r="N304" s="6">
        <f t="shared" si="31"/>
        <v>0.11538461538461542</v>
      </c>
      <c r="O304" s="4">
        <f t="shared" si="32"/>
        <v>1491.4085984894134</v>
      </c>
      <c r="P304" s="4">
        <f t="shared" si="33"/>
        <v>2715.489240645818</v>
      </c>
      <c r="Q304" s="4">
        <f t="shared" si="34"/>
        <v>4206.8978391352312</v>
      </c>
      <c r="V304" s="3"/>
      <c r="W304" s="3"/>
      <c r="Y304" s="7"/>
      <c r="Z304" s="7"/>
      <c r="AA304" s="7"/>
      <c r="AB304" s="7"/>
      <c r="AC304" s="9"/>
      <c r="AD304" s="9"/>
      <c r="AE304" s="9"/>
      <c r="AF304" s="3"/>
      <c r="AG304" s="3"/>
      <c r="AH304" s="3"/>
    </row>
    <row r="305" spans="1:34" x14ac:dyDescent="0.3">
      <c r="A305">
        <v>272</v>
      </c>
      <c r="B305" s="1" t="s">
        <v>313</v>
      </c>
      <c r="C305" s="1" t="s">
        <v>682</v>
      </c>
      <c r="D305" s="2">
        <v>40828</v>
      </c>
      <c r="E305" s="3">
        <v>36.5</v>
      </c>
      <c r="F305" s="4">
        <f t="shared" si="28"/>
        <v>5295.3344988066046</v>
      </c>
      <c r="G305" s="2">
        <v>40204</v>
      </c>
      <c r="H305" s="7">
        <v>3.28</v>
      </c>
      <c r="I305" s="7">
        <f>H305+H302-2*$A$24</f>
        <v>6.4399999999999995</v>
      </c>
      <c r="J305" s="7">
        <v>3.16</v>
      </c>
      <c r="K305" s="7">
        <v>5.38</v>
      </c>
      <c r="L305" s="6">
        <f t="shared" si="29"/>
        <v>0.329192546583851</v>
      </c>
      <c r="M305" s="6">
        <f t="shared" si="30"/>
        <v>0.5714285714285714</v>
      </c>
      <c r="N305" s="6">
        <f t="shared" si="31"/>
        <v>9.9378881987577605E-2</v>
      </c>
      <c r="O305" s="4">
        <f t="shared" si="32"/>
        <v>1743.1846486754664</v>
      </c>
      <c r="P305" s="4">
        <f t="shared" si="33"/>
        <v>3025.9054278894882</v>
      </c>
      <c r="Q305" s="4">
        <f t="shared" si="34"/>
        <v>4769.0900765649549</v>
      </c>
      <c r="V305" s="3"/>
      <c r="W305" s="3"/>
      <c r="Y305" s="7"/>
      <c r="Z305" s="7"/>
      <c r="AA305" s="7"/>
      <c r="AB305" s="7"/>
      <c r="AC305" s="9"/>
      <c r="AD305" s="9"/>
      <c r="AE305" s="9"/>
      <c r="AF305" s="3"/>
      <c r="AG305" s="3"/>
      <c r="AH305" s="3"/>
    </row>
    <row r="306" spans="1:34" x14ac:dyDescent="0.3">
      <c r="A306">
        <v>273</v>
      </c>
      <c r="B306" s="1" t="s">
        <v>314</v>
      </c>
      <c r="C306" s="1" t="s">
        <v>682</v>
      </c>
      <c r="D306" s="2">
        <v>40828</v>
      </c>
      <c r="E306" s="3">
        <v>39.5</v>
      </c>
      <c r="F306" s="4">
        <f t="shared" si="28"/>
        <v>5757.9438027209835</v>
      </c>
      <c r="G306" s="2">
        <v>40204</v>
      </c>
      <c r="H306" s="7">
        <v>3.08</v>
      </c>
      <c r="I306" s="7">
        <f>H306+H301-2*$A$24</f>
        <v>5.68</v>
      </c>
      <c r="J306" s="7">
        <v>2.92</v>
      </c>
      <c r="K306" s="7">
        <v>4.96</v>
      </c>
      <c r="L306" s="6">
        <f t="shared" si="29"/>
        <v>0.33098591549295775</v>
      </c>
      <c r="M306" s="6">
        <f t="shared" si="30"/>
        <v>0.573943661971831</v>
      </c>
      <c r="N306" s="6">
        <f t="shared" si="31"/>
        <v>9.5070422535211252E-2</v>
      </c>
      <c r="O306" s="4">
        <f t="shared" si="32"/>
        <v>1905.7983009006073</v>
      </c>
      <c r="P306" s="4">
        <f t="shared" si="33"/>
        <v>3304.7353515616915</v>
      </c>
      <c r="Q306" s="4">
        <f t="shared" si="34"/>
        <v>5210.533652462299</v>
      </c>
      <c r="V306" s="3"/>
      <c r="W306" s="3"/>
      <c r="Y306" s="7"/>
      <c r="Z306" s="7"/>
      <c r="AA306" s="7"/>
      <c r="AB306" s="7"/>
      <c r="AC306" s="9"/>
      <c r="AD306" s="9"/>
      <c r="AE306" s="9"/>
      <c r="AF306" s="3"/>
      <c r="AG306" s="3"/>
      <c r="AH306" s="3"/>
    </row>
    <row r="307" spans="1:34" x14ac:dyDescent="0.3">
      <c r="A307">
        <v>274</v>
      </c>
      <c r="B307" s="1" t="s">
        <v>315</v>
      </c>
      <c r="C307" s="1" t="s">
        <v>682</v>
      </c>
      <c r="D307" s="2">
        <v>40828</v>
      </c>
      <c r="E307" s="3">
        <v>40.6</v>
      </c>
      <c r="F307" s="4">
        <f t="shared" si="28"/>
        <v>5927.5672141562573</v>
      </c>
      <c r="G307" s="2">
        <v>40204</v>
      </c>
      <c r="H307" s="7">
        <v>3.06</v>
      </c>
      <c r="I307" s="7">
        <f>H307+H300-2*$A$24</f>
        <v>6.6199999999999992</v>
      </c>
      <c r="J307" s="7">
        <v>3.26</v>
      </c>
      <c r="K307" s="7">
        <v>5.46</v>
      </c>
      <c r="L307" s="6">
        <f t="shared" si="29"/>
        <v>0.33534743202416917</v>
      </c>
      <c r="M307" s="6">
        <f t="shared" si="30"/>
        <v>0.56797583081571001</v>
      </c>
      <c r="N307" s="6">
        <f t="shared" si="31"/>
        <v>9.6676737160120818E-2</v>
      </c>
      <c r="O307" s="4">
        <f t="shared" si="32"/>
        <v>1987.7944434179592</v>
      </c>
      <c r="P307" s="4">
        <f t="shared" si="33"/>
        <v>3366.714913176364</v>
      </c>
      <c r="Q307" s="4">
        <f t="shared" si="34"/>
        <v>5354.5093565943234</v>
      </c>
      <c r="V307" s="3"/>
      <c r="W307" s="3"/>
      <c r="Y307" s="7"/>
      <c r="Z307" s="7"/>
      <c r="AA307" s="7"/>
      <c r="AB307" s="7"/>
      <c r="AC307" s="9"/>
      <c r="AD307" s="9"/>
      <c r="AE307" s="9"/>
      <c r="AF307" s="3"/>
      <c r="AG307" s="3"/>
      <c r="AH307" s="3"/>
    </row>
    <row r="308" spans="1:34" x14ac:dyDescent="0.3">
      <c r="A308">
        <v>275</v>
      </c>
      <c r="B308" s="1" t="s">
        <v>316</v>
      </c>
      <c r="C308" s="1" t="s">
        <v>682</v>
      </c>
      <c r="D308" s="2">
        <v>40828</v>
      </c>
      <c r="E308" s="3">
        <v>37.200000000000003</v>
      </c>
      <c r="F308" s="4">
        <f t="shared" si="28"/>
        <v>5403.2766697199604</v>
      </c>
      <c r="G308" s="2">
        <v>40204</v>
      </c>
      <c r="H308" s="7">
        <v>3.98</v>
      </c>
      <c r="I308" s="7">
        <f>H308+H299-2*$A$24</f>
        <v>6.82</v>
      </c>
      <c r="J308" s="7">
        <v>3.3</v>
      </c>
      <c r="K308" s="7">
        <v>5.62</v>
      </c>
      <c r="L308" s="6">
        <f t="shared" si="29"/>
        <v>0.33137829912023453</v>
      </c>
      <c r="M308" s="6">
        <f t="shared" si="30"/>
        <v>0.57478005865102633</v>
      </c>
      <c r="N308" s="6">
        <f t="shared" si="31"/>
        <v>9.3841642228739142E-2</v>
      </c>
      <c r="O308" s="4">
        <f t="shared" si="32"/>
        <v>1790.5286324878457</v>
      </c>
      <c r="P308" s="4">
        <f t="shared" si="33"/>
        <v>3105.6956811293612</v>
      </c>
      <c r="Q308" s="4">
        <f t="shared" si="34"/>
        <v>4896.2243136172074</v>
      </c>
      <c r="V308" s="3"/>
      <c r="W308" s="3"/>
      <c r="Y308" s="7"/>
      <c r="Z308" s="7"/>
      <c r="AA308" s="7"/>
      <c r="AB308" s="7"/>
      <c r="AC308" s="9"/>
      <c r="AD308" s="9"/>
      <c r="AE308" s="9"/>
      <c r="AF308" s="3"/>
      <c r="AG308" s="3"/>
      <c r="AH308" s="3"/>
    </row>
    <row r="309" spans="1:34" x14ac:dyDescent="0.3">
      <c r="A309">
        <v>276</v>
      </c>
      <c r="B309" s="1" t="s">
        <v>317</v>
      </c>
      <c r="C309" s="1" t="s">
        <v>682</v>
      </c>
      <c r="D309" s="2">
        <v>40828</v>
      </c>
      <c r="E309" s="3">
        <v>33.700000000000003</v>
      </c>
      <c r="F309" s="4">
        <f t="shared" si="28"/>
        <v>4863.5658151531834</v>
      </c>
      <c r="G309" s="2">
        <v>40204</v>
      </c>
      <c r="H309" s="7">
        <v>3.66</v>
      </c>
      <c r="I309" s="7">
        <f>H309+H298-2*$A$24</f>
        <v>6.3599999999999994</v>
      </c>
      <c r="J309" s="7">
        <v>3.08</v>
      </c>
      <c r="K309" s="7">
        <v>5.3</v>
      </c>
      <c r="L309" s="6">
        <f t="shared" si="29"/>
        <v>0.32075471698113212</v>
      </c>
      <c r="M309" s="6">
        <f t="shared" si="30"/>
        <v>0.56603773584905659</v>
      </c>
      <c r="N309" s="6">
        <f t="shared" si="31"/>
        <v>0.1132075471698113</v>
      </c>
      <c r="O309" s="4">
        <f t="shared" si="32"/>
        <v>1560.0116765585685</v>
      </c>
      <c r="P309" s="4">
        <f t="shared" si="33"/>
        <v>2752.9617821621791</v>
      </c>
      <c r="Q309" s="4">
        <f t="shared" si="34"/>
        <v>4312.9734587207477</v>
      </c>
      <c r="V309" s="3"/>
      <c r="W309" s="3"/>
      <c r="Y309" s="7"/>
      <c r="Z309" s="7"/>
      <c r="AA309" s="7"/>
      <c r="AB309" s="7"/>
      <c r="AC309" s="9"/>
      <c r="AD309" s="9"/>
      <c r="AE309" s="9"/>
      <c r="AF309" s="3"/>
      <c r="AG309" s="3"/>
      <c r="AH309" s="3"/>
    </row>
    <row r="310" spans="1:34" x14ac:dyDescent="0.3">
      <c r="A310">
        <v>277</v>
      </c>
      <c r="B310" s="1" t="s">
        <v>318</v>
      </c>
      <c r="C310" s="1" t="s">
        <v>682</v>
      </c>
      <c r="D310" s="2">
        <v>40828</v>
      </c>
      <c r="E310" s="3">
        <v>32.4</v>
      </c>
      <c r="F310" s="4">
        <f t="shared" si="28"/>
        <v>4663.1017834569511</v>
      </c>
      <c r="G310" s="2">
        <v>40204</v>
      </c>
      <c r="H310" s="7">
        <v>3.66</v>
      </c>
      <c r="I310" s="7">
        <f>H310+H297-2*$A$24</f>
        <v>6.14</v>
      </c>
      <c r="J310" s="7">
        <v>3.02</v>
      </c>
      <c r="K310" s="7">
        <v>5.2</v>
      </c>
      <c r="L310" s="6">
        <f t="shared" si="29"/>
        <v>0.32247557003257332</v>
      </c>
      <c r="M310" s="6">
        <f t="shared" si="30"/>
        <v>0.57003257328990231</v>
      </c>
      <c r="N310" s="6">
        <f t="shared" si="31"/>
        <v>0.10749185667752437</v>
      </c>
      <c r="O310" s="4">
        <f t="shared" si="32"/>
        <v>1503.7364057401896</v>
      </c>
      <c r="P310" s="4">
        <f t="shared" si="33"/>
        <v>2658.1199091366989</v>
      </c>
      <c r="Q310" s="4">
        <f t="shared" si="34"/>
        <v>4161.8563148768881</v>
      </c>
      <c r="V310" s="3"/>
      <c r="W310" s="3"/>
      <c r="Y310" s="7"/>
      <c r="Z310" s="7"/>
      <c r="AA310" s="7"/>
      <c r="AB310" s="7"/>
      <c r="AC310" s="9"/>
      <c r="AD310" s="9"/>
      <c r="AE310" s="9"/>
      <c r="AF310" s="3"/>
      <c r="AG310" s="3"/>
      <c r="AH310" s="3"/>
    </row>
    <row r="311" spans="1:34" x14ac:dyDescent="0.3">
      <c r="A311">
        <v>278</v>
      </c>
      <c r="B311" s="1" t="s">
        <v>319</v>
      </c>
      <c r="C311" s="1" t="s">
        <v>682</v>
      </c>
      <c r="D311" s="2">
        <v>40828</v>
      </c>
      <c r="E311" s="3">
        <v>36.5</v>
      </c>
      <c r="F311" s="4">
        <f t="shared" si="28"/>
        <v>5295.3344988066046</v>
      </c>
      <c r="G311" s="2">
        <v>40204</v>
      </c>
      <c r="H311" s="7">
        <v>3.44</v>
      </c>
      <c r="I311" s="7">
        <f>H311+H296-2*$A$24</f>
        <v>6.68</v>
      </c>
      <c r="J311" s="7">
        <v>3.14</v>
      </c>
      <c r="K311" s="7">
        <v>5.34</v>
      </c>
      <c r="L311" s="6">
        <f t="shared" si="29"/>
        <v>0.31437125748502998</v>
      </c>
      <c r="M311" s="6">
        <f t="shared" si="30"/>
        <v>0.54491017964071853</v>
      </c>
      <c r="N311" s="6">
        <f t="shared" si="31"/>
        <v>0.14071856287425155</v>
      </c>
      <c r="O311" s="4">
        <f t="shared" si="32"/>
        <v>1664.7009651936933</v>
      </c>
      <c r="P311" s="4">
        <f t="shared" si="33"/>
        <v>2885.4816730024013</v>
      </c>
      <c r="Q311" s="4">
        <f t="shared" si="34"/>
        <v>4550.1826381960946</v>
      </c>
      <c r="V311" s="3"/>
      <c r="W311" s="3"/>
      <c r="Y311" s="7"/>
      <c r="Z311" s="7"/>
      <c r="AA311" s="7"/>
      <c r="AB311" s="7"/>
      <c r="AC311" s="9"/>
      <c r="AD311" s="9"/>
      <c r="AE311" s="9"/>
      <c r="AF311" s="3"/>
      <c r="AG311" s="3"/>
      <c r="AH311" s="3"/>
    </row>
    <row r="312" spans="1:34" x14ac:dyDescent="0.3">
      <c r="A312">
        <v>279</v>
      </c>
      <c r="B312" s="1" t="s">
        <v>320</v>
      </c>
      <c r="C312" s="1" t="s">
        <v>682</v>
      </c>
      <c r="D312" s="2">
        <v>40828</v>
      </c>
      <c r="E312" s="3">
        <v>36.700000000000003</v>
      </c>
      <c r="F312" s="4">
        <f t="shared" si="28"/>
        <v>5326.1751190675632</v>
      </c>
      <c r="G312" s="2">
        <v>40204</v>
      </c>
      <c r="H312" s="7">
        <v>2.52</v>
      </c>
      <c r="I312" s="7">
        <f>H312+H295-2*$A$24</f>
        <v>5.72</v>
      </c>
      <c r="J312" s="7">
        <v>2.92</v>
      </c>
      <c r="K312" s="7">
        <v>5.04</v>
      </c>
      <c r="L312" s="6">
        <f t="shared" si="29"/>
        <v>0.32867132867132864</v>
      </c>
      <c r="M312" s="6">
        <f t="shared" si="30"/>
        <v>0.58391608391608396</v>
      </c>
      <c r="N312" s="6">
        <f t="shared" si="31"/>
        <v>8.7412587412587395E-2</v>
      </c>
      <c r="O312" s="4">
        <f t="shared" si="32"/>
        <v>1750.561053120108</v>
      </c>
      <c r="P312" s="4">
        <f t="shared" si="33"/>
        <v>3110.0393177772139</v>
      </c>
      <c r="Q312" s="4">
        <f t="shared" si="34"/>
        <v>4860.6003708973221</v>
      </c>
      <c r="V312" s="3"/>
      <c r="W312" s="3"/>
      <c r="Y312" s="7"/>
      <c r="Z312" s="7"/>
      <c r="AA312" s="7"/>
      <c r="AB312" s="7"/>
      <c r="AC312" s="9"/>
      <c r="AD312" s="9"/>
      <c r="AE312" s="9"/>
      <c r="AF312" s="3"/>
      <c r="AG312" s="3"/>
      <c r="AH312" s="3"/>
    </row>
    <row r="313" spans="1:34" x14ac:dyDescent="0.3">
      <c r="A313">
        <v>280</v>
      </c>
      <c r="B313" s="1" t="s">
        <v>321</v>
      </c>
      <c r="C313" s="1" t="s">
        <v>682</v>
      </c>
      <c r="D313" s="2">
        <v>40828</v>
      </c>
      <c r="E313" s="3">
        <v>32.599999999999994</v>
      </c>
      <c r="F313" s="4">
        <f t="shared" si="28"/>
        <v>4693.9424037179087</v>
      </c>
      <c r="G313" s="2">
        <v>40204</v>
      </c>
      <c r="H313" s="7">
        <v>3.6</v>
      </c>
      <c r="I313" s="7">
        <f>H313+H294-2*$A$24</f>
        <v>6.1199999999999992</v>
      </c>
      <c r="J313" s="7">
        <v>3.06</v>
      </c>
      <c r="K313" s="7">
        <v>5.18</v>
      </c>
      <c r="L313" s="6">
        <f t="shared" si="29"/>
        <v>0.33006535947712423</v>
      </c>
      <c r="M313" s="6">
        <f t="shared" si="30"/>
        <v>0.56862745098039214</v>
      </c>
      <c r="N313" s="6">
        <f t="shared" si="31"/>
        <v>0.10130718954248363</v>
      </c>
      <c r="O313" s="4">
        <f t="shared" si="32"/>
        <v>1549.3077868480682</v>
      </c>
      <c r="P313" s="4">
        <f t="shared" si="33"/>
        <v>2669.1045040748891</v>
      </c>
      <c r="Q313" s="4">
        <f t="shared" si="34"/>
        <v>4218.4122909229573</v>
      </c>
      <c r="V313" s="3"/>
      <c r="W313" s="3"/>
      <c r="Y313" s="7"/>
      <c r="Z313" s="7"/>
      <c r="AA313" s="7"/>
      <c r="AB313" s="7"/>
      <c r="AC313" s="9"/>
      <c r="AD313" s="9"/>
      <c r="AE313" s="9"/>
      <c r="AF313" s="3"/>
      <c r="AG313" s="3"/>
      <c r="AH313" s="3"/>
    </row>
    <row r="314" spans="1:34" x14ac:dyDescent="0.3">
      <c r="A314">
        <v>281</v>
      </c>
      <c r="B314" s="1" t="s">
        <v>322</v>
      </c>
      <c r="C314" s="1" t="s">
        <v>682</v>
      </c>
      <c r="D314" s="2">
        <v>40828</v>
      </c>
      <c r="E314" s="3">
        <v>28.1</v>
      </c>
      <c r="F314" s="4">
        <f t="shared" si="28"/>
        <v>4000.02844784634</v>
      </c>
      <c r="G314" s="2">
        <v>40204</v>
      </c>
      <c r="H314" s="7">
        <v>3.04</v>
      </c>
      <c r="I314" s="7">
        <f>H314+H333-2*$A$24</f>
        <v>5.5399999999999991</v>
      </c>
      <c r="J314" s="7">
        <v>2.96</v>
      </c>
      <c r="K314" s="7">
        <v>4.8600000000000003</v>
      </c>
      <c r="L314" s="6">
        <f t="shared" si="29"/>
        <v>0.3465703971119134</v>
      </c>
      <c r="M314" s="6">
        <f t="shared" si="30"/>
        <v>0.57039711191335751</v>
      </c>
      <c r="N314" s="6">
        <f t="shared" si="31"/>
        <v>8.303249097472909E-2</v>
      </c>
      <c r="O314" s="4">
        <f t="shared" si="32"/>
        <v>1386.2914476290566</v>
      </c>
      <c r="P314" s="4">
        <f t="shared" si="33"/>
        <v>2281.6046742228227</v>
      </c>
      <c r="Q314" s="4">
        <f t="shared" si="34"/>
        <v>3667.8961218518793</v>
      </c>
      <c r="S314" t="s">
        <v>32</v>
      </c>
      <c r="T314" t="s">
        <v>682</v>
      </c>
      <c r="U314" s="8">
        <f>D314</f>
        <v>40828</v>
      </c>
      <c r="V314" s="3">
        <f>SUM(E314:E353)</f>
        <v>1426.3000000000002</v>
      </c>
      <c r="W314" s="3">
        <f>(V314-80*$A$20)*$A$21/(40*$A$22)*$A$23</f>
        <v>5165.4183859573168</v>
      </c>
      <c r="X314" s="8">
        <f>G314</f>
        <v>40204</v>
      </c>
      <c r="Y314" s="7">
        <f>SUM(H314:H353)</f>
        <v>128.46000000000004</v>
      </c>
      <c r="Z314" s="7">
        <f>SUM(I314:I353)</f>
        <v>244.12</v>
      </c>
      <c r="AA314" s="7">
        <f>SUM(J314:J353)</f>
        <v>124.55999999999999</v>
      </c>
      <c r="AB314" s="7">
        <f>SUM(K314:K353)</f>
        <v>205.28000000000003</v>
      </c>
      <c r="AC314" s="9">
        <f>(AA314-40*$A$25)/Z314</f>
        <v>0.33983286908077986</v>
      </c>
      <c r="AD314" s="9">
        <f>(AB314-40*$A$26)/Z314</f>
        <v>0.56234638702277584</v>
      </c>
      <c r="AE314" s="9">
        <f>1-AC314-AD314</f>
        <v>9.782074389644424E-2</v>
      </c>
      <c r="AF314" s="3">
        <f>W314*AC314</f>
        <v>1755.378950102486</v>
      </c>
      <c r="AG314" s="3">
        <f>W314*AD314</f>
        <v>2904.7543668041153</v>
      </c>
      <c r="AH314" s="3">
        <f>AF314+AG314</f>
        <v>4660.1333169066011</v>
      </c>
    </row>
    <row r="315" spans="1:34" x14ac:dyDescent="0.3">
      <c r="A315">
        <v>282</v>
      </c>
      <c r="B315" s="1" t="s">
        <v>323</v>
      </c>
      <c r="C315" s="1" t="s">
        <v>682</v>
      </c>
      <c r="D315" s="2">
        <v>40828</v>
      </c>
      <c r="E315" s="3">
        <v>31.9</v>
      </c>
      <c r="F315" s="4">
        <f t="shared" si="28"/>
        <v>4586.0002328045539</v>
      </c>
      <c r="G315" s="2">
        <v>40204</v>
      </c>
      <c r="H315" s="7">
        <v>3.72</v>
      </c>
      <c r="I315" s="7">
        <f>H315+H332-2*$A$24</f>
        <v>6.84</v>
      </c>
      <c r="J315" s="7">
        <v>3.36</v>
      </c>
      <c r="K315" s="7">
        <v>5.52</v>
      </c>
      <c r="L315" s="6">
        <f t="shared" si="29"/>
        <v>0.33918128654970758</v>
      </c>
      <c r="M315" s="6">
        <f t="shared" si="30"/>
        <v>0.55847953216374258</v>
      </c>
      <c r="N315" s="6">
        <f t="shared" si="31"/>
        <v>0.10233918128654984</v>
      </c>
      <c r="O315" s="4">
        <f t="shared" si="32"/>
        <v>1555.4854590799071</v>
      </c>
      <c r="P315" s="4">
        <f t="shared" si="33"/>
        <v>2561.1872645195017</v>
      </c>
      <c r="Q315" s="4">
        <f t="shared" si="34"/>
        <v>4116.6727235994085</v>
      </c>
      <c r="V315" s="3"/>
      <c r="W315" s="3"/>
      <c r="Y315" s="7"/>
      <c r="Z315" s="7"/>
      <c r="AA315" s="7"/>
      <c r="AB315" s="7"/>
      <c r="AC315" s="9"/>
      <c r="AD315" s="9"/>
      <c r="AE315" s="9"/>
      <c r="AF315" s="3"/>
      <c r="AG315" s="3"/>
      <c r="AH315" s="3"/>
    </row>
    <row r="316" spans="1:34" x14ac:dyDescent="0.3">
      <c r="A316">
        <v>283</v>
      </c>
      <c r="B316" s="1" t="s">
        <v>324</v>
      </c>
      <c r="C316" s="1" t="s">
        <v>682</v>
      </c>
      <c r="D316" s="2">
        <v>40828</v>
      </c>
      <c r="E316" s="3">
        <v>30.6</v>
      </c>
      <c r="F316" s="4">
        <f t="shared" si="28"/>
        <v>4385.5362011083234</v>
      </c>
      <c r="G316" s="2">
        <v>40204</v>
      </c>
      <c r="H316" s="7">
        <v>3.64</v>
      </c>
      <c r="I316" s="7">
        <f>H316+H331-2*$A$24</f>
        <v>6.3</v>
      </c>
      <c r="J316" s="7">
        <v>3.24</v>
      </c>
      <c r="K316" s="7">
        <v>5.22</v>
      </c>
      <c r="L316" s="6">
        <f t="shared" si="29"/>
        <v>0.34920634920634924</v>
      </c>
      <c r="M316" s="6">
        <f t="shared" si="30"/>
        <v>0.55873015873015863</v>
      </c>
      <c r="N316" s="6">
        <f t="shared" si="31"/>
        <v>9.2063492063492069E-2</v>
      </c>
      <c r="O316" s="4">
        <f t="shared" si="32"/>
        <v>1531.4570861013194</v>
      </c>
      <c r="P316" s="4">
        <f t="shared" si="33"/>
        <v>2450.3313377621103</v>
      </c>
      <c r="Q316" s="4">
        <f t="shared" si="34"/>
        <v>3981.7884238634297</v>
      </c>
      <c r="V316" s="3"/>
      <c r="W316" s="3"/>
      <c r="Y316" s="7"/>
      <c r="Z316" s="7"/>
      <c r="AA316" s="7"/>
      <c r="AB316" s="7"/>
      <c r="AC316" s="9"/>
      <c r="AD316" s="9"/>
      <c r="AE316" s="9"/>
      <c r="AF316" s="3"/>
      <c r="AG316" s="3"/>
      <c r="AH316" s="3"/>
    </row>
    <row r="317" spans="1:34" x14ac:dyDescent="0.3">
      <c r="A317">
        <v>284</v>
      </c>
      <c r="B317" s="1" t="s">
        <v>325</v>
      </c>
      <c r="C317" s="1" t="s">
        <v>682</v>
      </c>
      <c r="D317" s="2">
        <v>40828</v>
      </c>
      <c r="E317" s="3">
        <v>32.799999999999997</v>
      </c>
      <c r="F317" s="4">
        <f t="shared" si="28"/>
        <v>4724.7830239788682</v>
      </c>
      <c r="G317" s="2">
        <v>40204</v>
      </c>
      <c r="H317" s="7">
        <v>3.5</v>
      </c>
      <c r="I317" s="7">
        <f>H317+H330-2*$A$24</f>
        <v>6.32</v>
      </c>
      <c r="J317" s="7">
        <v>3.22</v>
      </c>
      <c r="K317" s="7">
        <v>5.28</v>
      </c>
      <c r="L317" s="6">
        <f t="shared" si="29"/>
        <v>0.3449367088607595</v>
      </c>
      <c r="M317" s="6">
        <f t="shared" si="30"/>
        <v>0.56645569620253167</v>
      </c>
      <c r="N317" s="6">
        <f t="shared" si="31"/>
        <v>8.8607594936708778E-2</v>
      </c>
      <c r="O317" s="4">
        <f t="shared" si="32"/>
        <v>1629.7511063724578</v>
      </c>
      <c r="P317" s="4">
        <f t="shared" si="33"/>
        <v>2676.3802572538525</v>
      </c>
      <c r="Q317" s="4">
        <f t="shared" si="34"/>
        <v>4306.1313636263103</v>
      </c>
      <c r="V317" s="3"/>
      <c r="W317" s="3"/>
      <c r="Y317" s="7"/>
      <c r="Z317" s="7"/>
      <c r="AA317" s="7"/>
      <c r="AB317" s="7"/>
      <c r="AC317" s="9"/>
      <c r="AD317" s="9"/>
      <c r="AE317" s="9"/>
      <c r="AF317" s="3"/>
      <c r="AG317" s="3"/>
      <c r="AH317" s="3"/>
    </row>
    <row r="318" spans="1:34" x14ac:dyDescent="0.3">
      <c r="A318">
        <v>285</v>
      </c>
      <c r="B318" s="1" t="s">
        <v>326</v>
      </c>
      <c r="C318" s="1" t="s">
        <v>682</v>
      </c>
      <c r="D318" s="2">
        <v>40828</v>
      </c>
      <c r="E318" s="3">
        <v>33.799999999999997</v>
      </c>
      <c r="F318" s="4">
        <f t="shared" si="28"/>
        <v>4878.9861252836617</v>
      </c>
      <c r="G318" s="2">
        <v>40204</v>
      </c>
      <c r="H318" s="7">
        <v>3.3</v>
      </c>
      <c r="I318" s="7">
        <f>H318+H329-2*$A$24</f>
        <v>6.5399999999999991</v>
      </c>
      <c r="J318" s="7">
        <v>3.32</v>
      </c>
      <c r="K318" s="7">
        <v>5.34</v>
      </c>
      <c r="L318" s="6">
        <f t="shared" si="29"/>
        <v>0.34862385321100919</v>
      </c>
      <c r="M318" s="6">
        <f t="shared" si="30"/>
        <v>0.55657492354740068</v>
      </c>
      <c r="N318" s="6">
        <f t="shared" si="31"/>
        <v>9.4801223241590127E-2</v>
      </c>
      <c r="O318" s="4">
        <f t="shared" si="32"/>
        <v>1700.9309427594419</v>
      </c>
      <c r="P318" s="4">
        <f t="shared" si="33"/>
        <v>2715.5213296685829</v>
      </c>
      <c r="Q318" s="4">
        <f t="shared" si="34"/>
        <v>4416.452272428025</v>
      </c>
      <c r="V318" s="3"/>
      <c r="W318" s="3"/>
      <c r="Y318" s="7"/>
      <c r="Z318" s="7"/>
      <c r="AA318" s="7"/>
      <c r="AB318" s="7"/>
      <c r="AC318" s="9"/>
      <c r="AD318" s="9"/>
      <c r="AE318" s="9"/>
      <c r="AF318" s="3"/>
      <c r="AG318" s="3"/>
      <c r="AH318" s="3"/>
    </row>
    <row r="319" spans="1:34" x14ac:dyDescent="0.3">
      <c r="A319">
        <v>286</v>
      </c>
      <c r="B319" s="1" t="s">
        <v>327</v>
      </c>
      <c r="C319" s="1" t="s">
        <v>682</v>
      </c>
      <c r="D319" s="2">
        <v>40828</v>
      </c>
      <c r="E319" s="3">
        <v>40.5</v>
      </c>
      <c r="F319" s="4">
        <f t="shared" si="28"/>
        <v>5912.146904025778</v>
      </c>
      <c r="G319" s="2">
        <v>40204</v>
      </c>
      <c r="H319" s="7">
        <v>3.12</v>
      </c>
      <c r="I319" s="7">
        <f>H319+H328-2*$A$24</f>
        <v>6.04</v>
      </c>
      <c r="J319" s="7">
        <v>3.1</v>
      </c>
      <c r="K319" s="7">
        <v>5.0999999999999996</v>
      </c>
      <c r="L319" s="6">
        <f t="shared" si="29"/>
        <v>0.34105960264900664</v>
      </c>
      <c r="M319" s="6">
        <f t="shared" si="30"/>
        <v>0.56291390728476809</v>
      </c>
      <c r="N319" s="6">
        <f t="shared" si="31"/>
        <v>9.6026490066225212E-2</v>
      </c>
      <c r="O319" s="4">
        <f t="shared" si="32"/>
        <v>2016.3944738895866</v>
      </c>
      <c r="P319" s="4">
        <f t="shared" si="33"/>
        <v>3328.0297141866954</v>
      </c>
      <c r="Q319" s="4">
        <f t="shared" si="34"/>
        <v>5344.424188076282</v>
      </c>
      <c r="V319" s="3"/>
      <c r="W319" s="3"/>
      <c r="Y319" s="7"/>
      <c r="Z319" s="7"/>
      <c r="AA319" s="7"/>
      <c r="AB319" s="7"/>
      <c r="AC319" s="9"/>
      <c r="AD319" s="9"/>
      <c r="AE319" s="9"/>
      <c r="AF319" s="3"/>
      <c r="AG319" s="3"/>
      <c r="AH319" s="3"/>
    </row>
    <row r="320" spans="1:34" x14ac:dyDescent="0.3">
      <c r="A320">
        <v>287</v>
      </c>
      <c r="B320" s="1" t="s">
        <v>328</v>
      </c>
      <c r="C320" s="1" t="s">
        <v>682</v>
      </c>
      <c r="D320" s="2">
        <v>40828</v>
      </c>
      <c r="E320" s="3">
        <v>38</v>
      </c>
      <c r="F320" s="4">
        <f t="shared" si="28"/>
        <v>5526.6391507637945</v>
      </c>
      <c r="G320" s="2">
        <v>40204</v>
      </c>
      <c r="H320" s="7">
        <v>3.52</v>
      </c>
      <c r="I320" s="7">
        <f>H320+H327-2*$A$24</f>
        <v>6.22</v>
      </c>
      <c r="J320" s="7">
        <v>3.14</v>
      </c>
      <c r="K320" s="7">
        <v>5.2</v>
      </c>
      <c r="L320" s="6">
        <f t="shared" si="29"/>
        <v>0.33762057877813506</v>
      </c>
      <c r="M320" s="6">
        <f t="shared" si="30"/>
        <v>0.56270096463022512</v>
      </c>
      <c r="N320" s="6">
        <f t="shared" si="31"/>
        <v>9.9678456591639875E-2</v>
      </c>
      <c r="O320" s="4">
        <f t="shared" si="32"/>
        <v>1865.9071087787731</v>
      </c>
      <c r="P320" s="4">
        <f t="shared" si="33"/>
        <v>3109.8451812979552</v>
      </c>
      <c r="Q320" s="4">
        <f t="shared" si="34"/>
        <v>4975.7522900767281</v>
      </c>
      <c r="V320" s="3"/>
      <c r="W320" s="3"/>
      <c r="Y320" s="7"/>
      <c r="Z320" s="7"/>
      <c r="AA320" s="7"/>
      <c r="AB320" s="7"/>
      <c r="AC320" s="9"/>
      <c r="AD320" s="9"/>
      <c r="AE320" s="9"/>
      <c r="AF320" s="3"/>
      <c r="AG320" s="3"/>
      <c r="AH320" s="3"/>
    </row>
    <row r="321" spans="1:34" x14ac:dyDescent="0.3">
      <c r="A321">
        <v>288</v>
      </c>
      <c r="B321" s="1" t="s">
        <v>329</v>
      </c>
      <c r="C321" s="1" t="s">
        <v>682</v>
      </c>
      <c r="D321" s="2">
        <v>40828</v>
      </c>
      <c r="E321" s="3">
        <v>35.1</v>
      </c>
      <c r="F321" s="4">
        <f t="shared" si="28"/>
        <v>5079.4501569798931</v>
      </c>
      <c r="G321" s="2">
        <v>40204</v>
      </c>
      <c r="H321" s="7">
        <v>2.76</v>
      </c>
      <c r="I321" s="7">
        <f>H321+H326-2*$A$24</f>
        <v>5.9599999999999991</v>
      </c>
      <c r="J321" s="7">
        <v>3.06</v>
      </c>
      <c r="K321" s="7">
        <v>5.0599999999999996</v>
      </c>
      <c r="L321" s="6">
        <f t="shared" si="29"/>
        <v>0.33892617449664436</v>
      </c>
      <c r="M321" s="6">
        <f t="shared" si="30"/>
        <v>0.56375838926174493</v>
      </c>
      <c r="N321" s="6">
        <f t="shared" si="31"/>
        <v>9.7315436241610764E-2</v>
      </c>
      <c r="O321" s="4">
        <f t="shared" si="32"/>
        <v>1721.5586102515749</v>
      </c>
      <c r="P321" s="4">
        <f t="shared" si="33"/>
        <v>2863.5826388343021</v>
      </c>
      <c r="Q321" s="4">
        <f t="shared" si="34"/>
        <v>4585.1412490858766</v>
      </c>
      <c r="V321" s="3"/>
      <c r="W321" s="3"/>
      <c r="Y321" s="7"/>
      <c r="Z321" s="7"/>
      <c r="AA321" s="7"/>
      <c r="AB321" s="7"/>
      <c r="AC321" s="9"/>
      <c r="AD321" s="9"/>
      <c r="AE321" s="9"/>
      <c r="AF321" s="3"/>
      <c r="AG321" s="3"/>
      <c r="AH321" s="3"/>
    </row>
    <row r="322" spans="1:34" x14ac:dyDescent="0.3">
      <c r="A322">
        <v>289</v>
      </c>
      <c r="B322" s="1" t="s">
        <v>330</v>
      </c>
      <c r="C322" s="1" t="s">
        <v>682</v>
      </c>
      <c r="D322" s="2">
        <v>40828</v>
      </c>
      <c r="E322" s="3">
        <v>36.799999999999997</v>
      </c>
      <c r="F322" s="4">
        <f t="shared" si="28"/>
        <v>5341.5954291980424</v>
      </c>
      <c r="G322" s="2">
        <v>40204</v>
      </c>
      <c r="H322" s="7">
        <v>3.74</v>
      </c>
      <c r="I322" s="7">
        <f>H322+H325-2*$A$24</f>
        <v>7.24</v>
      </c>
      <c r="J322" s="7">
        <v>3.44</v>
      </c>
      <c r="K322" s="7">
        <v>5.8</v>
      </c>
      <c r="L322" s="6">
        <f t="shared" si="29"/>
        <v>0.33149171270718231</v>
      </c>
      <c r="M322" s="6">
        <f t="shared" si="30"/>
        <v>0.56629834254143641</v>
      </c>
      <c r="N322" s="6">
        <f t="shared" si="31"/>
        <v>0.10220994475138123</v>
      </c>
      <c r="O322" s="4">
        <f t="shared" si="32"/>
        <v>1770.6946174137156</v>
      </c>
      <c r="P322" s="4">
        <f t="shared" si="33"/>
        <v>3024.9366380817642</v>
      </c>
      <c r="Q322" s="4">
        <f t="shared" si="34"/>
        <v>4795.6312554954802</v>
      </c>
      <c r="V322" s="3"/>
      <c r="W322" s="3"/>
      <c r="Y322" s="7"/>
      <c r="Z322" s="7"/>
      <c r="AA322" s="7"/>
      <c r="AB322" s="7"/>
      <c r="AC322" s="9"/>
      <c r="AD322" s="9"/>
      <c r="AE322" s="9"/>
      <c r="AF322" s="3"/>
      <c r="AG322" s="3"/>
      <c r="AH322" s="3"/>
    </row>
    <row r="323" spans="1:34" x14ac:dyDescent="0.3">
      <c r="A323">
        <v>290</v>
      </c>
      <c r="B323" s="1" t="s">
        <v>331</v>
      </c>
      <c r="C323" s="1" t="s">
        <v>682</v>
      </c>
      <c r="D323" s="2">
        <v>40828</v>
      </c>
      <c r="E323" s="3">
        <v>34.6</v>
      </c>
      <c r="F323" s="4">
        <f t="shared" si="28"/>
        <v>5002.3486063274968</v>
      </c>
      <c r="G323" s="2">
        <v>40204</v>
      </c>
      <c r="H323" s="7">
        <v>3.84</v>
      </c>
      <c r="I323" s="7">
        <f>H323+H324-2*$A$24</f>
        <v>7.3199999999999994</v>
      </c>
      <c r="J323" s="7">
        <v>3.48</v>
      </c>
      <c r="K323" s="7">
        <v>5.82</v>
      </c>
      <c r="L323" s="6">
        <f t="shared" si="29"/>
        <v>0.33333333333333337</v>
      </c>
      <c r="M323" s="6">
        <f t="shared" si="30"/>
        <v>0.56284153005464488</v>
      </c>
      <c r="N323" s="6">
        <f t="shared" si="31"/>
        <v>0.10382513661202175</v>
      </c>
      <c r="O323" s="4">
        <f t="shared" si="32"/>
        <v>1667.4495354424992</v>
      </c>
      <c r="P323" s="4">
        <f t="shared" si="33"/>
        <v>2815.5295434520885</v>
      </c>
      <c r="Q323" s="4">
        <f t="shared" si="34"/>
        <v>4482.9790788945875</v>
      </c>
      <c r="V323" s="3"/>
      <c r="W323" s="3"/>
      <c r="Y323" s="7"/>
      <c r="Z323" s="7"/>
      <c r="AA323" s="7"/>
      <c r="AB323" s="7"/>
      <c r="AC323" s="9"/>
      <c r="AD323" s="9"/>
      <c r="AE323" s="9"/>
      <c r="AF323" s="3"/>
      <c r="AG323" s="3"/>
      <c r="AH323" s="3"/>
    </row>
    <row r="324" spans="1:34" x14ac:dyDescent="0.3">
      <c r="A324">
        <v>291</v>
      </c>
      <c r="B324" s="1" t="s">
        <v>332</v>
      </c>
      <c r="C324" s="1" t="s">
        <v>682</v>
      </c>
      <c r="D324" s="2">
        <v>40828</v>
      </c>
      <c r="E324" s="3">
        <v>35.700000000000003</v>
      </c>
      <c r="F324" s="4">
        <f t="shared" si="28"/>
        <v>5171.9720177627705</v>
      </c>
      <c r="G324" s="2">
        <v>40204</v>
      </c>
      <c r="H324" s="7">
        <v>3.8</v>
      </c>
      <c r="I324" s="7">
        <f>H324+H323-2*$A$24</f>
        <v>7.3199999999999994</v>
      </c>
      <c r="J324" s="7">
        <v>3.48</v>
      </c>
      <c r="K324" s="7">
        <v>5.82</v>
      </c>
      <c r="L324" s="6">
        <f t="shared" si="29"/>
        <v>0.33333333333333337</v>
      </c>
      <c r="M324" s="6">
        <f t="shared" si="30"/>
        <v>0.56284153005464488</v>
      </c>
      <c r="N324" s="6">
        <f t="shared" si="31"/>
        <v>0.10382513661202175</v>
      </c>
      <c r="O324" s="4">
        <f t="shared" si="32"/>
        <v>1723.9906725875903</v>
      </c>
      <c r="P324" s="4">
        <f t="shared" si="33"/>
        <v>2911.0006438774067</v>
      </c>
      <c r="Q324" s="4">
        <f t="shared" si="34"/>
        <v>4634.991316464997</v>
      </c>
      <c r="V324" s="3"/>
      <c r="W324" s="3"/>
      <c r="Y324" s="7"/>
      <c r="Z324" s="7"/>
      <c r="AA324" s="7"/>
      <c r="AB324" s="7"/>
      <c r="AC324" s="9"/>
      <c r="AD324" s="9"/>
      <c r="AE324" s="9"/>
      <c r="AF324" s="3"/>
      <c r="AG324" s="3"/>
      <c r="AH324" s="3"/>
    </row>
    <row r="325" spans="1:34" x14ac:dyDescent="0.3">
      <c r="A325">
        <v>292</v>
      </c>
      <c r="B325" s="1" t="s">
        <v>333</v>
      </c>
      <c r="C325" s="1" t="s">
        <v>682</v>
      </c>
      <c r="D325" s="2">
        <v>40828</v>
      </c>
      <c r="E325" s="3">
        <v>38.9</v>
      </c>
      <c r="F325" s="4">
        <f t="shared" si="28"/>
        <v>5665.421941938107</v>
      </c>
      <c r="G325" s="2">
        <v>40204</v>
      </c>
      <c r="H325" s="7">
        <v>3.82</v>
      </c>
      <c r="I325" s="7">
        <f>H325+H322-2*$A$24</f>
        <v>7.24</v>
      </c>
      <c r="J325" s="7">
        <v>3.44</v>
      </c>
      <c r="K325" s="7">
        <v>5.8</v>
      </c>
      <c r="L325" s="6">
        <f t="shared" si="29"/>
        <v>0.33149171270718231</v>
      </c>
      <c r="M325" s="6">
        <f t="shared" si="30"/>
        <v>0.56629834254143641</v>
      </c>
      <c r="N325" s="6">
        <f t="shared" si="31"/>
        <v>0.10220994475138123</v>
      </c>
      <c r="O325" s="4">
        <f t="shared" si="32"/>
        <v>1878.0404227419137</v>
      </c>
      <c r="P325" s="4">
        <f t="shared" si="33"/>
        <v>3208.319055517436</v>
      </c>
      <c r="Q325" s="4">
        <f t="shared" si="34"/>
        <v>5086.35947825935</v>
      </c>
      <c r="V325" s="3"/>
      <c r="W325" s="3"/>
      <c r="Y325" s="7"/>
      <c r="Z325" s="7"/>
      <c r="AA325" s="7"/>
      <c r="AB325" s="7"/>
      <c r="AC325" s="9"/>
      <c r="AD325" s="9"/>
      <c r="AE325" s="9"/>
      <c r="AF325" s="3"/>
      <c r="AG325" s="3"/>
      <c r="AH325" s="3"/>
    </row>
    <row r="326" spans="1:34" x14ac:dyDescent="0.3">
      <c r="A326">
        <v>293</v>
      </c>
      <c r="B326" s="1" t="s">
        <v>334</v>
      </c>
      <c r="C326" s="1" t="s">
        <v>682</v>
      </c>
      <c r="D326" s="2">
        <v>40828</v>
      </c>
      <c r="E326" s="3">
        <v>39.6</v>
      </c>
      <c r="F326" s="4">
        <f t="shared" si="28"/>
        <v>5773.3641128514637</v>
      </c>
      <c r="G326" s="2">
        <v>40204</v>
      </c>
      <c r="H326" s="7">
        <v>3.52</v>
      </c>
      <c r="I326" s="7">
        <f>H326+H321-2*$A$24</f>
        <v>5.9599999999999991</v>
      </c>
      <c r="J326" s="7">
        <v>3.06</v>
      </c>
      <c r="K326" s="7">
        <v>5.0599999999999996</v>
      </c>
      <c r="L326" s="6">
        <f t="shared" si="29"/>
        <v>0.33892617449664436</v>
      </c>
      <c r="M326" s="6">
        <f t="shared" si="30"/>
        <v>0.56375838926174493</v>
      </c>
      <c r="N326" s="6">
        <f t="shared" si="31"/>
        <v>9.7315436241610764E-2</v>
      </c>
      <c r="O326" s="4">
        <f t="shared" si="32"/>
        <v>1956.7442127449594</v>
      </c>
      <c r="P326" s="4">
        <f t="shared" si="33"/>
        <v>3254.7824528827041</v>
      </c>
      <c r="Q326" s="4">
        <f t="shared" si="34"/>
        <v>5211.5266656276635</v>
      </c>
      <c r="V326" s="3"/>
      <c r="W326" s="3"/>
      <c r="Y326" s="7"/>
      <c r="Z326" s="7"/>
      <c r="AA326" s="7"/>
      <c r="AB326" s="7"/>
      <c r="AC326" s="9"/>
      <c r="AD326" s="9"/>
      <c r="AE326" s="9"/>
      <c r="AF326" s="3"/>
      <c r="AG326" s="3"/>
      <c r="AH326" s="3"/>
    </row>
    <row r="327" spans="1:34" x14ac:dyDescent="0.3">
      <c r="A327">
        <v>294</v>
      </c>
      <c r="B327" s="1" t="s">
        <v>335</v>
      </c>
      <c r="C327" s="1" t="s">
        <v>682</v>
      </c>
      <c r="D327" s="2">
        <v>40828</v>
      </c>
      <c r="E327" s="3">
        <v>40.900000000000006</v>
      </c>
      <c r="F327" s="4">
        <f t="shared" si="28"/>
        <v>5973.828144547696</v>
      </c>
      <c r="G327" s="2">
        <v>40204</v>
      </c>
      <c r="H327" s="7">
        <v>3.02</v>
      </c>
      <c r="I327" s="7">
        <f>H327+H320-2*$A$24</f>
        <v>6.22</v>
      </c>
      <c r="J327" s="7">
        <v>3.14</v>
      </c>
      <c r="K327" s="7">
        <v>5.2</v>
      </c>
      <c r="L327" s="6">
        <f t="shared" si="29"/>
        <v>0.33762057877813506</v>
      </c>
      <c r="M327" s="6">
        <f t="shared" si="30"/>
        <v>0.56270096463022512</v>
      </c>
      <c r="N327" s="6">
        <f t="shared" si="31"/>
        <v>9.9678456591639875E-2</v>
      </c>
      <c r="O327" s="4">
        <f t="shared" si="32"/>
        <v>2016.8873156833058</v>
      </c>
      <c r="P327" s="4">
        <f t="shared" si="33"/>
        <v>3361.4788594721763</v>
      </c>
      <c r="Q327" s="4">
        <f t="shared" si="34"/>
        <v>5378.3661751554819</v>
      </c>
      <c r="V327" s="3"/>
      <c r="W327" s="3"/>
      <c r="Y327" s="7"/>
      <c r="Z327" s="7"/>
      <c r="AA327" s="7"/>
      <c r="AB327" s="7"/>
      <c r="AC327" s="9"/>
      <c r="AD327" s="9"/>
      <c r="AE327" s="9"/>
      <c r="AF327" s="3"/>
      <c r="AG327" s="3"/>
      <c r="AH327" s="3"/>
    </row>
    <row r="328" spans="1:34" x14ac:dyDescent="0.3">
      <c r="A328">
        <v>295</v>
      </c>
      <c r="B328" s="1" t="s">
        <v>336</v>
      </c>
      <c r="C328" s="1" t="s">
        <v>682</v>
      </c>
      <c r="D328" s="2">
        <v>40828</v>
      </c>
      <c r="E328" s="3">
        <v>41.6</v>
      </c>
      <c r="F328" s="4">
        <f t="shared" si="28"/>
        <v>6081.770315461049</v>
      </c>
      <c r="G328" s="2">
        <v>40204</v>
      </c>
      <c r="H328" s="7">
        <v>3.24</v>
      </c>
      <c r="I328" s="7">
        <f>H328+H319-2*$A$24</f>
        <v>6.04</v>
      </c>
      <c r="J328" s="7">
        <v>3.1</v>
      </c>
      <c r="K328" s="7">
        <v>5.0999999999999996</v>
      </c>
      <c r="L328" s="6">
        <f t="shared" si="29"/>
        <v>0.34105960264900664</v>
      </c>
      <c r="M328" s="6">
        <f t="shared" si="30"/>
        <v>0.56291390728476809</v>
      </c>
      <c r="N328" s="6">
        <f t="shared" si="31"/>
        <v>9.6026490066225212E-2</v>
      </c>
      <c r="O328" s="4">
        <f t="shared" si="32"/>
        <v>2074.246167193669</v>
      </c>
      <c r="P328" s="4">
        <f t="shared" si="33"/>
        <v>3423.5130914846959</v>
      </c>
      <c r="Q328" s="4">
        <f t="shared" si="34"/>
        <v>5497.7592586783649</v>
      </c>
      <c r="V328" s="3"/>
      <c r="W328" s="3"/>
      <c r="Y328" s="7"/>
      <c r="Z328" s="7"/>
      <c r="AA328" s="7"/>
      <c r="AB328" s="7"/>
      <c r="AC328" s="9"/>
      <c r="AD328" s="9"/>
      <c r="AE328" s="9"/>
      <c r="AF328" s="3"/>
      <c r="AG328" s="3"/>
      <c r="AH328" s="3"/>
    </row>
    <row r="329" spans="1:34" x14ac:dyDescent="0.3">
      <c r="A329">
        <v>296</v>
      </c>
      <c r="B329" s="1" t="s">
        <v>337</v>
      </c>
      <c r="C329" s="1" t="s">
        <v>682</v>
      </c>
      <c r="D329" s="2">
        <v>40828</v>
      </c>
      <c r="E329" s="3">
        <v>37</v>
      </c>
      <c r="F329" s="4">
        <f t="shared" si="28"/>
        <v>5372.436049459001</v>
      </c>
      <c r="G329" s="2">
        <v>40204</v>
      </c>
      <c r="H329" s="7">
        <v>3.56</v>
      </c>
      <c r="I329" s="7">
        <f>H329+H318-2*$A$24</f>
        <v>6.5399999999999991</v>
      </c>
      <c r="J329" s="7">
        <v>3.32</v>
      </c>
      <c r="K329" s="7">
        <v>5.34</v>
      </c>
      <c r="L329" s="6">
        <f t="shared" si="29"/>
        <v>0.34862385321100919</v>
      </c>
      <c r="M329" s="6">
        <f t="shared" si="30"/>
        <v>0.55657492354740068</v>
      </c>
      <c r="N329" s="6">
        <f t="shared" si="31"/>
        <v>9.4801223241590127E-2</v>
      </c>
      <c r="O329" s="4">
        <f t="shared" si="32"/>
        <v>1872.9593566921289</v>
      </c>
      <c r="P329" s="4">
        <f t="shared" si="33"/>
        <v>2990.1631834909426</v>
      </c>
      <c r="Q329" s="4">
        <f t="shared" si="34"/>
        <v>4863.1225401830716</v>
      </c>
      <c r="V329" s="3"/>
      <c r="W329" s="3"/>
      <c r="Y329" s="7"/>
      <c r="Z329" s="7"/>
      <c r="AA329" s="7"/>
      <c r="AB329" s="7"/>
      <c r="AC329" s="9"/>
      <c r="AD329" s="9"/>
      <c r="AE329" s="9"/>
      <c r="AF329" s="3"/>
      <c r="AG329" s="3"/>
      <c r="AH329" s="3"/>
    </row>
    <row r="330" spans="1:34" x14ac:dyDescent="0.3">
      <c r="A330">
        <v>297</v>
      </c>
      <c r="B330" s="1" t="s">
        <v>338</v>
      </c>
      <c r="C330" s="1" t="s">
        <v>682</v>
      </c>
      <c r="D330" s="2">
        <v>40828</v>
      </c>
      <c r="E330" s="3">
        <v>36</v>
      </c>
      <c r="F330" s="4">
        <f t="shared" si="28"/>
        <v>5218.2329481542074</v>
      </c>
      <c r="G330" s="2">
        <v>40204</v>
      </c>
      <c r="H330" s="7">
        <v>3.14</v>
      </c>
      <c r="I330" s="7">
        <f>H330+H317-2*$A$24</f>
        <v>6.32</v>
      </c>
      <c r="J330" s="7">
        <v>3.22</v>
      </c>
      <c r="K330" s="7">
        <v>5.28</v>
      </c>
      <c r="L330" s="6">
        <f t="shared" si="29"/>
        <v>0.3449367088607595</v>
      </c>
      <c r="M330" s="6">
        <f t="shared" si="30"/>
        <v>0.56645569620253167</v>
      </c>
      <c r="N330" s="6">
        <f t="shared" si="31"/>
        <v>8.8607594936708778E-2</v>
      </c>
      <c r="O330" s="4">
        <f t="shared" si="32"/>
        <v>1799.9600992050905</v>
      </c>
      <c r="P330" s="4">
        <f t="shared" si="33"/>
        <v>2955.897777593681</v>
      </c>
      <c r="Q330" s="4">
        <f t="shared" si="34"/>
        <v>4755.857876798771</v>
      </c>
      <c r="V330" s="3"/>
      <c r="W330" s="3"/>
      <c r="Y330" s="7"/>
      <c r="Z330" s="7"/>
      <c r="AA330" s="7"/>
      <c r="AB330" s="7"/>
      <c r="AC330" s="9"/>
      <c r="AD330" s="9"/>
      <c r="AE330" s="9"/>
      <c r="AF330" s="3"/>
      <c r="AG330" s="3"/>
      <c r="AH330" s="3"/>
    </row>
    <row r="331" spans="1:34" x14ac:dyDescent="0.3">
      <c r="A331">
        <v>298</v>
      </c>
      <c r="B331" s="1" t="s">
        <v>339</v>
      </c>
      <c r="C331" s="1" t="s">
        <v>682</v>
      </c>
      <c r="D331" s="2">
        <v>40828</v>
      </c>
      <c r="E331" s="3">
        <v>38.200000000000003</v>
      </c>
      <c r="F331" s="4">
        <f t="shared" si="28"/>
        <v>5557.479771024754</v>
      </c>
      <c r="G331" s="2">
        <v>40204</v>
      </c>
      <c r="H331" s="7">
        <v>2.98</v>
      </c>
      <c r="I331" s="7">
        <f>H331+H316-2*$A$24</f>
        <v>6.3</v>
      </c>
      <c r="J331" s="7">
        <v>3.24</v>
      </c>
      <c r="K331" s="7">
        <v>5.22</v>
      </c>
      <c r="L331" s="6">
        <f t="shared" si="29"/>
        <v>0.34920634920634924</v>
      </c>
      <c r="M331" s="6">
        <f t="shared" si="30"/>
        <v>0.55873015873015863</v>
      </c>
      <c r="N331" s="6">
        <f t="shared" si="31"/>
        <v>9.2063492063492069E-2</v>
      </c>
      <c r="O331" s="4">
        <f t="shared" si="32"/>
        <v>1940.707221627692</v>
      </c>
      <c r="P331" s="4">
        <f t="shared" si="33"/>
        <v>3105.1315546043065</v>
      </c>
      <c r="Q331" s="4">
        <f t="shared" si="34"/>
        <v>5045.8387762319981</v>
      </c>
      <c r="V331" s="3"/>
      <c r="W331" s="3"/>
      <c r="Y331" s="7"/>
      <c r="Z331" s="7"/>
      <c r="AA331" s="7"/>
      <c r="AB331" s="7"/>
      <c r="AC331" s="9"/>
      <c r="AD331" s="9"/>
      <c r="AE331" s="9"/>
      <c r="AF331" s="3"/>
      <c r="AG331" s="3"/>
      <c r="AH331" s="3"/>
    </row>
    <row r="332" spans="1:34" x14ac:dyDescent="0.3">
      <c r="A332">
        <v>299</v>
      </c>
      <c r="B332" s="1" t="s">
        <v>340</v>
      </c>
      <c r="C332" s="1" t="s">
        <v>682</v>
      </c>
      <c r="D332" s="2">
        <v>40828</v>
      </c>
      <c r="E332" s="3">
        <v>34.200000000000003</v>
      </c>
      <c r="F332" s="4">
        <f t="shared" si="28"/>
        <v>4940.6673658055806</v>
      </c>
      <c r="G332" s="2">
        <v>40204</v>
      </c>
      <c r="H332" s="7">
        <v>3.44</v>
      </c>
      <c r="I332" s="7">
        <f>H332+H315-2*$A$24</f>
        <v>6.84</v>
      </c>
      <c r="J332" s="7">
        <v>3.36</v>
      </c>
      <c r="K332" s="7">
        <v>5.52</v>
      </c>
      <c r="L332" s="6">
        <f t="shared" si="29"/>
        <v>0.33918128654970758</v>
      </c>
      <c r="M332" s="6">
        <f t="shared" si="30"/>
        <v>0.55847953216374258</v>
      </c>
      <c r="N332" s="6">
        <f t="shared" si="31"/>
        <v>0.10233918128654984</v>
      </c>
      <c r="O332" s="4">
        <f t="shared" si="32"/>
        <v>1675.7819135480916</v>
      </c>
      <c r="P332" s="4">
        <f t="shared" si="33"/>
        <v>2759.2615990317709</v>
      </c>
      <c r="Q332" s="4">
        <f t="shared" si="34"/>
        <v>4435.0435125798622</v>
      </c>
      <c r="V332" s="3"/>
      <c r="W332" s="3"/>
      <c r="Y332" s="7"/>
      <c r="Z332" s="7"/>
      <c r="AA332" s="7"/>
      <c r="AB332" s="7"/>
      <c r="AC332" s="9"/>
      <c r="AD332" s="9"/>
      <c r="AE332" s="9"/>
      <c r="AF332" s="3"/>
      <c r="AG332" s="3"/>
      <c r="AH332" s="3"/>
    </row>
    <row r="333" spans="1:34" x14ac:dyDescent="0.3">
      <c r="A333">
        <v>300</v>
      </c>
      <c r="B333" s="1" t="s">
        <v>341</v>
      </c>
      <c r="C333" s="1" t="s">
        <v>682</v>
      </c>
      <c r="D333" s="2">
        <v>40828</v>
      </c>
      <c r="E333" s="3">
        <v>30.3</v>
      </c>
      <c r="F333" s="4">
        <f t="shared" si="28"/>
        <v>4339.2752707168856</v>
      </c>
      <c r="G333" s="2">
        <v>40204</v>
      </c>
      <c r="H333" s="7">
        <v>2.82</v>
      </c>
      <c r="I333" s="7">
        <f>H333+H314-2*$A$24</f>
        <v>5.5399999999999991</v>
      </c>
      <c r="J333" s="7">
        <v>2.96</v>
      </c>
      <c r="K333" s="7">
        <v>4.8600000000000003</v>
      </c>
      <c r="L333" s="6">
        <f t="shared" si="29"/>
        <v>0.3465703971119134</v>
      </c>
      <c r="M333" s="6">
        <f t="shared" si="30"/>
        <v>0.57039711191335751</v>
      </c>
      <c r="N333" s="6">
        <f t="shared" si="31"/>
        <v>8.303249097472909E-2</v>
      </c>
      <c r="O333" s="4">
        <f t="shared" si="32"/>
        <v>1503.8643537502567</v>
      </c>
      <c r="P333" s="4">
        <f t="shared" si="33"/>
        <v>2475.1100822139642</v>
      </c>
      <c r="Q333" s="4">
        <f t="shared" si="34"/>
        <v>3978.9744359642209</v>
      </c>
      <c r="V333" s="3"/>
      <c r="W333" s="3"/>
      <c r="Y333" s="7"/>
      <c r="Z333" s="7"/>
      <c r="AA333" s="7"/>
      <c r="AB333" s="7"/>
      <c r="AC333" s="9"/>
      <c r="AD333" s="9"/>
      <c r="AE333" s="9"/>
      <c r="AF333" s="3"/>
      <c r="AG333" s="3"/>
      <c r="AH333" s="3"/>
    </row>
    <row r="334" spans="1:34" x14ac:dyDescent="0.3">
      <c r="A334">
        <v>301</v>
      </c>
      <c r="B334" s="1" t="s">
        <v>342</v>
      </c>
      <c r="C334" s="1" t="s">
        <v>682</v>
      </c>
      <c r="D334" s="2">
        <v>40828</v>
      </c>
      <c r="E334" s="3">
        <v>29.4</v>
      </c>
      <c r="F334" s="4">
        <f t="shared" si="28"/>
        <v>4200.4924795425704</v>
      </c>
      <c r="G334" s="2">
        <v>40204</v>
      </c>
      <c r="H334" s="7">
        <v>3.32</v>
      </c>
      <c r="I334" s="7">
        <f>H334+H353-2*$A$24</f>
        <v>5.8599999999999994</v>
      </c>
      <c r="J334" s="7">
        <v>3.02</v>
      </c>
      <c r="K334" s="7">
        <v>5.0199999999999996</v>
      </c>
      <c r="L334" s="6">
        <f t="shared" si="29"/>
        <v>0.33788395904436863</v>
      </c>
      <c r="M334" s="6">
        <f t="shared" si="30"/>
        <v>0.56655290102389078</v>
      </c>
      <c r="N334" s="6">
        <f t="shared" si="31"/>
        <v>9.5563139931740593E-2</v>
      </c>
      <c r="O334" s="4">
        <f t="shared" si="32"/>
        <v>1419.2790289239404</v>
      </c>
      <c r="P334" s="4">
        <f t="shared" si="33"/>
        <v>2379.8012000138797</v>
      </c>
      <c r="Q334" s="4">
        <f t="shared" si="34"/>
        <v>3799.0802289378198</v>
      </c>
      <c r="V334" s="3"/>
      <c r="W334" s="3"/>
      <c r="Y334" s="7"/>
      <c r="Z334" s="7"/>
      <c r="AA334" s="7"/>
      <c r="AB334" s="7"/>
      <c r="AC334" s="9"/>
      <c r="AD334" s="9"/>
      <c r="AE334" s="9"/>
      <c r="AF334" s="3"/>
      <c r="AG334" s="3"/>
      <c r="AH334" s="3"/>
    </row>
    <row r="335" spans="1:34" x14ac:dyDescent="0.3">
      <c r="A335">
        <v>302</v>
      </c>
      <c r="B335" s="1" t="s">
        <v>343</v>
      </c>
      <c r="C335" s="1" t="s">
        <v>682</v>
      </c>
      <c r="D335" s="2">
        <v>40828</v>
      </c>
      <c r="E335" s="3">
        <v>33.900000000000006</v>
      </c>
      <c r="F335" s="4">
        <f t="shared" si="28"/>
        <v>4894.4064354141428</v>
      </c>
      <c r="G335" s="2">
        <v>40204</v>
      </c>
      <c r="H335" s="7">
        <v>3.26</v>
      </c>
      <c r="I335" s="7">
        <f>H335+H352-2*$A$24</f>
        <v>6.4399999999999995</v>
      </c>
      <c r="J335" s="7">
        <v>3.24</v>
      </c>
      <c r="K335" s="7">
        <v>5.34</v>
      </c>
      <c r="L335" s="6">
        <f t="shared" si="29"/>
        <v>0.34161490683229817</v>
      </c>
      <c r="M335" s="6">
        <f t="shared" si="30"/>
        <v>0.56521739130434778</v>
      </c>
      <c r="N335" s="6">
        <f t="shared" si="31"/>
        <v>9.3167701863353991E-2</v>
      </c>
      <c r="O335" s="4">
        <f t="shared" si="32"/>
        <v>1672.002198433403</v>
      </c>
      <c r="P335" s="4">
        <f t="shared" si="33"/>
        <v>2766.4036374079938</v>
      </c>
      <c r="Q335" s="4">
        <f t="shared" si="34"/>
        <v>4438.4058358413968</v>
      </c>
      <c r="V335" s="3"/>
      <c r="W335" s="3"/>
      <c r="Y335" s="7"/>
      <c r="Z335" s="7"/>
      <c r="AA335" s="7"/>
      <c r="AB335" s="7"/>
      <c r="AC335" s="9"/>
      <c r="AD335" s="9"/>
      <c r="AE335" s="9"/>
      <c r="AF335" s="3"/>
      <c r="AG335" s="3"/>
      <c r="AH335" s="3"/>
    </row>
    <row r="336" spans="1:34" x14ac:dyDescent="0.3">
      <c r="A336">
        <v>303</v>
      </c>
      <c r="B336" s="1" t="s">
        <v>344</v>
      </c>
      <c r="C336" s="1" t="s">
        <v>682</v>
      </c>
      <c r="D336" s="2">
        <v>40828</v>
      </c>
      <c r="E336" s="3">
        <v>37.799999999999997</v>
      </c>
      <c r="F336" s="4">
        <f t="shared" si="28"/>
        <v>5495.798530502836</v>
      </c>
      <c r="G336" s="2">
        <v>40204</v>
      </c>
      <c r="H336" s="7">
        <v>2.4</v>
      </c>
      <c r="I336" s="7">
        <f>H336+H351-2*$A$24</f>
        <v>4.6399999999999997</v>
      </c>
      <c r="J336" s="7">
        <v>2.64</v>
      </c>
      <c r="K336" s="7">
        <v>4.38</v>
      </c>
      <c r="L336" s="6">
        <f t="shared" si="29"/>
        <v>0.34482758620689657</v>
      </c>
      <c r="M336" s="6">
        <f t="shared" si="30"/>
        <v>0.57758620689655171</v>
      </c>
      <c r="N336" s="6">
        <f t="shared" si="31"/>
        <v>7.7586206896551713E-2</v>
      </c>
      <c r="O336" s="4">
        <f t="shared" si="32"/>
        <v>1895.1029415527023</v>
      </c>
      <c r="P336" s="4">
        <f t="shared" si="33"/>
        <v>3174.2974271007761</v>
      </c>
      <c r="Q336" s="4">
        <f t="shared" si="34"/>
        <v>5069.4003686534779</v>
      </c>
      <c r="V336" s="3"/>
      <c r="W336" s="3"/>
      <c r="Y336" s="7"/>
      <c r="Z336" s="7"/>
      <c r="AA336" s="7"/>
      <c r="AB336" s="7"/>
      <c r="AC336" s="9"/>
      <c r="AD336" s="9"/>
      <c r="AE336" s="9"/>
      <c r="AF336" s="3"/>
      <c r="AG336" s="3"/>
      <c r="AH336" s="3"/>
    </row>
    <row r="337" spans="1:34" x14ac:dyDescent="0.3">
      <c r="A337">
        <v>304</v>
      </c>
      <c r="B337" s="1" t="s">
        <v>345</v>
      </c>
      <c r="C337" s="1" t="s">
        <v>682</v>
      </c>
      <c r="D337" s="2">
        <v>40828</v>
      </c>
      <c r="E337" s="3">
        <v>36.400000000000006</v>
      </c>
      <c r="F337" s="4">
        <f t="shared" si="28"/>
        <v>5279.9141886761254</v>
      </c>
      <c r="G337" s="2">
        <v>40204</v>
      </c>
      <c r="H337" s="7">
        <v>3.38</v>
      </c>
      <c r="I337" s="7">
        <f>H337+H350-2*$A$24</f>
        <v>6.3999999999999995</v>
      </c>
      <c r="J337" s="7">
        <v>3.18</v>
      </c>
      <c r="K337" s="7">
        <v>5.24</v>
      </c>
      <c r="L337" s="6">
        <f t="shared" si="29"/>
        <v>0.33437500000000003</v>
      </c>
      <c r="M337" s="6">
        <f t="shared" si="30"/>
        <v>0.55312500000000009</v>
      </c>
      <c r="N337" s="6">
        <f t="shared" si="31"/>
        <v>0.11249999999999982</v>
      </c>
      <c r="O337" s="4">
        <f t="shared" si="32"/>
        <v>1765.4713068385795</v>
      </c>
      <c r="P337" s="4">
        <f t="shared" si="33"/>
        <v>2920.4525356114823</v>
      </c>
      <c r="Q337" s="4">
        <f t="shared" si="34"/>
        <v>4685.9238424500618</v>
      </c>
      <c r="V337" s="3"/>
      <c r="W337" s="3"/>
      <c r="Y337" s="7"/>
      <c r="Z337" s="7"/>
      <c r="AA337" s="7"/>
      <c r="AB337" s="7"/>
      <c r="AC337" s="9"/>
      <c r="AD337" s="9"/>
      <c r="AE337" s="9"/>
      <c r="AF337" s="3"/>
      <c r="AG337" s="3"/>
      <c r="AH337" s="3"/>
    </row>
    <row r="338" spans="1:34" x14ac:dyDescent="0.3">
      <c r="A338">
        <v>305</v>
      </c>
      <c r="B338" s="1" t="s">
        <v>346</v>
      </c>
      <c r="C338" s="1" t="s">
        <v>682</v>
      </c>
      <c r="D338" s="2">
        <v>40828</v>
      </c>
      <c r="E338" s="3">
        <v>37.299999999999997</v>
      </c>
      <c r="F338" s="4">
        <f t="shared" si="28"/>
        <v>5418.6969798504388</v>
      </c>
      <c r="G338" s="2">
        <v>40204</v>
      </c>
      <c r="H338" s="7">
        <v>3.48</v>
      </c>
      <c r="I338" s="7">
        <f>H338+H349-2*$A$24</f>
        <v>6.9399999999999995</v>
      </c>
      <c r="J338" s="7">
        <v>3.42</v>
      </c>
      <c r="K338" s="7">
        <v>5.62</v>
      </c>
      <c r="L338" s="6">
        <f t="shared" si="29"/>
        <v>0.34293948126801155</v>
      </c>
      <c r="M338" s="6">
        <f t="shared" si="30"/>
        <v>0.56484149855907784</v>
      </c>
      <c r="N338" s="6">
        <f t="shared" si="31"/>
        <v>9.2219020172910615E-2</v>
      </c>
      <c r="O338" s="4">
        <f t="shared" si="32"/>
        <v>1858.2851314184502</v>
      </c>
      <c r="P338" s="4">
        <f t="shared" si="33"/>
        <v>3060.704922336271</v>
      </c>
      <c r="Q338" s="4">
        <f t="shared" si="34"/>
        <v>4918.990053754721</v>
      </c>
      <c r="V338" s="3"/>
      <c r="W338" s="3"/>
      <c r="Y338" s="7"/>
      <c r="Z338" s="7"/>
      <c r="AA338" s="7"/>
      <c r="AB338" s="7"/>
      <c r="AC338" s="9"/>
      <c r="AD338" s="9"/>
      <c r="AE338" s="9"/>
      <c r="AF338" s="3"/>
      <c r="AG338" s="3"/>
      <c r="AH338" s="3"/>
    </row>
    <row r="339" spans="1:34" x14ac:dyDescent="0.3">
      <c r="A339">
        <v>306</v>
      </c>
      <c r="B339" s="1" t="s">
        <v>347</v>
      </c>
      <c r="C339" s="1" t="s">
        <v>682</v>
      </c>
      <c r="D339" s="2">
        <v>40828</v>
      </c>
      <c r="E339" s="3">
        <v>38.4</v>
      </c>
      <c r="F339" s="4">
        <f t="shared" si="28"/>
        <v>5588.3203912857107</v>
      </c>
      <c r="G339" s="2">
        <v>40204</v>
      </c>
      <c r="H339" s="7">
        <v>2.84</v>
      </c>
      <c r="I339" s="7">
        <f>H339+H348-2*$A$24</f>
        <v>5.0999999999999996</v>
      </c>
      <c r="J339" s="7">
        <v>2.8</v>
      </c>
      <c r="K339" s="7">
        <v>4.5599999999999996</v>
      </c>
      <c r="L339" s="6">
        <f t="shared" si="29"/>
        <v>0.34509803921568627</v>
      </c>
      <c r="M339" s="6">
        <f t="shared" si="30"/>
        <v>0.56078431372549009</v>
      </c>
      <c r="N339" s="6">
        <f t="shared" si="31"/>
        <v>9.4117647058823639E-2</v>
      </c>
      <c r="O339" s="4">
        <f t="shared" si="32"/>
        <v>1928.5184095417355</v>
      </c>
      <c r="P339" s="4">
        <f t="shared" si="33"/>
        <v>3133.8424155053194</v>
      </c>
      <c r="Q339" s="4">
        <f t="shared" si="34"/>
        <v>5062.3608250470552</v>
      </c>
      <c r="V339" s="3"/>
      <c r="W339" s="3"/>
      <c r="Y339" s="7"/>
      <c r="Z339" s="7"/>
      <c r="AA339" s="7"/>
      <c r="AB339" s="7"/>
      <c r="AC339" s="9"/>
      <c r="AD339" s="9"/>
      <c r="AE339" s="9"/>
      <c r="AF339" s="3"/>
      <c r="AG339" s="3"/>
      <c r="AH339" s="3"/>
    </row>
    <row r="340" spans="1:34" x14ac:dyDescent="0.3">
      <c r="A340">
        <v>307</v>
      </c>
      <c r="B340" s="1" t="s">
        <v>348</v>
      </c>
      <c r="C340" s="1" t="s">
        <v>682</v>
      </c>
      <c r="D340" s="2">
        <v>40828</v>
      </c>
      <c r="E340" s="3">
        <v>45.4</v>
      </c>
      <c r="F340" s="4">
        <f t="shared" si="28"/>
        <v>6667.7421004192647</v>
      </c>
      <c r="G340" s="2">
        <v>40204</v>
      </c>
      <c r="H340" s="7">
        <v>3.26</v>
      </c>
      <c r="I340" s="7">
        <f>H340+H347-2*$A$24</f>
        <v>5.2999999999999989</v>
      </c>
      <c r="J340" s="7">
        <v>2.86</v>
      </c>
      <c r="K340" s="7">
        <v>4.7</v>
      </c>
      <c r="L340" s="6">
        <f t="shared" si="29"/>
        <v>0.34339622641509437</v>
      </c>
      <c r="M340" s="6">
        <f t="shared" si="30"/>
        <v>0.5660377358490567</v>
      </c>
      <c r="N340" s="6">
        <f t="shared" si="31"/>
        <v>9.0566037735848925E-2</v>
      </c>
      <c r="O340" s="4">
        <f t="shared" si="32"/>
        <v>2289.6774759930308</v>
      </c>
      <c r="P340" s="4">
        <f t="shared" si="33"/>
        <v>3774.1936417467541</v>
      </c>
      <c r="Q340" s="4">
        <f t="shared" si="34"/>
        <v>6063.8711177397854</v>
      </c>
      <c r="V340" s="3"/>
      <c r="W340" s="3"/>
      <c r="Y340" s="7"/>
      <c r="Z340" s="7"/>
      <c r="AA340" s="7"/>
      <c r="AB340" s="7"/>
      <c r="AC340" s="9"/>
      <c r="AD340" s="9"/>
      <c r="AE340" s="9"/>
      <c r="AF340" s="3"/>
      <c r="AG340" s="3"/>
      <c r="AH340" s="3"/>
    </row>
    <row r="341" spans="1:34" x14ac:dyDescent="0.3">
      <c r="A341">
        <v>308</v>
      </c>
      <c r="B341" s="1" t="s">
        <v>349</v>
      </c>
      <c r="C341" s="1" t="s">
        <v>682</v>
      </c>
      <c r="D341" s="2">
        <v>40828</v>
      </c>
      <c r="E341" s="3">
        <v>30.1</v>
      </c>
      <c r="F341" s="4">
        <f t="shared" si="28"/>
        <v>4308.4346504559271</v>
      </c>
      <c r="G341" s="2">
        <v>40204</v>
      </c>
      <c r="H341" s="7">
        <v>3.44</v>
      </c>
      <c r="I341" s="7">
        <f>H341+H346-2*$A$24</f>
        <v>5.72</v>
      </c>
      <c r="J341" s="7">
        <v>2.94</v>
      </c>
      <c r="K341" s="7">
        <v>4.84</v>
      </c>
      <c r="L341" s="6">
        <f t="shared" si="29"/>
        <v>0.33216783216783219</v>
      </c>
      <c r="M341" s="6">
        <f t="shared" si="30"/>
        <v>0.54895104895104896</v>
      </c>
      <c r="N341" s="6">
        <f t="shared" si="31"/>
        <v>0.11888111888111885</v>
      </c>
      <c r="O341" s="4">
        <f t="shared" si="32"/>
        <v>1431.1233978787172</v>
      </c>
      <c r="P341" s="4">
        <f t="shared" si="33"/>
        <v>2365.1197207048272</v>
      </c>
      <c r="Q341" s="4">
        <f t="shared" si="34"/>
        <v>3796.2431185835444</v>
      </c>
      <c r="V341" s="3"/>
      <c r="W341" s="3"/>
      <c r="Y341" s="7"/>
      <c r="Z341" s="7"/>
      <c r="AA341" s="7"/>
      <c r="AB341" s="7"/>
      <c r="AC341" s="9"/>
      <c r="AD341" s="9"/>
      <c r="AE341" s="9"/>
      <c r="AF341" s="3"/>
      <c r="AG341" s="3"/>
      <c r="AH341" s="3"/>
    </row>
    <row r="342" spans="1:34" x14ac:dyDescent="0.3">
      <c r="A342">
        <v>309</v>
      </c>
      <c r="B342" s="1" t="s">
        <v>350</v>
      </c>
      <c r="C342" s="1" t="s">
        <v>682</v>
      </c>
      <c r="D342" s="2">
        <v>40828</v>
      </c>
      <c r="E342" s="3">
        <v>34.5</v>
      </c>
      <c r="F342" s="4">
        <f t="shared" si="28"/>
        <v>4986.9282961970175</v>
      </c>
      <c r="G342" s="2">
        <v>40204</v>
      </c>
      <c r="H342" s="7">
        <v>3.04</v>
      </c>
      <c r="I342" s="7">
        <f>H342+H345-2*$A$24</f>
        <v>5.6</v>
      </c>
      <c r="J342" s="7">
        <v>2.94</v>
      </c>
      <c r="K342" s="7">
        <v>4.8600000000000003</v>
      </c>
      <c r="L342" s="6">
        <f t="shared" si="29"/>
        <v>0.3392857142857143</v>
      </c>
      <c r="M342" s="6">
        <f t="shared" si="30"/>
        <v>0.56428571428571439</v>
      </c>
      <c r="N342" s="6">
        <f t="shared" si="31"/>
        <v>9.6428571428571308E-2</v>
      </c>
      <c r="O342" s="4">
        <f t="shared" si="32"/>
        <v>1691.9935290668452</v>
      </c>
      <c r="P342" s="4">
        <f t="shared" si="33"/>
        <v>2814.0523957111745</v>
      </c>
      <c r="Q342" s="4">
        <f t="shared" si="34"/>
        <v>4506.04592477802</v>
      </c>
      <c r="V342" s="3"/>
      <c r="W342" s="3"/>
      <c r="Y342" s="7"/>
      <c r="Z342" s="7"/>
      <c r="AA342" s="7"/>
      <c r="AB342" s="7"/>
      <c r="AC342" s="9"/>
      <c r="AD342" s="9"/>
      <c r="AE342" s="9"/>
      <c r="AF342" s="3"/>
      <c r="AG342" s="3"/>
      <c r="AH342" s="3"/>
    </row>
    <row r="343" spans="1:34" x14ac:dyDescent="0.3">
      <c r="A343">
        <v>310</v>
      </c>
      <c r="B343" s="1" t="s">
        <v>351</v>
      </c>
      <c r="C343" s="1" t="s">
        <v>682</v>
      </c>
      <c r="D343" s="2">
        <v>40828</v>
      </c>
      <c r="E343" s="3">
        <v>36.799999999999997</v>
      </c>
      <c r="F343" s="4">
        <f t="shared" si="28"/>
        <v>5341.5954291980424</v>
      </c>
      <c r="G343" s="2">
        <v>40204</v>
      </c>
      <c r="H343" s="7">
        <v>2.64</v>
      </c>
      <c r="I343" s="7">
        <f>H343+H344-2*$A$24</f>
        <v>5.74</v>
      </c>
      <c r="J343" s="7">
        <v>2.92</v>
      </c>
      <c r="K343" s="7">
        <v>4.88</v>
      </c>
      <c r="L343" s="6">
        <f t="shared" si="29"/>
        <v>0.32752613240418116</v>
      </c>
      <c r="M343" s="6">
        <f t="shared" si="30"/>
        <v>0.55400696864111487</v>
      </c>
      <c r="N343" s="6">
        <f t="shared" si="31"/>
        <v>0.11846689895470397</v>
      </c>
      <c r="O343" s="4">
        <f t="shared" si="32"/>
        <v>1749.5120917930869</v>
      </c>
      <c r="P343" s="4">
        <f t="shared" si="33"/>
        <v>2959.2810914372426</v>
      </c>
      <c r="Q343" s="4">
        <f t="shared" si="34"/>
        <v>4708.7931832303293</v>
      </c>
      <c r="V343" s="3"/>
      <c r="W343" s="3"/>
      <c r="Y343" s="7"/>
      <c r="Z343" s="7"/>
      <c r="AA343" s="7"/>
      <c r="AB343" s="7"/>
      <c r="AC343" s="9"/>
      <c r="AD343" s="9"/>
      <c r="AE343" s="9"/>
      <c r="AF343" s="3"/>
      <c r="AG343" s="3"/>
      <c r="AH343" s="3"/>
    </row>
    <row r="344" spans="1:34" x14ac:dyDescent="0.3">
      <c r="A344">
        <v>311</v>
      </c>
      <c r="B344" s="1" t="s">
        <v>352</v>
      </c>
      <c r="C344" s="1" t="s">
        <v>682</v>
      </c>
      <c r="D344" s="2">
        <v>40828</v>
      </c>
      <c r="E344" s="3">
        <v>34.799999999999997</v>
      </c>
      <c r="F344" s="4">
        <f t="shared" si="28"/>
        <v>5033.1892265884544</v>
      </c>
      <c r="G344" s="2">
        <v>40204</v>
      </c>
      <c r="H344" s="7">
        <v>3.42</v>
      </c>
      <c r="I344" s="7">
        <f>H344+H343-2*$A$24</f>
        <v>5.74</v>
      </c>
      <c r="J344" s="7">
        <v>2.92</v>
      </c>
      <c r="K344" s="7">
        <v>4.88</v>
      </c>
      <c r="L344" s="6">
        <f t="shared" si="29"/>
        <v>0.32752613240418116</v>
      </c>
      <c r="M344" s="6">
        <f t="shared" si="30"/>
        <v>0.55400696864111487</v>
      </c>
      <c r="N344" s="6">
        <f t="shared" si="31"/>
        <v>0.11846689895470397</v>
      </c>
      <c r="O344" s="4">
        <f t="shared" si="32"/>
        <v>1648.5010010429082</v>
      </c>
      <c r="P344" s="4">
        <f t="shared" si="33"/>
        <v>2788.4219060193873</v>
      </c>
      <c r="Q344" s="4">
        <f t="shared" si="34"/>
        <v>4436.9229070622951</v>
      </c>
      <c r="V344" s="3"/>
      <c r="W344" s="3"/>
      <c r="Y344" s="7"/>
      <c r="Z344" s="7"/>
      <c r="AA344" s="7"/>
      <c r="AB344" s="7"/>
      <c r="AC344" s="9"/>
      <c r="AD344" s="9"/>
      <c r="AE344" s="9"/>
      <c r="AF344" s="3"/>
      <c r="AG344" s="3"/>
      <c r="AH344" s="3"/>
    </row>
    <row r="345" spans="1:34" x14ac:dyDescent="0.3">
      <c r="A345">
        <v>312</v>
      </c>
      <c r="B345" s="1" t="s">
        <v>353</v>
      </c>
      <c r="C345" s="1" t="s">
        <v>682</v>
      </c>
      <c r="D345" s="2">
        <v>40828</v>
      </c>
      <c r="E345" s="3">
        <v>34.099999999999994</v>
      </c>
      <c r="F345" s="4">
        <f t="shared" si="28"/>
        <v>4925.2470556750995</v>
      </c>
      <c r="G345" s="2">
        <v>40204</v>
      </c>
      <c r="H345" s="7">
        <v>2.88</v>
      </c>
      <c r="I345" s="7">
        <f>H345+H342-2*$A$24</f>
        <v>5.6</v>
      </c>
      <c r="J345" s="7">
        <v>2.94</v>
      </c>
      <c r="K345" s="7">
        <v>4.8600000000000003</v>
      </c>
      <c r="L345" s="6">
        <f t="shared" si="29"/>
        <v>0.3392857142857143</v>
      </c>
      <c r="M345" s="6">
        <f t="shared" si="30"/>
        <v>0.56428571428571439</v>
      </c>
      <c r="N345" s="6">
        <f t="shared" si="31"/>
        <v>9.6428571428571308E-2</v>
      </c>
      <c r="O345" s="4">
        <f t="shared" si="32"/>
        <v>1671.0659653183375</v>
      </c>
      <c r="P345" s="4">
        <f t="shared" si="33"/>
        <v>2779.2465528452353</v>
      </c>
      <c r="Q345" s="4">
        <f t="shared" si="34"/>
        <v>4450.3125181635733</v>
      </c>
      <c r="V345" s="3"/>
      <c r="W345" s="3"/>
      <c r="Y345" s="7"/>
      <c r="Z345" s="7"/>
      <c r="AA345" s="7"/>
      <c r="AB345" s="7"/>
      <c r="AC345" s="9"/>
      <c r="AD345" s="9"/>
      <c r="AE345" s="9"/>
      <c r="AF345" s="3"/>
      <c r="AG345" s="3"/>
      <c r="AH345" s="3"/>
    </row>
    <row r="346" spans="1:34" x14ac:dyDescent="0.3">
      <c r="A346">
        <v>313</v>
      </c>
      <c r="B346" s="1" t="s">
        <v>354</v>
      </c>
      <c r="C346" s="1" t="s">
        <v>682</v>
      </c>
      <c r="D346" s="2">
        <v>40828</v>
      </c>
      <c r="E346" s="3">
        <v>38.5</v>
      </c>
      <c r="F346" s="4">
        <f t="shared" si="28"/>
        <v>5603.7407014161909</v>
      </c>
      <c r="G346" s="2">
        <v>40204</v>
      </c>
      <c r="H346" s="7">
        <v>2.6</v>
      </c>
      <c r="I346" s="7">
        <f>H346+H341-2*$A$24</f>
        <v>5.72</v>
      </c>
      <c r="J346" s="7">
        <v>2.94</v>
      </c>
      <c r="K346" s="7">
        <v>4.84</v>
      </c>
      <c r="L346" s="6">
        <f t="shared" si="29"/>
        <v>0.33216783216783219</v>
      </c>
      <c r="M346" s="6">
        <f t="shared" si="30"/>
        <v>0.54895104895104896</v>
      </c>
      <c r="N346" s="6">
        <f t="shared" si="31"/>
        <v>0.11888111888111885</v>
      </c>
      <c r="O346" s="4">
        <f t="shared" si="32"/>
        <v>1861.3824008200636</v>
      </c>
      <c r="P346" s="4">
        <f t="shared" si="33"/>
        <v>3076.1793360921047</v>
      </c>
      <c r="Q346" s="4">
        <f t="shared" si="34"/>
        <v>4937.5617369121683</v>
      </c>
      <c r="V346" s="3"/>
      <c r="W346" s="3"/>
      <c r="Y346" s="7"/>
      <c r="Z346" s="7"/>
      <c r="AA346" s="7"/>
      <c r="AB346" s="7"/>
      <c r="AC346" s="9"/>
      <c r="AD346" s="9"/>
      <c r="AE346" s="9"/>
      <c r="AF346" s="3"/>
      <c r="AG346" s="3"/>
      <c r="AH346" s="3"/>
    </row>
    <row r="347" spans="1:34" x14ac:dyDescent="0.3">
      <c r="A347">
        <v>314</v>
      </c>
      <c r="B347" s="1" t="s">
        <v>355</v>
      </c>
      <c r="C347" s="1" t="s">
        <v>682</v>
      </c>
      <c r="D347" s="2">
        <v>40828</v>
      </c>
      <c r="E347" s="3">
        <v>35.4</v>
      </c>
      <c r="F347" s="4">
        <f t="shared" si="28"/>
        <v>5125.7110873713309</v>
      </c>
      <c r="G347" s="2">
        <v>40204</v>
      </c>
      <c r="H347" s="7">
        <v>2.36</v>
      </c>
      <c r="I347" s="7">
        <f>H347+H340-2*$A$24</f>
        <v>5.2999999999999989</v>
      </c>
      <c r="J347" s="7">
        <v>2.86</v>
      </c>
      <c r="K347" s="7">
        <v>4.7</v>
      </c>
      <c r="L347" s="6">
        <f t="shared" si="29"/>
        <v>0.34339622641509437</v>
      </c>
      <c r="M347" s="6">
        <f t="shared" si="30"/>
        <v>0.5660377358490567</v>
      </c>
      <c r="N347" s="6">
        <f t="shared" si="31"/>
        <v>9.0566037735848925E-2</v>
      </c>
      <c r="O347" s="4">
        <f t="shared" si="32"/>
        <v>1760.1498450973252</v>
      </c>
      <c r="P347" s="4">
        <f t="shared" si="33"/>
        <v>2901.3458985120747</v>
      </c>
      <c r="Q347" s="4">
        <f t="shared" si="34"/>
        <v>4661.4957436094001</v>
      </c>
      <c r="V347" s="3"/>
      <c r="W347" s="3"/>
      <c r="Y347" s="7"/>
      <c r="Z347" s="7"/>
      <c r="AA347" s="7"/>
      <c r="AB347" s="7"/>
      <c r="AC347" s="9"/>
      <c r="AD347" s="9"/>
      <c r="AE347" s="9"/>
      <c r="AF347" s="3"/>
      <c r="AG347" s="3"/>
      <c r="AH347" s="3"/>
    </row>
    <row r="348" spans="1:34" x14ac:dyDescent="0.3">
      <c r="A348">
        <v>315</v>
      </c>
      <c r="B348" s="1" t="s">
        <v>356</v>
      </c>
      <c r="C348" s="1" t="s">
        <v>682</v>
      </c>
      <c r="D348" s="2">
        <v>40828</v>
      </c>
      <c r="E348" s="3">
        <v>41</v>
      </c>
      <c r="F348" s="4">
        <f t="shared" si="28"/>
        <v>5989.2484546781743</v>
      </c>
      <c r="G348" s="2">
        <v>40204</v>
      </c>
      <c r="H348" s="7">
        <v>2.58</v>
      </c>
      <c r="I348" s="7">
        <f>H348+H339-2*$A$24</f>
        <v>5.0999999999999996</v>
      </c>
      <c r="J348" s="7">
        <v>2.8</v>
      </c>
      <c r="K348" s="7">
        <v>4.5599999999999996</v>
      </c>
      <c r="L348" s="6">
        <f t="shared" si="29"/>
        <v>0.34509803921568627</v>
      </c>
      <c r="M348" s="6">
        <f t="shared" si="30"/>
        <v>0.56078431372549009</v>
      </c>
      <c r="N348" s="6">
        <f t="shared" si="31"/>
        <v>9.4117647058823639E-2</v>
      </c>
      <c r="O348" s="4">
        <f t="shared" si="32"/>
        <v>2066.877898085017</v>
      </c>
      <c r="P348" s="4">
        <f t="shared" si="33"/>
        <v>3358.6765843881522</v>
      </c>
      <c r="Q348" s="4">
        <f t="shared" si="34"/>
        <v>5425.5544824731696</v>
      </c>
      <c r="V348" s="3"/>
      <c r="W348" s="3"/>
      <c r="Y348" s="7"/>
      <c r="Z348" s="7"/>
      <c r="AA348" s="7"/>
      <c r="AB348" s="7"/>
      <c r="AC348" s="9"/>
      <c r="AD348" s="9"/>
      <c r="AE348" s="9"/>
      <c r="AF348" s="3"/>
      <c r="AG348" s="3"/>
      <c r="AH348" s="3"/>
    </row>
    <row r="349" spans="1:34" x14ac:dyDescent="0.3">
      <c r="A349">
        <v>316</v>
      </c>
      <c r="B349" s="1" t="s">
        <v>357</v>
      </c>
      <c r="C349" s="1" t="s">
        <v>682</v>
      </c>
      <c r="D349" s="2">
        <v>40828</v>
      </c>
      <c r="E349" s="3">
        <v>37.700000000000003</v>
      </c>
      <c r="F349" s="4">
        <f t="shared" si="28"/>
        <v>5480.3782203723576</v>
      </c>
      <c r="G349" s="2">
        <v>40204</v>
      </c>
      <c r="H349" s="7">
        <v>3.78</v>
      </c>
      <c r="I349" s="7">
        <f>H349+H338-2*$A$24</f>
        <v>6.9399999999999995</v>
      </c>
      <c r="J349" s="7">
        <v>3.42</v>
      </c>
      <c r="K349" s="7">
        <v>5.62</v>
      </c>
      <c r="L349" s="6">
        <f t="shared" si="29"/>
        <v>0.34293948126801155</v>
      </c>
      <c r="M349" s="6">
        <f t="shared" si="30"/>
        <v>0.56484149855907784</v>
      </c>
      <c r="N349" s="6">
        <f t="shared" si="31"/>
        <v>9.2219020172910615E-2</v>
      </c>
      <c r="O349" s="4">
        <f t="shared" si="32"/>
        <v>1879.4380640470047</v>
      </c>
      <c r="P349" s="4">
        <f t="shared" si="33"/>
        <v>3095.5450466656548</v>
      </c>
      <c r="Q349" s="4">
        <f t="shared" si="34"/>
        <v>4974.9831107126593</v>
      </c>
      <c r="V349" s="3"/>
      <c r="W349" s="3"/>
      <c r="Y349" s="7"/>
      <c r="Z349" s="7"/>
      <c r="AA349" s="7"/>
      <c r="AB349" s="7"/>
      <c r="AC349" s="9"/>
      <c r="AD349" s="9"/>
      <c r="AE349" s="9"/>
      <c r="AF349" s="3"/>
      <c r="AG349" s="3"/>
      <c r="AH349" s="3"/>
    </row>
    <row r="350" spans="1:34" x14ac:dyDescent="0.3">
      <c r="A350">
        <v>317</v>
      </c>
      <c r="B350" s="1" t="s">
        <v>358</v>
      </c>
      <c r="C350" s="1" t="s">
        <v>682</v>
      </c>
      <c r="D350" s="2">
        <v>40828</v>
      </c>
      <c r="E350" s="3">
        <v>35.9</v>
      </c>
      <c r="F350" s="4">
        <f t="shared" si="28"/>
        <v>5202.8126380237272</v>
      </c>
      <c r="G350" s="2">
        <v>40204</v>
      </c>
      <c r="H350" s="7">
        <v>3.34</v>
      </c>
      <c r="I350" s="7">
        <f>H350+H337-2*$A$24</f>
        <v>6.3999999999999995</v>
      </c>
      <c r="J350" s="7">
        <v>3.18</v>
      </c>
      <c r="K350" s="7">
        <v>5.24</v>
      </c>
      <c r="L350" s="6">
        <f t="shared" si="29"/>
        <v>0.33437500000000003</v>
      </c>
      <c r="M350" s="6">
        <f t="shared" si="30"/>
        <v>0.55312500000000009</v>
      </c>
      <c r="N350" s="6">
        <f t="shared" si="31"/>
        <v>0.11249999999999982</v>
      </c>
      <c r="O350" s="4">
        <f t="shared" si="32"/>
        <v>1739.690475839184</v>
      </c>
      <c r="P350" s="4">
        <f t="shared" si="33"/>
        <v>2877.8057404068745</v>
      </c>
      <c r="Q350" s="4">
        <f t="shared" si="34"/>
        <v>4617.4962162460588</v>
      </c>
      <c r="V350" s="3"/>
      <c r="W350" s="3"/>
      <c r="Y350" s="7"/>
      <c r="Z350" s="7"/>
      <c r="AA350" s="7"/>
      <c r="AB350" s="7"/>
      <c r="AC350" s="9"/>
      <c r="AD350" s="9"/>
      <c r="AE350" s="9"/>
      <c r="AF350" s="3"/>
      <c r="AG350" s="3"/>
      <c r="AH350" s="3"/>
    </row>
    <row r="351" spans="1:34" x14ac:dyDescent="0.3">
      <c r="A351">
        <v>318</v>
      </c>
      <c r="B351" s="1" t="s">
        <v>359</v>
      </c>
      <c r="C351" s="1" t="s">
        <v>682</v>
      </c>
      <c r="D351" s="2">
        <v>40828</v>
      </c>
      <c r="E351" s="3">
        <v>35.200000000000003</v>
      </c>
      <c r="F351" s="4">
        <f t="shared" si="28"/>
        <v>5094.8704671103742</v>
      </c>
      <c r="G351" s="2">
        <v>40204</v>
      </c>
      <c r="H351" s="7">
        <v>2.56</v>
      </c>
      <c r="I351" s="7">
        <f>H351+H336-2*$A$24</f>
        <v>4.6399999999999997</v>
      </c>
      <c r="J351" s="7">
        <v>2.64</v>
      </c>
      <c r="K351" s="7">
        <v>4.38</v>
      </c>
      <c r="L351" s="6">
        <f t="shared" si="29"/>
        <v>0.34482758620689657</v>
      </c>
      <c r="M351" s="6">
        <f t="shared" si="30"/>
        <v>0.57758620689655171</v>
      </c>
      <c r="N351" s="6">
        <f t="shared" si="31"/>
        <v>7.7586206896551713E-2</v>
      </c>
      <c r="O351" s="4">
        <f t="shared" si="32"/>
        <v>1756.8518852104739</v>
      </c>
      <c r="P351" s="4">
        <f t="shared" si="33"/>
        <v>2942.7269077275437</v>
      </c>
      <c r="Q351" s="4">
        <f t="shared" si="34"/>
        <v>4699.5787929380176</v>
      </c>
      <c r="V351" s="3"/>
      <c r="W351" s="3"/>
      <c r="Y351" s="7"/>
      <c r="Z351" s="7"/>
      <c r="AA351" s="7"/>
      <c r="AB351" s="7"/>
      <c r="AC351" s="9"/>
      <c r="AD351" s="9"/>
      <c r="AE351" s="9"/>
      <c r="AF351" s="3"/>
      <c r="AG351" s="3"/>
      <c r="AH351" s="3"/>
    </row>
    <row r="352" spans="1:34" x14ac:dyDescent="0.3">
      <c r="A352">
        <v>319</v>
      </c>
      <c r="B352" s="1" t="s">
        <v>360</v>
      </c>
      <c r="C352" s="1" t="s">
        <v>682</v>
      </c>
      <c r="D352" s="2">
        <v>40828</v>
      </c>
      <c r="E352" s="3">
        <v>32.400000000000006</v>
      </c>
      <c r="F352" s="4">
        <f t="shared" si="28"/>
        <v>4663.101783456952</v>
      </c>
      <c r="G352" s="2">
        <v>40204</v>
      </c>
      <c r="H352" s="7">
        <v>3.5</v>
      </c>
      <c r="I352" s="7">
        <f>H352+H335-2*$A$24</f>
        <v>6.4399999999999995</v>
      </c>
      <c r="J352" s="7">
        <v>3.24</v>
      </c>
      <c r="K352" s="7">
        <v>5.34</v>
      </c>
      <c r="L352" s="6">
        <f t="shared" si="29"/>
        <v>0.34161490683229817</v>
      </c>
      <c r="M352" s="6">
        <f t="shared" si="30"/>
        <v>0.56521739130434778</v>
      </c>
      <c r="N352" s="6">
        <f t="shared" si="31"/>
        <v>9.3167701863353991E-2</v>
      </c>
      <c r="O352" s="4">
        <f t="shared" si="32"/>
        <v>1592.9850813051701</v>
      </c>
      <c r="P352" s="4">
        <f t="shared" si="33"/>
        <v>2635.66622543219</v>
      </c>
      <c r="Q352" s="4">
        <f t="shared" si="34"/>
        <v>4228.6513067373598</v>
      </c>
      <c r="V352" s="3"/>
      <c r="W352" s="3"/>
      <c r="Y352" s="7"/>
      <c r="Z352" s="7"/>
      <c r="AA352" s="7"/>
      <c r="AB352" s="7"/>
      <c r="AC352" s="9"/>
      <c r="AD352" s="9"/>
      <c r="AE352" s="9"/>
      <c r="AF352" s="3"/>
      <c r="AG352" s="3"/>
      <c r="AH352" s="3"/>
    </row>
    <row r="353" spans="1:34" x14ac:dyDescent="0.3">
      <c r="A353">
        <v>320</v>
      </c>
      <c r="B353" s="1" t="s">
        <v>361</v>
      </c>
      <c r="C353" s="1" t="s">
        <v>682</v>
      </c>
      <c r="D353" s="2">
        <v>40828</v>
      </c>
      <c r="E353" s="3">
        <v>26.7</v>
      </c>
      <c r="F353" s="4">
        <f t="shared" si="28"/>
        <v>3784.1441060196289</v>
      </c>
      <c r="G353" s="2">
        <v>40204</v>
      </c>
      <c r="H353" s="7">
        <v>2.86</v>
      </c>
      <c r="I353" s="7">
        <f>H353+H334-2*$A$24</f>
        <v>5.8599999999999994</v>
      </c>
      <c r="J353" s="7">
        <v>3.02</v>
      </c>
      <c r="K353" s="7">
        <v>5.0199999999999996</v>
      </c>
      <c r="L353" s="6">
        <f t="shared" si="29"/>
        <v>0.33788395904436863</v>
      </c>
      <c r="M353" s="6">
        <f t="shared" si="30"/>
        <v>0.56655290102389078</v>
      </c>
      <c r="N353" s="6">
        <f t="shared" si="31"/>
        <v>9.5563139931740593E-2</v>
      </c>
      <c r="O353" s="4">
        <f t="shared" si="32"/>
        <v>1278.6015921363253</v>
      </c>
      <c r="P353" s="4">
        <f t="shared" si="33"/>
        <v>2143.9178211578783</v>
      </c>
      <c r="Q353" s="4">
        <f t="shared" si="34"/>
        <v>3422.5194132942033</v>
      </c>
      <c r="V353" s="3"/>
      <c r="W353" s="3"/>
      <c r="Y353" s="7"/>
      <c r="Z353" s="7"/>
      <c r="AA353" s="7"/>
      <c r="AB353" s="7"/>
      <c r="AC353" s="9"/>
      <c r="AD353" s="9"/>
      <c r="AE353" s="9"/>
      <c r="AF353" s="3"/>
      <c r="AG353" s="3"/>
      <c r="AH353" s="3"/>
    </row>
    <row r="354" spans="1:34" x14ac:dyDescent="0.3">
      <c r="A354">
        <v>321</v>
      </c>
      <c r="B354" s="1" t="s">
        <v>362</v>
      </c>
      <c r="C354" s="1" t="s">
        <v>682</v>
      </c>
      <c r="D354" s="2">
        <v>40828</v>
      </c>
      <c r="E354" s="3">
        <v>17.399999999999999</v>
      </c>
      <c r="F354" s="4">
        <f t="shared" si="28"/>
        <v>2350.0552638850504</v>
      </c>
      <c r="G354" s="2">
        <v>40205</v>
      </c>
      <c r="H354" s="7">
        <v>3.5</v>
      </c>
      <c r="I354" s="7">
        <f>H354+H373-2*$A$24</f>
        <v>6.42</v>
      </c>
      <c r="J354" s="7">
        <v>3.22</v>
      </c>
      <c r="K354" s="7">
        <v>5.32</v>
      </c>
      <c r="L354" s="6">
        <f t="shared" si="29"/>
        <v>0.33956386292834895</v>
      </c>
      <c r="M354" s="6">
        <f t="shared" si="30"/>
        <v>0.56386292834890972</v>
      </c>
      <c r="N354" s="6">
        <f t="shared" si="31"/>
        <v>9.6573208722741333E-2</v>
      </c>
      <c r="O354" s="4">
        <f t="shared" si="32"/>
        <v>797.99384349990817</v>
      </c>
      <c r="P354" s="4">
        <f t="shared" si="33"/>
        <v>1325.1090428759942</v>
      </c>
      <c r="Q354" s="4">
        <f t="shared" si="34"/>
        <v>2123.1028863759025</v>
      </c>
      <c r="S354" t="s">
        <v>707</v>
      </c>
      <c r="T354" t="s">
        <v>682</v>
      </c>
      <c r="U354" s="8">
        <f>D354</f>
        <v>40828</v>
      </c>
      <c r="V354" s="3">
        <f>SUM(E354:E393)</f>
        <v>1201.0000000000005</v>
      </c>
      <c r="W354" s="3">
        <f>(V354-80*$A$20)*$A$21/(40*$A$22)*$A$23</f>
        <v>4296.8694178580681</v>
      </c>
      <c r="X354" s="8">
        <f>G354</f>
        <v>40205</v>
      </c>
      <c r="Y354" s="7">
        <f>SUM(H354:H393)</f>
        <v>119.45999999999998</v>
      </c>
      <c r="Z354" s="7">
        <f>SUM(I354:I393)</f>
        <v>226.12</v>
      </c>
      <c r="AA354" s="7">
        <f>SUM(J354:J393)</f>
        <v>118.51999999999994</v>
      </c>
      <c r="AB354" s="7">
        <f>SUM(K354:K393)</f>
        <v>195.39999999999998</v>
      </c>
      <c r="AC354" s="9">
        <f>(AA354-40*$A$25)/Z354</f>
        <v>0.34017335927825904</v>
      </c>
      <c r="AD354" s="9">
        <f>(AB354-40*$A$26)/Z354</f>
        <v>0.56341765434282676</v>
      </c>
      <c r="AE354" s="9">
        <f>1-AC354-AD354</f>
        <v>9.6408986378914263E-2</v>
      </c>
      <c r="AF354" s="3">
        <f>W354*AC354</f>
        <v>1461.6805042527963</v>
      </c>
      <c r="AG354" s="3">
        <f>W354*AD354</f>
        <v>2420.9320884270201</v>
      </c>
      <c r="AH354" s="3">
        <f>AF354+AG354</f>
        <v>3882.6125926798163</v>
      </c>
    </row>
    <row r="355" spans="1:34" x14ac:dyDescent="0.3">
      <c r="A355">
        <v>322</v>
      </c>
      <c r="B355" s="1" t="s">
        <v>363</v>
      </c>
      <c r="C355" s="1" t="s">
        <v>682</v>
      </c>
      <c r="D355" s="2">
        <v>40828</v>
      </c>
      <c r="E355" s="3">
        <v>23</v>
      </c>
      <c r="F355" s="4">
        <f t="shared" ref="F355:F418" si="35">(E355-2*$A$20)*$A$21/$A$22*$A$23</f>
        <v>3213.5926311918938</v>
      </c>
      <c r="G355" s="2">
        <v>40205</v>
      </c>
      <c r="H355" s="7">
        <v>4.0199999999999996</v>
      </c>
      <c r="I355" s="7">
        <f>H355+H372-2*$A$24</f>
        <v>7.6</v>
      </c>
      <c r="J355" s="7">
        <v>3.62</v>
      </c>
      <c r="K355" s="7">
        <v>5.92</v>
      </c>
      <c r="L355" s="6">
        <f t="shared" ref="L355:L418" si="36">(J355-$A$25)/I355</f>
        <v>0.33947368421052632</v>
      </c>
      <c r="M355" s="6">
        <f t="shared" ref="M355:M418" si="37">(K355-$A$26)/I355</f>
        <v>0.55526315789473679</v>
      </c>
      <c r="N355" s="6">
        <f t="shared" ref="N355:N418" si="38">1-L355-M355</f>
        <v>0.10526315789473684</v>
      </c>
      <c r="O355" s="4">
        <f t="shared" ref="O355:O418" si="39">F355*L355</f>
        <v>1090.9301300625114</v>
      </c>
      <c r="P355" s="4">
        <f t="shared" ref="P355:P418" si="40">F355*M355</f>
        <v>1784.3895925828672</v>
      </c>
      <c r="Q355" s="4">
        <f t="shared" ref="Q355:Q418" si="41">O355+P355</f>
        <v>2875.3197226453785</v>
      </c>
      <c r="V355" s="3"/>
      <c r="W355" s="3"/>
      <c r="Y355" s="7"/>
      <c r="Z355" s="7"/>
      <c r="AA355" s="7"/>
      <c r="AB355" s="7"/>
      <c r="AC355" s="9"/>
      <c r="AD355" s="9"/>
      <c r="AE355" s="9"/>
      <c r="AF355" s="3"/>
      <c r="AG355" s="3"/>
      <c r="AH355" s="3"/>
    </row>
    <row r="356" spans="1:34" x14ac:dyDescent="0.3">
      <c r="A356">
        <v>323</v>
      </c>
      <c r="B356" s="1" t="s">
        <v>364</v>
      </c>
      <c r="C356" s="1" t="s">
        <v>682</v>
      </c>
      <c r="D356" s="2">
        <v>40828</v>
      </c>
      <c r="E356" s="3">
        <v>28</v>
      </c>
      <c r="F356" s="4">
        <f t="shared" si="35"/>
        <v>3984.6081377158603</v>
      </c>
      <c r="G356" s="2">
        <v>40205</v>
      </c>
      <c r="H356" s="7">
        <v>2.98</v>
      </c>
      <c r="I356" s="7">
        <f>H356+H371-2*$A$24</f>
        <v>5.6</v>
      </c>
      <c r="J356" s="7">
        <v>2.98</v>
      </c>
      <c r="K356" s="7">
        <v>4.9000000000000004</v>
      </c>
      <c r="L356" s="6">
        <f t="shared" si="36"/>
        <v>0.34642857142857142</v>
      </c>
      <c r="M356" s="6">
        <f t="shared" si="37"/>
        <v>0.57142857142857151</v>
      </c>
      <c r="N356" s="6">
        <f t="shared" si="38"/>
        <v>8.2142857142857073E-2</v>
      </c>
      <c r="O356" s="4">
        <f t="shared" si="39"/>
        <v>1380.3821048515658</v>
      </c>
      <c r="P356" s="4">
        <f t="shared" si="40"/>
        <v>2276.9189358376348</v>
      </c>
      <c r="Q356" s="4">
        <f t="shared" si="41"/>
        <v>3657.3010406892008</v>
      </c>
      <c r="V356" s="3"/>
      <c r="W356" s="3"/>
      <c r="Y356" s="7"/>
      <c r="Z356" s="7"/>
      <c r="AA356" s="7"/>
      <c r="AB356" s="7"/>
      <c r="AC356" s="9"/>
      <c r="AD356" s="9"/>
      <c r="AE356" s="9"/>
      <c r="AF356" s="3"/>
      <c r="AG356" s="3"/>
      <c r="AH356" s="3"/>
    </row>
    <row r="357" spans="1:34" x14ac:dyDescent="0.3">
      <c r="A357">
        <v>324</v>
      </c>
      <c r="B357" s="1" t="s">
        <v>365</v>
      </c>
      <c r="C357" s="1" t="s">
        <v>682</v>
      </c>
      <c r="D357" s="2">
        <v>40828</v>
      </c>
      <c r="E357" s="3">
        <v>26.5</v>
      </c>
      <c r="F357" s="4">
        <f t="shared" si="35"/>
        <v>3753.3034857586704</v>
      </c>
      <c r="G357" s="2">
        <v>40205</v>
      </c>
      <c r="H357" s="7">
        <v>3.72</v>
      </c>
      <c r="I357" s="7">
        <f>H357+H370-2*$A$24</f>
        <v>6.22</v>
      </c>
      <c r="J357" s="7">
        <v>3.2</v>
      </c>
      <c r="K357" s="7">
        <v>5.24</v>
      </c>
      <c r="L357" s="6">
        <f t="shared" si="36"/>
        <v>0.34726688102893893</v>
      </c>
      <c r="M357" s="6">
        <f t="shared" si="37"/>
        <v>0.56913183279742763</v>
      </c>
      <c r="N357" s="6">
        <f t="shared" si="38"/>
        <v>8.3601286173633382E-2</v>
      </c>
      <c r="O357" s="4">
        <f t="shared" si="39"/>
        <v>1303.3979950544581</v>
      </c>
      <c r="P357" s="4">
        <f t="shared" si="40"/>
        <v>2136.1244918948059</v>
      </c>
      <c r="Q357" s="4">
        <f t="shared" si="41"/>
        <v>3439.522486949264</v>
      </c>
      <c r="V357" s="3"/>
      <c r="W357" s="3"/>
      <c r="Y357" s="7"/>
      <c r="Z357" s="7"/>
      <c r="AA357" s="7"/>
      <c r="AB357" s="7"/>
      <c r="AC357" s="9"/>
      <c r="AD357" s="9"/>
      <c r="AE357" s="9"/>
      <c r="AF357" s="3"/>
      <c r="AG357" s="3"/>
      <c r="AH357" s="3"/>
    </row>
    <row r="358" spans="1:34" x14ac:dyDescent="0.3">
      <c r="A358">
        <v>325</v>
      </c>
      <c r="B358" s="1" t="s">
        <v>366</v>
      </c>
      <c r="C358" s="1" t="s">
        <v>682</v>
      </c>
      <c r="D358" s="2">
        <v>40828</v>
      </c>
      <c r="E358" s="3">
        <v>26.7</v>
      </c>
      <c r="F358" s="4">
        <f t="shared" si="35"/>
        <v>3784.1441060196289</v>
      </c>
      <c r="G358" s="2">
        <v>40205</v>
      </c>
      <c r="H358" s="7">
        <v>2.66</v>
      </c>
      <c r="I358" s="7">
        <f>H358+H369-2*$A$24</f>
        <v>5.26</v>
      </c>
      <c r="J358" s="7">
        <v>2.82</v>
      </c>
      <c r="K358" s="7">
        <v>4.7</v>
      </c>
      <c r="L358" s="6">
        <f t="shared" si="36"/>
        <v>0.33840304182509501</v>
      </c>
      <c r="M358" s="6">
        <f t="shared" si="37"/>
        <v>0.57034220532319391</v>
      </c>
      <c r="N358" s="6">
        <f t="shared" si="38"/>
        <v>9.1254752851711141E-2</v>
      </c>
      <c r="O358" s="4">
        <f t="shared" si="39"/>
        <v>1280.5658761815473</v>
      </c>
      <c r="P358" s="4">
        <f t="shared" si="40"/>
        <v>2158.2570946880014</v>
      </c>
      <c r="Q358" s="4">
        <f t="shared" si="41"/>
        <v>3438.822970869549</v>
      </c>
      <c r="V358" s="3"/>
      <c r="W358" s="3"/>
      <c r="Y358" s="7"/>
      <c r="Z358" s="7"/>
      <c r="AA358" s="7"/>
      <c r="AB358" s="7"/>
      <c r="AC358" s="9"/>
      <c r="AD358" s="9"/>
      <c r="AE358" s="9"/>
      <c r="AF358" s="3"/>
      <c r="AG358" s="3"/>
      <c r="AH358" s="3"/>
    </row>
    <row r="359" spans="1:34" x14ac:dyDescent="0.3">
      <c r="A359">
        <v>326</v>
      </c>
      <c r="B359" s="1" t="s">
        <v>367</v>
      </c>
      <c r="C359" s="1" t="s">
        <v>682</v>
      </c>
      <c r="D359" s="2">
        <v>40828</v>
      </c>
      <c r="E359" s="3">
        <v>30.6</v>
      </c>
      <c r="F359" s="4">
        <f t="shared" si="35"/>
        <v>4385.5362011083234</v>
      </c>
      <c r="G359" s="2">
        <v>40205</v>
      </c>
      <c r="H359" s="7">
        <v>3.08</v>
      </c>
      <c r="I359" s="7">
        <f>H359+H368-2*$A$24</f>
        <v>6.58</v>
      </c>
      <c r="J359" s="7">
        <v>3.26</v>
      </c>
      <c r="K359" s="7">
        <v>5.3</v>
      </c>
      <c r="L359" s="6">
        <f t="shared" si="36"/>
        <v>0.33738601823708203</v>
      </c>
      <c r="M359" s="6">
        <f t="shared" si="37"/>
        <v>0.54711246200607899</v>
      </c>
      <c r="N359" s="6">
        <f t="shared" si="38"/>
        <v>0.11550151975683898</v>
      </c>
      <c r="O359" s="4">
        <f t="shared" si="39"/>
        <v>1479.6185967265162</v>
      </c>
      <c r="P359" s="4">
        <f t="shared" si="40"/>
        <v>2399.3815082051615</v>
      </c>
      <c r="Q359" s="4">
        <f t="shared" si="41"/>
        <v>3879.0001049316779</v>
      </c>
      <c r="V359" s="3"/>
      <c r="W359" s="3"/>
      <c r="Y359" s="7"/>
      <c r="Z359" s="7"/>
      <c r="AA359" s="7"/>
      <c r="AB359" s="7"/>
      <c r="AC359" s="9"/>
      <c r="AD359" s="9"/>
      <c r="AE359" s="9"/>
      <c r="AF359" s="3"/>
      <c r="AG359" s="3"/>
      <c r="AH359" s="3"/>
    </row>
    <row r="360" spans="1:34" x14ac:dyDescent="0.3">
      <c r="A360">
        <v>327</v>
      </c>
      <c r="B360" s="1" t="s">
        <v>368</v>
      </c>
      <c r="C360" s="1" t="s">
        <v>682</v>
      </c>
      <c r="D360" s="2">
        <v>40828</v>
      </c>
      <c r="E360" s="3">
        <v>30.200000000000003</v>
      </c>
      <c r="F360" s="4">
        <f t="shared" si="35"/>
        <v>4323.8549605864064</v>
      </c>
      <c r="G360" s="2">
        <v>40205</v>
      </c>
      <c r="H360" s="7">
        <v>3.04</v>
      </c>
      <c r="I360" s="7">
        <f>H360+H367-2*$A$24</f>
        <v>5.24</v>
      </c>
      <c r="J360" s="7">
        <v>2.82</v>
      </c>
      <c r="K360" s="7">
        <v>4.54</v>
      </c>
      <c r="L360" s="6">
        <f t="shared" si="36"/>
        <v>0.33969465648854957</v>
      </c>
      <c r="M360" s="6">
        <f t="shared" si="37"/>
        <v>0.54198473282442738</v>
      </c>
      <c r="N360" s="6">
        <f t="shared" si="38"/>
        <v>0.11832061068702304</v>
      </c>
      <c r="O360" s="4">
        <f t="shared" si="39"/>
        <v>1468.7904255427104</v>
      </c>
      <c r="P360" s="4">
        <f t="shared" si="40"/>
        <v>2343.4633755849986</v>
      </c>
      <c r="Q360" s="4">
        <f t="shared" si="41"/>
        <v>3812.2538011277093</v>
      </c>
      <c r="V360" s="3"/>
      <c r="W360" s="3"/>
      <c r="Y360" s="7"/>
      <c r="Z360" s="7"/>
      <c r="AA360" s="7"/>
      <c r="AB360" s="7"/>
      <c r="AC360" s="9"/>
      <c r="AD360" s="9"/>
      <c r="AE360" s="9"/>
      <c r="AF360" s="3"/>
      <c r="AG360" s="3"/>
      <c r="AH360" s="3"/>
    </row>
    <row r="361" spans="1:34" x14ac:dyDescent="0.3">
      <c r="A361">
        <v>328</v>
      </c>
      <c r="B361" s="1" t="s">
        <v>369</v>
      </c>
      <c r="C361" s="1" t="s">
        <v>682</v>
      </c>
      <c r="D361" s="2">
        <v>40828</v>
      </c>
      <c r="E361" s="3">
        <v>31.5</v>
      </c>
      <c r="F361" s="4">
        <f t="shared" si="35"/>
        <v>4524.3189922826368</v>
      </c>
      <c r="G361" s="2">
        <v>40205</v>
      </c>
      <c r="H361" s="7">
        <v>2.9</v>
      </c>
      <c r="I361" s="7">
        <f>H361+H366-2*$A$24</f>
        <v>6.1199999999999992</v>
      </c>
      <c r="J361" s="7">
        <v>3.08</v>
      </c>
      <c r="K361" s="7">
        <v>5.08</v>
      </c>
      <c r="L361" s="6">
        <f t="shared" si="36"/>
        <v>0.33333333333333337</v>
      </c>
      <c r="M361" s="6">
        <f t="shared" si="37"/>
        <v>0.55228758169934644</v>
      </c>
      <c r="N361" s="6">
        <f t="shared" si="38"/>
        <v>0.11437908496732019</v>
      </c>
      <c r="O361" s="4">
        <f t="shared" si="39"/>
        <v>1508.106330760879</v>
      </c>
      <c r="P361" s="4">
        <f t="shared" si="40"/>
        <v>2498.7251950842015</v>
      </c>
      <c r="Q361" s="4">
        <f t="shared" si="41"/>
        <v>4006.8315258450803</v>
      </c>
      <c r="V361" s="3"/>
      <c r="W361" s="3"/>
      <c r="Y361" s="7"/>
      <c r="Z361" s="7"/>
      <c r="AA361" s="7"/>
      <c r="AB361" s="7"/>
      <c r="AC361" s="9"/>
      <c r="AD361" s="9"/>
      <c r="AE361" s="9"/>
      <c r="AF361" s="3"/>
      <c r="AG361" s="3"/>
      <c r="AH361" s="3"/>
    </row>
    <row r="362" spans="1:34" x14ac:dyDescent="0.3">
      <c r="A362">
        <v>329</v>
      </c>
      <c r="B362" s="1" t="s">
        <v>370</v>
      </c>
      <c r="C362" s="1" t="s">
        <v>682</v>
      </c>
      <c r="D362" s="2">
        <v>40828</v>
      </c>
      <c r="E362" s="3">
        <v>32.799999999999997</v>
      </c>
      <c r="F362" s="4">
        <f t="shared" si="35"/>
        <v>4724.7830239788682</v>
      </c>
      <c r="G362" s="2">
        <v>40205</v>
      </c>
      <c r="H362" s="7">
        <v>2.76</v>
      </c>
      <c r="I362" s="7">
        <f>H362+H365-2*$A$24</f>
        <v>5.6</v>
      </c>
      <c r="J362" s="7">
        <v>3</v>
      </c>
      <c r="K362" s="7">
        <v>4.8600000000000003</v>
      </c>
      <c r="L362" s="6">
        <f t="shared" si="36"/>
        <v>0.35000000000000003</v>
      </c>
      <c r="M362" s="6">
        <f t="shared" si="37"/>
        <v>0.56428571428571439</v>
      </c>
      <c r="N362" s="6">
        <f t="shared" si="38"/>
        <v>8.5714285714285521E-2</v>
      </c>
      <c r="O362" s="4">
        <f t="shared" si="39"/>
        <v>1653.6740583926039</v>
      </c>
      <c r="P362" s="4">
        <f t="shared" si="40"/>
        <v>2666.1275635309335</v>
      </c>
      <c r="Q362" s="4">
        <f t="shared" si="41"/>
        <v>4319.8016219235378</v>
      </c>
      <c r="V362" s="3"/>
      <c r="W362" s="3"/>
      <c r="Y362" s="7"/>
      <c r="Z362" s="7"/>
      <c r="AA362" s="7"/>
      <c r="AB362" s="7"/>
      <c r="AC362" s="9"/>
      <c r="AD362" s="9"/>
      <c r="AE362" s="9"/>
      <c r="AF362" s="3"/>
      <c r="AG362" s="3"/>
      <c r="AH362" s="3"/>
    </row>
    <row r="363" spans="1:34" x14ac:dyDescent="0.3">
      <c r="A363">
        <v>330</v>
      </c>
      <c r="B363" s="1" t="s">
        <v>371</v>
      </c>
      <c r="C363" s="1" t="s">
        <v>682</v>
      </c>
      <c r="D363" s="2">
        <v>40828</v>
      </c>
      <c r="E363" s="3">
        <v>35.9</v>
      </c>
      <c r="F363" s="4">
        <f t="shared" si="35"/>
        <v>5202.8126380237272</v>
      </c>
      <c r="G363" s="2">
        <v>40205</v>
      </c>
      <c r="H363" s="7">
        <v>3.26</v>
      </c>
      <c r="I363" s="7">
        <f>H363+H364-2*$A$24</f>
        <v>5.9399999999999995</v>
      </c>
      <c r="J363" s="7">
        <v>3.06</v>
      </c>
      <c r="K363" s="7">
        <v>5.0599999999999996</v>
      </c>
      <c r="L363" s="6">
        <f t="shared" si="36"/>
        <v>0.34006734006734007</v>
      </c>
      <c r="M363" s="6">
        <f t="shared" si="37"/>
        <v>0.56565656565656564</v>
      </c>
      <c r="N363" s="6">
        <f t="shared" si="38"/>
        <v>9.4276094276094291E-2</v>
      </c>
      <c r="O363" s="4">
        <f t="shared" si="39"/>
        <v>1769.3066546814696</v>
      </c>
      <c r="P363" s="4">
        <f t="shared" si="40"/>
        <v>2943.0051285790778</v>
      </c>
      <c r="Q363" s="4">
        <f t="shared" si="41"/>
        <v>4712.3117832605476</v>
      </c>
      <c r="V363" s="3"/>
      <c r="W363" s="3"/>
      <c r="Y363" s="7"/>
      <c r="Z363" s="7"/>
      <c r="AA363" s="7"/>
      <c r="AB363" s="7"/>
      <c r="AC363" s="9"/>
      <c r="AD363" s="9"/>
      <c r="AE363" s="9"/>
      <c r="AF363" s="3"/>
      <c r="AG363" s="3"/>
      <c r="AH363" s="3"/>
    </row>
    <row r="364" spans="1:34" x14ac:dyDescent="0.3">
      <c r="A364">
        <v>331</v>
      </c>
      <c r="B364" s="1" t="s">
        <v>372</v>
      </c>
      <c r="C364" s="1" t="s">
        <v>682</v>
      </c>
      <c r="D364" s="2">
        <v>40828</v>
      </c>
      <c r="E364" s="3">
        <v>35.799999999999997</v>
      </c>
      <c r="F364" s="4">
        <f t="shared" si="35"/>
        <v>5187.3923278932489</v>
      </c>
      <c r="G364" s="2">
        <v>40205</v>
      </c>
      <c r="H364" s="7">
        <v>3</v>
      </c>
      <c r="I364" s="7">
        <f>H364+H363-2*$A$24</f>
        <v>5.9399999999999995</v>
      </c>
      <c r="J364" s="7">
        <v>3.06</v>
      </c>
      <c r="K364" s="7">
        <v>5.0599999999999996</v>
      </c>
      <c r="L364" s="6">
        <f t="shared" si="36"/>
        <v>0.34006734006734007</v>
      </c>
      <c r="M364" s="6">
        <f t="shared" si="37"/>
        <v>0.56565656565656564</v>
      </c>
      <c r="N364" s="6">
        <f t="shared" si="38"/>
        <v>9.4276094276094291E-2</v>
      </c>
      <c r="O364" s="4">
        <f t="shared" si="39"/>
        <v>1764.0627108323843</v>
      </c>
      <c r="P364" s="4">
        <f t="shared" si="40"/>
        <v>2934.2825289093125</v>
      </c>
      <c r="Q364" s="4">
        <f t="shared" si="41"/>
        <v>4698.3452397416968</v>
      </c>
      <c r="V364" s="3"/>
      <c r="W364" s="3"/>
      <c r="Y364" s="7"/>
      <c r="Z364" s="7"/>
      <c r="AA364" s="7"/>
      <c r="AB364" s="7"/>
      <c r="AC364" s="9"/>
      <c r="AD364" s="9"/>
      <c r="AE364" s="9"/>
      <c r="AF364" s="3"/>
      <c r="AG364" s="3"/>
      <c r="AH364" s="3"/>
    </row>
    <row r="365" spans="1:34" x14ac:dyDescent="0.3">
      <c r="A365">
        <v>332</v>
      </c>
      <c r="B365" s="1" t="s">
        <v>373</v>
      </c>
      <c r="C365" s="1" t="s">
        <v>682</v>
      </c>
      <c r="D365" s="2">
        <v>40828</v>
      </c>
      <c r="E365" s="3">
        <v>31.6</v>
      </c>
      <c r="F365" s="4">
        <f t="shared" si="35"/>
        <v>4539.739302413117</v>
      </c>
      <c r="G365" s="2">
        <v>40205</v>
      </c>
      <c r="H365" s="7">
        <v>3.16</v>
      </c>
      <c r="I365" s="7">
        <f>H365+H362-2*$A$24</f>
        <v>5.6</v>
      </c>
      <c r="J365" s="7">
        <v>3</v>
      </c>
      <c r="K365" s="7">
        <v>4.8600000000000003</v>
      </c>
      <c r="L365" s="6">
        <f t="shared" si="36"/>
        <v>0.35000000000000003</v>
      </c>
      <c r="M365" s="6">
        <f t="shared" si="37"/>
        <v>0.56428571428571439</v>
      </c>
      <c r="N365" s="6">
        <f t="shared" si="38"/>
        <v>8.5714285714285521E-2</v>
      </c>
      <c r="O365" s="4">
        <f t="shared" si="39"/>
        <v>1588.908755844591</v>
      </c>
      <c r="P365" s="4">
        <f t="shared" si="40"/>
        <v>2561.7100349331163</v>
      </c>
      <c r="Q365" s="4">
        <f t="shared" si="41"/>
        <v>4150.6187907777075</v>
      </c>
      <c r="V365" s="3"/>
      <c r="W365" s="3"/>
      <c r="Y365" s="7"/>
      <c r="Z365" s="7"/>
      <c r="AA365" s="7"/>
      <c r="AB365" s="7"/>
      <c r="AC365" s="9"/>
      <c r="AD365" s="9"/>
      <c r="AE365" s="9"/>
      <c r="AF365" s="3"/>
      <c r="AG365" s="3"/>
      <c r="AH365" s="3"/>
    </row>
    <row r="366" spans="1:34" x14ac:dyDescent="0.3">
      <c r="A366">
        <v>333</v>
      </c>
      <c r="B366" s="1" t="s">
        <v>374</v>
      </c>
      <c r="C366" s="1" t="s">
        <v>682</v>
      </c>
      <c r="D366" s="2">
        <v>40828</v>
      </c>
      <c r="E366" s="3">
        <v>34.6</v>
      </c>
      <c r="F366" s="4">
        <f t="shared" si="35"/>
        <v>5002.3486063274968</v>
      </c>
      <c r="G366" s="2">
        <v>40205</v>
      </c>
      <c r="H366" s="7">
        <v>3.54</v>
      </c>
      <c r="I366" s="7">
        <f>H366+H361-2*$A$24</f>
        <v>6.1199999999999992</v>
      </c>
      <c r="J366" s="7">
        <v>3.08</v>
      </c>
      <c r="K366" s="7">
        <v>5.08</v>
      </c>
      <c r="L366" s="6">
        <f t="shared" si="36"/>
        <v>0.33333333333333337</v>
      </c>
      <c r="M366" s="6">
        <f t="shared" si="37"/>
        <v>0.55228758169934644</v>
      </c>
      <c r="N366" s="6">
        <f t="shared" si="38"/>
        <v>0.11437908496732019</v>
      </c>
      <c r="O366" s="4">
        <f t="shared" si="39"/>
        <v>1667.4495354424992</v>
      </c>
      <c r="P366" s="4">
        <f t="shared" si="40"/>
        <v>2762.7350146057092</v>
      </c>
      <c r="Q366" s="4">
        <f t="shared" si="41"/>
        <v>4430.1845500482086</v>
      </c>
      <c r="V366" s="3"/>
      <c r="W366" s="3"/>
      <c r="Y366" s="7"/>
      <c r="Z366" s="7"/>
      <c r="AA366" s="7"/>
      <c r="AB366" s="7"/>
      <c r="AC366" s="9"/>
      <c r="AD366" s="9"/>
      <c r="AE366" s="9"/>
      <c r="AF366" s="3"/>
      <c r="AG366" s="3"/>
      <c r="AH366" s="3"/>
    </row>
    <row r="367" spans="1:34" x14ac:dyDescent="0.3">
      <c r="A367">
        <v>334</v>
      </c>
      <c r="B367" s="1" t="s">
        <v>375</v>
      </c>
      <c r="C367" s="1" t="s">
        <v>682</v>
      </c>
      <c r="D367" s="2">
        <v>40828</v>
      </c>
      <c r="E367" s="3">
        <v>34.1</v>
      </c>
      <c r="F367" s="4">
        <f t="shared" si="35"/>
        <v>4925.2470556751005</v>
      </c>
      <c r="G367" s="2">
        <v>40205</v>
      </c>
      <c r="H367" s="7">
        <v>2.52</v>
      </c>
      <c r="I367" s="7">
        <f>H367+H360-2*$A$24</f>
        <v>5.24</v>
      </c>
      <c r="J367" s="7">
        <v>2.82</v>
      </c>
      <c r="K367" s="7">
        <v>4.54</v>
      </c>
      <c r="L367" s="6">
        <f t="shared" si="36"/>
        <v>0.33969465648854957</v>
      </c>
      <c r="M367" s="6">
        <f t="shared" si="37"/>
        <v>0.54198473282442738</v>
      </c>
      <c r="N367" s="6">
        <f t="shared" si="38"/>
        <v>0.11832061068702304</v>
      </c>
      <c r="O367" s="4">
        <f t="shared" si="39"/>
        <v>1673.0801066987935</v>
      </c>
      <c r="P367" s="4">
        <f t="shared" si="40"/>
        <v>2669.4087095643667</v>
      </c>
      <c r="Q367" s="4">
        <f t="shared" si="41"/>
        <v>4342.4888162631605</v>
      </c>
      <c r="V367" s="3"/>
      <c r="W367" s="3"/>
      <c r="Y367" s="7"/>
      <c r="Z367" s="7"/>
      <c r="AA367" s="7"/>
      <c r="AB367" s="7"/>
      <c r="AC367" s="9"/>
      <c r="AD367" s="9"/>
      <c r="AE367" s="9"/>
      <c r="AF367" s="3"/>
      <c r="AG367" s="3"/>
      <c r="AH367" s="3"/>
    </row>
    <row r="368" spans="1:34" x14ac:dyDescent="0.3">
      <c r="A368">
        <v>335</v>
      </c>
      <c r="B368" s="1" t="s">
        <v>376</v>
      </c>
      <c r="C368" s="1" t="s">
        <v>682</v>
      </c>
      <c r="D368" s="2">
        <v>40828</v>
      </c>
      <c r="E368" s="3">
        <v>34.700000000000003</v>
      </c>
      <c r="F368" s="4">
        <f t="shared" si="35"/>
        <v>5017.7689164579779</v>
      </c>
      <c r="G368" s="2">
        <v>40205</v>
      </c>
      <c r="H368" s="7">
        <v>3.82</v>
      </c>
      <c r="I368" s="7">
        <f>H368+H359-2*$A$24</f>
        <v>6.58</v>
      </c>
      <c r="J368" s="7">
        <v>3.26</v>
      </c>
      <c r="K368" s="7">
        <v>5.3</v>
      </c>
      <c r="L368" s="6">
        <f t="shared" si="36"/>
        <v>0.33738601823708203</v>
      </c>
      <c r="M368" s="6">
        <f t="shared" si="37"/>
        <v>0.54711246200607899</v>
      </c>
      <c r="N368" s="6">
        <f t="shared" si="38"/>
        <v>0.11550151975683898</v>
      </c>
      <c r="O368" s="4">
        <f t="shared" si="39"/>
        <v>1692.9250751575546</v>
      </c>
      <c r="P368" s="4">
        <f t="shared" si="40"/>
        <v>2745.2839056608996</v>
      </c>
      <c r="Q368" s="4">
        <f t="shared" si="41"/>
        <v>4438.2089808184537</v>
      </c>
      <c r="V368" s="3"/>
      <c r="W368" s="3"/>
      <c r="Y368" s="7"/>
      <c r="Z368" s="7"/>
      <c r="AA368" s="7"/>
      <c r="AB368" s="7"/>
      <c r="AC368" s="9"/>
      <c r="AD368" s="9"/>
      <c r="AE368" s="9"/>
      <c r="AF368" s="3"/>
      <c r="AG368" s="3"/>
      <c r="AH368" s="3"/>
    </row>
    <row r="369" spans="1:34" x14ac:dyDescent="0.3">
      <c r="A369">
        <v>336</v>
      </c>
      <c r="B369" s="1" t="s">
        <v>377</v>
      </c>
      <c r="C369" s="1" t="s">
        <v>682</v>
      </c>
      <c r="D369" s="2">
        <v>40828</v>
      </c>
      <c r="E369" s="3">
        <v>31.3</v>
      </c>
      <c r="F369" s="4">
        <f t="shared" si="35"/>
        <v>4493.4783720216783</v>
      </c>
      <c r="G369" s="2">
        <v>40205</v>
      </c>
      <c r="H369" s="7">
        <v>2.92</v>
      </c>
      <c r="I369" s="7">
        <f>H369+H358-2*$A$24</f>
        <v>5.26</v>
      </c>
      <c r="J369" s="7">
        <v>2.82</v>
      </c>
      <c r="K369" s="7">
        <v>4.7</v>
      </c>
      <c r="L369" s="6">
        <f t="shared" si="36"/>
        <v>0.33840304182509501</v>
      </c>
      <c r="M369" s="6">
        <f t="shared" si="37"/>
        <v>0.57034220532319391</v>
      </c>
      <c r="N369" s="6">
        <f t="shared" si="38"/>
        <v>9.1254752851711141E-2</v>
      </c>
      <c r="O369" s="4">
        <f t="shared" si="39"/>
        <v>1520.6067494674119</v>
      </c>
      <c r="P369" s="4">
        <f t="shared" si="40"/>
        <v>2562.8203642709191</v>
      </c>
      <c r="Q369" s="4">
        <f t="shared" si="41"/>
        <v>4083.4271137383312</v>
      </c>
      <c r="V369" s="3"/>
      <c r="W369" s="3"/>
      <c r="Y369" s="7"/>
      <c r="Z369" s="7"/>
      <c r="AA369" s="7"/>
      <c r="AB369" s="7"/>
      <c r="AC369" s="9"/>
      <c r="AD369" s="9"/>
      <c r="AE369" s="9"/>
      <c r="AF369" s="3"/>
      <c r="AG369" s="3"/>
      <c r="AH369" s="3"/>
    </row>
    <row r="370" spans="1:34" x14ac:dyDescent="0.3">
      <c r="A370">
        <v>337</v>
      </c>
      <c r="B370" s="1" t="s">
        <v>378</v>
      </c>
      <c r="C370" s="1" t="s">
        <v>682</v>
      </c>
      <c r="D370" s="2">
        <v>40828</v>
      </c>
      <c r="E370" s="3">
        <v>32.6</v>
      </c>
      <c r="F370" s="4">
        <f t="shared" si="35"/>
        <v>4693.9424037179097</v>
      </c>
      <c r="G370" s="2">
        <v>40205</v>
      </c>
      <c r="H370" s="7">
        <v>2.82</v>
      </c>
      <c r="I370" s="7">
        <f>H370+H357-2*$A$24</f>
        <v>6.22</v>
      </c>
      <c r="J370" s="7">
        <v>3.2</v>
      </c>
      <c r="K370" s="7">
        <v>5.24</v>
      </c>
      <c r="L370" s="6">
        <f t="shared" si="36"/>
        <v>0.34726688102893893</v>
      </c>
      <c r="M370" s="6">
        <f t="shared" si="37"/>
        <v>0.56913183279742763</v>
      </c>
      <c r="N370" s="6">
        <f t="shared" si="38"/>
        <v>8.3601286173633382E-2</v>
      </c>
      <c r="O370" s="4">
        <f t="shared" si="39"/>
        <v>1630.0507382685989</v>
      </c>
      <c r="P370" s="4">
        <f t="shared" si="40"/>
        <v>2671.4720432735371</v>
      </c>
      <c r="Q370" s="4">
        <f t="shared" si="41"/>
        <v>4301.5227815421358</v>
      </c>
      <c r="V370" s="3"/>
      <c r="W370" s="3"/>
      <c r="Y370" s="7"/>
      <c r="Z370" s="7"/>
      <c r="AA370" s="7"/>
      <c r="AB370" s="7"/>
      <c r="AC370" s="9"/>
      <c r="AD370" s="9"/>
      <c r="AE370" s="9"/>
      <c r="AF370" s="3"/>
      <c r="AG370" s="3"/>
      <c r="AH370" s="3"/>
    </row>
    <row r="371" spans="1:34" x14ac:dyDescent="0.3">
      <c r="A371">
        <v>338</v>
      </c>
      <c r="B371" s="1" t="s">
        <v>379</v>
      </c>
      <c r="C371" s="1" t="s">
        <v>682</v>
      </c>
      <c r="D371" s="2">
        <v>40828</v>
      </c>
      <c r="E371" s="3">
        <v>33.6</v>
      </c>
      <c r="F371" s="4">
        <f t="shared" si="35"/>
        <v>4848.1455050227032</v>
      </c>
      <c r="G371" s="2">
        <v>40205</v>
      </c>
      <c r="H371" s="7">
        <v>2.94</v>
      </c>
      <c r="I371" s="7">
        <f>H371+H356-2*$A$24</f>
        <v>5.6</v>
      </c>
      <c r="J371" s="7">
        <v>2.98</v>
      </c>
      <c r="K371" s="7">
        <v>4.9000000000000004</v>
      </c>
      <c r="L371" s="6">
        <f t="shared" si="36"/>
        <v>0.34642857142857142</v>
      </c>
      <c r="M371" s="6">
        <f t="shared" si="37"/>
        <v>0.57142857142857151</v>
      </c>
      <c r="N371" s="6">
        <f t="shared" si="38"/>
        <v>8.2142857142857073E-2</v>
      </c>
      <c r="O371" s="4">
        <f t="shared" si="39"/>
        <v>1679.5361213828651</v>
      </c>
      <c r="P371" s="4">
        <f t="shared" si="40"/>
        <v>2770.3688600129735</v>
      </c>
      <c r="Q371" s="4">
        <f t="shared" si="41"/>
        <v>4449.9049813958391</v>
      </c>
      <c r="V371" s="3"/>
      <c r="W371" s="3"/>
      <c r="Y371" s="7"/>
      <c r="Z371" s="7"/>
      <c r="AA371" s="7"/>
      <c r="AB371" s="7"/>
      <c r="AC371" s="9"/>
      <c r="AD371" s="9"/>
      <c r="AE371" s="9"/>
      <c r="AF371" s="3"/>
      <c r="AG371" s="3"/>
      <c r="AH371" s="3"/>
    </row>
    <row r="372" spans="1:34" x14ac:dyDescent="0.3">
      <c r="A372">
        <v>339</v>
      </c>
      <c r="B372" s="1" t="s">
        <v>380</v>
      </c>
      <c r="C372" s="1" t="s">
        <v>682</v>
      </c>
      <c r="D372" s="2">
        <v>40828</v>
      </c>
      <c r="E372" s="3">
        <v>27.6</v>
      </c>
      <c r="F372" s="4">
        <f t="shared" si="35"/>
        <v>3922.9268971939437</v>
      </c>
      <c r="G372" s="2">
        <v>40205</v>
      </c>
      <c r="H372" s="7">
        <v>3.9</v>
      </c>
      <c r="I372" s="7">
        <f>H372+H355-2*$A$24</f>
        <v>7.6</v>
      </c>
      <c r="J372" s="7">
        <v>3.62</v>
      </c>
      <c r="K372" s="7">
        <v>5.92</v>
      </c>
      <c r="L372" s="6">
        <f t="shared" si="36"/>
        <v>0.33947368421052632</v>
      </c>
      <c r="M372" s="6">
        <f t="shared" si="37"/>
        <v>0.55526315789473679</v>
      </c>
      <c r="N372" s="6">
        <f t="shared" si="38"/>
        <v>0.10526315789473684</v>
      </c>
      <c r="O372" s="4">
        <f t="shared" si="39"/>
        <v>1331.7304466789967</v>
      </c>
      <c r="P372" s="4">
        <f t="shared" si="40"/>
        <v>2178.2567771261106</v>
      </c>
      <c r="Q372" s="4">
        <f t="shared" si="41"/>
        <v>3509.9872238051075</v>
      </c>
      <c r="V372" s="3"/>
      <c r="W372" s="3"/>
      <c r="Y372" s="7"/>
      <c r="Z372" s="7"/>
      <c r="AA372" s="7"/>
      <c r="AB372" s="7"/>
      <c r="AC372" s="9"/>
      <c r="AD372" s="9"/>
      <c r="AE372" s="9"/>
      <c r="AF372" s="3"/>
      <c r="AG372" s="3"/>
      <c r="AH372" s="3"/>
    </row>
    <row r="373" spans="1:34" x14ac:dyDescent="0.3">
      <c r="A373">
        <v>340</v>
      </c>
      <c r="B373" s="1" t="s">
        <v>381</v>
      </c>
      <c r="C373" s="1" t="s">
        <v>682</v>
      </c>
      <c r="D373" s="2">
        <v>40828</v>
      </c>
      <c r="E373" s="3">
        <v>23.2</v>
      </c>
      <c r="F373" s="4">
        <f t="shared" si="35"/>
        <v>3244.4332514528523</v>
      </c>
      <c r="G373" s="2">
        <v>40205</v>
      </c>
      <c r="H373" s="7">
        <v>3.24</v>
      </c>
      <c r="I373" s="7">
        <f>H373+H354-2*$A$24</f>
        <v>6.42</v>
      </c>
      <c r="J373" s="7">
        <v>3.22</v>
      </c>
      <c r="K373" s="7">
        <v>5.32</v>
      </c>
      <c r="L373" s="6">
        <f t="shared" si="36"/>
        <v>0.33956386292834895</v>
      </c>
      <c r="M373" s="6">
        <f t="shared" si="37"/>
        <v>0.56386292834890972</v>
      </c>
      <c r="N373" s="6">
        <f t="shared" si="38"/>
        <v>9.6573208722741333E-2</v>
      </c>
      <c r="O373" s="4">
        <f t="shared" si="39"/>
        <v>1101.6922878765138</v>
      </c>
      <c r="P373" s="4">
        <f t="shared" si="40"/>
        <v>1829.4156339967799</v>
      </c>
      <c r="Q373" s="4">
        <f t="shared" si="41"/>
        <v>2931.1079218732939</v>
      </c>
      <c r="V373" s="3"/>
      <c r="W373" s="3"/>
      <c r="Y373" s="7"/>
      <c r="Z373" s="7"/>
      <c r="AA373" s="7"/>
      <c r="AB373" s="7"/>
      <c r="AC373" s="9"/>
      <c r="AD373" s="9"/>
      <c r="AE373" s="9"/>
      <c r="AF373" s="3"/>
      <c r="AG373" s="3"/>
      <c r="AH373" s="3"/>
    </row>
    <row r="374" spans="1:34" x14ac:dyDescent="0.3">
      <c r="A374">
        <v>341</v>
      </c>
      <c r="B374" s="1" t="s">
        <v>382</v>
      </c>
      <c r="C374" s="1" t="s">
        <v>682</v>
      </c>
      <c r="D374" s="2">
        <v>40828</v>
      </c>
      <c r="E374" s="3">
        <v>21.8</v>
      </c>
      <c r="F374" s="4">
        <f t="shared" si="35"/>
        <v>3028.5489096261413</v>
      </c>
      <c r="G374" s="2">
        <v>40205</v>
      </c>
      <c r="H374" s="7">
        <v>2.62</v>
      </c>
      <c r="I374" s="7">
        <f>H374+H393-2*$A$24</f>
        <v>4.66</v>
      </c>
      <c r="J374" s="7">
        <v>2.58</v>
      </c>
      <c r="K374" s="7">
        <v>4.34</v>
      </c>
      <c r="L374" s="6">
        <f t="shared" si="36"/>
        <v>0.33047210300429186</v>
      </c>
      <c r="M374" s="6">
        <f t="shared" si="37"/>
        <v>0.56652360515021449</v>
      </c>
      <c r="N374" s="6">
        <f t="shared" si="38"/>
        <v>0.10300429184549365</v>
      </c>
      <c r="O374" s="4">
        <f t="shared" si="39"/>
        <v>1000.850927215506</v>
      </c>
      <c r="P374" s="4">
        <f t="shared" si="40"/>
        <v>1715.7444466551526</v>
      </c>
      <c r="Q374" s="4">
        <f t="shared" si="41"/>
        <v>2716.5953738706585</v>
      </c>
      <c r="V374" s="3"/>
      <c r="W374" s="3"/>
      <c r="Y374" s="7"/>
      <c r="Z374" s="7"/>
      <c r="AA374" s="7"/>
      <c r="AB374" s="7"/>
      <c r="AC374" s="9"/>
      <c r="AD374" s="9"/>
      <c r="AE374" s="9"/>
      <c r="AF374" s="3"/>
      <c r="AG374" s="3"/>
      <c r="AH374" s="3"/>
    </row>
    <row r="375" spans="1:34" x14ac:dyDescent="0.3">
      <c r="A375">
        <v>342</v>
      </c>
      <c r="B375" s="1" t="s">
        <v>383</v>
      </c>
      <c r="C375" s="1" t="s">
        <v>682</v>
      </c>
      <c r="D375" s="2">
        <v>40828</v>
      </c>
      <c r="E375" s="3">
        <v>29</v>
      </c>
      <c r="F375" s="4">
        <f t="shared" si="35"/>
        <v>4138.8112390206534</v>
      </c>
      <c r="G375" s="2">
        <v>40205</v>
      </c>
      <c r="H375" s="7">
        <v>2.42</v>
      </c>
      <c r="I375" s="7">
        <f>H375+H392-2*$A$24</f>
        <v>4.3</v>
      </c>
      <c r="J375" s="7">
        <v>2.46</v>
      </c>
      <c r="K375" s="7">
        <v>4.12</v>
      </c>
      <c r="L375" s="6">
        <f t="shared" si="36"/>
        <v>0.33023255813953489</v>
      </c>
      <c r="M375" s="6">
        <f t="shared" si="37"/>
        <v>0.56279069767441858</v>
      </c>
      <c r="N375" s="6">
        <f t="shared" si="38"/>
        <v>0.10697674418604652</v>
      </c>
      <c r="O375" s="4">
        <f t="shared" si="39"/>
        <v>1366.7702231184483</v>
      </c>
      <c r="P375" s="4">
        <f t="shared" si="40"/>
        <v>2329.2844647511583</v>
      </c>
      <c r="Q375" s="4">
        <f t="shared" si="41"/>
        <v>3696.0546878696068</v>
      </c>
      <c r="V375" s="3"/>
      <c r="W375" s="3"/>
      <c r="Y375" s="7"/>
      <c r="Z375" s="7"/>
      <c r="AA375" s="7"/>
      <c r="AB375" s="7"/>
      <c r="AC375" s="9"/>
      <c r="AD375" s="9"/>
      <c r="AE375" s="9"/>
      <c r="AF375" s="3"/>
      <c r="AG375" s="3"/>
      <c r="AH375" s="3"/>
    </row>
    <row r="376" spans="1:34" x14ac:dyDescent="0.3">
      <c r="A376">
        <v>343</v>
      </c>
      <c r="B376" s="1" t="s">
        <v>384</v>
      </c>
      <c r="C376" s="1" t="s">
        <v>682</v>
      </c>
      <c r="D376" s="2">
        <v>40828</v>
      </c>
      <c r="E376" s="3">
        <v>34.5</v>
      </c>
      <c r="F376" s="4">
        <f t="shared" si="35"/>
        <v>4986.9282961970175</v>
      </c>
      <c r="G376" s="2">
        <v>40205</v>
      </c>
      <c r="H376" s="7">
        <v>2.5</v>
      </c>
      <c r="I376" s="7">
        <f>H376+H391-2*$A$24</f>
        <v>5.7799999999999994</v>
      </c>
      <c r="J376" s="7">
        <v>3.02</v>
      </c>
      <c r="K376" s="7">
        <v>4.9800000000000004</v>
      </c>
      <c r="L376" s="6">
        <f t="shared" si="36"/>
        <v>0.34256055363321802</v>
      </c>
      <c r="M376" s="6">
        <f t="shared" si="37"/>
        <v>0.56747404844290672</v>
      </c>
      <c r="N376" s="6">
        <f t="shared" si="38"/>
        <v>8.9965397923875257E-2</v>
      </c>
      <c r="O376" s="4">
        <f t="shared" si="39"/>
        <v>1708.324918074411</v>
      </c>
      <c r="P376" s="4">
        <f t="shared" si="40"/>
        <v>2829.9523895374086</v>
      </c>
      <c r="Q376" s="4">
        <f t="shared" si="41"/>
        <v>4538.2773076118192</v>
      </c>
      <c r="V376" s="3"/>
      <c r="W376" s="3"/>
      <c r="Y376" s="7"/>
      <c r="Z376" s="7"/>
      <c r="AA376" s="7"/>
      <c r="AB376" s="7"/>
      <c r="AC376" s="9"/>
      <c r="AD376" s="9"/>
      <c r="AE376" s="9"/>
      <c r="AF376" s="3"/>
      <c r="AG376" s="3"/>
      <c r="AH376" s="3"/>
    </row>
    <row r="377" spans="1:34" x14ac:dyDescent="0.3">
      <c r="A377">
        <v>344</v>
      </c>
      <c r="B377" s="1" t="s">
        <v>385</v>
      </c>
      <c r="C377" s="1" t="s">
        <v>682</v>
      </c>
      <c r="D377" s="2">
        <v>40828</v>
      </c>
      <c r="E377" s="3">
        <v>30.5</v>
      </c>
      <c r="F377" s="4">
        <f t="shared" si="35"/>
        <v>4370.1158909778433</v>
      </c>
      <c r="G377" s="2">
        <v>40205</v>
      </c>
      <c r="H377" s="7">
        <v>3.56</v>
      </c>
      <c r="I377" s="7">
        <f>H377+H390-2*$A$24</f>
        <v>6.02</v>
      </c>
      <c r="J377" s="7">
        <v>3.1</v>
      </c>
      <c r="K377" s="7">
        <v>5.14</v>
      </c>
      <c r="L377" s="6">
        <f t="shared" si="36"/>
        <v>0.34219269102990035</v>
      </c>
      <c r="M377" s="6">
        <f t="shared" si="37"/>
        <v>0.5714285714285714</v>
      </c>
      <c r="N377" s="6">
        <f t="shared" si="38"/>
        <v>8.637873754152825E-2</v>
      </c>
      <c r="O377" s="4">
        <f t="shared" si="39"/>
        <v>1495.4217168462387</v>
      </c>
      <c r="P377" s="4">
        <f t="shared" si="40"/>
        <v>2497.2090805587673</v>
      </c>
      <c r="Q377" s="4">
        <f t="shared" si="41"/>
        <v>3992.630797405006</v>
      </c>
      <c r="V377" s="3"/>
      <c r="W377" s="3"/>
      <c r="Y377" s="7"/>
      <c r="Z377" s="7"/>
      <c r="AA377" s="7"/>
      <c r="AB377" s="7"/>
      <c r="AC377" s="9"/>
      <c r="AD377" s="9"/>
      <c r="AE377" s="9"/>
      <c r="AF377" s="3"/>
      <c r="AG377" s="3"/>
      <c r="AH377" s="3"/>
    </row>
    <row r="378" spans="1:34" x14ac:dyDescent="0.3">
      <c r="A378">
        <v>345</v>
      </c>
      <c r="B378" s="1" t="s">
        <v>386</v>
      </c>
      <c r="C378" s="1" t="s">
        <v>682</v>
      </c>
      <c r="D378" s="2">
        <v>40828</v>
      </c>
      <c r="E378" s="3">
        <v>29.8</v>
      </c>
      <c r="F378" s="4">
        <f t="shared" si="35"/>
        <v>4262.1737200644884</v>
      </c>
      <c r="G378" s="2">
        <v>40205</v>
      </c>
      <c r="H378" s="7">
        <v>3.38</v>
      </c>
      <c r="I378" s="7">
        <f>H378+H389-2*$A$24</f>
        <v>5.74</v>
      </c>
      <c r="J378" s="7">
        <v>3</v>
      </c>
      <c r="K378" s="7">
        <v>4.9800000000000004</v>
      </c>
      <c r="L378" s="6">
        <f t="shared" si="36"/>
        <v>0.34146341463414631</v>
      </c>
      <c r="M378" s="6">
        <f t="shared" si="37"/>
        <v>0.5714285714285714</v>
      </c>
      <c r="N378" s="6">
        <f t="shared" si="38"/>
        <v>8.7108013937282291E-2</v>
      </c>
      <c r="O378" s="4">
        <f t="shared" si="39"/>
        <v>1455.3763922171422</v>
      </c>
      <c r="P378" s="4">
        <f t="shared" si="40"/>
        <v>2435.5278400368502</v>
      </c>
      <c r="Q378" s="4">
        <f t="shared" si="41"/>
        <v>3890.9042322539926</v>
      </c>
      <c r="V378" s="3"/>
      <c r="W378" s="3"/>
      <c r="Y378" s="7"/>
      <c r="Z378" s="7"/>
      <c r="AA378" s="7"/>
      <c r="AB378" s="7"/>
      <c r="AC378" s="9"/>
      <c r="AD378" s="9"/>
      <c r="AE378" s="9"/>
      <c r="AF378" s="3"/>
      <c r="AG378" s="3"/>
      <c r="AH378" s="3"/>
    </row>
    <row r="379" spans="1:34" x14ac:dyDescent="0.3">
      <c r="A379">
        <v>346</v>
      </c>
      <c r="B379" s="1" t="s">
        <v>387</v>
      </c>
      <c r="C379" s="1" t="s">
        <v>682</v>
      </c>
      <c r="D379" s="2">
        <v>40828</v>
      </c>
      <c r="E379" s="3">
        <v>34</v>
      </c>
      <c r="F379" s="4">
        <f t="shared" si="35"/>
        <v>4909.8267455446203</v>
      </c>
      <c r="G379" s="2">
        <v>40205</v>
      </c>
      <c r="H379" s="7">
        <v>2.42</v>
      </c>
      <c r="I379" s="7">
        <f>H379+H388-2*$A$24</f>
        <v>5.26</v>
      </c>
      <c r="J379" s="7">
        <v>2.82</v>
      </c>
      <c r="K379" s="7">
        <v>4.68</v>
      </c>
      <c r="L379" s="6">
        <f t="shared" si="36"/>
        <v>0.33840304182509501</v>
      </c>
      <c r="M379" s="6">
        <f t="shared" si="37"/>
        <v>0.56653992395437258</v>
      </c>
      <c r="N379" s="6">
        <f t="shared" si="38"/>
        <v>9.5057034220532466E-2</v>
      </c>
      <c r="O379" s="4">
        <f t="shared" si="39"/>
        <v>1661.5003055265063</v>
      </c>
      <c r="P379" s="4">
        <f t="shared" si="40"/>
        <v>2781.6128710499938</v>
      </c>
      <c r="Q379" s="4">
        <f t="shared" si="41"/>
        <v>4443.1131765765003</v>
      </c>
      <c r="V379" s="3"/>
      <c r="W379" s="3"/>
      <c r="Y379" s="7"/>
      <c r="Z379" s="7"/>
      <c r="AA379" s="7"/>
      <c r="AB379" s="7"/>
      <c r="AC379" s="9"/>
      <c r="AD379" s="9"/>
      <c r="AE379" s="9"/>
      <c r="AF379" s="3"/>
      <c r="AG379" s="3"/>
      <c r="AH379" s="3"/>
    </row>
    <row r="380" spans="1:34" x14ac:dyDescent="0.3">
      <c r="A380">
        <v>347</v>
      </c>
      <c r="B380" s="1" t="s">
        <v>388</v>
      </c>
      <c r="C380" s="1" t="s">
        <v>682</v>
      </c>
      <c r="D380" s="2">
        <v>40828</v>
      </c>
      <c r="E380" s="3">
        <v>35.200000000000003</v>
      </c>
      <c r="F380" s="4">
        <f t="shared" si="35"/>
        <v>5094.8704671103742</v>
      </c>
      <c r="G380" s="2">
        <v>40205</v>
      </c>
      <c r="H380" s="7">
        <v>2.72</v>
      </c>
      <c r="I380" s="7">
        <f>H380+H387-2*$A$24</f>
        <v>4.72</v>
      </c>
      <c r="J380" s="7">
        <v>2.66</v>
      </c>
      <c r="K380" s="7">
        <v>4.38</v>
      </c>
      <c r="L380" s="6">
        <f t="shared" si="36"/>
        <v>0.34322033898305088</v>
      </c>
      <c r="M380" s="6">
        <f t="shared" si="37"/>
        <v>0.56779661016949146</v>
      </c>
      <c r="N380" s="6">
        <f t="shared" si="38"/>
        <v>8.8983050847457723E-2</v>
      </c>
      <c r="O380" s="4">
        <f t="shared" si="39"/>
        <v>1748.6631687963575</v>
      </c>
      <c r="P380" s="4">
        <f t="shared" si="40"/>
        <v>2892.8501804779239</v>
      </c>
      <c r="Q380" s="4">
        <f t="shared" si="41"/>
        <v>4641.5133492742816</v>
      </c>
      <c r="V380" s="3"/>
      <c r="W380" s="3"/>
      <c r="Y380" s="7"/>
      <c r="Z380" s="7"/>
      <c r="AA380" s="7"/>
      <c r="AB380" s="7"/>
      <c r="AC380" s="9"/>
      <c r="AD380" s="9"/>
      <c r="AE380" s="9"/>
      <c r="AF380" s="3"/>
      <c r="AG380" s="3"/>
      <c r="AH380" s="3"/>
    </row>
    <row r="381" spans="1:34" x14ac:dyDescent="0.3">
      <c r="A381">
        <v>348</v>
      </c>
      <c r="B381" s="1" t="s">
        <v>389</v>
      </c>
      <c r="C381" s="1" t="s">
        <v>682</v>
      </c>
      <c r="D381" s="2">
        <v>40828</v>
      </c>
      <c r="E381" s="3">
        <v>35.5</v>
      </c>
      <c r="F381" s="4">
        <f t="shared" si="35"/>
        <v>5141.1313975018111</v>
      </c>
      <c r="G381" s="2">
        <v>40205</v>
      </c>
      <c r="H381" s="7">
        <v>1.98</v>
      </c>
      <c r="I381" s="7">
        <f>H381+H386-2*$A$24</f>
        <v>4.18</v>
      </c>
      <c r="J381" s="7">
        <v>2.44</v>
      </c>
      <c r="K381" s="7">
        <v>4.08</v>
      </c>
      <c r="L381" s="6">
        <f t="shared" si="36"/>
        <v>0.3349282296650718</v>
      </c>
      <c r="M381" s="6">
        <f t="shared" si="37"/>
        <v>0.56937799043062198</v>
      </c>
      <c r="N381" s="6">
        <f t="shared" si="38"/>
        <v>9.5693779904306275E-2</v>
      </c>
      <c r="O381" s="4">
        <f t="shared" si="39"/>
        <v>1721.9100374407981</v>
      </c>
      <c r="P381" s="4">
        <f t="shared" si="40"/>
        <v>2927.2470636493563</v>
      </c>
      <c r="Q381" s="4">
        <f t="shared" si="41"/>
        <v>4649.1571010901544</v>
      </c>
      <c r="V381" s="3"/>
      <c r="W381" s="3"/>
      <c r="Y381" s="7"/>
      <c r="Z381" s="7"/>
      <c r="AA381" s="7"/>
      <c r="AB381" s="7"/>
      <c r="AC381" s="9"/>
      <c r="AD381" s="9"/>
      <c r="AE381" s="9"/>
      <c r="AF381" s="3"/>
      <c r="AG381" s="3"/>
      <c r="AH381" s="3"/>
    </row>
    <row r="382" spans="1:34" x14ac:dyDescent="0.3">
      <c r="A382">
        <v>349</v>
      </c>
      <c r="B382" s="1" t="s">
        <v>390</v>
      </c>
      <c r="C382" s="1" t="s">
        <v>682</v>
      </c>
      <c r="D382" s="2">
        <v>40828</v>
      </c>
      <c r="E382" s="3">
        <v>33.6</v>
      </c>
      <c r="F382" s="4">
        <f t="shared" si="35"/>
        <v>4848.1455050227032</v>
      </c>
      <c r="G382" s="2">
        <v>40205</v>
      </c>
      <c r="H382" s="7">
        <v>2.3199999999999998</v>
      </c>
      <c r="I382" s="7">
        <f>H382+H385-2*$A$24</f>
        <v>5.66</v>
      </c>
      <c r="J382" s="7">
        <v>3</v>
      </c>
      <c r="K382" s="7">
        <v>4.88</v>
      </c>
      <c r="L382" s="6">
        <f t="shared" si="36"/>
        <v>0.34628975265017664</v>
      </c>
      <c r="M382" s="6">
        <f t="shared" si="37"/>
        <v>0.56183745583038858</v>
      </c>
      <c r="N382" s="6">
        <f t="shared" si="38"/>
        <v>9.1872791519434727E-2</v>
      </c>
      <c r="O382" s="4">
        <f t="shared" si="39"/>
        <v>1678.8631077463776</v>
      </c>
      <c r="P382" s="4">
        <f t="shared" si="40"/>
        <v>2723.8697360374899</v>
      </c>
      <c r="Q382" s="4">
        <f t="shared" si="41"/>
        <v>4402.7328437838678</v>
      </c>
      <c r="V382" s="3"/>
      <c r="W382" s="3"/>
      <c r="Y382" s="7"/>
      <c r="Z382" s="7"/>
      <c r="AA382" s="7"/>
      <c r="AB382" s="7"/>
      <c r="AC382" s="9"/>
      <c r="AD382" s="9"/>
      <c r="AE382" s="9"/>
      <c r="AF382" s="3"/>
      <c r="AG382" s="3"/>
      <c r="AH382" s="3"/>
    </row>
    <row r="383" spans="1:34" x14ac:dyDescent="0.3">
      <c r="A383">
        <v>350</v>
      </c>
      <c r="B383" s="1" t="s">
        <v>391</v>
      </c>
      <c r="C383" s="1" t="s">
        <v>682</v>
      </c>
      <c r="D383" s="2">
        <v>40828</v>
      </c>
      <c r="E383" s="3">
        <v>34.9</v>
      </c>
      <c r="F383" s="4">
        <f t="shared" si="35"/>
        <v>5048.6095367189346</v>
      </c>
      <c r="G383" s="2">
        <v>40205</v>
      </c>
      <c r="H383" s="7">
        <v>3.32</v>
      </c>
      <c r="I383" s="7">
        <f>H383+H384-2*$A$24</f>
        <v>6.16</v>
      </c>
      <c r="J383" s="7">
        <v>3.12</v>
      </c>
      <c r="K383" s="7">
        <v>5.2</v>
      </c>
      <c r="L383" s="6">
        <f t="shared" si="36"/>
        <v>0.33766233766233766</v>
      </c>
      <c r="M383" s="6">
        <f t="shared" si="37"/>
        <v>0.56818181818181812</v>
      </c>
      <c r="N383" s="6">
        <f t="shared" si="38"/>
        <v>9.4155844155844215E-2</v>
      </c>
      <c r="O383" s="4">
        <f t="shared" si="39"/>
        <v>1704.725298112887</v>
      </c>
      <c r="P383" s="4">
        <f t="shared" si="40"/>
        <v>2868.5281458630307</v>
      </c>
      <c r="Q383" s="4">
        <f t="shared" si="41"/>
        <v>4573.2534439759174</v>
      </c>
      <c r="V383" s="3"/>
      <c r="W383" s="3"/>
      <c r="Y383" s="7"/>
      <c r="Z383" s="7"/>
      <c r="AA383" s="7"/>
      <c r="AB383" s="7"/>
      <c r="AC383" s="9"/>
      <c r="AD383" s="9"/>
      <c r="AE383" s="9"/>
      <c r="AF383" s="3"/>
      <c r="AG383" s="3"/>
      <c r="AH383" s="3"/>
    </row>
    <row r="384" spans="1:34" x14ac:dyDescent="0.3">
      <c r="A384">
        <v>351</v>
      </c>
      <c r="B384" s="1" t="s">
        <v>392</v>
      </c>
      <c r="C384" s="1" t="s">
        <v>682</v>
      </c>
      <c r="D384" s="2">
        <v>40828</v>
      </c>
      <c r="E384" s="3">
        <v>26.1</v>
      </c>
      <c r="F384" s="4">
        <f t="shared" si="35"/>
        <v>3691.6222452367538</v>
      </c>
      <c r="G384" s="2">
        <v>40205</v>
      </c>
      <c r="H384" s="7">
        <v>3.16</v>
      </c>
      <c r="I384" s="7">
        <f>H384+H383-2*$A$24</f>
        <v>6.16</v>
      </c>
      <c r="J384" s="7">
        <v>3.12</v>
      </c>
      <c r="K384" s="7">
        <v>5.2</v>
      </c>
      <c r="L384" s="6">
        <f t="shared" si="36"/>
        <v>0.33766233766233766</v>
      </c>
      <c r="M384" s="6">
        <f t="shared" si="37"/>
        <v>0.56818181818181812</v>
      </c>
      <c r="N384" s="6">
        <f t="shared" si="38"/>
        <v>9.4155844155844215E-2</v>
      </c>
      <c r="O384" s="4">
        <f t="shared" si="39"/>
        <v>1246.5217970929298</v>
      </c>
      <c r="P384" s="4">
        <f t="shared" si="40"/>
        <v>2097.5126393390642</v>
      </c>
      <c r="Q384" s="4">
        <f t="shared" si="41"/>
        <v>3344.034436431994</v>
      </c>
      <c r="V384" s="3"/>
      <c r="W384" s="3"/>
      <c r="Y384" s="7"/>
      <c r="Z384" s="7"/>
      <c r="AA384" s="7"/>
      <c r="AB384" s="7"/>
      <c r="AC384" s="9"/>
      <c r="AD384" s="9"/>
      <c r="AE384" s="9"/>
      <c r="AF384" s="3"/>
      <c r="AG384" s="3"/>
      <c r="AH384" s="3"/>
    </row>
    <row r="385" spans="1:34" x14ac:dyDescent="0.3">
      <c r="A385">
        <v>352</v>
      </c>
      <c r="B385" s="1" t="s">
        <v>393</v>
      </c>
      <c r="C385" s="1" t="s">
        <v>682</v>
      </c>
      <c r="D385" s="2">
        <v>40828</v>
      </c>
      <c r="E385" s="3">
        <v>28.6</v>
      </c>
      <c r="F385" s="4">
        <f t="shared" si="35"/>
        <v>4077.1299984987368</v>
      </c>
      <c r="G385" s="2">
        <v>40205</v>
      </c>
      <c r="H385" s="7">
        <v>3.66</v>
      </c>
      <c r="I385" s="7">
        <f>H385+H382-2*$A$24</f>
        <v>5.66</v>
      </c>
      <c r="J385" s="7">
        <v>3</v>
      </c>
      <c r="K385" s="7">
        <v>4.88</v>
      </c>
      <c r="L385" s="6">
        <f t="shared" si="36"/>
        <v>0.34628975265017664</v>
      </c>
      <c r="M385" s="6">
        <f t="shared" si="37"/>
        <v>0.56183745583038858</v>
      </c>
      <c r="N385" s="6">
        <f t="shared" si="38"/>
        <v>9.1872791519434727E-2</v>
      </c>
      <c r="O385" s="4">
        <f t="shared" si="39"/>
        <v>1411.8683387027427</v>
      </c>
      <c r="P385" s="4">
        <f t="shared" si="40"/>
        <v>2290.6843454462864</v>
      </c>
      <c r="Q385" s="4">
        <f t="shared" si="41"/>
        <v>3702.5526841490291</v>
      </c>
      <c r="V385" s="3"/>
      <c r="W385" s="3"/>
      <c r="Y385" s="7"/>
      <c r="Z385" s="7"/>
      <c r="AA385" s="7"/>
      <c r="AB385" s="7"/>
      <c r="AC385" s="9"/>
      <c r="AD385" s="9"/>
      <c r="AE385" s="9"/>
      <c r="AF385" s="3"/>
      <c r="AG385" s="3"/>
      <c r="AH385" s="3"/>
    </row>
    <row r="386" spans="1:34" x14ac:dyDescent="0.3">
      <c r="A386">
        <v>353</v>
      </c>
      <c r="B386" s="1" t="s">
        <v>394</v>
      </c>
      <c r="C386" s="1" t="s">
        <v>682</v>
      </c>
      <c r="D386" s="2">
        <v>40828</v>
      </c>
      <c r="E386" s="3">
        <v>31.7</v>
      </c>
      <c r="F386" s="4">
        <f t="shared" si="35"/>
        <v>4555.1596125435963</v>
      </c>
      <c r="G386" s="2">
        <v>40205</v>
      </c>
      <c r="H386" s="7">
        <v>2.52</v>
      </c>
      <c r="I386" s="7">
        <f>H386+H381-2*$A$24</f>
        <v>4.18</v>
      </c>
      <c r="J386" s="7">
        <v>2.44</v>
      </c>
      <c r="K386" s="7">
        <v>4.08</v>
      </c>
      <c r="L386" s="6">
        <f t="shared" si="36"/>
        <v>0.3349282296650718</v>
      </c>
      <c r="M386" s="6">
        <f t="shared" si="37"/>
        <v>0.56937799043062198</v>
      </c>
      <c r="N386" s="6">
        <f t="shared" si="38"/>
        <v>9.5693779904306275E-2</v>
      </c>
      <c r="O386" s="4">
        <f t="shared" si="39"/>
        <v>1525.6515448710611</v>
      </c>
      <c r="P386" s="4">
        <f t="shared" si="40"/>
        <v>2593.6076262808033</v>
      </c>
      <c r="Q386" s="4">
        <f t="shared" si="41"/>
        <v>4119.2591711518644</v>
      </c>
      <c r="V386" s="3"/>
      <c r="W386" s="3"/>
      <c r="Y386" s="7"/>
      <c r="Z386" s="7"/>
      <c r="AA386" s="7"/>
      <c r="AB386" s="7"/>
      <c r="AC386" s="9"/>
      <c r="AD386" s="9"/>
      <c r="AE386" s="9"/>
      <c r="AF386" s="3"/>
      <c r="AG386" s="3"/>
      <c r="AH386" s="3"/>
    </row>
    <row r="387" spans="1:34" x14ac:dyDescent="0.3">
      <c r="A387">
        <v>354</v>
      </c>
      <c r="B387" s="1" t="s">
        <v>395</v>
      </c>
      <c r="C387" s="1" t="s">
        <v>682</v>
      </c>
      <c r="D387" s="2">
        <v>40828</v>
      </c>
      <c r="E387" s="3">
        <v>30.299999999999997</v>
      </c>
      <c r="F387" s="4">
        <f t="shared" si="35"/>
        <v>4339.2752707168847</v>
      </c>
      <c r="G387" s="2">
        <v>40205</v>
      </c>
      <c r="H387" s="7">
        <v>2.3199999999999998</v>
      </c>
      <c r="I387" s="7">
        <f>H387+H380-2*$A$24</f>
        <v>4.72</v>
      </c>
      <c r="J387" s="7">
        <v>2.66</v>
      </c>
      <c r="K387" s="7">
        <v>4.38</v>
      </c>
      <c r="L387" s="6">
        <f t="shared" si="36"/>
        <v>0.34322033898305088</v>
      </c>
      <c r="M387" s="6">
        <f t="shared" si="37"/>
        <v>0.56779661016949146</v>
      </c>
      <c r="N387" s="6">
        <f t="shared" si="38"/>
        <v>8.8983050847457723E-2</v>
      </c>
      <c r="O387" s="4">
        <f t="shared" si="39"/>
        <v>1489.327529356219</v>
      </c>
      <c r="P387" s="4">
        <f t="shared" si="40"/>
        <v>2463.8257893053496</v>
      </c>
      <c r="Q387" s="4">
        <f t="shared" si="41"/>
        <v>3953.1533186615688</v>
      </c>
      <c r="V387" s="3"/>
      <c r="W387" s="3"/>
      <c r="Y387" s="7"/>
      <c r="Z387" s="7"/>
      <c r="AA387" s="7"/>
      <c r="AB387" s="7"/>
      <c r="AC387" s="9"/>
      <c r="AD387" s="9"/>
      <c r="AE387" s="9"/>
      <c r="AF387" s="3"/>
      <c r="AG387" s="3"/>
      <c r="AH387" s="3"/>
    </row>
    <row r="388" spans="1:34" x14ac:dyDescent="0.3">
      <c r="A388">
        <v>355</v>
      </c>
      <c r="B388" s="1" t="s">
        <v>396</v>
      </c>
      <c r="C388" s="1" t="s">
        <v>682</v>
      </c>
      <c r="D388" s="2">
        <v>40828</v>
      </c>
      <c r="E388" s="3">
        <v>30</v>
      </c>
      <c r="F388" s="4">
        <f t="shared" si="35"/>
        <v>4293.0143403254469</v>
      </c>
      <c r="G388" s="2">
        <v>40205</v>
      </c>
      <c r="H388" s="7">
        <v>3.16</v>
      </c>
      <c r="I388" s="7">
        <f>H388+H379-2*$A$24</f>
        <v>5.26</v>
      </c>
      <c r="J388" s="7">
        <v>2.82</v>
      </c>
      <c r="K388" s="7">
        <v>4.68</v>
      </c>
      <c r="L388" s="6">
        <f t="shared" si="36"/>
        <v>0.33840304182509501</v>
      </c>
      <c r="M388" s="6">
        <f t="shared" si="37"/>
        <v>0.56653992395437258</v>
      </c>
      <c r="N388" s="6">
        <f t="shared" si="38"/>
        <v>9.5057034220532466E-2</v>
      </c>
      <c r="O388" s="4">
        <f t="shared" si="39"/>
        <v>1452.7691113648848</v>
      </c>
      <c r="P388" s="4">
        <f t="shared" si="40"/>
        <v>2432.1640179030096</v>
      </c>
      <c r="Q388" s="4">
        <f t="shared" si="41"/>
        <v>3884.9331292678944</v>
      </c>
      <c r="V388" s="3"/>
      <c r="W388" s="3"/>
      <c r="Y388" s="7"/>
      <c r="Z388" s="7"/>
      <c r="AA388" s="7"/>
      <c r="AB388" s="7"/>
      <c r="AC388" s="9"/>
      <c r="AD388" s="9"/>
      <c r="AE388" s="9"/>
      <c r="AF388" s="3"/>
      <c r="AG388" s="3"/>
      <c r="AH388" s="3"/>
    </row>
    <row r="389" spans="1:34" x14ac:dyDescent="0.3">
      <c r="A389">
        <v>356</v>
      </c>
      <c r="B389" s="1" t="s">
        <v>397</v>
      </c>
      <c r="C389" s="1" t="s">
        <v>682</v>
      </c>
      <c r="D389" s="2">
        <v>40828</v>
      </c>
      <c r="E389" s="3">
        <v>26.7</v>
      </c>
      <c r="F389" s="4">
        <f t="shared" si="35"/>
        <v>3784.1441060196289</v>
      </c>
      <c r="G389" s="2">
        <v>40205</v>
      </c>
      <c r="H389" s="7">
        <v>2.68</v>
      </c>
      <c r="I389" s="7">
        <f>H389+H378-2*$A$24</f>
        <v>5.74</v>
      </c>
      <c r="J389" s="7">
        <v>3</v>
      </c>
      <c r="K389" s="7">
        <v>4.9800000000000004</v>
      </c>
      <c r="L389" s="6">
        <f t="shared" si="36"/>
        <v>0.34146341463414631</v>
      </c>
      <c r="M389" s="6">
        <f t="shared" si="37"/>
        <v>0.5714285714285714</v>
      </c>
      <c r="N389" s="6">
        <f t="shared" si="38"/>
        <v>8.7108013937282291E-2</v>
      </c>
      <c r="O389" s="4">
        <f t="shared" si="39"/>
        <v>1292.1467679091415</v>
      </c>
      <c r="P389" s="4">
        <f t="shared" si="40"/>
        <v>2162.3680605826448</v>
      </c>
      <c r="Q389" s="4">
        <f t="shared" si="41"/>
        <v>3454.5148284917864</v>
      </c>
      <c r="V389" s="3"/>
      <c r="W389" s="3"/>
      <c r="Y389" s="7"/>
      <c r="Z389" s="7"/>
      <c r="AA389" s="7"/>
      <c r="AB389" s="7"/>
      <c r="AC389" s="9"/>
      <c r="AD389" s="9"/>
      <c r="AE389" s="9"/>
      <c r="AF389" s="3"/>
      <c r="AG389" s="3"/>
      <c r="AH389" s="3"/>
    </row>
    <row r="390" spans="1:34" x14ac:dyDescent="0.3">
      <c r="A390">
        <v>357</v>
      </c>
      <c r="B390" s="1" t="s">
        <v>398</v>
      </c>
      <c r="C390" s="1" t="s">
        <v>682</v>
      </c>
      <c r="D390" s="2">
        <v>40828</v>
      </c>
      <c r="E390" s="3">
        <v>28.4</v>
      </c>
      <c r="F390" s="4">
        <f t="shared" si="35"/>
        <v>4046.2893782377773</v>
      </c>
      <c r="G390" s="2">
        <v>40205</v>
      </c>
      <c r="H390" s="7">
        <v>2.78</v>
      </c>
      <c r="I390" s="7">
        <f>H390+H377-2*$A$24</f>
        <v>6.02</v>
      </c>
      <c r="J390" s="7">
        <v>3.1</v>
      </c>
      <c r="K390" s="7">
        <v>5.14</v>
      </c>
      <c r="L390" s="6">
        <f t="shared" si="36"/>
        <v>0.34219269102990035</v>
      </c>
      <c r="M390" s="6">
        <f t="shared" si="37"/>
        <v>0.5714285714285714</v>
      </c>
      <c r="N390" s="6">
        <f t="shared" si="38"/>
        <v>8.637873754152825E-2</v>
      </c>
      <c r="O390" s="4">
        <f t="shared" si="39"/>
        <v>1384.6106510248874</v>
      </c>
      <c r="P390" s="4">
        <f t="shared" si="40"/>
        <v>2312.1653589930156</v>
      </c>
      <c r="Q390" s="4">
        <f t="shared" si="41"/>
        <v>3696.776010017903</v>
      </c>
      <c r="V390" s="3"/>
      <c r="W390" s="3"/>
      <c r="Y390" s="7"/>
      <c r="Z390" s="7"/>
      <c r="AA390" s="7"/>
      <c r="AB390" s="7"/>
      <c r="AC390" s="9"/>
      <c r="AD390" s="9"/>
      <c r="AE390" s="9"/>
      <c r="AF390" s="3"/>
      <c r="AG390" s="3"/>
      <c r="AH390" s="3"/>
    </row>
    <row r="391" spans="1:34" x14ac:dyDescent="0.3">
      <c r="A391">
        <v>358</v>
      </c>
      <c r="B391" s="1" t="s">
        <v>399</v>
      </c>
      <c r="C391" s="1" t="s">
        <v>682</v>
      </c>
      <c r="D391" s="2">
        <v>40828</v>
      </c>
      <c r="E391" s="3">
        <v>32.200000000000003</v>
      </c>
      <c r="F391" s="4">
        <f t="shared" si="35"/>
        <v>4632.2611631959926</v>
      </c>
      <c r="G391" s="2">
        <v>40205</v>
      </c>
      <c r="H391" s="7">
        <v>3.6</v>
      </c>
      <c r="I391" s="7">
        <f>H391+H376-2*$A$24</f>
        <v>5.7799999999999994</v>
      </c>
      <c r="J391" s="7">
        <v>3.02</v>
      </c>
      <c r="K391" s="7">
        <v>4.9800000000000004</v>
      </c>
      <c r="L391" s="6">
        <f t="shared" si="36"/>
        <v>0.34256055363321802</v>
      </c>
      <c r="M391" s="6">
        <f t="shared" si="37"/>
        <v>0.56747404844290672</v>
      </c>
      <c r="N391" s="6">
        <f t="shared" si="38"/>
        <v>8.9965397923875257E-2</v>
      </c>
      <c r="O391" s="4">
        <f t="shared" si="39"/>
        <v>1586.8299486380738</v>
      </c>
      <c r="P391" s="4">
        <f t="shared" si="40"/>
        <v>2628.6879957236783</v>
      </c>
      <c r="Q391" s="4">
        <f t="shared" si="41"/>
        <v>4215.5179443617526</v>
      </c>
      <c r="V391" s="3"/>
      <c r="W391" s="3"/>
      <c r="Y391" s="7"/>
      <c r="Z391" s="7"/>
      <c r="AA391" s="7"/>
      <c r="AB391" s="7"/>
      <c r="AC391" s="9"/>
      <c r="AD391" s="9"/>
      <c r="AE391" s="9"/>
      <c r="AF391" s="3"/>
      <c r="AG391" s="3"/>
      <c r="AH391" s="3"/>
    </row>
    <row r="392" spans="1:34" x14ac:dyDescent="0.3">
      <c r="A392">
        <v>359</v>
      </c>
      <c r="B392" s="1" t="s">
        <v>400</v>
      </c>
      <c r="C392" s="1" t="s">
        <v>682</v>
      </c>
      <c r="D392" s="2">
        <v>40828</v>
      </c>
      <c r="E392" s="3">
        <v>25.4</v>
      </c>
      <c r="F392" s="4">
        <f t="shared" si="35"/>
        <v>3583.6800743233975</v>
      </c>
      <c r="G392" s="2">
        <v>40205</v>
      </c>
      <c r="H392" s="7">
        <v>2.2000000000000002</v>
      </c>
      <c r="I392" s="7">
        <f>H392+H375-2*$A$24</f>
        <v>4.3</v>
      </c>
      <c r="J392" s="7">
        <v>2.46</v>
      </c>
      <c r="K392" s="7">
        <v>4.12</v>
      </c>
      <c r="L392" s="6">
        <f t="shared" si="36"/>
        <v>0.33023255813953489</v>
      </c>
      <c r="M392" s="6">
        <f t="shared" si="37"/>
        <v>0.56279069767441858</v>
      </c>
      <c r="N392" s="6">
        <f t="shared" si="38"/>
        <v>0.10697674418604652</v>
      </c>
      <c r="O392" s="4">
        <f t="shared" si="39"/>
        <v>1183.4478384974941</v>
      </c>
      <c r="P392" s="4">
        <f t="shared" si="40"/>
        <v>2016.8618092703771</v>
      </c>
      <c r="Q392" s="4">
        <f t="shared" si="41"/>
        <v>3200.309647767871</v>
      </c>
      <c r="V392" s="3"/>
      <c r="W392" s="3"/>
      <c r="Y392" s="7"/>
      <c r="Z392" s="7"/>
      <c r="AA392" s="7"/>
      <c r="AB392" s="7"/>
      <c r="AC392" s="9"/>
      <c r="AD392" s="9"/>
      <c r="AE392" s="9"/>
      <c r="AF392" s="3"/>
      <c r="AG392" s="3"/>
      <c r="AH392" s="3"/>
    </row>
    <row r="393" spans="1:34" x14ac:dyDescent="0.3">
      <c r="A393">
        <v>360</v>
      </c>
      <c r="B393" s="1" t="s">
        <v>401</v>
      </c>
      <c r="C393" s="1" t="s">
        <v>682</v>
      </c>
      <c r="D393" s="2">
        <v>40828</v>
      </c>
      <c r="E393" s="3">
        <v>21.1</v>
      </c>
      <c r="F393" s="4">
        <f t="shared" si="35"/>
        <v>2920.6067387127864</v>
      </c>
      <c r="G393" s="2">
        <v>40205</v>
      </c>
      <c r="H393" s="7">
        <v>2.36</v>
      </c>
      <c r="I393" s="7">
        <f>H393+H374-2*$A$24</f>
        <v>4.66</v>
      </c>
      <c r="J393" s="7">
        <v>2.58</v>
      </c>
      <c r="K393" s="7">
        <v>4.34</v>
      </c>
      <c r="L393" s="6">
        <f t="shared" si="36"/>
        <v>0.33047210300429186</v>
      </c>
      <c r="M393" s="6">
        <f t="shared" si="37"/>
        <v>0.56652360515021449</v>
      </c>
      <c r="N393" s="6">
        <f t="shared" si="38"/>
        <v>0.10300429184549365</v>
      </c>
      <c r="O393" s="4">
        <f t="shared" si="39"/>
        <v>965.17905099092093</v>
      </c>
      <c r="P393" s="4">
        <f t="shared" si="40"/>
        <v>1654.5926588415782</v>
      </c>
      <c r="Q393" s="4">
        <f t="shared" si="41"/>
        <v>2619.7717098324993</v>
      </c>
      <c r="V393" s="3"/>
      <c r="W393" s="3"/>
      <c r="Y393" s="7"/>
      <c r="Z393" s="7"/>
      <c r="AA393" s="7"/>
      <c r="AB393" s="7"/>
      <c r="AC393" s="9"/>
      <c r="AD393" s="9"/>
      <c r="AE393" s="9"/>
      <c r="AF393" s="3"/>
      <c r="AG393" s="3"/>
      <c r="AH393" s="3"/>
    </row>
    <row r="394" spans="1:34" x14ac:dyDescent="0.3">
      <c r="A394">
        <v>361</v>
      </c>
      <c r="B394" s="1" t="s">
        <v>402</v>
      </c>
      <c r="C394" s="1" t="s">
        <v>682</v>
      </c>
      <c r="D394" s="2">
        <v>40828</v>
      </c>
      <c r="E394" s="3">
        <v>36</v>
      </c>
      <c r="F394" s="4">
        <f t="shared" si="35"/>
        <v>5218.2329481542074</v>
      </c>
      <c r="G394" s="2">
        <v>40204</v>
      </c>
      <c r="H394" s="7">
        <v>3.04</v>
      </c>
      <c r="I394" s="7">
        <f>H394+H413-2*$A$24</f>
        <v>5.1999999999999993</v>
      </c>
      <c r="J394" s="7">
        <v>2.76</v>
      </c>
      <c r="K394" s="7">
        <v>4.6399999999999997</v>
      </c>
      <c r="L394" s="6">
        <f t="shared" si="36"/>
        <v>0.33076923076923076</v>
      </c>
      <c r="M394" s="6">
        <f t="shared" si="37"/>
        <v>0.56538461538461537</v>
      </c>
      <c r="N394" s="6">
        <f t="shared" si="38"/>
        <v>0.10384615384615392</v>
      </c>
      <c r="O394" s="4">
        <f t="shared" si="39"/>
        <v>1726.0308982356223</v>
      </c>
      <c r="P394" s="4">
        <f t="shared" si="40"/>
        <v>2950.3086283794942</v>
      </c>
      <c r="Q394" s="4">
        <f t="shared" si="41"/>
        <v>4676.3395266151165</v>
      </c>
      <c r="S394" t="s">
        <v>708</v>
      </c>
      <c r="T394" t="s">
        <v>682</v>
      </c>
      <c r="U394" s="8">
        <f>D394</f>
        <v>40828</v>
      </c>
      <c r="V394" s="3">
        <f>SUM(E394:E433)</f>
        <v>1597.5000000000002</v>
      </c>
      <c r="W394" s="3">
        <f>(V394-80*$A$20)*$A$21/(40*$A$22)*$A$23</f>
        <v>5825.407659541831</v>
      </c>
      <c r="X394" s="8">
        <f>G394</f>
        <v>40204</v>
      </c>
      <c r="Y394" s="7">
        <f>SUM(H394:H433)</f>
        <v>130.68000000000004</v>
      </c>
      <c r="Z394" s="7">
        <f>SUM(I394:I433)</f>
        <v>248.56000000000003</v>
      </c>
      <c r="AA394" s="7">
        <f>SUM(J394:J433)</f>
        <v>123.67999999999999</v>
      </c>
      <c r="AB394" s="7">
        <f>SUM(K394:K433)</f>
        <v>208.79999999999995</v>
      </c>
      <c r="AC394" s="9">
        <f>(AA394-40*$A$25)/Z394</f>
        <v>0.33022207917605395</v>
      </c>
      <c r="AD394" s="9">
        <f>(AB394-40*$A$26)/Z394</f>
        <v>0.56646282587705155</v>
      </c>
      <c r="AE394" s="9">
        <f>1-AC394-AD394</f>
        <v>0.1033150949468945</v>
      </c>
      <c r="AF394" s="3">
        <f>W394*AC394</f>
        <v>1923.6782293820136</v>
      </c>
      <c r="AG394" s="3">
        <f>W394*AD394</f>
        <v>3299.8768847098868</v>
      </c>
      <c r="AH394" s="3">
        <f>AF394+AG394</f>
        <v>5223.5551140919006</v>
      </c>
    </row>
    <row r="395" spans="1:34" x14ac:dyDescent="0.3">
      <c r="A395">
        <v>362</v>
      </c>
      <c r="B395" s="1" t="s">
        <v>403</v>
      </c>
      <c r="C395" s="1" t="s">
        <v>682</v>
      </c>
      <c r="D395" s="2">
        <v>40828</v>
      </c>
      <c r="E395" s="3">
        <v>34.700000000000003</v>
      </c>
      <c r="F395" s="4">
        <f t="shared" si="35"/>
        <v>5017.7689164579779</v>
      </c>
      <c r="G395" s="2">
        <v>40204</v>
      </c>
      <c r="H395" s="7">
        <v>2.72</v>
      </c>
      <c r="I395" s="7">
        <f>H395+H412-2*$A$24</f>
        <v>5.98</v>
      </c>
      <c r="J395" s="7">
        <v>2.96</v>
      </c>
      <c r="K395" s="7">
        <v>5.0599999999999996</v>
      </c>
      <c r="L395" s="6">
        <f t="shared" si="36"/>
        <v>0.32107023411371233</v>
      </c>
      <c r="M395" s="6">
        <f t="shared" si="37"/>
        <v>0.5618729096989965</v>
      </c>
      <c r="N395" s="6">
        <f t="shared" si="38"/>
        <v>0.11705685618729111</v>
      </c>
      <c r="O395" s="4">
        <f t="shared" si="39"/>
        <v>1611.0562407356715</v>
      </c>
      <c r="P395" s="4">
        <f t="shared" si="40"/>
        <v>2819.348421287425</v>
      </c>
      <c r="Q395" s="4">
        <f t="shared" si="41"/>
        <v>4430.4046620230965</v>
      </c>
      <c r="V395" s="3"/>
      <c r="W395" s="3"/>
      <c r="Y395" s="7"/>
      <c r="Z395" s="7"/>
      <c r="AA395" s="7"/>
      <c r="AB395" s="7"/>
      <c r="AC395" s="9"/>
      <c r="AD395" s="9"/>
      <c r="AE395" s="9"/>
      <c r="AF395" s="3"/>
      <c r="AG395" s="3"/>
      <c r="AH395" s="3"/>
    </row>
    <row r="396" spans="1:34" x14ac:dyDescent="0.3">
      <c r="A396">
        <v>363</v>
      </c>
      <c r="B396" s="1" t="s">
        <v>404</v>
      </c>
      <c r="C396" s="1" t="s">
        <v>682</v>
      </c>
      <c r="D396" s="2">
        <v>40828</v>
      </c>
      <c r="E396" s="3">
        <v>39.299999999999997</v>
      </c>
      <c r="F396" s="4">
        <f t="shared" si="35"/>
        <v>5727.1031824600259</v>
      </c>
      <c r="G396" s="2">
        <v>40204</v>
      </c>
      <c r="H396" s="7">
        <v>2.66</v>
      </c>
      <c r="I396" s="7">
        <f>H396+H411-2*$A$24</f>
        <v>6</v>
      </c>
      <c r="J396" s="7">
        <v>3.02</v>
      </c>
      <c r="K396" s="7">
        <v>5.08</v>
      </c>
      <c r="L396" s="6">
        <f t="shared" si="36"/>
        <v>0.33</v>
      </c>
      <c r="M396" s="6">
        <f t="shared" si="37"/>
        <v>0.56333333333333335</v>
      </c>
      <c r="N396" s="6">
        <f t="shared" si="38"/>
        <v>0.10666666666666658</v>
      </c>
      <c r="O396" s="4">
        <f t="shared" si="39"/>
        <v>1889.9440502118086</v>
      </c>
      <c r="P396" s="4">
        <f t="shared" si="40"/>
        <v>3226.2681261191478</v>
      </c>
      <c r="Q396" s="4">
        <f t="shared" si="41"/>
        <v>5116.2121763309569</v>
      </c>
      <c r="V396" s="3"/>
      <c r="W396" s="3"/>
      <c r="Y396" s="7"/>
      <c r="Z396" s="7"/>
      <c r="AA396" s="7"/>
      <c r="AB396" s="7"/>
      <c r="AC396" s="9"/>
      <c r="AD396" s="9"/>
      <c r="AE396" s="9"/>
      <c r="AF396" s="3"/>
      <c r="AG396" s="3"/>
      <c r="AH396" s="3"/>
    </row>
    <row r="397" spans="1:34" x14ac:dyDescent="0.3">
      <c r="A397">
        <v>364</v>
      </c>
      <c r="B397" s="1" t="s">
        <v>405</v>
      </c>
      <c r="C397" s="1" t="s">
        <v>682</v>
      </c>
      <c r="D397" s="2">
        <v>40828</v>
      </c>
      <c r="E397" s="3">
        <v>36.700000000000003</v>
      </c>
      <c r="F397" s="4">
        <f t="shared" si="35"/>
        <v>5326.1751190675632</v>
      </c>
      <c r="G397" s="2">
        <v>40204</v>
      </c>
      <c r="H397" s="7">
        <v>2.84</v>
      </c>
      <c r="I397" s="7">
        <f>H397+H410-2*$A$24</f>
        <v>4.9599999999999991</v>
      </c>
      <c r="J397" s="7">
        <v>2.64</v>
      </c>
      <c r="K397" s="7">
        <v>4.46</v>
      </c>
      <c r="L397" s="6">
        <f t="shared" si="36"/>
        <v>0.32258064516129042</v>
      </c>
      <c r="M397" s="6">
        <f t="shared" si="37"/>
        <v>0.55645161290322587</v>
      </c>
      <c r="N397" s="6">
        <f t="shared" si="38"/>
        <v>0.12096774193548365</v>
      </c>
      <c r="O397" s="4">
        <f t="shared" si="39"/>
        <v>1718.1210061508273</v>
      </c>
      <c r="P397" s="4">
        <f t="shared" si="40"/>
        <v>2963.7587356101767</v>
      </c>
      <c r="Q397" s="4">
        <f t="shared" si="41"/>
        <v>4681.879741761004</v>
      </c>
      <c r="V397" s="3"/>
      <c r="W397" s="3"/>
      <c r="Y397" s="7"/>
      <c r="Z397" s="7"/>
      <c r="AA397" s="7"/>
      <c r="AB397" s="7"/>
      <c r="AC397" s="9"/>
      <c r="AD397" s="9"/>
      <c r="AE397" s="9"/>
      <c r="AF397" s="3"/>
      <c r="AG397" s="3"/>
      <c r="AH397" s="3"/>
    </row>
    <row r="398" spans="1:34" x14ac:dyDescent="0.3">
      <c r="A398">
        <v>365</v>
      </c>
      <c r="B398" s="1" t="s">
        <v>406</v>
      </c>
      <c r="C398" s="1" t="s">
        <v>682</v>
      </c>
      <c r="D398" s="2">
        <v>40828</v>
      </c>
      <c r="E398" s="3">
        <v>38</v>
      </c>
      <c r="F398" s="4">
        <f t="shared" si="35"/>
        <v>5526.6391507637945</v>
      </c>
      <c r="G398" s="2">
        <v>40204</v>
      </c>
      <c r="H398" s="7">
        <v>3.2</v>
      </c>
      <c r="I398" s="7">
        <f>H398+H409-2*$A$24</f>
        <v>5.52</v>
      </c>
      <c r="J398" s="7">
        <v>2.84</v>
      </c>
      <c r="K398" s="7">
        <v>4.8</v>
      </c>
      <c r="L398" s="6">
        <f t="shared" si="36"/>
        <v>0.32608695652173914</v>
      </c>
      <c r="M398" s="6">
        <f t="shared" si="37"/>
        <v>0.56159420289855067</v>
      </c>
      <c r="N398" s="6">
        <f t="shared" si="38"/>
        <v>0.1123188405797102</v>
      </c>
      <c r="O398" s="4">
        <f t="shared" si="39"/>
        <v>1802.1649404664547</v>
      </c>
      <c r="P398" s="4">
        <f t="shared" si="40"/>
        <v>3103.7285085811163</v>
      </c>
      <c r="Q398" s="4">
        <f t="shared" si="41"/>
        <v>4905.8934490475713</v>
      </c>
      <c r="V398" s="3"/>
      <c r="W398" s="3"/>
      <c r="Y398" s="7"/>
      <c r="Z398" s="7"/>
      <c r="AA398" s="7"/>
      <c r="AB398" s="7"/>
      <c r="AC398" s="9"/>
      <c r="AD398" s="9"/>
      <c r="AE398" s="9"/>
      <c r="AF398" s="3"/>
      <c r="AG398" s="3"/>
      <c r="AH398" s="3"/>
    </row>
    <row r="399" spans="1:34" x14ac:dyDescent="0.3">
      <c r="A399">
        <v>366</v>
      </c>
      <c r="B399" s="1" t="s">
        <v>407</v>
      </c>
      <c r="C399" s="1" t="s">
        <v>682</v>
      </c>
      <c r="D399" s="2">
        <v>40828</v>
      </c>
      <c r="E399" s="3">
        <v>37.400000000000006</v>
      </c>
      <c r="F399" s="4">
        <f t="shared" si="35"/>
        <v>5434.1172899809198</v>
      </c>
      <c r="G399" s="2">
        <v>40204</v>
      </c>
      <c r="H399" s="7">
        <v>2.54</v>
      </c>
      <c r="I399" s="7">
        <f>H399+H408-2*$A$24</f>
        <v>4.3</v>
      </c>
      <c r="J399" s="7">
        <v>2.46</v>
      </c>
      <c r="K399" s="7">
        <v>4.18</v>
      </c>
      <c r="L399" s="6">
        <f t="shared" si="36"/>
        <v>0.33023255813953489</v>
      </c>
      <c r="M399" s="6">
        <f t="shared" si="37"/>
        <v>0.57674418604651156</v>
      </c>
      <c r="N399" s="6">
        <f t="shared" si="38"/>
        <v>9.3023255813953543E-2</v>
      </c>
      <c r="O399" s="4">
        <f t="shared" si="39"/>
        <v>1794.5224539006758</v>
      </c>
      <c r="P399" s="4">
        <f t="shared" si="40"/>
        <v>3134.0955532913208</v>
      </c>
      <c r="Q399" s="4">
        <f t="shared" si="41"/>
        <v>4928.6180071919971</v>
      </c>
      <c r="V399" s="3"/>
      <c r="W399" s="3"/>
      <c r="Y399" s="7"/>
      <c r="Z399" s="7"/>
      <c r="AA399" s="7"/>
      <c r="AB399" s="7"/>
      <c r="AC399" s="9"/>
      <c r="AD399" s="9"/>
      <c r="AE399" s="9"/>
      <c r="AF399" s="3"/>
      <c r="AG399" s="3"/>
      <c r="AH399" s="3"/>
    </row>
    <row r="400" spans="1:34" x14ac:dyDescent="0.3">
      <c r="A400">
        <v>367</v>
      </c>
      <c r="B400" s="1" t="s">
        <v>408</v>
      </c>
      <c r="C400" s="1" t="s">
        <v>682</v>
      </c>
      <c r="D400" s="2">
        <v>40828</v>
      </c>
      <c r="E400" s="3">
        <v>39.5</v>
      </c>
      <c r="F400" s="4">
        <f t="shared" si="35"/>
        <v>5757.9438027209835</v>
      </c>
      <c r="G400" s="2">
        <v>40204</v>
      </c>
      <c r="H400" s="7">
        <v>3.4</v>
      </c>
      <c r="I400" s="7">
        <f>H400+H407-2*$A$24</f>
        <v>5.52</v>
      </c>
      <c r="J400" s="7">
        <v>2.82</v>
      </c>
      <c r="K400" s="7">
        <v>4.84</v>
      </c>
      <c r="L400" s="6">
        <f t="shared" si="36"/>
        <v>0.32246376811594202</v>
      </c>
      <c r="M400" s="6">
        <f t="shared" si="37"/>
        <v>0.5688405797101449</v>
      </c>
      <c r="N400" s="6">
        <f t="shared" si="38"/>
        <v>0.10869565217391308</v>
      </c>
      <c r="O400" s="4">
        <f t="shared" si="39"/>
        <v>1856.7282552252445</v>
      </c>
      <c r="P400" s="4">
        <f t="shared" si="40"/>
        <v>3275.3520906782405</v>
      </c>
      <c r="Q400" s="4">
        <f t="shared" si="41"/>
        <v>5132.0803459034851</v>
      </c>
      <c r="V400" s="3"/>
      <c r="W400" s="3"/>
      <c r="Y400" s="7"/>
      <c r="Z400" s="7"/>
      <c r="AA400" s="7"/>
      <c r="AB400" s="7"/>
      <c r="AC400" s="9"/>
      <c r="AD400" s="9"/>
      <c r="AE400" s="9"/>
      <c r="AF400" s="3"/>
      <c r="AG400" s="3"/>
      <c r="AH400" s="3"/>
    </row>
    <row r="401" spans="1:34" x14ac:dyDescent="0.3">
      <c r="A401">
        <v>368</v>
      </c>
      <c r="B401" s="1" t="s">
        <v>409</v>
      </c>
      <c r="C401" s="1" t="s">
        <v>682</v>
      </c>
      <c r="D401" s="2">
        <v>40828</v>
      </c>
      <c r="E401" s="3">
        <v>42.3</v>
      </c>
      <c r="F401" s="4">
        <f t="shared" si="35"/>
        <v>6189.7124863744057</v>
      </c>
      <c r="G401" s="2">
        <v>40204</v>
      </c>
      <c r="H401" s="7">
        <v>3.02</v>
      </c>
      <c r="I401" s="7">
        <f>H401+H406-2*$A$24</f>
        <v>5.4799999999999995</v>
      </c>
      <c r="J401" s="7">
        <v>2.84</v>
      </c>
      <c r="K401" s="7">
        <v>4.88</v>
      </c>
      <c r="L401" s="6">
        <f t="shared" si="36"/>
        <v>0.32846715328467152</v>
      </c>
      <c r="M401" s="6">
        <f t="shared" si="37"/>
        <v>0.58029197080291972</v>
      </c>
      <c r="N401" s="6">
        <f t="shared" si="38"/>
        <v>9.1240875912408814E-2</v>
      </c>
      <c r="O401" s="4">
        <f t="shared" si="39"/>
        <v>2033.1172400499872</v>
      </c>
      <c r="P401" s="4">
        <f t="shared" si="40"/>
        <v>3591.8404574216443</v>
      </c>
      <c r="Q401" s="4">
        <f t="shared" si="41"/>
        <v>5624.957697471631</v>
      </c>
      <c r="V401" s="3"/>
      <c r="W401" s="3"/>
      <c r="Y401" s="7"/>
      <c r="Z401" s="7"/>
      <c r="AA401" s="7"/>
      <c r="AB401" s="7"/>
      <c r="AC401" s="9"/>
      <c r="AD401" s="9"/>
      <c r="AE401" s="9"/>
      <c r="AF401" s="3"/>
      <c r="AG401" s="3"/>
      <c r="AH401" s="3"/>
    </row>
    <row r="402" spans="1:34" x14ac:dyDescent="0.3">
      <c r="A402">
        <v>369</v>
      </c>
      <c r="B402" s="1" t="s">
        <v>410</v>
      </c>
      <c r="C402" s="1" t="s">
        <v>682</v>
      </c>
      <c r="D402" s="2">
        <v>40828</v>
      </c>
      <c r="E402" s="3">
        <v>38.200000000000003</v>
      </c>
      <c r="F402" s="4">
        <f t="shared" si="35"/>
        <v>5557.479771024754</v>
      </c>
      <c r="G402" s="2">
        <v>40204</v>
      </c>
      <c r="H402" s="7">
        <v>3.18</v>
      </c>
      <c r="I402" s="7">
        <f>H402+H405-2*$A$24</f>
        <v>5.9399999999999995</v>
      </c>
      <c r="J402" s="7">
        <v>2.98</v>
      </c>
      <c r="K402" s="7">
        <v>5.0199999999999996</v>
      </c>
      <c r="L402" s="6">
        <f t="shared" si="36"/>
        <v>0.32659932659932661</v>
      </c>
      <c r="M402" s="6">
        <f t="shared" si="37"/>
        <v>0.55892255892255882</v>
      </c>
      <c r="N402" s="6">
        <f t="shared" si="38"/>
        <v>0.11447811447811462</v>
      </c>
      <c r="O402" s="4">
        <f t="shared" si="39"/>
        <v>1815.0691508060645</v>
      </c>
      <c r="P402" s="4">
        <f t="shared" si="40"/>
        <v>3106.2008147815118</v>
      </c>
      <c r="Q402" s="4">
        <f t="shared" si="41"/>
        <v>4921.2699655875767</v>
      </c>
      <c r="V402" s="3"/>
      <c r="W402" s="3"/>
      <c r="Y402" s="7"/>
      <c r="Z402" s="7"/>
      <c r="AA402" s="7"/>
      <c r="AB402" s="7"/>
      <c r="AC402" s="9"/>
      <c r="AD402" s="9"/>
      <c r="AE402" s="9"/>
      <c r="AF402" s="3"/>
      <c r="AG402" s="3"/>
      <c r="AH402" s="3"/>
    </row>
    <row r="403" spans="1:34" x14ac:dyDescent="0.3">
      <c r="A403">
        <v>370</v>
      </c>
      <c r="B403" s="1" t="s">
        <v>411</v>
      </c>
      <c r="C403" s="1" t="s">
        <v>682</v>
      </c>
      <c r="D403" s="2">
        <v>40828</v>
      </c>
      <c r="E403" s="3">
        <v>41.3</v>
      </c>
      <c r="F403" s="4">
        <f t="shared" si="35"/>
        <v>6035.509385069613</v>
      </c>
      <c r="G403" s="2">
        <v>40204</v>
      </c>
      <c r="H403" s="7">
        <v>3.12</v>
      </c>
      <c r="I403" s="7">
        <f>H403+H404-2*$A$24</f>
        <v>6.1999999999999993</v>
      </c>
      <c r="J403" s="7">
        <v>3.1</v>
      </c>
      <c r="K403" s="7">
        <v>5.26</v>
      </c>
      <c r="L403" s="6">
        <f t="shared" si="36"/>
        <v>0.3322580645161291</v>
      </c>
      <c r="M403" s="6">
        <f t="shared" si="37"/>
        <v>0.5741935483870968</v>
      </c>
      <c r="N403" s="6">
        <f t="shared" si="38"/>
        <v>9.3548387096774155E-2</v>
      </c>
      <c r="O403" s="4">
        <f t="shared" si="39"/>
        <v>2005.3466666521622</v>
      </c>
      <c r="P403" s="4">
        <f t="shared" si="40"/>
        <v>3465.5505501367456</v>
      </c>
      <c r="Q403" s="4">
        <f t="shared" si="41"/>
        <v>5470.8972167889078</v>
      </c>
      <c r="V403" s="3"/>
      <c r="W403" s="3"/>
      <c r="Y403" s="7"/>
      <c r="Z403" s="7"/>
      <c r="AA403" s="7"/>
      <c r="AB403" s="7"/>
      <c r="AC403" s="9"/>
      <c r="AD403" s="9"/>
      <c r="AE403" s="9"/>
      <c r="AF403" s="3"/>
      <c r="AG403" s="3"/>
      <c r="AH403" s="3"/>
    </row>
    <row r="404" spans="1:34" x14ac:dyDescent="0.3">
      <c r="A404">
        <v>371</v>
      </c>
      <c r="B404" s="1" t="s">
        <v>412</v>
      </c>
      <c r="C404" s="1" t="s">
        <v>682</v>
      </c>
      <c r="D404" s="2">
        <v>40828</v>
      </c>
      <c r="E404" s="3">
        <v>40.700000000000003</v>
      </c>
      <c r="F404" s="4">
        <f t="shared" si="35"/>
        <v>5942.9875242867383</v>
      </c>
      <c r="G404" s="2">
        <v>40204</v>
      </c>
      <c r="H404" s="7">
        <v>3.4</v>
      </c>
      <c r="I404" s="7">
        <f>H404+H403-2*$A$24</f>
        <v>6.1999999999999993</v>
      </c>
      <c r="J404" s="7">
        <v>3.1</v>
      </c>
      <c r="K404" s="7">
        <v>5.26</v>
      </c>
      <c r="L404" s="6">
        <f t="shared" si="36"/>
        <v>0.3322580645161291</v>
      </c>
      <c r="M404" s="6">
        <f t="shared" si="37"/>
        <v>0.5741935483870968</v>
      </c>
      <c r="N404" s="6">
        <f t="shared" si="38"/>
        <v>9.3548387096774155E-2</v>
      </c>
      <c r="O404" s="4">
        <f t="shared" si="39"/>
        <v>1974.6055322630134</v>
      </c>
      <c r="P404" s="4">
        <f t="shared" si="40"/>
        <v>3412.42509459045</v>
      </c>
      <c r="Q404" s="4">
        <f t="shared" si="41"/>
        <v>5387.0306268534632</v>
      </c>
      <c r="V404" s="3"/>
      <c r="W404" s="3"/>
      <c r="Y404" s="7"/>
      <c r="Z404" s="7"/>
      <c r="AA404" s="7"/>
      <c r="AB404" s="7"/>
      <c r="AC404" s="9"/>
      <c r="AD404" s="9"/>
      <c r="AE404" s="9"/>
      <c r="AF404" s="3"/>
      <c r="AG404" s="3"/>
      <c r="AH404" s="3"/>
    </row>
    <row r="405" spans="1:34" x14ac:dyDescent="0.3">
      <c r="A405">
        <v>372</v>
      </c>
      <c r="B405" s="1" t="s">
        <v>413</v>
      </c>
      <c r="C405" s="1" t="s">
        <v>682</v>
      </c>
      <c r="D405" s="2">
        <v>40828</v>
      </c>
      <c r="E405" s="3">
        <v>38.4</v>
      </c>
      <c r="F405" s="4">
        <f t="shared" si="35"/>
        <v>5588.3203912857107</v>
      </c>
      <c r="G405" s="2">
        <v>40204</v>
      </c>
      <c r="H405" s="7">
        <v>3.08</v>
      </c>
      <c r="I405" s="7">
        <f>H405+H402-2*$A$24</f>
        <v>5.9399999999999995</v>
      </c>
      <c r="J405" s="7">
        <v>2.98</v>
      </c>
      <c r="K405" s="7">
        <v>5.0199999999999996</v>
      </c>
      <c r="L405" s="6">
        <f t="shared" si="36"/>
        <v>0.32659932659932661</v>
      </c>
      <c r="M405" s="6">
        <f t="shared" si="37"/>
        <v>0.55892255892255882</v>
      </c>
      <c r="N405" s="6">
        <f t="shared" si="38"/>
        <v>0.11447811447811462</v>
      </c>
      <c r="O405" s="4">
        <f t="shared" si="39"/>
        <v>1825.1416766151985</v>
      </c>
      <c r="P405" s="4">
        <f t="shared" si="40"/>
        <v>3123.4383331765248</v>
      </c>
      <c r="Q405" s="4">
        <f t="shared" si="41"/>
        <v>4948.5800097917236</v>
      </c>
      <c r="V405" s="3"/>
      <c r="W405" s="3"/>
      <c r="Y405" s="7"/>
      <c r="Z405" s="7"/>
      <c r="AA405" s="7"/>
      <c r="AB405" s="7"/>
      <c r="AC405" s="9"/>
      <c r="AD405" s="9"/>
      <c r="AE405" s="9"/>
      <c r="AF405" s="3"/>
      <c r="AG405" s="3"/>
      <c r="AH405" s="3"/>
    </row>
    <row r="406" spans="1:34" x14ac:dyDescent="0.3">
      <c r="A406">
        <v>373</v>
      </c>
      <c r="B406" s="1" t="s">
        <v>414</v>
      </c>
      <c r="C406" s="1" t="s">
        <v>682</v>
      </c>
      <c r="D406" s="2">
        <v>40828</v>
      </c>
      <c r="E406" s="3">
        <v>43.6</v>
      </c>
      <c r="F406" s="4">
        <f t="shared" si="35"/>
        <v>6390.1765180706361</v>
      </c>
      <c r="G406" s="2">
        <v>40204</v>
      </c>
      <c r="H406" s="7">
        <v>2.78</v>
      </c>
      <c r="I406" s="7">
        <f>H406+H401-2*$A$24</f>
        <v>5.4799999999999995</v>
      </c>
      <c r="J406" s="7">
        <v>2.84</v>
      </c>
      <c r="K406" s="7">
        <v>4.88</v>
      </c>
      <c r="L406" s="6">
        <f t="shared" si="36"/>
        <v>0.32846715328467152</v>
      </c>
      <c r="M406" s="6">
        <f t="shared" si="37"/>
        <v>0.58029197080291972</v>
      </c>
      <c r="N406" s="6">
        <f t="shared" si="38"/>
        <v>9.1240875912408814E-2</v>
      </c>
      <c r="O406" s="4">
        <f t="shared" si="39"/>
        <v>2098.9630898772161</v>
      </c>
      <c r="P406" s="4">
        <f t="shared" si="40"/>
        <v>3708.1681254497489</v>
      </c>
      <c r="Q406" s="4">
        <f t="shared" si="41"/>
        <v>5807.1312153269646</v>
      </c>
      <c r="V406" s="3"/>
      <c r="W406" s="3"/>
      <c r="Y406" s="7"/>
      <c r="Z406" s="7"/>
      <c r="AA406" s="7"/>
      <c r="AB406" s="7"/>
      <c r="AC406" s="9"/>
      <c r="AD406" s="9"/>
      <c r="AE406" s="9"/>
      <c r="AF406" s="3"/>
      <c r="AG406" s="3"/>
      <c r="AH406" s="3"/>
    </row>
    <row r="407" spans="1:34" x14ac:dyDescent="0.3">
      <c r="A407">
        <v>374</v>
      </c>
      <c r="B407" s="1" t="s">
        <v>415</v>
      </c>
      <c r="C407" s="1" t="s">
        <v>682</v>
      </c>
      <c r="D407" s="2">
        <v>40828</v>
      </c>
      <c r="E407" s="3">
        <v>40</v>
      </c>
      <c r="F407" s="4">
        <f t="shared" si="35"/>
        <v>5835.0453533733817</v>
      </c>
      <c r="G407" s="2">
        <v>40204</v>
      </c>
      <c r="H407" s="7">
        <v>2.44</v>
      </c>
      <c r="I407" s="7">
        <f>H407+H400-2*$A$24</f>
        <v>5.52</v>
      </c>
      <c r="J407" s="7">
        <v>2.82</v>
      </c>
      <c r="K407" s="7">
        <v>4.84</v>
      </c>
      <c r="L407" s="6">
        <f t="shared" si="36"/>
        <v>0.32246376811594202</v>
      </c>
      <c r="M407" s="6">
        <f t="shared" si="37"/>
        <v>0.5688405797101449</v>
      </c>
      <c r="N407" s="6">
        <f t="shared" si="38"/>
        <v>0.10869565217391308</v>
      </c>
      <c r="O407" s="4">
        <f t="shared" si="39"/>
        <v>1881.590711776199</v>
      </c>
      <c r="P407" s="4">
        <f t="shared" si="40"/>
        <v>3319.2105814479019</v>
      </c>
      <c r="Q407" s="4">
        <f t="shared" si="41"/>
        <v>5200.8012932241008</v>
      </c>
      <c r="V407" s="3"/>
      <c r="W407" s="3"/>
      <c r="Y407" s="7"/>
      <c r="Z407" s="7"/>
      <c r="AA407" s="7"/>
      <c r="AB407" s="7"/>
      <c r="AC407" s="9"/>
      <c r="AD407" s="9"/>
      <c r="AE407" s="9"/>
      <c r="AF407" s="3"/>
      <c r="AG407" s="3"/>
      <c r="AH407" s="3"/>
    </row>
    <row r="408" spans="1:34" x14ac:dyDescent="0.3">
      <c r="A408">
        <v>375</v>
      </c>
      <c r="B408" s="1" t="s">
        <v>416</v>
      </c>
      <c r="C408" s="1" t="s">
        <v>682</v>
      </c>
      <c r="D408" s="2">
        <v>40828</v>
      </c>
      <c r="E408" s="3">
        <v>39.700000000000003</v>
      </c>
      <c r="F408" s="4">
        <f t="shared" si="35"/>
        <v>5788.7844229819439</v>
      </c>
      <c r="G408" s="2">
        <v>40204</v>
      </c>
      <c r="H408" s="7">
        <v>2.08</v>
      </c>
      <c r="I408" s="7">
        <f>H408+H399-2*$A$24</f>
        <v>4.3</v>
      </c>
      <c r="J408" s="7">
        <v>2.46</v>
      </c>
      <c r="K408" s="7">
        <v>4.18</v>
      </c>
      <c r="L408" s="6">
        <f t="shared" si="36"/>
        <v>0.33023255813953489</v>
      </c>
      <c r="M408" s="6">
        <f t="shared" si="37"/>
        <v>0.57674418604651156</v>
      </c>
      <c r="N408" s="6">
        <f t="shared" si="38"/>
        <v>9.3023255813953543E-2</v>
      </c>
      <c r="O408" s="4">
        <f t="shared" si="39"/>
        <v>1911.6450885196186</v>
      </c>
      <c r="P408" s="4">
        <f t="shared" si="40"/>
        <v>3338.6477602314462</v>
      </c>
      <c r="Q408" s="4">
        <f t="shared" si="41"/>
        <v>5250.2928487510653</v>
      </c>
      <c r="V408" s="3"/>
      <c r="W408" s="3"/>
      <c r="Y408" s="7"/>
      <c r="Z408" s="7"/>
      <c r="AA408" s="7"/>
      <c r="AB408" s="7"/>
      <c r="AC408" s="9"/>
      <c r="AD408" s="9"/>
      <c r="AE408" s="9"/>
      <c r="AF408" s="3"/>
      <c r="AG408" s="3"/>
      <c r="AH408" s="3"/>
    </row>
    <row r="409" spans="1:34" x14ac:dyDescent="0.3">
      <c r="A409">
        <v>376</v>
      </c>
      <c r="B409" s="1" t="s">
        <v>417</v>
      </c>
      <c r="C409" s="1" t="s">
        <v>682</v>
      </c>
      <c r="D409" s="2">
        <v>40828</v>
      </c>
      <c r="E409" s="3">
        <v>39.700000000000003</v>
      </c>
      <c r="F409" s="4">
        <f t="shared" si="35"/>
        <v>5788.7844229819439</v>
      </c>
      <c r="G409" s="2">
        <v>40204</v>
      </c>
      <c r="H409" s="7">
        <v>2.64</v>
      </c>
      <c r="I409" s="7">
        <f>H409+H398-2*$A$24</f>
        <v>5.52</v>
      </c>
      <c r="J409" s="7">
        <v>2.84</v>
      </c>
      <c r="K409" s="7">
        <v>4.8</v>
      </c>
      <c r="L409" s="6">
        <f t="shared" si="36"/>
        <v>0.32608695652173914</v>
      </c>
      <c r="M409" s="6">
        <f t="shared" si="37"/>
        <v>0.56159420289855067</v>
      </c>
      <c r="N409" s="6">
        <f t="shared" si="38"/>
        <v>0.1123188405797102</v>
      </c>
      <c r="O409" s="4">
        <f t="shared" si="39"/>
        <v>1887.6470944506339</v>
      </c>
      <c r="P409" s="4">
        <f t="shared" si="40"/>
        <v>3250.9477737760913</v>
      </c>
      <c r="Q409" s="4">
        <f t="shared" si="41"/>
        <v>5138.5948682267253</v>
      </c>
      <c r="V409" s="3"/>
      <c r="W409" s="3"/>
      <c r="Y409" s="7"/>
      <c r="Z409" s="7"/>
      <c r="AA409" s="7"/>
      <c r="AB409" s="7"/>
      <c r="AC409" s="9"/>
      <c r="AD409" s="9"/>
      <c r="AE409" s="9"/>
      <c r="AF409" s="3"/>
      <c r="AG409" s="3"/>
      <c r="AH409" s="3"/>
    </row>
    <row r="410" spans="1:34" x14ac:dyDescent="0.3">
      <c r="A410">
        <v>377</v>
      </c>
      <c r="B410" s="1" t="s">
        <v>418</v>
      </c>
      <c r="C410" s="1" t="s">
        <v>682</v>
      </c>
      <c r="D410" s="2">
        <v>40828</v>
      </c>
      <c r="E410" s="3">
        <v>38.700000000000003</v>
      </c>
      <c r="F410" s="4">
        <f t="shared" si="35"/>
        <v>5634.5813216771503</v>
      </c>
      <c r="G410" s="2">
        <v>40204</v>
      </c>
      <c r="H410" s="7">
        <v>2.44</v>
      </c>
      <c r="I410" s="7">
        <f>H410+H397-2*$A$24</f>
        <v>4.9599999999999991</v>
      </c>
      <c r="J410" s="7">
        <v>2.64</v>
      </c>
      <c r="K410" s="7">
        <v>4.46</v>
      </c>
      <c r="L410" s="6">
        <f t="shared" si="36"/>
        <v>0.32258064516129042</v>
      </c>
      <c r="M410" s="6">
        <f t="shared" si="37"/>
        <v>0.55645161290322587</v>
      </c>
      <c r="N410" s="6">
        <f t="shared" si="38"/>
        <v>0.12096774193548365</v>
      </c>
      <c r="O410" s="4">
        <f t="shared" si="39"/>
        <v>1817.6068779603715</v>
      </c>
      <c r="P410" s="4">
        <f t="shared" si="40"/>
        <v>3135.3718644816404</v>
      </c>
      <c r="Q410" s="4">
        <f t="shared" si="41"/>
        <v>4952.9787424420119</v>
      </c>
      <c r="V410" s="3"/>
      <c r="W410" s="3"/>
      <c r="Y410" s="7"/>
      <c r="Z410" s="7"/>
      <c r="AA410" s="7"/>
      <c r="AB410" s="7"/>
      <c r="AC410" s="9"/>
      <c r="AD410" s="9"/>
      <c r="AE410" s="9"/>
      <c r="AF410" s="3"/>
      <c r="AG410" s="3"/>
      <c r="AH410" s="3"/>
    </row>
    <row r="411" spans="1:34" x14ac:dyDescent="0.3">
      <c r="A411">
        <v>378</v>
      </c>
      <c r="B411" s="1" t="s">
        <v>419</v>
      </c>
      <c r="C411" s="1" t="s">
        <v>682</v>
      </c>
      <c r="D411" s="2">
        <v>40828</v>
      </c>
      <c r="E411" s="3">
        <v>41.3</v>
      </c>
      <c r="F411" s="4">
        <f t="shared" si="35"/>
        <v>6035.509385069613</v>
      </c>
      <c r="G411" s="2">
        <v>40204</v>
      </c>
      <c r="H411" s="7">
        <v>3.66</v>
      </c>
      <c r="I411" s="7">
        <f>H411+H396-2*$A$24</f>
        <v>6</v>
      </c>
      <c r="J411" s="7">
        <v>3.02</v>
      </c>
      <c r="K411" s="7">
        <v>5.08</v>
      </c>
      <c r="L411" s="6">
        <f t="shared" si="36"/>
        <v>0.33</v>
      </c>
      <c r="M411" s="6">
        <f t="shared" si="37"/>
        <v>0.56333333333333335</v>
      </c>
      <c r="N411" s="6">
        <f t="shared" si="38"/>
        <v>0.10666666666666658</v>
      </c>
      <c r="O411" s="4">
        <f t="shared" si="39"/>
        <v>1991.7180970729723</v>
      </c>
      <c r="P411" s="4">
        <f t="shared" si="40"/>
        <v>3400.0036202558822</v>
      </c>
      <c r="Q411" s="4">
        <f t="shared" si="41"/>
        <v>5391.7217173288545</v>
      </c>
      <c r="V411" s="3"/>
      <c r="W411" s="3"/>
      <c r="Y411" s="7"/>
      <c r="Z411" s="7"/>
      <c r="AA411" s="7"/>
      <c r="AB411" s="7"/>
      <c r="AC411" s="9"/>
      <c r="AD411" s="9"/>
      <c r="AE411" s="9"/>
      <c r="AF411" s="3"/>
      <c r="AG411" s="3"/>
      <c r="AH411" s="3"/>
    </row>
    <row r="412" spans="1:34" x14ac:dyDescent="0.3">
      <c r="A412">
        <v>379</v>
      </c>
      <c r="B412" s="1" t="s">
        <v>420</v>
      </c>
      <c r="C412" s="1" t="s">
        <v>682</v>
      </c>
      <c r="D412" s="2">
        <v>40828</v>
      </c>
      <c r="E412" s="3">
        <v>39.1</v>
      </c>
      <c r="F412" s="4">
        <f t="shared" si="35"/>
        <v>5696.2625621990674</v>
      </c>
      <c r="G412" s="2">
        <v>40204</v>
      </c>
      <c r="H412" s="7">
        <v>3.58</v>
      </c>
      <c r="I412" s="7">
        <f>H412+H395-2*$A$24</f>
        <v>5.98</v>
      </c>
      <c r="J412" s="7">
        <v>2.96</v>
      </c>
      <c r="K412" s="7">
        <v>5.0599999999999996</v>
      </c>
      <c r="L412" s="6">
        <f t="shared" si="36"/>
        <v>0.32107023411371233</v>
      </c>
      <c r="M412" s="6">
        <f t="shared" si="37"/>
        <v>0.5618729096989965</v>
      </c>
      <c r="N412" s="6">
        <f t="shared" si="38"/>
        <v>0.11705685618729111</v>
      </c>
      <c r="O412" s="4">
        <f t="shared" si="39"/>
        <v>1828.9003544184293</v>
      </c>
      <c r="P412" s="4">
        <f t="shared" si="40"/>
        <v>3200.5756202322509</v>
      </c>
      <c r="Q412" s="4">
        <f t="shared" si="41"/>
        <v>5029.4759746506807</v>
      </c>
      <c r="V412" s="3"/>
      <c r="W412" s="3"/>
      <c r="Y412" s="7"/>
      <c r="Z412" s="7"/>
      <c r="AA412" s="7"/>
      <c r="AB412" s="7"/>
      <c r="AC412" s="9"/>
      <c r="AD412" s="9"/>
      <c r="AE412" s="9"/>
      <c r="AF412" s="3"/>
      <c r="AG412" s="3"/>
      <c r="AH412" s="3"/>
    </row>
    <row r="413" spans="1:34" x14ac:dyDescent="0.3">
      <c r="A413">
        <v>380</v>
      </c>
      <c r="B413" s="1" t="s">
        <v>421</v>
      </c>
      <c r="C413" s="1" t="s">
        <v>682</v>
      </c>
      <c r="D413" s="2">
        <v>40828</v>
      </c>
      <c r="E413" s="3">
        <v>37.6</v>
      </c>
      <c r="F413" s="4">
        <f t="shared" si="35"/>
        <v>5464.9579102418766</v>
      </c>
      <c r="G413" s="2">
        <v>40204</v>
      </c>
      <c r="H413" s="7">
        <v>2.48</v>
      </c>
      <c r="I413" s="7">
        <f>H413+H394-2*$A$24</f>
        <v>5.1999999999999993</v>
      </c>
      <c r="J413" s="7">
        <v>2.76</v>
      </c>
      <c r="K413" s="7">
        <v>4.6399999999999997</v>
      </c>
      <c r="L413" s="6">
        <f t="shared" si="36"/>
        <v>0.33076923076923076</v>
      </c>
      <c r="M413" s="6">
        <f t="shared" si="37"/>
        <v>0.56538461538461537</v>
      </c>
      <c r="N413" s="6">
        <f t="shared" si="38"/>
        <v>0.10384615384615392</v>
      </c>
      <c r="O413" s="4">
        <f t="shared" si="39"/>
        <v>1807.6399241569284</v>
      </c>
      <c r="P413" s="4">
        <f t="shared" si="40"/>
        <v>3089.8031261752149</v>
      </c>
      <c r="Q413" s="4">
        <f t="shared" si="41"/>
        <v>4897.4430503321437</v>
      </c>
      <c r="V413" s="3"/>
      <c r="W413" s="3"/>
      <c r="Y413" s="7"/>
      <c r="Z413" s="7"/>
      <c r="AA413" s="7"/>
      <c r="AB413" s="7"/>
      <c r="AC413" s="9"/>
      <c r="AD413" s="9"/>
      <c r="AE413" s="9"/>
      <c r="AF413" s="3"/>
      <c r="AG413" s="3"/>
      <c r="AH413" s="3"/>
    </row>
    <row r="414" spans="1:34" x14ac:dyDescent="0.3">
      <c r="A414">
        <v>381</v>
      </c>
      <c r="B414" s="1" t="s">
        <v>422</v>
      </c>
      <c r="C414" s="1" t="s">
        <v>682</v>
      </c>
      <c r="D414" s="2">
        <v>40828</v>
      </c>
      <c r="E414" s="3">
        <v>36.9</v>
      </c>
      <c r="F414" s="4">
        <f t="shared" si="35"/>
        <v>5357.0157393285199</v>
      </c>
      <c r="G414" s="2">
        <v>40204</v>
      </c>
      <c r="H414" s="7">
        <v>3.34</v>
      </c>
      <c r="I414" s="7">
        <f>H414+H433-2*$A$24</f>
        <v>6.52</v>
      </c>
      <c r="J414" s="7">
        <v>3.26</v>
      </c>
      <c r="K414" s="7">
        <v>5.42</v>
      </c>
      <c r="L414" s="6">
        <f t="shared" si="36"/>
        <v>0.34049079754601225</v>
      </c>
      <c r="M414" s="6">
        <f t="shared" si="37"/>
        <v>0.57055214723926384</v>
      </c>
      <c r="N414" s="6">
        <f t="shared" si="38"/>
        <v>8.8957055214723857E-2</v>
      </c>
      <c r="O414" s="4">
        <f t="shared" si="39"/>
        <v>1824.0145615505082</v>
      </c>
      <c r="P414" s="4">
        <f t="shared" si="40"/>
        <v>3056.4568328684195</v>
      </c>
      <c r="Q414" s="4">
        <f t="shared" si="41"/>
        <v>4880.471394418928</v>
      </c>
      <c r="V414" s="3"/>
      <c r="W414" s="3"/>
      <c r="Y414" s="7"/>
      <c r="Z414" s="7"/>
      <c r="AA414" s="7"/>
      <c r="AB414" s="7"/>
      <c r="AC414" s="9"/>
      <c r="AD414" s="9"/>
      <c r="AE414" s="9"/>
      <c r="AF414" s="3"/>
      <c r="AG414" s="3"/>
      <c r="AH414" s="3"/>
    </row>
    <row r="415" spans="1:34" x14ac:dyDescent="0.3">
      <c r="A415">
        <v>382</v>
      </c>
      <c r="B415" s="1" t="s">
        <v>423</v>
      </c>
      <c r="C415" s="1" t="s">
        <v>682</v>
      </c>
      <c r="D415" s="2">
        <v>40828</v>
      </c>
      <c r="E415" s="3">
        <v>40.700000000000003</v>
      </c>
      <c r="F415" s="4">
        <f t="shared" si="35"/>
        <v>5942.9875242867383</v>
      </c>
      <c r="G415" s="2">
        <v>40204</v>
      </c>
      <c r="H415" s="7">
        <v>3.54</v>
      </c>
      <c r="I415" s="7">
        <f>H415+H432-2*$A$24</f>
        <v>6.4</v>
      </c>
      <c r="J415" s="7">
        <v>3.1</v>
      </c>
      <c r="K415" s="7">
        <v>5.34</v>
      </c>
      <c r="L415" s="6">
        <f t="shared" si="36"/>
        <v>0.32187499999999997</v>
      </c>
      <c r="M415" s="6">
        <f t="shared" si="37"/>
        <v>0.56874999999999987</v>
      </c>
      <c r="N415" s="6">
        <f t="shared" si="38"/>
        <v>0.10937500000000022</v>
      </c>
      <c r="O415" s="4">
        <f t="shared" si="39"/>
        <v>1912.8991093797938</v>
      </c>
      <c r="P415" s="4">
        <f t="shared" si="40"/>
        <v>3380.0741544380817</v>
      </c>
      <c r="Q415" s="4">
        <f t="shared" si="41"/>
        <v>5292.9732638178757</v>
      </c>
      <c r="V415" s="3"/>
      <c r="W415" s="3"/>
      <c r="Y415" s="7"/>
      <c r="Z415" s="7"/>
      <c r="AA415" s="7"/>
      <c r="AB415" s="7"/>
      <c r="AC415" s="9"/>
      <c r="AD415" s="9"/>
      <c r="AE415" s="9"/>
      <c r="AF415" s="3"/>
      <c r="AG415" s="3"/>
      <c r="AH415" s="3"/>
    </row>
    <row r="416" spans="1:34" x14ac:dyDescent="0.3">
      <c r="A416">
        <v>383</v>
      </c>
      <c r="B416" s="1" t="s">
        <v>424</v>
      </c>
      <c r="C416" s="1" t="s">
        <v>682</v>
      </c>
      <c r="D416" s="2">
        <v>40828</v>
      </c>
      <c r="E416" s="3">
        <v>45.3</v>
      </c>
      <c r="F416" s="4">
        <f t="shared" si="35"/>
        <v>6652.3217902887855</v>
      </c>
      <c r="G416" s="2">
        <v>40204</v>
      </c>
      <c r="H416" s="7">
        <v>2.84</v>
      </c>
      <c r="I416" s="7">
        <f>H416+H431-2*$A$24</f>
        <v>6.84</v>
      </c>
      <c r="J416" s="7">
        <v>3.3</v>
      </c>
      <c r="K416" s="7">
        <v>5.58</v>
      </c>
      <c r="L416" s="6">
        <f t="shared" si="36"/>
        <v>0.33040935672514615</v>
      </c>
      <c r="M416" s="6">
        <f t="shared" si="37"/>
        <v>0.56725146198830412</v>
      </c>
      <c r="N416" s="6">
        <f t="shared" si="38"/>
        <v>0.10233918128654973</v>
      </c>
      <c r="O416" s="4">
        <f t="shared" si="39"/>
        <v>2197.9893634579903</v>
      </c>
      <c r="P416" s="4">
        <f t="shared" si="40"/>
        <v>3773.5392611579664</v>
      </c>
      <c r="Q416" s="4">
        <f t="shared" si="41"/>
        <v>5971.5286246159567</v>
      </c>
      <c r="V416" s="3"/>
      <c r="W416" s="3"/>
      <c r="Y416" s="7"/>
      <c r="Z416" s="7"/>
      <c r="AA416" s="7"/>
      <c r="AB416" s="7"/>
      <c r="AC416" s="9"/>
      <c r="AD416" s="9"/>
      <c r="AE416" s="9"/>
      <c r="AF416" s="3"/>
      <c r="AG416" s="3"/>
      <c r="AH416" s="3"/>
    </row>
    <row r="417" spans="1:34" x14ac:dyDescent="0.3">
      <c r="A417">
        <v>384</v>
      </c>
      <c r="B417" s="1" t="s">
        <v>425</v>
      </c>
      <c r="C417" s="1" t="s">
        <v>682</v>
      </c>
      <c r="D417" s="2">
        <v>40828</v>
      </c>
      <c r="E417" s="3">
        <v>35.5</v>
      </c>
      <c r="F417" s="4">
        <f t="shared" si="35"/>
        <v>5141.1313975018111</v>
      </c>
      <c r="G417" s="2">
        <v>40204</v>
      </c>
      <c r="H417" s="7">
        <v>4.0599999999999996</v>
      </c>
      <c r="I417" s="7">
        <f>H417+H430-2*$A$24</f>
        <v>6.7999999999999989</v>
      </c>
      <c r="J417" s="7">
        <v>3.28</v>
      </c>
      <c r="K417" s="7">
        <v>5.62</v>
      </c>
      <c r="L417" s="6">
        <f t="shared" si="36"/>
        <v>0.32941176470588235</v>
      </c>
      <c r="M417" s="6">
        <f t="shared" si="37"/>
        <v>0.57647058823529418</v>
      </c>
      <c r="N417" s="6">
        <f t="shared" si="38"/>
        <v>9.4117647058823528E-2</v>
      </c>
      <c r="O417" s="4">
        <f t="shared" si="39"/>
        <v>1693.5491662358907</v>
      </c>
      <c r="P417" s="4">
        <f t="shared" si="40"/>
        <v>2963.711040912809</v>
      </c>
      <c r="Q417" s="4">
        <f t="shared" si="41"/>
        <v>4657.2602071486999</v>
      </c>
      <c r="V417" s="3"/>
      <c r="W417" s="3"/>
      <c r="Y417" s="7"/>
      <c r="Z417" s="7"/>
      <c r="AA417" s="7"/>
      <c r="AB417" s="7"/>
      <c r="AC417" s="9"/>
      <c r="AD417" s="9"/>
      <c r="AE417" s="9"/>
      <c r="AF417" s="3"/>
      <c r="AG417" s="3"/>
      <c r="AH417" s="3"/>
    </row>
    <row r="418" spans="1:34" x14ac:dyDescent="0.3">
      <c r="A418">
        <v>385</v>
      </c>
      <c r="B418" s="1" t="s">
        <v>426</v>
      </c>
      <c r="C418" s="1" t="s">
        <v>682</v>
      </c>
      <c r="D418" s="2">
        <v>40828</v>
      </c>
      <c r="E418" s="3">
        <v>42.3</v>
      </c>
      <c r="F418" s="4">
        <f t="shared" si="35"/>
        <v>6189.7124863744057</v>
      </c>
      <c r="G418" s="2">
        <v>40204</v>
      </c>
      <c r="H418" s="7">
        <v>3.64</v>
      </c>
      <c r="I418" s="7">
        <f>H418+H429-2*$A$24</f>
        <v>7.52</v>
      </c>
      <c r="J418" s="7">
        <v>3.52</v>
      </c>
      <c r="K418" s="7">
        <v>5.94</v>
      </c>
      <c r="L418" s="6">
        <f t="shared" si="36"/>
        <v>0.32978723404255322</v>
      </c>
      <c r="M418" s="6">
        <f t="shared" si="37"/>
        <v>0.56382978723404265</v>
      </c>
      <c r="N418" s="6">
        <f t="shared" si="38"/>
        <v>0.10638297872340419</v>
      </c>
      <c r="O418" s="4">
        <f t="shared" si="39"/>
        <v>2041.2881604000702</v>
      </c>
      <c r="P418" s="4">
        <f t="shared" si="40"/>
        <v>3489.9442742323781</v>
      </c>
      <c r="Q418" s="4">
        <f t="shared" si="41"/>
        <v>5531.2324346324485</v>
      </c>
      <c r="V418" s="3"/>
      <c r="W418" s="3"/>
      <c r="Y418" s="7"/>
      <c r="Z418" s="7"/>
      <c r="AA418" s="7"/>
      <c r="AB418" s="7"/>
      <c r="AC418" s="9"/>
      <c r="AD418" s="9"/>
      <c r="AE418" s="9"/>
      <c r="AF418" s="3"/>
      <c r="AG418" s="3"/>
      <c r="AH418" s="3"/>
    </row>
    <row r="419" spans="1:34" x14ac:dyDescent="0.3">
      <c r="A419">
        <v>386</v>
      </c>
      <c r="B419" s="1" t="s">
        <v>427</v>
      </c>
      <c r="C419" s="1" t="s">
        <v>682</v>
      </c>
      <c r="D419" s="2">
        <v>40828</v>
      </c>
      <c r="E419" s="3">
        <v>39.5</v>
      </c>
      <c r="F419" s="4">
        <f t="shared" ref="F419:F482" si="42">(E419-2*$A$20)*$A$21/$A$22*$A$23</f>
        <v>5757.9438027209835</v>
      </c>
      <c r="G419" s="2">
        <v>40204</v>
      </c>
      <c r="H419" s="7">
        <v>4.0199999999999996</v>
      </c>
      <c r="I419" s="7">
        <f>H419+H428-2*$A$24</f>
        <v>7.3999999999999995</v>
      </c>
      <c r="J419" s="7">
        <v>3.54</v>
      </c>
      <c r="K419" s="7">
        <v>5.9</v>
      </c>
      <c r="L419" s="6">
        <f t="shared" ref="L419:L482" si="43">(J419-$A$25)/I419</f>
        <v>0.33783783783783788</v>
      </c>
      <c r="M419" s="6">
        <f t="shared" ref="M419:M482" si="44">(K419-$A$26)/I419</f>
        <v>0.56756756756756765</v>
      </c>
      <c r="N419" s="6">
        <f t="shared" ref="N419:N482" si="45">1-L419-M419</f>
        <v>9.4594594594594406E-2</v>
      </c>
      <c r="O419" s="4">
        <f t="shared" ref="O419:O482" si="46">F419*L419</f>
        <v>1945.2512847030353</v>
      </c>
      <c r="P419" s="4">
        <f t="shared" ref="P419:P482" si="47">F419*M419</f>
        <v>3268.0221583010994</v>
      </c>
      <c r="Q419" s="4">
        <f t="shared" ref="Q419:Q482" si="48">O419+P419</f>
        <v>5213.2734430041346</v>
      </c>
      <c r="V419" s="3"/>
      <c r="W419" s="3"/>
      <c r="Y419" s="7"/>
      <c r="Z419" s="7"/>
      <c r="AA419" s="7"/>
      <c r="AB419" s="7"/>
      <c r="AC419" s="9"/>
      <c r="AD419" s="9"/>
      <c r="AE419" s="9"/>
      <c r="AF419" s="3"/>
      <c r="AG419" s="3"/>
      <c r="AH419" s="3"/>
    </row>
    <row r="420" spans="1:34" x14ac:dyDescent="0.3">
      <c r="A420">
        <v>387</v>
      </c>
      <c r="B420" s="1" t="s">
        <v>428</v>
      </c>
      <c r="C420" s="1" t="s">
        <v>682</v>
      </c>
      <c r="D420" s="2">
        <v>40828</v>
      </c>
      <c r="E420" s="3">
        <v>43</v>
      </c>
      <c r="F420" s="4">
        <f t="shared" si="42"/>
        <v>6297.6546572877614</v>
      </c>
      <c r="G420" s="2">
        <v>40204</v>
      </c>
      <c r="H420" s="7">
        <v>3.38</v>
      </c>
      <c r="I420" s="7">
        <f>H420+H427-2*$A$24</f>
        <v>6.1</v>
      </c>
      <c r="J420" s="7">
        <v>3.08</v>
      </c>
      <c r="K420" s="7">
        <v>5.16</v>
      </c>
      <c r="L420" s="6">
        <f t="shared" si="43"/>
        <v>0.33442622950819673</v>
      </c>
      <c r="M420" s="6">
        <f t="shared" si="44"/>
        <v>0.56721311475409841</v>
      </c>
      <c r="N420" s="6">
        <f t="shared" si="45"/>
        <v>9.8360655737704805E-2</v>
      </c>
      <c r="O420" s="4">
        <f t="shared" si="46"/>
        <v>2106.1009017814808</v>
      </c>
      <c r="P420" s="4">
        <f t="shared" si="47"/>
        <v>3572.1123138058451</v>
      </c>
      <c r="Q420" s="4">
        <f t="shared" si="48"/>
        <v>5678.213215587326</v>
      </c>
      <c r="V420" s="3"/>
      <c r="W420" s="3"/>
      <c r="Y420" s="7"/>
      <c r="Z420" s="7"/>
      <c r="AA420" s="7"/>
      <c r="AB420" s="7"/>
      <c r="AC420" s="9"/>
      <c r="AD420" s="9"/>
      <c r="AE420" s="9"/>
      <c r="AF420" s="3"/>
      <c r="AG420" s="3"/>
      <c r="AH420" s="3"/>
    </row>
    <row r="421" spans="1:34" x14ac:dyDescent="0.3">
      <c r="A421">
        <v>388</v>
      </c>
      <c r="B421" s="1" t="s">
        <v>429</v>
      </c>
      <c r="C421" s="1" t="s">
        <v>682</v>
      </c>
      <c r="D421" s="2">
        <v>40828</v>
      </c>
      <c r="E421" s="3">
        <v>44.8</v>
      </c>
      <c r="F421" s="4">
        <f t="shared" si="42"/>
        <v>6575.2202396363891</v>
      </c>
      <c r="G421" s="2">
        <v>40204</v>
      </c>
      <c r="H421" s="7">
        <v>3.48</v>
      </c>
      <c r="I421" s="7">
        <f>H421+H426-2*$A$24</f>
        <v>7.1999999999999993</v>
      </c>
      <c r="J421" s="7">
        <v>3.46</v>
      </c>
      <c r="K421" s="7">
        <v>5.76</v>
      </c>
      <c r="L421" s="6">
        <f t="shared" si="43"/>
        <v>0.33611111111111114</v>
      </c>
      <c r="M421" s="6">
        <f t="shared" si="44"/>
        <v>0.56388888888888888</v>
      </c>
      <c r="N421" s="6">
        <f t="shared" si="45"/>
        <v>9.9999999999999978E-2</v>
      </c>
      <c r="O421" s="4">
        <f t="shared" si="46"/>
        <v>2210.0045805444533</v>
      </c>
      <c r="P421" s="4">
        <f t="shared" si="47"/>
        <v>3707.693635128297</v>
      </c>
      <c r="Q421" s="4">
        <f t="shared" si="48"/>
        <v>5917.6982156727499</v>
      </c>
      <c r="V421" s="3"/>
      <c r="W421" s="3"/>
      <c r="Y421" s="7"/>
      <c r="Z421" s="7"/>
      <c r="AA421" s="7"/>
      <c r="AB421" s="7"/>
      <c r="AC421" s="9"/>
      <c r="AD421" s="9"/>
      <c r="AE421" s="9"/>
      <c r="AF421" s="3"/>
      <c r="AG421" s="3"/>
      <c r="AH421" s="3"/>
    </row>
    <row r="422" spans="1:34" x14ac:dyDescent="0.3">
      <c r="A422">
        <v>389</v>
      </c>
      <c r="B422" s="1" t="s">
        <v>430</v>
      </c>
      <c r="C422" s="1" t="s">
        <v>682</v>
      </c>
      <c r="D422" s="2">
        <v>40828</v>
      </c>
      <c r="E422" s="3">
        <v>36.1</v>
      </c>
      <c r="F422" s="4">
        <f t="shared" si="42"/>
        <v>5233.6532582846858</v>
      </c>
      <c r="G422" s="2">
        <v>40204</v>
      </c>
      <c r="H422" s="7">
        <v>3.62</v>
      </c>
      <c r="I422" s="7">
        <f>H422+H425-2*$A$24</f>
        <v>7.66</v>
      </c>
      <c r="J422" s="7">
        <v>3.6</v>
      </c>
      <c r="K422" s="7">
        <v>5.98</v>
      </c>
      <c r="L422" s="6">
        <f t="shared" si="43"/>
        <v>0.33420365535248042</v>
      </c>
      <c r="M422" s="6">
        <f t="shared" si="44"/>
        <v>0.55874673629242821</v>
      </c>
      <c r="N422" s="6">
        <f t="shared" si="45"/>
        <v>0.10704960835509136</v>
      </c>
      <c r="O422" s="4">
        <f t="shared" si="46"/>
        <v>1749.1060497661613</v>
      </c>
      <c r="P422" s="4">
        <f t="shared" si="47"/>
        <v>2924.2866769528009</v>
      </c>
      <c r="Q422" s="4">
        <f t="shared" si="48"/>
        <v>4673.392726718962</v>
      </c>
      <c r="V422" s="3"/>
      <c r="W422" s="3"/>
      <c r="Y422" s="7"/>
      <c r="Z422" s="7"/>
      <c r="AA422" s="7"/>
      <c r="AB422" s="7"/>
      <c r="AC422" s="9"/>
      <c r="AD422" s="9"/>
      <c r="AE422" s="9"/>
      <c r="AF422" s="3"/>
      <c r="AG422" s="3"/>
      <c r="AH422" s="3"/>
    </row>
    <row r="423" spans="1:34" x14ac:dyDescent="0.3">
      <c r="A423">
        <v>390</v>
      </c>
      <c r="B423" s="1" t="s">
        <v>431</v>
      </c>
      <c r="C423" s="1" t="s">
        <v>682</v>
      </c>
      <c r="D423" s="2">
        <v>40828</v>
      </c>
      <c r="E423" s="3">
        <v>40.5</v>
      </c>
      <c r="F423" s="4">
        <f t="shared" si="42"/>
        <v>5912.146904025778</v>
      </c>
      <c r="G423" s="2">
        <v>40204</v>
      </c>
      <c r="H423" s="7">
        <v>3.56</v>
      </c>
      <c r="I423" s="7">
        <f>H423+H424-2*$A$24</f>
        <v>6.74</v>
      </c>
      <c r="J423" s="7">
        <v>3.28</v>
      </c>
      <c r="K423" s="7">
        <v>5.48</v>
      </c>
      <c r="L423" s="6">
        <f t="shared" si="43"/>
        <v>0.33234421364985156</v>
      </c>
      <c r="M423" s="6">
        <f t="shared" si="44"/>
        <v>0.56083086053412468</v>
      </c>
      <c r="N423" s="6">
        <f t="shared" si="45"/>
        <v>0.10682492581602376</v>
      </c>
      <c r="O423" s="4">
        <f t="shared" si="46"/>
        <v>1964.8678138008515</v>
      </c>
      <c r="P423" s="4">
        <f t="shared" si="47"/>
        <v>3315.7144357889379</v>
      </c>
      <c r="Q423" s="4">
        <f t="shared" si="48"/>
        <v>5280.5822495897892</v>
      </c>
      <c r="V423" s="3"/>
      <c r="W423" s="3"/>
      <c r="Y423" s="7"/>
      <c r="Z423" s="7"/>
      <c r="AA423" s="7"/>
      <c r="AB423" s="7"/>
      <c r="AC423" s="9"/>
      <c r="AD423" s="9"/>
      <c r="AE423" s="9"/>
      <c r="AF423" s="3"/>
      <c r="AG423" s="3"/>
      <c r="AH423" s="3"/>
    </row>
    <row r="424" spans="1:34" x14ac:dyDescent="0.3">
      <c r="A424">
        <v>391</v>
      </c>
      <c r="B424" s="1" t="s">
        <v>432</v>
      </c>
      <c r="C424" s="1" t="s">
        <v>682</v>
      </c>
      <c r="D424" s="2">
        <v>40828</v>
      </c>
      <c r="E424" s="3">
        <v>39.4</v>
      </c>
      <c r="F424" s="4">
        <f t="shared" si="42"/>
        <v>5742.5234925905033</v>
      </c>
      <c r="G424" s="2">
        <v>40204</v>
      </c>
      <c r="H424" s="7">
        <v>3.5</v>
      </c>
      <c r="I424" s="7">
        <f>H424+H423-2*$A$24</f>
        <v>6.74</v>
      </c>
      <c r="J424" s="7">
        <v>3.28</v>
      </c>
      <c r="K424" s="7">
        <v>5.48</v>
      </c>
      <c r="L424" s="6">
        <f t="shared" si="43"/>
        <v>0.33234421364985156</v>
      </c>
      <c r="M424" s="6">
        <f t="shared" si="44"/>
        <v>0.56083086053412468</v>
      </c>
      <c r="N424" s="6">
        <f t="shared" si="45"/>
        <v>0.10682492581602376</v>
      </c>
      <c r="O424" s="4">
        <f t="shared" si="46"/>
        <v>1908.4944545107901</v>
      </c>
      <c r="P424" s="4">
        <f t="shared" si="47"/>
        <v>3220.584391986959</v>
      </c>
      <c r="Q424" s="4">
        <f t="shared" si="48"/>
        <v>5129.0788464977486</v>
      </c>
      <c r="V424" s="3"/>
      <c r="W424" s="3"/>
      <c r="Y424" s="7"/>
      <c r="Z424" s="7"/>
      <c r="AA424" s="7"/>
      <c r="AB424" s="7"/>
      <c r="AC424" s="9"/>
      <c r="AD424" s="9"/>
      <c r="AE424" s="9"/>
      <c r="AF424" s="3"/>
      <c r="AG424" s="3"/>
      <c r="AH424" s="3"/>
    </row>
    <row r="425" spans="1:34" x14ac:dyDescent="0.3">
      <c r="A425">
        <v>392</v>
      </c>
      <c r="B425" s="1" t="s">
        <v>433</v>
      </c>
      <c r="C425" s="1" t="s">
        <v>682</v>
      </c>
      <c r="D425" s="2">
        <v>40828</v>
      </c>
      <c r="E425" s="3">
        <v>36.5</v>
      </c>
      <c r="F425" s="4">
        <f t="shared" si="42"/>
        <v>5295.3344988066046</v>
      </c>
      <c r="G425" s="2">
        <v>40204</v>
      </c>
      <c r="H425" s="7">
        <v>4.3600000000000003</v>
      </c>
      <c r="I425" s="7">
        <f>H425+H422-2*$A$24</f>
        <v>7.66</v>
      </c>
      <c r="J425" s="7">
        <v>3.6</v>
      </c>
      <c r="K425" s="7">
        <v>5.98</v>
      </c>
      <c r="L425" s="6">
        <f t="shared" si="43"/>
        <v>0.33420365535248042</v>
      </c>
      <c r="M425" s="6">
        <f t="shared" si="44"/>
        <v>0.55874673629242821</v>
      </c>
      <c r="N425" s="6">
        <f t="shared" si="45"/>
        <v>0.10704960835509136</v>
      </c>
      <c r="O425" s="4">
        <f t="shared" si="46"/>
        <v>1769.7201458152622</v>
      </c>
      <c r="P425" s="4">
        <f t="shared" si="47"/>
        <v>2958.7508687848913</v>
      </c>
      <c r="Q425" s="4">
        <f t="shared" si="48"/>
        <v>4728.4710146001535</v>
      </c>
      <c r="V425" s="3"/>
      <c r="W425" s="3"/>
      <c r="Y425" s="7"/>
      <c r="Z425" s="7"/>
      <c r="AA425" s="7"/>
      <c r="AB425" s="7"/>
      <c r="AC425" s="9"/>
      <c r="AD425" s="9"/>
      <c r="AE425" s="9"/>
      <c r="AF425" s="3"/>
      <c r="AG425" s="3"/>
      <c r="AH425" s="3"/>
    </row>
    <row r="426" spans="1:34" x14ac:dyDescent="0.3">
      <c r="A426">
        <v>393</v>
      </c>
      <c r="B426" s="1" t="s">
        <v>434</v>
      </c>
      <c r="C426" s="1" t="s">
        <v>682</v>
      </c>
      <c r="D426" s="2">
        <v>40828</v>
      </c>
      <c r="E426" s="3">
        <v>43.6</v>
      </c>
      <c r="F426" s="4">
        <f t="shared" si="42"/>
        <v>6390.1765180706361</v>
      </c>
      <c r="G426" s="2">
        <v>40204</v>
      </c>
      <c r="H426" s="7">
        <v>4.04</v>
      </c>
      <c r="I426" s="7">
        <f>H426+H421-2*$A$24</f>
        <v>7.1999999999999993</v>
      </c>
      <c r="J426" s="7">
        <v>3.46</v>
      </c>
      <c r="K426" s="7">
        <v>5.76</v>
      </c>
      <c r="L426" s="6">
        <f t="shared" si="43"/>
        <v>0.33611111111111114</v>
      </c>
      <c r="M426" s="6">
        <f t="shared" si="44"/>
        <v>0.56388888888888888</v>
      </c>
      <c r="N426" s="6">
        <f t="shared" si="45"/>
        <v>9.9999999999999978E-2</v>
      </c>
      <c r="O426" s="4">
        <f t="shared" si="46"/>
        <v>2147.8093296848529</v>
      </c>
      <c r="P426" s="4">
        <f t="shared" si="47"/>
        <v>3603.3495365787198</v>
      </c>
      <c r="Q426" s="4">
        <f t="shared" si="48"/>
        <v>5751.1588662635731</v>
      </c>
      <c r="V426" s="3"/>
      <c r="W426" s="3"/>
      <c r="Y426" s="7"/>
      <c r="Z426" s="7"/>
      <c r="AA426" s="7"/>
      <c r="AB426" s="7"/>
      <c r="AC426" s="9"/>
      <c r="AD426" s="9"/>
      <c r="AE426" s="9"/>
      <c r="AF426" s="3"/>
      <c r="AG426" s="3"/>
      <c r="AH426" s="3"/>
    </row>
    <row r="427" spans="1:34" x14ac:dyDescent="0.3">
      <c r="A427">
        <v>394</v>
      </c>
      <c r="B427" s="1" t="s">
        <v>435</v>
      </c>
      <c r="C427" s="1" t="s">
        <v>682</v>
      </c>
      <c r="D427" s="2">
        <v>40828</v>
      </c>
      <c r="E427" s="3">
        <v>43.4</v>
      </c>
      <c r="F427" s="4">
        <f t="shared" si="42"/>
        <v>6359.3358978096785</v>
      </c>
      <c r="G427" s="2">
        <v>40204</v>
      </c>
      <c r="H427" s="7">
        <v>3.04</v>
      </c>
      <c r="I427" s="7">
        <f>H427+H420-2*$A$24</f>
        <v>6.1</v>
      </c>
      <c r="J427" s="7">
        <v>3.08</v>
      </c>
      <c r="K427" s="7">
        <v>5.16</v>
      </c>
      <c r="L427" s="6">
        <f t="shared" si="43"/>
        <v>0.33442622950819673</v>
      </c>
      <c r="M427" s="6">
        <f t="shared" si="44"/>
        <v>0.56721311475409841</v>
      </c>
      <c r="N427" s="6">
        <f t="shared" si="45"/>
        <v>9.8360655737704805E-2</v>
      </c>
      <c r="O427" s="4">
        <f t="shared" si="46"/>
        <v>2126.7287264806137</v>
      </c>
      <c r="P427" s="4">
        <f t="shared" si="47"/>
        <v>3607.0987223641787</v>
      </c>
      <c r="Q427" s="4">
        <f t="shared" si="48"/>
        <v>5733.8274488447923</v>
      </c>
      <c r="V427" s="3"/>
      <c r="W427" s="3"/>
      <c r="Y427" s="7"/>
      <c r="Z427" s="7"/>
      <c r="AA427" s="7"/>
      <c r="AB427" s="7"/>
      <c r="AC427" s="9"/>
      <c r="AD427" s="9"/>
      <c r="AE427" s="9"/>
      <c r="AF427" s="3"/>
      <c r="AG427" s="3"/>
      <c r="AH427" s="3"/>
    </row>
    <row r="428" spans="1:34" x14ac:dyDescent="0.3">
      <c r="A428">
        <v>395</v>
      </c>
      <c r="B428" s="1" t="s">
        <v>436</v>
      </c>
      <c r="C428" s="1" t="s">
        <v>682</v>
      </c>
      <c r="D428" s="2">
        <v>40828</v>
      </c>
      <c r="E428" s="3">
        <v>41.7</v>
      </c>
      <c r="F428" s="4">
        <f t="shared" si="42"/>
        <v>6097.1906255915301</v>
      </c>
      <c r="G428" s="2">
        <v>40204</v>
      </c>
      <c r="H428" s="7">
        <v>3.7</v>
      </c>
      <c r="I428" s="7">
        <f>H428+H419-2*$A$24</f>
        <v>7.3999999999999995</v>
      </c>
      <c r="J428" s="7">
        <v>3.54</v>
      </c>
      <c r="K428" s="7">
        <v>5.9</v>
      </c>
      <c r="L428" s="6">
        <f t="shared" si="43"/>
        <v>0.33783783783783788</v>
      </c>
      <c r="M428" s="6">
        <f t="shared" si="44"/>
        <v>0.56756756756756765</v>
      </c>
      <c r="N428" s="6">
        <f t="shared" si="45"/>
        <v>9.4594594594594406E-2</v>
      </c>
      <c r="O428" s="4">
        <f t="shared" si="46"/>
        <v>2059.8616978349764</v>
      </c>
      <c r="P428" s="4">
        <f t="shared" si="47"/>
        <v>3460.5676523627608</v>
      </c>
      <c r="Q428" s="4">
        <f t="shared" si="48"/>
        <v>5520.4293501977372</v>
      </c>
      <c r="V428" s="3"/>
      <c r="W428" s="3"/>
      <c r="Y428" s="7"/>
      <c r="Z428" s="7"/>
      <c r="AA428" s="7"/>
      <c r="AB428" s="7"/>
      <c r="AC428" s="9"/>
      <c r="AD428" s="9"/>
      <c r="AE428" s="9"/>
      <c r="AF428" s="3"/>
      <c r="AG428" s="3"/>
      <c r="AH428" s="3"/>
    </row>
    <row r="429" spans="1:34" x14ac:dyDescent="0.3">
      <c r="A429">
        <v>396</v>
      </c>
      <c r="B429" s="1" t="s">
        <v>437</v>
      </c>
      <c r="C429" s="1" t="s">
        <v>682</v>
      </c>
      <c r="D429" s="2">
        <v>40828</v>
      </c>
      <c r="E429" s="3">
        <v>43</v>
      </c>
      <c r="F429" s="4">
        <f t="shared" si="42"/>
        <v>6297.6546572877614</v>
      </c>
      <c r="G429" s="2">
        <v>40204</v>
      </c>
      <c r="H429" s="7">
        <v>4.2</v>
      </c>
      <c r="I429" s="7">
        <f>H429+H418-2*$A$24</f>
        <v>7.52</v>
      </c>
      <c r="J429" s="7">
        <v>3.52</v>
      </c>
      <c r="K429" s="7">
        <v>5.94</v>
      </c>
      <c r="L429" s="6">
        <f t="shared" si="43"/>
        <v>0.32978723404255322</v>
      </c>
      <c r="M429" s="6">
        <f t="shared" si="44"/>
        <v>0.56382978723404265</v>
      </c>
      <c r="N429" s="6">
        <f t="shared" si="45"/>
        <v>0.10638297872340419</v>
      </c>
      <c r="O429" s="4">
        <f t="shared" si="46"/>
        <v>2076.8861103821341</v>
      </c>
      <c r="P429" s="4">
        <f t="shared" si="47"/>
        <v>3550.8052854920361</v>
      </c>
      <c r="Q429" s="4">
        <f t="shared" si="48"/>
        <v>5627.6913958741698</v>
      </c>
      <c r="V429" s="3"/>
      <c r="W429" s="3"/>
      <c r="Y429" s="7"/>
      <c r="Z429" s="7"/>
      <c r="AA429" s="7"/>
      <c r="AB429" s="7"/>
      <c r="AC429" s="9"/>
      <c r="AD429" s="9"/>
      <c r="AE429" s="9"/>
      <c r="AF429" s="3"/>
      <c r="AG429" s="3"/>
      <c r="AH429" s="3"/>
    </row>
    <row r="430" spans="1:34" x14ac:dyDescent="0.3">
      <c r="A430">
        <v>397</v>
      </c>
      <c r="B430" s="1" t="s">
        <v>438</v>
      </c>
      <c r="C430" s="1" t="s">
        <v>682</v>
      </c>
      <c r="D430" s="2">
        <v>40828</v>
      </c>
      <c r="E430" s="3">
        <v>42.9</v>
      </c>
      <c r="F430" s="4">
        <f t="shared" si="42"/>
        <v>6282.2343471572804</v>
      </c>
      <c r="G430" s="2">
        <v>40204</v>
      </c>
      <c r="H430" s="7">
        <v>3.06</v>
      </c>
      <c r="I430" s="7">
        <f>H430+H417-2*$A$24</f>
        <v>6.7999999999999989</v>
      </c>
      <c r="J430" s="7">
        <v>3.28</v>
      </c>
      <c r="K430" s="7">
        <v>5.62</v>
      </c>
      <c r="L430" s="6">
        <f t="shared" si="43"/>
        <v>0.32941176470588235</v>
      </c>
      <c r="M430" s="6">
        <f t="shared" si="44"/>
        <v>0.57647058823529418</v>
      </c>
      <c r="N430" s="6">
        <f t="shared" si="45"/>
        <v>9.4117647058823528E-2</v>
      </c>
      <c r="O430" s="4">
        <f t="shared" si="46"/>
        <v>2069.4419025929865</v>
      </c>
      <c r="P430" s="4">
        <f t="shared" si="47"/>
        <v>3621.5233295377266</v>
      </c>
      <c r="Q430" s="4">
        <f t="shared" si="48"/>
        <v>5690.965232130713</v>
      </c>
      <c r="V430" s="3"/>
      <c r="W430" s="3"/>
      <c r="Y430" s="7"/>
      <c r="Z430" s="7"/>
      <c r="AA430" s="7"/>
      <c r="AB430" s="7"/>
      <c r="AC430" s="9"/>
      <c r="AD430" s="9"/>
      <c r="AE430" s="9"/>
      <c r="AF430" s="3"/>
      <c r="AG430" s="3"/>
      <c r="AH430" s="3"/>
    </row>
    <row r="431" spans="1:34" x14ac:dyDescent="0.3">
      <c r="A431">
        <v>398</v>
      </c>
      <c r="B431" s="1" t="s">
        <v>439</v>
      </c>
      <c r="C431" s="1" t="s">
        <v>682</v>
      </c>
      <c r="D431" s="2">
        <v>40828</v>
      </c>
      <c r="E431" s="3">
        <v>42.2</v>
      </c>
      <c r="F431" s="4">
        <f t="shared" si="42"/>
        <v>6174.2921762439264</v>
      </c>
      <c r="G431" s="2">
        <v>40204</v>
      </c>
      <c r="H431" s="7">
        <v>4.32</v>
      </c>
      <c r="I431" s="7">
        <f>H431+H416-2*$A$24</f>
        <v>6.84</v>
      </c>
      <c r="J431" s="7">
        <v>3.3</v>
      </c>
      <c r="K431" s="7">
        <v>5.58</v>
      </c>
      <c r="L431" s="6">
        <f t="shared" si="43"/>
        <v>0.33040935672514615</v>
      </c>
      <c r="M431" s="6">
        <f t="shared" si="44"/>
        <v>0.56725146198830412</v>
      </c>
      <c r="N431" s="6">
        <f t="shared" si="45"/>
        <v>0.10233918128654973</v>
      </c>
      <c r="O431" s="4">
        <f t="shared" si="46"/>
        <v>2040.0439061858585</v>
      </c>
      <c r="P431" s="4">
        <f t="shared" si="47"/>
        <v>3502.3762637173149</v>
      </c>
      <c r="Q431" s="4">
        <f t="shared" si="48"/>
        <v>5542.4201699031737</v>
      </c>
      <c r="V431" s="3"/>
      <c r="W431" s="3"/>
      <c r="Y431" s="7"/>
      <c r="Z431" s="7"/>
      <c r="AA431" s="7"/>
      <c r="AB431" s="7"/>
      <c r="AC431" s="9"/>
      <c r="AD431" s="9"/>
      <c r="AE431" s="9"/>
      <c r="AF431" s="3"/>
      <c r="AG431" s="3"/>
      <c r="AH431" s="3"/>
    </row>
    <row r="432" spans="1:34" x14ac:dyDescent="0.3">
      <c r="A432">
        <v>399</v>
      </c>
      <c r="B432" s="1" t="s">
        <v>440</v>
      </c>
      <c r="C432" s="1" t="s">
        <v>682</v>
      </c>
      <c r="D432" s="2">
        <v>40828</v>
      </c>
      <c r="E432" s="3">
        <v>41.3</v>
      </c>
      <c r="F432" s="4">
        <f t="shared" si="42"/>
        <v>6035.509385069613</v>
      </c>
      <c r="G432" s="2">
        <v>40204</v>
      </c>
      <c r="H432" s="7">
        <v>3.18</v>
      </c>
      <c r="I432" s="7">
        <f>H432+H415-2*$A$24</f>
        <v>6.4</v>
      </c>
      <c r="J432" s="7">
        <v>3.1</v>
      </c>
      <c r="K432" s="7">
        <v>5.34</v>
      </c>
      <c r="L432" s="6">
        <f t="shared" si="43"/>
        <v>0.32187499999999997</v>
      </c>
      <c r="M432" s="6">
        <f t="shared" si="44"/>
        <v>0.56874999999999987</v>
      </c>
      <c r="N432" s="6">
        <f t="shared" si="45"/>
        <v>0.10937500000000022</v>
      </c>
      <c r="O432" s="4">
        <f t="shared" si="46"/>
        <v>1942.6795833192814</v>
      </c>
      <c r="P432" s="4">
        <f t="shared" si="47"/>
        <v>3432.6959627583415</v>
      </c>
      <c r="Q432" s="4">
        <f t="shared" si="48"/>
        <v>5375.3755460776229</v>
      </c>
      <c r="V432" s="3"/>
      <c r="W432" s="3"/>
      <c r="Y432" s="7"/>
      <c r="Z432" s="7"/>
      <c r="AA432" s="7"/>
      <c r="AB432" s="7"/>
      <c r="AC432" s="9"/>
      <c r="AD432" s="9"/>
      <c r="AE432" s="9"/>
      <c r="AF432" s="3"/>
      <c r="AG432" s="3"/>
      <c r="AH432" s="3"/>
    </row>
    <row r="433" spans="1:34" x14ac:dyDescent="0.3">
      <c r="A433">
        <v>400</v>
      </c>
      <c r="B433" s="1" t="s">
        <v>441</v>
      </c>
      <c r="C433" s="1" t="s">
        <v>682</v>
      </c>
      <c r="D433" s="2">
        <v>40828</v>
      </c>
      <c r="E433" s="3">
        <v>36.700000000000003</v>
      </c>
      <c r="F433" s="4">
        <f t="shared" si="42"/>
        <v>5326.1751190675632</v>
      </c>
      <c r="G433" s="2">
        <v>40204</v>
      </c>
      <c r="H433" s="7">
        <v>3.5</v>
      </c>
      <c r="I433" s="7">
        <f>H433+H414-2*$A$24</f>
        <v>6.52</v>
      </c>
      <c r="J433" s="7">
        <v>3.26</v>
      </c>
      <c r="K433" s="7">
        <v>5.42</v>
      </c>
      <c r="L433" s="6">
        <f t="shared" si="43"/>
        <v>0.34049079754601225</v>
      </c>
      <c r="M433" s="6">
        <f t="shared" si="44"/>
        <v>0.57055214723926384</v>
      </c>
      <c r="N433" s="6">
        <f t="shared" si="45"/>
        <v>8.8957055214723857E-2</v>
      </c>
      <c r="O433" s="4">
        <f t="shared" si="46"/>
        <v>1813.5136141610412</v>
      </c>
      <c r="P433" s="4">
        <f t="shared" si="47"/>
        <v>3038.86065075634</v>
      </c>
      <c r="Q433" s="4">
        <f t="shared" si="48"/>
        <v>4852.374264917381</v>
      </c>
      <c r="V433" s="3"/>
      <c r="W433" s="3"/>
      <c r="Y433" s="7"/>
      <c r="Z433" s="7"/>
      <c r="AA433" s="7"/>
      <c r="AB433" s="7"/>
      <c r="AC433" s="9"/>
      <c r="AD433" s="9"/>
      <c r="AE433" s="9"/>
      <c r="AF433" s="3"/>
      <c r="AG433" s="3"/>
      <c r="AH433" s="3"/>
    </row>
    <row r="434" spans="1:34" x14ac:dyDescent="0.3">
      <c r="A434">
        <v>401</v>
      </c>
      <c r="B434" s="1" t="s">
        <v>442</v>
      </c>
      <c r="C434" s="1" t="s">
        <v>682</v>
      </c>
      <c r="D434" s="2">
        <v>40829</v>
      </c>
      <c r="E434" s="3">
        <v>29.1</v>
      </c>
      <c r="F434" s="4">
        <f t="shared" si="42"/>
        <v>4154.2315491511335</v>
      </c>
      <c r="G434" s="2">
        <v>40200</v>
      </c>
      <c r="H434" s="7">
        <v>3.22</v>
      </c>
      <c r="I434" s="7">
        <f>H434+H453-2*$A$24</f>
        <v>7.32</v>
      </c>
      <c r="J434" s="7">
        <v>3.5</v>
      </c>
      <c r="K434" s="7">
        <v>5.94</v>
      </c>
      <c r="L434" s="6">
        <f t="shared" si="43"/>
        <v>0.33606557377049179</v>
      </c>
      <c r="M434" s="6">
        <f t="shared" si="44"/>
        <v>0.57923497267759561</v>
      </c>
      <c r="N434" s="6">
        <f t="shared" si="45"/>
        <v>8.4699453551912551E-2</v>
      </c>
      <c r="O434" s="4">
        <f t="shared" si="46"/>
        <v>1396.0942091409547</v>
      </c>
      <c r="P434" s="4">
        <f t="shared" si="47"/>
        <v>2406.2761978689623</v>
      </c>
      <c r="Q434" s="4">
        <f t="shared" si="48"/>
        <v>3802.370407009917</v>
      </c>
      <c r="S434" t="s">
        <v>33</v>
      </c>
      <c r="T434" t="s">
        <v>682</v>
      </c>
      <c r="U434" s="8">
        <f>D434</f>
        <v>40829</v>
      </c>
      <c r="V434" s="3">
        <f>SUM(E434:E473)</f>
        <v>1445.3</v>
      </c>
      <c r="W434" s="3">
        <f>(V434-80*$A$20)*$A$21/(40*$A$22)*$A$23</f>
        <v>5238.6648590770919</v>
      </c>
      <c r="X434" s="8">
        <f>G434</f>
        <v>40200</v>
      </c>
      <c r="Y434" s="7">
        <f>SUM(H434:H473)</f>
        <v>145.90000000000003</v>
      </c>
      <c r="Z434" s="7">
        <f>SUM(I434:I473)</f>
        <v>278.99999999999994</v>
      </c>
      <c r="AA434" s="7">
        <f>SUM(J434:J473)</f>
        <v>134.99999999999994</v>
      </c>
      <c r="AB434" s="7">
        <f>SUM(K434:K473)</f>
        <v>226.16000000000003</v>
      </c>
      <c r="AC434" s="9">
        <f>(AA434-40*$A$25)/Z434</f>
        <v>0.3347670250896056</v>
      </c>
      <c r="AD434" s="9">
        <f>(AB434-40*$A$26)/Z434</f>
        <v>0.56688172043010776</v>
      </c>
      <c r="AE434" s="9">
        <f>1-AC434-AD434</f>
        <v>9.8351254480286698E-2</v>
      </c>
      <c r="AF434" s="3">
        <f>W434*AC434</f>
        <v>1753.7322503146961</v>
      </c>
      <c r="AG434" s="3">
        <f>W434*AD434</f>
        <v>2969.7033480703699</v>
      </c>
      <c r="AH434" s="3">
        <f>AF434+AG434</f>
        <v>4723.4355983850655</v>
      </c>
    </row>
    <row r="435" spans="1:34" x14ac:dyDescent="0.3">
      <c r="A435">
        <v>402</v>
      </c>
      <c r="B435" s="1" t="s">
        <v>443</v>
      </c>
      <c r="C435" s="1" t="s">
        <v>682</v>
      </c>
      <c r="D435" s="2">
        <v>40829</v>
      </c>
      <c r="E435" s="3">
        <v>34.900000000000006</v>
      </c>
      <c r="F435" s="4">
        <f t="shared" si="42"/>
        <v>5048.6095367189355</v>
      </c>
      <c r="G435" s="2">
        <v>40200</v>
      </c>
      <c r="H435" s="7">
        <v>3.1</v>
      </c>
      <c r="I435" s="7">
        <f>H435+H452-2*$A$24</f>
        <v>7.0399999999999991</v>
      </c>
      <c r="J435" s="7">
        <v>3.42</v>
      </c>
      <c r="K435" s="7">
        <v>5.76</v>
      </c>
      <c r="L435" s="6">
        <f t="shared" si="43"/>
        <v>0.33806818181818182</v>
      </c>
      <c r="M435" s="6">
        <f t="shared" si="44"/>
        <v>0.57670454545454541</v>
      </c>
      <c r="N435" s="6">
        <f t="shared" si="45"/>
        <v>8.5227272727272707E-2</v>
      </c>
      <c r="O435" s="4">
        <f t="shared" si="46"/>
        <v>1706.7742467885039</v>
      </c>
      <c r="P435" s="4">
        <f t="shared" si="47"/>
        <v>2911.5560680509766</v>
      </c>
      <c r="Q435" s="4">
        <f t="shared" si="48"/>
        <v>4618.3303148394807</v>
      </c>
      <c r="V435" s="3"/>
      <c r="W435" s="3"/>
      <c r="Y435" s="7"/>
      <c r="Z435" s="7"/>
      <c r="AA435" s="7"/>
      <c r="AB435" s="7"/>
      <c r="AC435" s="9"/>
      <c r="AD435" s="9"/>
      <c r="AE435" s="9"/>
      <c r="AF435" s="3"/>
      <c r="AG435" s="3"/>
      <c r="AH435" s="3"/>
    </row>
    <row r="436" spans="1:34" x14ac:dyDescent="0.3">
      <c r="A436">
        <v>403</v>
      </c>
      <c r="B436" s="1" t="s">
        <v>444</v>
      </c>
      <c r="C436" s="1" t="s">
        <v>682</v>
      </c>
      <c r="D436" s="2">
        <v>40829</v>
      </c>
      <c r="E436" s="3">
        <v>34.1</v>
      </c>
      <c r="F436" s="4">
        <f t="shared" si="42"/>
        <v>4925.2470556751005</v>
      </c>
      <c r="G436" s="2">
        <v>40200</v>
      </c>
      <c r="H436" s="7">
        <v>4.16</v>
      </c>
      <c r="I436" s="7">
        <f>H436+H451-2*$A$24</f>
        <v>7.18</v>
      </c>
      <c r="J436" s="7">
        <v>3.34</v>
      </c>
      <c r="K436" s="7">
        <v>5.76</v>
      </c>
      <c r="L436" s="6">
        <f t="shared" si="43"/>
        <v>0.3203342618384401</v>
      </c>
      <c r="M436" s="6">
        <f t="shared" si="44"/>
        <v>0.56545961002785516</v>
      </c>
      <c r="N436" s="6">
        <f t="shared" si="45"/>
        <v>0.11420612813370468</v>
      </c>
      <c r="O436" s="4">
        <f t="shared" si="46"/>
        <v>1577.7253799516338</v>
      </c>
      <c r="P436" s="4">
        <f t="shared" si="47"/>
        <v>2785.0282793928841</v>
      </c>
      <c r="Q436" s="4">
        <f t="shared" si="48"/>
        <v>4362.7536593445184</v>
      </c>
      <c r="V436" s="3"/>
      <c r="W436" s="3"/>
      <c r="Y436" s="7"/>
      <c r="Z436" s="7"/>
      <c r="AA436" s="7"/>
      <c r="AB436" s="7"/>
      <c r="AC436" s="9"/>
      <c r="AD436" s="9"/>
      <c r="AE436" s="9"/>
      <c r="AF436" s="3"/>
      <c r="AG436" s="3"/>
      <c r="AH436" s="3"/>
    </row>
    <row r="437" spans="1:34" x14ac:dyDescent="0.3">
      <c r="A437">
        <v>404</v>
      </c>
      <c r="B437" s="1" t="s">
        <v>445</v>
      </c>
      <c r="C437" s="1" t="s">
        <v>682</v>
      </c>
      <c r="D437" s="2">
        <v>40829</v>
      </c>
      <c r="E437" s="3">
        <v>36.1</v>
      </c>
      <c r="F437" s="4">
        <f t="shared" si="42"/>
        <v>5233.6532582846858</v>
      </c>
      <c r="G437" s="2">
        <v>40200</v>
      </c>
      <c r="H437" s="7">
        <v>3.14</v>
      </c>
      <c r="I437" s="7">
        <f>H437+H450-2*$A$24</f>
        <v>6.4399999999999995</v>
      </c>
      <c r="J437" s="7">
        <v>3.18</v>
      </c>
      <c r="K437" s="7">
        <v>5.42</v>
      </c>
      <c r="L437" s="6">
        <f t="shared" si="43"/>
        <v>0.3322981366459628</v>
      </c>
      <c r="M437" s="6">
        <f t="shared" si="44"/>
        <v>0.57763975155279501</v>
      </c>
      <c r="N437" s="6">
        <f t="shared" si="45"/>
        <v>9.0062111801242239E-2</v>
      </c>
      <c r="O437" s="4">
        <f t="shared" si="46"/>
        <v>1739.133225579073</v>
      </c>
      <c r="P437" s="4">
        <f t="shared" si="47"/>
        <v>3023.166167829042</v>
      </c>
      <c r="Q437" s="4">
        <f t="shared" si="48"/>
        <v>4762.2993934081151</v>
      </c>
      <c r="V437" s="3"/>
      <c r="W437" s="3"/>
      <c r="Y437" s="7"/>
      <c r="Z437" s="7"/>
      <c r="AA437" s="7"/>
      <c r="AB437" s="7"/>
      <c r="AC437" s="9"/>
      <c r="AD437" s="9"/>
      <c r="AE437" s="9"/>
      <c r="AF437" s="3"/>
      <c r="AG437" s="3"/>
      <c r="AH437" s="3"/>
    </row>
    <row r="438" spans="1:34" x14ac:dyDescent="0.3">
      <c r="A438">
        <v>405</v>
      </c>
      <c r="B438" s="1" t="s">
        <v>446</v>
      </c>
      <c r="C438" s="1" t="s">
        <v>682</v>
      </c>
      <c r="D438" s="2">
        <v>40829</v>
      </c>
      <c r="E438" s="3">
        <v>36.599999999999994</v>
      </c>
      <c r="F438" s="4">
        <f t="shared" si="42"/>
        <v>5310.754808937083</v>
      </c>
      <c r="G438" s="2">
        <v>40200</v>
      </c>
      <c r="H438" s="7">
        <v>4.34</v>
      </c>
      <c r="I438" s="7">
        <f>H438+H449-2*$A$24</f>
        <v>7.98</v>
      </c>
      <c r="J438" s="7">
        <v>3.74</v>
      </c>
      <c r="K438" s="7">
        <v>6.16</v>
      </c>
      <c r="L438" s="6">
        <f t="shared" si="43"/>
        <v>0.33834586466165412</v>
      </c>
      <c r="M438" s="6">
        <f t="shared" si="44"/>
        <v>0.55889724310776934</v>
      </c>
      <c r="N438" s="6">
        <f t="shared" si="45"/>
        <v>0.10275689223057649</v>
      </c>
      <c r="O438" s="4">
        <f t="shared" si="46"/>
        <v>1796.8719278358551</v>
      </c>
      <c r="P438" s="4">
        <f t="shared" si="47"/>
        <v>2968.1662215362639</v>
      </c>
      <c r="Q438" s="4">
        <f t="shared" si="48"/>
        <v>4765.0381493721188</v>
      </c>
      <c r="V438" s="3"/>
      <c r="W438" s="3"/>
      <c r="Y438" s="7"/>
      <c r="Z438" s="7"/>
      <c r="AA438" s="7"/>
      <c r="AB438" s="7"/>
      <c r="AC438" s="9"/>
      <c r="AD438" s="9"/>
      <c r="AE438" s="9"/>
      <c r="AF438" s="3"/>
      <c r="AG438" s="3"/>
      <c r="AH438" s="3"/>
    </row>
    <row r="439" spans="1:34" x14ac:dyDescent="0.3">
      <c r="A439">
        <v>406</v>
      </c>
      <c r="B439" s="1" t="s">
        <v>447</v>
      </c>
      <c r="C439" s="1" t="s">
        <v>682</v>
      </c>
      <c r="D439" s="2">
        <v>40829</v>
      </c>
      <c r="E439" s="3">
        <v>33.700000000000003</v>
      </c>
      <c r="F439" s="4">
        <f t="shared" si="42"/>
        <v>4863.5658151531834</v>
      </c>
      <c r="G439" s="2">
        <v>40200</v>
      </c>
      <c r="H439" s="7">
        <v>3.74</v>
      </c>
      <c r="I439" s="7">
        <f>H439+H448-2*$A$24</f>
        <v>6.72</v>
      </c>
      <c r="J439" s="7">
        <v>3.28</v>
      </c>
      <c r="K439" s="7">
        <v>5.46</v>
      </c>
      <c r="L439" s="6">
        <f t="shared" si="43"/>
        <v>0.33333333333333331</v>
      </c>
      <c r="M439" s="6">
        <f t="shared" si="44"/>
        <v>0.55952380952380953</v>
      </c>
      <c r="N439" s="6">
        <f t="shared" si="45"/>
        <v>0.10714285714285721</v>
      </c>
      <c r="O439" s="4">
        <f t="shared" si="46"/>
        <v>1621.1886050510611</v>
      </c>
      <c r="P439" s="4">
        <f t="shared" si="47"/>
        <v>2721.2808727642814</v>
      </c>
      <c r="Q439" s="4">
        <f t="shared" si="48"/>
        <v>4342.4694778153425</v>
      </c>
      <c r="V439" s="3"/>
      <c r="W439" s="3"/>
      <c r="Y439" s="7"/>
      <c r="Z439" s="7"/>
      <c r="AA439" s="7"/>
      <c r="AB439" s="7"/>
      <c r="AC439" s="9"/>
      <c r="AD439" s="9"/>
      <c r="AE439" s="9"/>
      <c r="AF439" s="3"/>
      <c r="AG439" s="3"/>
      <c r="AH439" s="3"/>
    </row>
    <row r="440" spans="1:34" x14ac:dyDescent="0.3">
      <c r="A440">
        <v>407</v>
      </c>
      <c r="B440" s="1" t="s">
        <v>448</v>
      </c>
      <c r="C440" s="1" t="s">
        <v>682</v>
      </c>
      <c r="D440" s="2">
        <v>40829</v>
      </c>
      <c r="E440" s="3">
        <v>39</v>
      </c>
      <c r="F440" s="4">
        <f t="shared" si="42"/>
        <v>5680.8422520685872</v>
      </c>
      <c r="G440" s="2">
        <v>40200</v>
      </c>
      <c r="H440" s="7">
        <v>3.66</v>
      </c>
      <c r="I440" s="7">
        <f>H440+H447-2*$A$24</f>
        <v>7.6</v>
      </c>
      <c r="J440" s="7">
        <v>3.54</v>
      </c>
      <c r="K440" s="7">
        <v>5.98</v>
      </c>
      <c r="L440" s="6">
        <f t="shared" si="43"/>
        <v>0.32894736842105265</v>
      </c>
      <c r="M440" s="6">
        <f t="shared" si="44"/>
        <v>0.56315789473684219</v>
      </c>
      <c r="N440" s="6">
        <f t="shared" si="45"/>
        <v>0.10789473684210515</v>
      </c>
      <c r="O440" s="4">
        <f t="shared" si="46"/>
        <v>1868.698109233088</v>
      </c>
      <c r="P440" s="4">
        <f t="shared" si="47"/>
        <v>3199.2111630070472</v>
      </c>
      <c r="Q440" s="4">
        <f t="shared" si="48"/>
        <v>5067.9092722401347</v>
      </c>
      <c r="V440" s="3"/>
      <c r="W440" s="3"/>
      <c r="Y440" s="7"/>
      <c r="Z440" s="7"/>
      <c r="AA440" s="7"/>
      <c r="AB440" s="7"/>
      <c r="AC440" s="9"/>
      <c r="AD440" s="9"/>
      <c r="AE440" s="9"/>
      <c r="AF440" s="3"/>
      <c r="AG440" s="3"/>
      <c r="AH440" s="3"/>
    </row>
    <row r="441" spans="1:34" x14ac:dyDescent="0.3">
      <c r="A441">
        <v>408</v>
      </c>
      <c r="B441" s="1" t="s">
        <v>449</v>
      </c>
      <c r="C441" s="1" t="s">
        <v>682</v>
      </c>
      <c r="D441" s="2">
        <v>40829</v>
      </c>
      <c r="E441" s="3">
        <v>36.200000000000003</v>
      </c>
      <c r="F441" s="4">
        <f t="shared" si="42"/>
        <v>5249.0735684151668</v>
      </c>
      <c r="G441" s="2">
        <v>40200</v>
      </c>
      <c r="H441" s="7">
        <v>3.26</v>
      </c>
      <c r="I441" s="7">
        <f>H441+H446-2*$A$24</f>
        <v>6.0399999999999991</v>
      </c>
      <c r="J441" s="7">
        <v>3.02</v>
      </c>
      <c r="K441" s="7">
        <v>5.12</v>
      </c>
      <c r="L441" s="6">
        <f t="shared" si="43"/>
        <v>0.32781456953642391</v>
      </c>
      <c r="M441" s="6">
        <f t="shared" si="44"/>
        <v>0.56622516556291402</v>
      </c>
      <c r="N441" s="6">
        <f t="shared" si="45"/>
        <v>0.10596026490066213</v>
      </c>
      <c r="O441" s="4">
        <f t="shared" si="46"/>
        <v>1720.7227922950385</v>
      </c>
      <c r="P441" s="4">
        <f t="shared" si="47"/>
        <v>2972.1575503277936</v>
      </c>
      <c r="Q441" s="4">
        <f t="shared" si="48"/>
        <v>4692.8803426228324</v>
      </c>
      <c r="V441" s="3"/>
      <c r="W441" s="3"/>
      <c r="Y441" s="7"/>
      <c r="Z441" s="7"/>
      <c r="AA441" s="7"/>
      <c r="AB441" s="7"/>
      <c r="AC441" s="9"/>
      <c r="AD441" s="9"/>
      <c r="AE441" s="9"/>
      <c r="AF441" s="3"/>
      <c r="AG441" s="3"/>
      <c r="AH441" s="3"/>
    </row>
    <row r="442" spans="1:34" x14ac:dyDescent="0.3">
      <c r="A442">
        <v>409</v>
      </c>
      <c r="B442" s="1" t="s">
        <v>450</v>
      </c>
      <c r="C442" s="1" t="s">
        <v>682</v>
      </c>
      <c r="D442" s="2">
        <v>40829</v>
      </c>
      <c r="E442" s="3">
        <v>31.9</v>
      </c>
      <c r="F442" s="4">
        <f t="shared" si="42"/>
        <v>4586.0002328045539</v>
      </c>
      <c r="G442" s="2">
        <v>40200</v>
      </c>
      <c r="H442" s="7">
        <v>3.52</v>
      </c>
      <c r="I442" s="7">
        <f>H442+H445-2*$A$24</f>
        <v>6.8</v>
      </c>
      <c r="J442" s="7">
        <v>3.3</v>
      </c>
      <c r="K442" s="7">
        <v>5.54</v>
      </c>
      <c r="L442" s="6">
        <f t="shared" si="43"/>
        <v>0.33235294117647057</v>
      </c>
      <c r="M442" s="6">
        <f t="shared" si="44"/>
        <v>0.56470588235294117</v>
      </c>
      <c r="N442" s="6">
        <f t="shared" si="45"/>
        <v>0.10294117647058831</v>
      </c>
      <c r="O442" s="4">
        <f t="shared" si="46"/>
        <v>1524.1706656085723</v>
      </c>
      <c r="P442" s="4">
        <f t="shared" si="47"/>
        <v>2589.7413079366893</v>
      </c>
      <c r="Q442" s="4">
        <f t="shared" si="48"/>
        <v>4113.9119735452614</v>
      </c>
      <c r="V442" s="3"/>
      <c r="W442" s="3"/>
      <c r="Y442" s="7"/>
      <c r="Z442" s="7"/>
      <c r="AA442" s="7"/>
      <c r="AB442" s="7"/>
      <c r="AC442" s="9"/>
      <c r="AD442" s="9"/>
      <c r="AE442" s="9"/>
      <c r="AF442" s="3"/>
      <c r="AG442" s="3"/>
      <c r="AH442" s="3"/>
    </row>
    <row r="443" spans="1:34" x14ac:dyDescent="0.3">
      <c r="A443">
        <v>410</v>
      </c>
      <c r="B443" s="1" t="s">
        <v>451</v>
      </c>
      <c r="C443" s="1" t="s">
        <v>682</v>
      </c>
      <c r="D443" s="2">
        <v>40829</v>
      </c>
      <c r="E443" s="3">
        <v>27.1</v>
      </c>
      <c r="F443" s="4">
        <f t="shared" si="42"/>
        <v>3845.8253465415464</v>
      </c>
      <c r="G443" s="2">
        <v>40200</v>
      </c>
      <c r="H443" s="7">
        <v>4.1399999999999997</v>
      </c>
      <c r="I443" s="7">
        <f>H443+H444-2*$A$24</f>
        <v>7</v>
      </c>
      <c r="J443" s="7">
        <v>3.46</v>
      </c>
      <c r="K443" s="7">
        <v>5.64</v>
      </c>
      <c r="L443" s="6">
        <f t="shared" si="43"/>
        <v>0.3457142857142857</v>
      </c>
      <c r="M443" s="6">
        <f t="shared" si="44"/>
        <v>0.56285714285714283</v>
      </c>
      <c r="N443" s="6">
        <f t="shared" si="45"/>
        <v>9.1428571428571526E-2</v>
      </c>
      <c r="O443" s="4">
        <f t="shared" si="46"/>
        <v>1329.5567626615059</v>
      </c>
      <c r="P443" s="4">
        <f t="shared" si="47"/>
        <v>2164.6502664819559</v>
      </c>
      <c r="Q443" s="4">
        <f t="shared" si="48"/>
        <v>3494.207029143462</v>
      </c>
      <c r="V443" s="3"/>
      <c r="W443" s="3"/>
      <c r="Y443" s="7"/>
      <c r="Z443" s="7"/>
      <c r="AA443" s="7"/>
      <c r="AB443" s="7"/>
      <c r="AC443" s="9"/>
      <c r="AD443" s="9"/>
      <c r="AE443" s="9"/>
      <c r="AF443" s="3"/>
      <c r="AG443" s="3"/>
      <c r="AH443" s="3"/>
    </row>
    <row r="444" spans="1:34" x14ac:dyDescent="0.3">
      <c r="A444">
        <v>411</v>
      </c>
      <c r="B444" s="1" t="s">
        <v>452</v>
      </c>
      <c r="C444" s="1" t="s">
        <v>682</v>
      </c>
      <c r="D444" s="2">
        <v>40829</v>
      </c>
      <c r="E444" s="3">
        <v>34.9</v>
      </c>
      <c r="F444" s="4">
        <f t="shared" si="42"/>
        <v>5048.6095367189346</v>
      </c>
      <c r="G444" s="2">
        <v>40200</v>
      </c>
      <c r="H444" s="7">
        <v>3.18</v>
      </c>
      <c r="I444" s="7">
        <f>H444+H443-2*$A$24</f>
        <v>7</v>
      </c>
      <c r="J444" s="7">
        <v>3.46</v>
      </c>
      <c r="K444" s="7">
        <v>5.64</v>
      </c>
      <c r="L444" s="6">
        <f t="shared" si="43"/>
        <v>0.3457142857142857</v>
      </c>
      <c r="M444" s="6">
        <f t="shared" si="44"/>
        <v>0.56285714285714283</v>
      </c>
      <c r="N444" s="6">
        <f t="shared" si="45"/>
        <v>9.1428571428571526E-2</v>
      </c>
      <c r="O444" s="4">
        <f t="shared" si="46"/>
        <v>1745.3764398371172</v>
      </c>
      <c r="P444" s="4">
        <f t="shared" si="47"/>
        <v>2841.6459392389429</v>
      </c>
      <c r="Q444" s="4">
        <f t="shared" si="48"/>
        <v>4587.0223790760601</v>
      </c>
      <c r="V444" s="3"/>
      <c r="W444" s="3"/>
      <c r="Y444" s="7"/>
      <c r="Z444" s="7"/>
      <c r="AA444" s="7"/>
      <c r="AB444" s="7"/>
      <c r="AC444" s="9"/>
      <c r="AD444" s="9"/>
      <c r="AE444" s="9"/>
      <c r="AF444" s="3"/>
      <c r="AG444" s="3"/>
      <c r="AH444" s="3"/>
    </row>
    <row r="445" spans="1:34" x14ac:dyDescent="0.3">
      <c r="A445">
        <v>412</v>
      </c>
      <c r="B445" s="1" t="s">
        <v>453</v>
      </c>
      <c r="C445" s="1" t="s">
        <v>682</v>
      </c>
      <c r="D445" s="2">
        <v>40829</v>
      </c>
      <c r="E445" s="3">
        <v>38.799999999999997</v>
      </c>
      <c r="F445" s="4">
        <f t="shared" si="42"/>
        <v>5650.0016318076287</v>
      </c>
      <c r="G445" s="2">
        <v>40200</v>
      </c>
      <c r="H445" s="7">
        <v>3.6</v>
      </c>
      <c r="I445" s="7">
        <f>H445+H442-2*$A$24</f>
        <v>6.8</v>
      </c>
      <c r="J445" s="7">
        <v>3.3</v>
      </c>
      <c r="K445" s="7">
        <v>5.54</v>
      </c>
      <c r="L445" s="6">
        <f t="shared" si="43"/>
        <v>0.33235294117647057</v>
      </c>
      <c r="M445" s="6">
        <f t="shared" si="44"/>
        <v>0.56470588235294117</v>
      </c>
      <c r="N445" s="6">
        <f t="shared" si="45"/>
        <v>0.10294117647058831</v>
      </c>
      <c r="O445" s="4">
        <f t="shared" si="46"/>
        <v>1877.7946599831237</v>
      </c>
      <c r="P445" s="4">
        <f t="shared" si="47"/>
        <v>3190.5891567854842</v>
      </c>
      <c r="Q445" s="4">
        <f t="shared" si="48"/>
        <v>5068.3838167686081</v>
      </c>
      <c r="V445" s="3"/>
      <c r="W445" s="3"/>
      <c r="Y445" s="7"/>
      <c r="Z445" s="7"/>
      <c r="AA445" s="7"/>
      <c r="AB445" s="7"/>
      <c r="AC445" s="9"/>
      <c r="AD445" s="9"/>
      <c r="AE445" s="9"/>
      <c r="AF445" s="3"/>
      <c r="AG445" s="3"/>
      <c r="AH445" s="3"/>
    </row>
    <row r="446" spans="1:34" x14ac:dyDescent="0.3">
      <c r="A446">
        <v>413</v>
      </c>
      <c r="B446" s="1" t="s">
        <v>454</v>
      </c>
      <c r="C446" s="1" t="s">
        <v>682</v>
      </c>
      <c r="D446" s="2">
        <v>40829</v>
      </c>
      <c r="E446" s="3">
        <v>42.6</v>
      </c>
      <c r="F446" s="4">
        <f t="shared" si="42"/>
        <v>6235.9734167658435</v>
      </c>
      <c r="G446" s="2">
        <v>40200</v>
      </c>
      <c r="H446" s="7">
        <v>3.1</v>
      </c>
      <c r="I446" s="7">
        <f>H446+H441-2*$A$24</f>
        <v>6.0399999999999991</v>
      </c>
      <c r="J446" s="7">
        <v>3.02</v>
      </c>
      <c r="K446" s="7">
        <v>5.12</v>
      </c>
      <c r="L446" s="6">
        <f t="shared" si="43"/>
        <v>0.32781456953642391</v>
      </c>
      <c r="M446" s="6">
        <f t="shared" si="44"/>
        <v>0.56622516556291402</v>
      </c>
      <c r="N446" s="6">
        <f t="shared" si="45"/>
        <v>0.10596026490066213</v>
      </c>
      <c r="O446" s="4">
        <f t="shared" si="46"/>
        <v>2044.2429412576776</v>
      </c>
      <c r="P446" s="4">
        <f t="shared" si="47"/>
        <v>3530.9650803541704</v>
      </c>
      <c r="Q446" s="4">
        <f t="shared" si="48"/>
        <v>5575.2080216118484</v>
      </c>
      <c r="V446" s="3"/>
      <c r="W446" s="3"/>
      <c r="Y446" s="7"/>
      <c r="Z446" s="7"/>
      <c r="AA446" s="7"/>
      <c r="AB446" s="7"/>
      <c r="AC446" s="9"/>
      <c r="AD446" s="9"/>
      <c r="AE446" s="9"/>
      <c r="AF446" s="3"/>
      <c r="AG446" s="3"/>
      <c r="AH446" s="3"/>
    </row>
    <row r="447" spans="1:34" x14ac:dyDescent="0.3">
      <c r="A447">
        <v>414</v>
      </c>
      <c r="B447" s="1" t="s">
        <v>455</v>
      </c>
      <c r="C447" s="1" t="s">
        <v>682</v>
      </c>
      <c r="D447" s="2">
        <v>40829</v>
      </c>
      <c r="E447" s="3">
        <v>43.4</v>
      </c>
      <c r="F447" s="4">
        <f t="shared" si="42"/>
        <v>6359.3358978096785</v>
      </c>
      <c r="G447" s="2">
        <v>40200</v>
      </c>
      <c r="H447" s="7">
        <v>4.26</v>
      </c>
      <c r="I447" s="7">
        <f>H447+H440-2*$A$24</f>
        <v>7.6</v>
      </c>
      <c r="J447" s="7">
        <v>3.54</v>
      </c>
      <c r="K447" s="7">
        <v>5.98</v>
      </c>
      <c r="L447" s="6">
        <f t="shared" si="43"/>
        <v>0.32894736842105265</v>
      </c>
      <c r="M447" s="6">
        <f t="shared" si="44"/>
        <v>0.56315789473684219</v>
      </c>
      <c r="N447" s="6">
        <f t="shared" si="45"/>
        <v>0.10789473684210515</v>
      </c>
      <c r="O447" s="4">
        <f t="shared" si="46"/>
        <v>2091.8868084900259</v>
      </c>
      <c r="P447" s="4">
        <f t="shared" si="47"/>
        <v>3581.3102161349248</v>
      </c>
      <c r="Q447" s="4">
        <f t="shared" si="48"/>
        <v>5673.1970246249512</v>
      </c>
      <c r="V447" s="3"/>
      <c r="W447" s="3"/>
      <c r="Y447" s="7"/>
      <c r="Z447" s="7"/>
      <c r="AA447" s="7"/>
      <c r="AB447" s="7"/>
      <c r="AC447" s="9"/>
      <c r="AD447" s="9"/>
      <c r="AE447" s="9"/>
      <c r="AF447" s="3"/>
      <c r="AG447" s="3"/>
      <c r="AH447" s="3"/>
    </row>
    <row r="448" spans="1:34" x14ac:dyDescent="0.3">
      <c r="A448">
        <v>415</v>
      </c>
      <c r="B448" s="1" t="s">
        <v>456</v>
      </c>
      <c r="C448" s="1" t="s">
        <v>682</v>
      </c>
      <c r="D448" s="2">
        <v>40829</v>
      </c>
      <c r="E448" s="3">
        <v>38</v>
      </c>
      <c r="F448" s="4">
        <f t="shared" si="42"/>
        <v>5526.6391507637945</v>
      </c>
      <c r="G448" s="2">
        <v>40200</v>
      </c>
      <c r="H448" s="7">
        <v>3.3</v>
      </c>
      <c r="I448" s="7">
        <f>H448+H439-2*$A$24</f>
        <v>6.72</v>
      </c>
      <c r="J448" s="7">
        <v>3.28</v>
      </c>
      <c r="K448" s="7">
        <v>5.46</v>
      </c>
      <c r="L448" s="6">
        <f t="shared" si="43"/>
        <v>0.33333333333333331</v>
      </c>
      <c r="M448" s="6">
        <f t="shared" si="44"/>
        <v>0.55952380952380953</v>
      </c>
      <c r="N448" s="6">
        <f t="shared" si="45"/>
        <v>0.10714285714285721</v>
      </c>
      <c r="O448" s="4">
        <f t="shared" si="46"/>
        <v>1842.2130502545981</v>
      </c>
      <c r="P448" s="4">
        <f t="shared" si="47"/>
        <v>3092.2861914987898</v>
      </c>
      <c r="Q448" s="4">
        <f t="shared" si="48"/>
        <v>4934.4992417533877</v>
      </c>
      <c r="V448" s="3"/>
      <c r="W448" s="3"/>
      <c r="Y448" s="7"/>
      <c r="Z448" s="7"/>
      <c r="AA448" s="7"/>
      <c r="AB448" s="7"/>
      <c r="AC448" s="9"/>
      <c r="AD448" s="9"/>
      <c r="AE448" s="9"/>
      <c r="AF448" s="3"/>
      <c r="AG448" s="3"/>
      <c r="AH448" s="3"/>
    </row>
    <row r="449" spans="1:34" x14ac:dyDescent="0.3">
      <c r="A449">
        <v>416</v>
      </c>
      <c r="B449" s="1" t="s">
        <v>457</v>
      </c>
      <c r="C449" s="1" t="s">
        <v>682</v>
      </c>
      <c r="D449" s="2">
        <v>40829</v>
      </c>
      <c r="E449" s="3">
        <v>40.5</v>
      </c>
      <c r="F449" s="4">
        <f t="shared" si="42"/>
        <v>5912.146904025778</v>
      </c>
      <c r="G449" s="2">
        <v>40200</v>
      </c>
      <c r="H449" s="7">
        <v>3.96</v>
      </c>
      <c r="I449" s="7">
        <f>H449+H438-2*$A$24</f>
        <v>7.98</v>
      </c>
      <c r="J449" s="7">
        <v>3.74</v>
      </c>
      <c r="K449" s="7">
        <v>6.16</v>
      </c>
      <c r="L449" s="6">
        <f t="shared" si="43"/>
        <v>0.33834586466165412</v>
      </c>
      <c r="M449" s="6">
        <f t="shared" si="44"/>
        <v>0.55889724310776934</v>
      </c>
      <c r="N449" s="6">
        <f t="shared" si="45"/>
        <v>0.10275689223057649</v>
      </c>
      <c r="O449" s="4">
        <f t="shared" si="46"/>
        <v>2000.3504562493233</v>
      </c>
      <c r="P449" s="4">
        <f t="shared" si="47"/>
        <v>3304.2826055081409</v>
      </c>
      <c r="Q449" s="4">
        <f t="shared" si="48"/>
        <v>5304.633061757464</v>
      </c>
      <c r="V449" s="3"/>
      <c r="W449" s="3"/>
      <c r="Y449" s="7"/>
      <c r="Z449" s="7"/>
      <c r="AA449" s="7"/>
      <c r="AB449" s="7"/>
      <c r="AC449" s="9"/>
      <c r="AD449" s="9"/>
      <c r="AE449" s="9"/>
      <c r="AF449" s="3"/>
      <c r="AG449" s="3"/>
      <c r="AH449" s="3"/>
    </row>
    <row r="450" spans="1:34" x14ac:dyDescent="0.3">
      <c r="A450">
        <v>417</v>
      </c>
      <c r="B450" s="1" t="s">
        <v>458</v>
      </c>
      <c r="C450" s="1" t="s">
        <v>682</v>
      </c>
      <c r="D450" s="2">
        <v>40829</v>
      </c>
      <c r="E450" s="3">
        <v>39.799999999999997</v>
      </c>
      <c r="F450" s="4">
        <f t="shared" si="42"/>
        <v>5804.2047331124222</v>
      </c>
      <c r="G450" s="2">
        <v>40200</v>
      </c>
      <c r="H450" s="7">
        <v>3.62</v>
      </c>
      <c r="I450" s="7">
        <f>H450+H437-2*$A$24</f>
        <v>6.4399999999999995</v>
      </c>
      <c r="J450" s="7">
        <v>3.18</v>
      </c>
      <c r="K450" s="7">
        <v>5.42</v>
      </c>
      <c r="L450" s="6">
        <f t="shared" si="43"/>
        <v>0.3322981366459628</v>
      </c>
      <c r="M450" s="6">
        <f t="shared" si="44"/>
        <v>0.57763975155279501</v>
      </c>
      <c r="N450" s="6">
        <f t="shared" si="45"/>
        <v>9.0062111801242239E-2</v>
      </c>
      <c r="O450" s="4">
        <f t="shared" si="46"/>
        <v>1928.7264175249356</v>
      </c>
      <c r="P450" s="4">
        <f t="shared" si="47"/>
        <v>3352.7393799966167</v>
      </c>
      <c r="Q450" s="4">
        <f t="shared" si="48"/>
        <v>5281.4657975215523</v>
      </c>
      <c r="V450" s="3"/>
      <c r="W450" s="3"/>
      <c r="Y450" s="7"/>
      <c r="Z450" s="7"/>
      <c r="AA450" s="7"/>
      <c r="AB450" s="7"/>
      <c r="AC450" s="9"/>
      <c r="AD450" s="9"/>
      <c r="AE450" s="9"/>
      <c r="AF450" s="3"/>
      <c r="AG450" s="3"/>
      <c r="AH450" s="3"/>
    </row>
    <row r="451" spans="1:34" x14ac:dyDescent="0.3">
      <c r="A451">
        <v>418</v>
      </c>
      <c r="B451" s="1" t="s">
        <v>459</v>
      </c>
      <c r="C451" s="1" t="s">
        <v>682</v>
      </c>
      <c r="D451" s="2">
        <v>40829</v>
      </c>
      <c r="E451" s="3">
        <v>35.700000000000003</v>
      </c>
      <c r="F451" s="4">
        <f t="shared" si="42"/>
        <v>5171.9720177627705</v>
      </c>
      <c r="G451" s="2">
        <v>40200</v>
      </c>
      <c r="H451" s="7">
        <v>3.34</v>
      </c>
      <c r="I451" s="7">
        <f>H451+H436-2*$A$24</f>
        <v>7.18</v>
      </c>
      <c r="J451" s="7">
        <v>3.34</v>
      </c>
      <c r="K451" s="7">
        <v>5.76</v>
      </c>
      <c r="L451" s="6">
        <f t="shared" si="43"/>
        <v>0.3203342618384401</v>
      </c>
      <c r="M451" s="6">
        <f t="shared" si="44"/>
        <v>0.56545961002785516</v>
      </c>
      <c r="N451" s="6">
        <f t="shared" si="45"/>
        <v>0.11420612813370468</v>
      </c>
      <c r="O451" s="4">
        <f t="shared" si="46"/>
        <v>1656.7598385591048</v>
      </c>
      <c r="P451" s="4">
        <f t="shared" si="47"/>
        <v>2924.5412802391156</v>
      </c>
      <c r="Q451" s="4">
        <f t="shared" si="48"/>
        <v>4581.3011187982202</v>
      </c>
      <c r="V451" s="3"/>
      <c r="W451" s="3"/>
      <c r="Y451" s="7"/>
      <c r="Z451" s="7"/>
      <c r="AA451" s="7"/>
      <c r="AB451" s="7"/>
      <c r="AC451" s="9"/>
      <c r="AD451" s="9"/>
      <c r="AE451" s="9"/>
      <c r="AF451" s="3"/>
      <c r="AG451" s="3"/>
      <c r="AH451" s="3"/>
    </row>
    <row r="452" spans="1:34" x14ac:dyDescent="0.3">
      <c r="A452">
        <v>419</v>
      </c>
      <c r="B452" s="1" t="s">
        <v>460</v>
      </c>
      <c r="C452" s="1" t="s">
        <v>682</v>
      </c>
      <c r="D452" s="2">
        <v>40829</v>
      </c>
      <c r="E452" s="3">
        <v>38.700000000000003</v>
      </c>
      <c r="F452" s="4">
        <f t="shared" si="42"/>
        <v>5634.5813216771503</v>
      </c>
      <c r="G452" s="2">
        <v>40200</v>
      </c>
      <c r="H452" s="7">
        <v>4.26</v>
      </c>
      <c r="I452" s="7">
        <f>H452+H435-2*$A$24</f>
        <v>7.0399999999999991</v>
      </c>
      <c r="J452" s="7">
        <v>3.42</v>
      </c>
      <c r="K452" s="7">
        <v>5.76</v>
      </c>
      <c r="L452" s="6">
        <f t="shared" si="43"/>
        <v>0.33806818181818182</v>
      </c>
      <c r="M452" s="6">
        <f t="shared" si="44"/>
        <v>0.57670454545454541</v>
      </c>
      <c r="N452" s="6">
        <f t="shared" si="45"/>
        <v>8.5227272727272707E-2</v>
      </c>
      <c r="O452" s="4">
        <f t="shared" si="46"/>
        <v>1904.8726627260821</v>
      </c>
      <c r="P452" s="4">
        <f t="shared" si="47"/>
        <v>3249.4886599444926</v>
      </c>
      <c r="Q452" s="4">
        <f t="shared" si="48"/>
        <v>5154.3613226705747</v>
      </c>
      <c r="V452" s="3"/>
      <c r="W452" s="3"/>
      <c r="Y452" s="7"/>
      <c r="Z452" s="7"/>
      <c r="AA452" s="7"/>
      <c r="AB452" s="7"/>
      <c r="AC452" s="9"/>
      <c r="AD452" s="9"/>
      <c r="AE452" s="9"/>
      <c r="AF452" s="3"/>
      <c r="AG452" s="3"/>
      <c r="AH452" s="3"/>
    </row>
    <row r="453" spans="1:34" x14ac:dyDescent="0.3">
      <c r="A453">
        <v>420</v>
      </c>
      <c r="B453" s="1" t="s">
        <v>461</v>
      </c>
      <c r="C453" s="1" t="s">
        <v>682</v>
      </c>
      <c r="D453" s="2">
        <v>40829</v>
      </c>
      <c r="E453" s="3">
        <v>34.4</v>
      </c>
      <c r="F453" s="4">
        <f t="shared" si="42"/>
        <v>4971.5079860665373</v>
      </c>
      <c r="G453" s="2">
        <v>40200</v>
      </c>
      <c r="H453" s="7">
        <v>4.42</v>
      </c>
      <c r="I453" s="7">
        <f>H453+H434-2*$A$24</f>
        <v>7.32</v>
      </c>
      <c r="J453" s="7">
        <v>3.5</v>
      </c>
      <c r="K453" s="7">
        <v>5.94</v>
      </c>
      <c r="L453" s="6">
        <f t="shared" si="43"/>
        <v>0.33606557377049179</v>
      </c>
      <c r="M453" s="6">
        <f t="shared" si="44"/>
        <v>0.57923497267759561</v>
      </c>
      <c r="N453" s="6">
        <f t="shared" si="45"/>
        <v>8.4699453551912551E-2</v>
      </c>
      <c r="O453" s="4">
        <f t="shared" si="46"/>
        <v>1670.7526838420329</v>
      </c>
      <c r="P453" s="4">
        <f t="shared" si="47"/>
        <v>2879.6712924756989</v>
      </c>
      <c r="Q453" s="4">
        <f t="shared" si="48"/>
        <v>4550.423976317732</v>
      </c>
      <c r="V453" s="3"/>
      <c r="W453" s="3"/>
      <c r="Y453" s="7"/>
      <c r="Z453" s="7"/>
      <c r="AA453" s="7"/>
      <c r="AB453" s="7"/>
      <c r="AC453" s="9"/>
      <c r="AD453" s="9"/>
      <c r="AE453" s="9"/>
      <c r="AF453" s="3"/>
      <c r="AG453" s="3"/>
      <c r="AH453" s="3"/>
    </row>
    <row r="454" spans="1:34" x14ac:dyDescent="0.3">
      <c r="A454">
        <v>421</v>
      </c>
      <c r="B454" s="1" t="s">
        <v>462</v>
      </c>
      <c r="C454" s="1" t="s">
        <v>682</v>
      </c>
      <c r="D454" s="2">
        <v>40829</v>
      </c>
      <c r="E454" s="3">
        <v>28.3</v>
      </c>
      <c r="F454" s="4">
        <f t="shared" si="42"/>
        <v>4030.869068107299</v>
      </c>
      <c r="G454" s="2">
        <v>40200</v>
      </c>
      <c r="H454" s="7">
        <v>3.68</v>
      </c>
      <c r="I454" s="7">
        <f>H454+H473-2*$A$24</f>
        <v>7.74</v>
      </c>
      <c r="J454" s="7">
        <v>3.72</v>
      </c>
      <c r="K454" s="7">
        <v>6.16</v>
      </c>
      <c r="L454" s="6">
        <f t="shared" si="43"/>
        <v>0.34625322997416019</v>
      </c>
      <c r="M454" s="6">
        <f t="shared" si="44"/>
        <v>0.57622739018087854</v>
      </c>
      <c r="N454" s="6">
        <f t="shared" si="45"/>
        <v>7.7519379844961267E-2</v>
      </c>
      <c r="O454" s="4">
        <f t="shared" si="46"/>
        <v>1395.7014344350853</v>
      </c>
      <c r="P454" s="4">
        <f t="shared" si="47"/>
        <v>2322.6971632762989</v>
      </c>
      <c r="Q454" s="4">
        <f t="shared" si="48"/>
        <v>3718.3985977113844</v>
      </c>
      <c r="V454" s="3"/>
      <c r="W454" s="3"/>
      <c r="Y454" s="7"/>
      <c r="Z454" s="7"/>
      <c r="AA454" s="7"/>
      <c r="AB454" s="7"/>
      <c r="AC454" s="9"/>
      <c r="AD454" s="9"/>
      <c r="AE454" s="9"/>
      <c r="AF454" s="3"/>
      <c r="AG454" s="3"/>
      <c r="AH454" s="3"/>
    </row>
    <row r="455" spans="1:34" x14ac:dyDescent="0.3">
      <c r="A455">
        <v>422</v>
      </c>
      <c r="B455" s="1" t="s">
        <v>463</v>
      </c>
      <c r="C455" s="1" t="s">
        <v>682</v>
      </c>
      <c r="D455" s="2">
        <v>40829</v>
      </c>
      <c r="E455" s="3">
        <v>36.9</v>
      </c>
      <c r="F455" s="4">
        <f t="shared" si="42"/>
        <v>5357.0157393285199</v>
      </c>
      <c r="G455" s="2">
        <v>40200</v>
      </c>
      <c r="H455" s="7">
        <v>3</v>
      </c>
      <c r="I455" s="7">
        <f>H455+H472-2*$A$24</f>
        <v>5.9599999999999991</v>
      </c>
      <c r="J455" s="7">
        <v>2.96</v>
      </c>
      <c r="K455" s="7">
        <v>5.0599999999999996</v>
      </c>
      <c r="L455" s="6">
        <f t="shared" si="43"/>
        <v>0.32214765100671144</v>
      </c>
      <c r="M455" s="6">
        <f t="shared" si="44"/>
        <v>0.56375838926174493</v>
      </c>
      <c r="N455" s="6">
        <f t="shared" si="45"/>
        <v>0.11409395973154368</v>
      </c>
      <c r="O455" s="4">
        <f t="shared" si="46"/>
        <v>1725.7500368306644</v>
      </c>
      <c r="P455" s="4">
        <f t="shared" si="47"/>
        <v>3020.0625644536622</v>
      </c>
      <c r="Q455" s="4">
        <f t="shared" si="48"/>
        <v>4745.8126012843268</v>
      </c>
      <c r="V455" s="3"/>
      <c r="W455" s="3"/>
      <c r="Y455" s="7"/>
      <c r="Z455" s="7"/>
      <c r="AA455" s="7"/>
      <c r="AB455" s="7"/>
      <c r="AC455" s="9"/>
      <c r="AD455" s="9"/>
      <c r="AE455" s="9"/>
      <c r="AF455" s="3"/>
      <c r="AG455" s="3"/>
      <c r="AH455" s="3"/>
    </row>
    <row r="456" spans="1:34" x14ac:dyDescent="0.3">
      <c r="A456">
        <v>423</v>
      </c>
      <c r="B456" s="1" t="s">
        <v>464</v>
      </c>
      <c r="C456" s="1" t="s">
        <v>682</v>
      </c>
      <c r="D456" s="2">
        <v>40829</v>
      </c>
      <c r="E456" s="3">
        <v>37.5</v>
      </c>
      <c r="F456" s="4">
        <f t="shared" si="42"/>
        <v>5449.5376001113982</v>
      </c>
      <c r="G456" s="2">
        <v>40200</v>
      </c>
      <c r="H456" s="7">
        <v>3.9</v>
      </c>
      <c r="I456" s="7">
        <f>H456+H471-2*$A$24</f>
        <v>7.5399999999999991</v>
      </c>
      <c r="J456" s="7">
        <v>3.6</v>
      </c>
      <c r="K456" s="7">
        <v>6.08</v>
      </c>
      <c r="L456" s="6">
        <f t="shared" si="43"/>
        <v>0.33952254641909818</v>
      </c>
      <c r="M456" s="6">
        <f t="shared" si="44"/>
        <v>0.58090185676392581</v>
      </c>
      <c r="N456" s="6">
        <f t="shared" si="45"/>
        <v>7.9575596816976013E-2</v>
      </c>
      <c r="O456" s="4">
        <f t="shared" si="46"/>
        <v>1850.2408827964432</v>
      </c>
      <c r="P456" s="4">
        <f t="shared" si="47"/>
        <v>3165.6465104095396</v>
      </c>
      <c r="Q456" s="4">
        <f t="shared" si="48"/>
        <v>5015.8873932059832</v>
      </c>
      <c r="V456" s="3"/>
      <c r="W456" s="3"/>
      <c r="Y456" s="7"/>
      <c r="Z456" s="7"/>
      <c r="AA456" s="7"/>
      <c r="AB456" s="7"/>
      <c r="AC456" s="9"/>
      <c r="AD456" s="9"/>
      <c r="AE456" s="9"/>
      <c r="AF456" s="3"/>
      <c r="AG456" s="3"/>
      <c r="AH456" s="3"/>
    </row>
    <row r="457" spans="1:34" x14ac:dyDescent="0.3">
      <c r="A457">
        <v>424</v>
      </c>
      <c r="B457" s="1" t="s">
        <v>465</v>
      </c>
      <c r="C457" s="1" t="s">
        <v>682</v>
      </c>
      <c r="D457" s="2">
        <v>40829</v>
      </c>
      <c r="E457" s="3">
        <v>38.200000000000003</v>
      </c>
      <c r="F457" s="4">
        <f t="shared" si="42"/>
        <v>5557.479771024754</v>
      </c>
      <c r="G457" s="2">
        <v>40200</v>
      </c>
      <c r="H457" s="7">
        <v>3.5</v>
      </c>
      <c r="I457" s="7">
        <f>H457+H470-2*$A$24</f>
        <v>7.4799999999999995</v>
      </c>
      <c r="J457" s="7">
        <v>3.46</v>
      </c>
      <c r="K457" s="7">
        <v>5.84</v>
      </c>
      <c r="L457" s="6">
        <f t="shared" si="43"/>
        <v>0.3235294117647059</v>
      </c>
      <c r="M457" s="6">
        <f t="shared" si="44"/>
        <v>0.553475935828877</v>
      </c>
      <c r="N457" s="6">
        <f t="shared" si="45"/>
        <v>0.12299465240641716</v>
      </c>
      <c r="O457" s="4">
        <f t="shared" si="46"/>
        <v>1798.0081612138911</v>
      </c>
      <c r="P457" s="4">
        <f t="shared" si="47"/>
        <v>3075.9313171179788</v>
      </c>
      <c r="Q457" s="4">
        <f t="shared" si="48"/>
        <v>4873.9394783318694</v>
      </c>
      <c r="V457" s="3"/>
      <c r="W457" s="3"/>
      <c r="Y457" s="7"/>
      <c r="Z457" s="7"/>
      <c r="AA457" s="7"/>
      <c r="AB457" s="7"/>
      <c r="AC457" s="9"/>
      <c r="AD457" s="9"/>
      <c r="AE457" s="9"/>
      <c r="AF457" s="3"/>
      <c r="AG457" s="3"/>
      <c r="AH457" s="3"/>
    </row>
    <row r="458" spans="1:34" x14ac:dyDescent="0.3">
      <c r="A458">
        <v>425</v>
      </c>
      <c r="B458" s="1" t="s">
        <v>466</v>
      </c>
      <c r="C458" s="1" t="s">
        <v>682</v>
      </c>
      <c r="D458" s="2">
        <v>40829</v>
      </c>
      <c r="E458" s="3">
        <v>39.599999999999994</v>
      </c>
      <c r="F458" s="4">
        <f t="shared" si="42"/>
        <v>5773.3641128514637</v>
      </c>
      <c r="G458" s="2">
        <v>40200</v>
      </c>
      <c r="H458" s="7">
        <v>3.5</v>
      </c>
      <c r="I458" s="7">
        <f>H458+H469-2*$A$24</f>
        <v>7.66</v>
      </c>
      <c r="J458" s="7">
        <v>3.64</v>
      </c>
      <c r="K458" s="7">
        <v>6.12</v>
      </c>
      <c r="L458" s="6">
        <f t="shared" si="43"/>
        <v>0.33942558746736295</v>
      </c>
      <c r="M458" s="6">
        <f t="shared" si="44"/>
        <v>0.57702349869451697</v>
      </c>
      <c r="N458" s="6">
        <f t="shared" si="45"/>
        <v>8.3550913838120078E-2</v>
      </c>
      <c r="O458" s="4">
        <f t="shared" si="46"/>
        <v>1959.6275056675988</v>
      </c>
      <c r="P458" s="4">
        <f t="shared" si="47"/>
        <v>3331.3667596349178</v>
      </c>
      <c r="Q458" s="4">
        <f t="shared" si="48"/>
        <v>5290.9942653025164</v>
      </c>
      <c r="V458" s="3"/>
      <c r="W458" s="3"/>
      <c r="Y458" s="7"/>
      <c r="Z458" s="7"/>
      <c r="AA458" s="7"/>
      <c r="AB458" s="7"/>
      <c r="AC458" s="9"/>
      <c r="AD458" s="9"/>
      <c r="AE458" s="9"/>
      <c r="AF458" s="3"/>
      <c r="AG458" s="3"/>
      <c r="AH458" s="3"/>
    </row>
    <row r="459" spans="1:34" x14ac:dyDescent="0.3">
      <c r="A459">
        <v>426</v>
      </c>
      <c r="B459" s="1" t="s">
        <v>467</v>
      </c>
      <c r="C459" s="1" t="s">
        <v>682</v>
      </c>
      <c r="D459" s="2">
        <v>40829</v>
      </c>
      <c r="E459" s="3">
        <v>36.700000000000003</v>
      </c>
      <c r="F459" s="4">
        <f t="shared" si="42"/>
        <v>5326.1751190675632</v>
      </c>
      <c r="G459" s="2">
        <v>40200</v>
      </c>
      <c r="H459" s="7">
        <v>3.18</v>
      </c>
      <c r="I459" s="7">
        <f>H459+H468-2*$A$24</f>
        <v>6.5</v>
      </c>
      <c r="J459" s="7">
        <v>3.32</v>
      </c>
      <c r="K459" s="7">
        <v>5.32</v>
      </c>
      <c r="L459" s="6">
        <f t="shared" si="43"/>
        <v>0.35076923076923072</v>
      </c>
      <c r="M459" s="6">
        <f t="shared" si="44"/>
        <v>0.55692307692307697</v>
      </c>
      <c r="N459" s="6">
        <f t="shared" si="45"/>
        <v>9.2307692307692313E-2</v>
      </c>
      <c r="O459" s="4">
        <f t="shared" si="46"/>
        <v>1868.2583494575449</v>
      </c>
      <c r="P459" s="4">
        <f t="shared" si="47"/>
        <v>2966.2698355422431</v>
      </c>
      <c r="Q459" s="4">
        <f t="shared" si="48"/>
        <v>4834.5281849997882</v>
      </c>
      <c r="V459" s="3"/>
      <c r="W459" s="3"/>
      <c r="Y459" s="7"/>
      <c r="Z459" s="7"/>
      <c r="AA459" s="7"/>
      <c r="AB459" s="7"/>
      <c r="AC459" s="9"/>
      <c r="AD459" s="9"/>
      <c r="AE459" s="9"/>
      <c r="AF459" s="3"/>
      <c r="AG459" s="3"/>
      <c r="AH459" s="3"/>
    </row>
    <row r="460" spans="1:34" x14ac:dyDescent="0.3">
      <c r="A460">
        <v>427</v>
      </c>
      <c r="B460" s="1" t="s">
        <v>468</v>
      </c>
      <c r="C460" s="1" t="s">
        <v>682</v>
      </c>
      <c r="D460" s="2">
        <v>40829</v>
      </c>
      <c r="E460" s="3">
        <v>42.3</v>
      </c>
      <c r="F460" s="4">
        <f t="shared" si="42"/>
        <v>6189.7124863744057</v>
      </c>
      <c r="G460" s="2">
        <v>40200</v>
      </c>
      <c r="H460" s="7">
        <v>3.46</v>
      </c>
      <c r="I460" s="7">
        <f>H460+H467-2*$A$24</f>
        <v>6.58</v>
      </c>
      <c r="J460" s="7">
        <v>3.24</v>
      </c>
      <c r="K460" s="7">
        <v>5.48</v>
      </c>
      <c r="L460" s="6">
        <f t="shared" si="43"/>
        <v>0.33434650455927056</v>
      </c>
      <c r="M460" s="6">
        <f t="shared" si="44"/>
        <v>0.57446808510638303</v>
      </c>
      <c r="N460" s="6">
        <f t="shared" si="45"/>
        <v>9.1185410334346351E-2</v>
      </c>
      <c r="O460" s="4">
        <f t="shared" si="46"/>
        <v>2069.5087340461541</v>
      </c>
      <c r="P460" s="4">
        <f t="shared" si="47"/>
        <v>3555.7922794065739</v>
      </c>
      <c r="Q460" s="4">
        <f t="shared" si="48"/>
        <v>5625.3010134527285</v>
      </c>
      <c r="V460" s="3"/>
      <c r="W460" s="3"/>
      <c r="Y460" s="7"/>
      <c r="Z460" s="7"/>
      <c r="AA460" s="7"/>
      <c r="AB460" s="7"/>
      <c r="AC460" s="9"/>
      <c r="AD460" s="9"/>
      <c r="AE460" s="9"/>
      <c r="AF460" s="3"/>
      <c r="AG460" s="3"/>
      <c r="AH460" s="3"/>
    </row>
    <row r="461" spans="1:34" x14ac:dyDescent="0.3">
      <c r="A461">
        <v>428</v>
      </c>
      <c r="B461" s="1" t="s">
        <v>469</v>
      </c>
      <c r="C461" s="1" t="s">
        <v>682</v>
      </c>
      <c r="D461" s="2">
        <v>40829</v>
      </c>
      <c r="E461" s="3">
        <v>38.5</v>
      </c>
      <c r="F461" s="4">
        <f t="shared" si="42"/>
        <v>5603.7407014161909</v>
      </c>
      <c r="G461" s="2">
        <v>40200</v>
      </c>
      <c r="H461" s="7">
        <v>4.4400000000000004</v>
      </c>
      <c r="I461" s="7">
        <f>H461+H466-2*$A$24</f>
        <v>8.18</v>
      </c>
      <c r="J461" s="7">
        <v>3.74</v>
      </c>
      <c r="K461" s="7">
        <v>6.24</v>
      </c>
      <c r="L461" s="6">
        <f t="shared" si="43"/>
        <v>0.33007334963325186</v>
      </c>
      <c r="M461" s="6">
        <f t="shared" si="44"/>
        <v>0.55501222493887536</v>
      </c>
      <c r="N461" s="6">
        <f t="shared" si="45"/>
        <v>0.11491442542787278</v>
      </c>
      <c r="O461" s="4">
        <f t="shared" si="46"/>
        <v>1849.6454637926304</v>
      </c>
      <c r="P461" s="4">
        <f t="shared" si="47"/>
        <v>3110.1445946735344</v>
      </c>
      <c r="Q461" s="4">
        <f t="shared" si="48"/>
        <v>4959.7900584661647</v>
      </c>
      <c r="V461" s="3"/>
      <c r="W461" s="3"/>
      <c r="Y461" s="7"/>
      <c r="Z461" s="7"/>
      <c r="AA461" s="7"/>
      <c r="AB461" s="7"/>
      <c r="AC461" s="9"/>
      <c r="AD461" s="9"/>
      <c r="AE461" s="9"/>
      <c r="AF461" s="3"/>
      <c r="AG461" s="3"/>
      <c r="AH461" s="3"/>
    </row>
    <row r="462" spans="1:34" x14ac:dyDescent="0.3">
      <c r="A462">
        <v>429</v>
      </c>
      <c r="B462" s="1" t="s">
        <v>470</v>
      </c>
      <c r="C462" s="1" t="s">
        <v>682</v>
      </c>
      <c r="D462" s="2">
        <v>40829</v>
      </c>
      <c r="E462" s="3">
        <v>36</v>
      </c>
      <c r="F462" s="4">
        <f t="shared" si="42"/>
        <v>5218.2329481542074</v>
      </c>
      <c r="G462" s="2">
        <v>40200</v>
      </c>
      <c r="H462" s="7">
        <v>2.88</v>
      </c>
      <c r="I462" s="7">
        <f>H462+H465-2*$A$24</f>
        <v>5.6999999999999993</v>
      </c>
      <c r="J462" s="7">
        <v>3.02</v>
      </c>
      <c r="K462" s="7">
        <v>5</v>
      </c>
      <c r="L462" s="6">
        <f t="shared" si="43"/>
        <v>0.3473684210526316</v>
      </c>
      <c r="M462" s="6">
        <f t="shared" si="44"/>
        <v>0.57894736842105265</v>
      </c>
      <c r="N462" s="6">
        <f t="shared" si="45"/>
        <v>7.3684210526315796E-2</v>
      </c>
      <c r="O462" s="4">
        <f t="shared" si="46"/>
        <v>1812.6493398851458</v>
      </c>
      <c r="P462" s="4">
        <f t="shared" si="47"/>
        <v>3021.0822331419095</v>
      </c>
      <c r="Q462" s="4">
        <f t="shared" si="48"/>
        <v>4833.7315730270548</v>
      </c>
      <c r="V462" s="3"/>
      <c r="W462" s="3"/>
      <c r="Y462" s="7"/>
      <c r="Z462" s="7"/>
      <c r="AA462" s="7"/>
      <c r="AB462" s="7"/>
      <c r="AC462" s="9"/>
      <c r="AD462" s="9"/>
      <c r="AE462" s="9"/>
      <c r="AF462" s="3"/>
      <c r="AG462" s="3"/>
      <c r="AH462" s="3"/>
    </row>
    <row r="463" spans="1:34" x14ac:dyDescent="0.3">
      <c r="A463">
        <v>430</v>
      </c>
      <c r="B463" s="1" t="s">
        <v>471</v>
      </c>
      <c r="C463" s="1" t="s">
        <v>682</v>
      </c>
      <c r="D463" s="2">
        <v>40829</v>
      </c>
      <c r="E463" s="3">
        <v>31.9</v>
      </c>
      <c r="F463" s="4">
        <f t="shared" si="42"/>
        <v>4586.0002328045539</v>
      </c>
      <c r="G463" s="2">
        <v>40200</v>
      </c>
      <c r="H463" s="7">
        <v>3.24</v>
      </c>
      <c r="I463" s="7">
        <f>H463+H464-2*$A$24</f>
        <v>6.04</v>
      </c>
      <c r="J463" s="7">
        <v>3.02</v>
      </c>
      <c r="K463" s="7">
        <v>5</v>
      </c>
      <c r="L463" s="6">
        <f t="shared" si="43"/>
        <v>0.32781456953642385</v>
      </c>
      <c r="M463" s="6">
        <f t="shared" si="44"/>
        <v>0.54635761589403975</v>
      </c>
      <c r="N463" s="6">
        <f t="shared" si="45"/>
        <v>0.1258278145695364</v>
      </c>
      <c r="O463" s="4">
        <f t="shared" si="46"/>
        <v>1503.3576922107643</v>
      </c>
      <c r="P463" s="4">
        <f t="shared" si="47"/>
        <v>2505.5961536846075</v>
      </c>
      <c r="Q463" s="4">
        <f t="shared" si="48"/>
        <v>4008.9538458953721</v>
      </c>
      <c r="V463" s="3"/>
      <c r="W463" s="3"/>
      <c r="Y463" s="7"/>
      <c r="Z463" s="7"/>
      <c r="AA463" s="7"/>
      <c r="AB463" s="7"/>
      <c r="AC463" s="9"/>
      <c r="AD463" s="9"/>
      <c r="AE463" s="9"/>
      <c r="AF463" s="3"/>
      <c r="AG463" s="3"/>
      <c r="AH463" s="3"/>
    </row>
    <row r="464" spans="1:34" x14ac:dyDescent="0.3">
      <c r="A464">
        <v>431</v>
      </c>
      <c r="B464" s="1" t="s">
        <v>472</v>
      </c>
      <c r="C464" s="1" t="s">
        <v>682</v>
      </c>
      <c r="D464" s="2">
        <v>40829</v>
      </c>
      <c r="E464" s="3">
        <v>28.3</v>
      </c>
      <c r="F464" s="4">
        <f t="shared" si="42"/>
        <v>4030.869068107299</v>
      </c>
      <c r="G464" s="2">
        <v>40200</v>
      </c>
      <c r="H464" s="7">
        <v>3.12</v>
      </c>
      <c r="I464" s="7">
        <f>H464+H463-2*$A$24</f>
        <v>6.04</v>
      </c>
      <c r="J464" s="7">
        <v>3.02</v>
      </c>
      <c r="K464" s="7">
        <v>5</v>
      </c>
      <c r="L464" s="6">
        <f t="shared" si="43"/>
        <v>0.32781456953642385</v>
      </c>
      <c r="M464" s="6">
        <f t="shared" si="44"/>
        <v>0.54635761589403975</v>
      </c>
      <c r="N464" s="6">
        <f t="shared" si="45"/>
        <v>0.1258278145695364</v>
      </c>
      <c r="O464" s="4">
        <f t="shared" si="46"/>
        <v>1321.3776084192803</v>
      </c>
      <c r="P464" s="4">
        <f t="shared" si="47"/>
        <v>2202.2960140321338</v>
      </c>
      <c r="Q464" s="4">
        <f t="shared" si="48"/>
        <v>3523.6736224514143</v>
      </c>
      <c r="V464" s="3"/>
      <c r="W464" s="3"/>
      <c r="Y464" s="7"/>
      <c r="Z464" s="7"/>
      <c r="AA464" s="7"/>
      <c r="AB464" s="7"/>
      <c r="AC464" s="9"/>
      <c r="AD464" s="9"/>
      <c r="AE464" s="9"/>
      <c r="AF464" s="3"/>
      <c r="AG464" s="3"/>
      <c r="AH464" s="3"/>
    </row>
    <row r="465" spans="1:34" x14ac:dyDescent="0.3">
      <c r="A465">
        <v>432</v>
      </c>
      <c r="B465" s="1" t="s">
        <v>473</v>
      </c>
      <c r="C465" s="1" t="s">
        <v>682</v>
      </c>
      <c r="D465" s="2">
        <v>40829</v>
      </c>
      <c r="E465" s="3">
        <v>33.1</v>
      </c>
      <c r="F465" s="4">
        <f t="shared" si="42"/>
        <v>4771.0439543703069</v>
      </c>
      <c r="G465" s="2">
        <v>40200</v>
      </c>
      <c r="H465" s="7">
        <v>3.14</v>
      </c>
      <c r="I465" s="7">
        <f>H465+H462-2*$A$24</f>
        <v>5.6999999999999993</v>
      </c>
      <c r="J465" s="7">
        <v>3.02</v>
      </c>
      <c r="K465" s="7">
        <v>5</v>
      </c>
      <c r="L465" s="6">
        <f t="shared" si="43"/>
        <v>0.3473684210526316</v>
      </c>
      <c r="M465" s="6">
        <f t="shared" si="44"/>
        <v>0.57894736842105265</v>
      </c>
      <c r="N465" s="6">
        <f t="shared" si="45"/>
        <v>7.3684210526315796E-2</v>
      </c>
      <c r="O465" s="4">
        <f t="shared" si="46"/>
        <v>1657.3100052023171</v>
      </c>
      <c r="P465" s="4">
        <f t="shared" si="47"/>
        <v>2762.183342003862</v>
      </c>
      <c r="Q465" s="4">
        <f t="shared" si="48"/>
        <v>4419.4933472061794</v>
      </c>
      <c r="V465" s="3"/>
      <c r="W465" s="3"/>
      <c r="Y465" s="7"/>
      <c r="Z465" s="7"/>
      <c r="AA465" s="7"/>
      <c r="AB465" s="7"/>
      <c r="AC465" s="9"/>
      <c r="AD465" s="9"/>
      <c r="AE465" s="9"/>
      <c r="AF465" s="3"/>
      <c r="AG465" s="3"/>
      <c r="AH465" s="3"/>
    </row>
    <row r="466" spans="1:34" x14ac:dyDescent="0.3">
      <c r="A466">
        <v>433</v>
      </c>
      <c r="B466" s="1" t="s">
        <v>474</v>
      </c>
      <c r="C466" s="1" t="s">
        <v>682</v>
      </c>
      <c r="D466" s="2">
        <v>40829</v>
      </c>
      <c r="E466" s="3">
        <v>39.5</v>
      </c>
      <c r="F466" s="4">
        <f t="shared" si="42"/>
        <v>5757.9438027209835</v>
      </c>
      <c r="G466" s="2">
        <v>40200</v>
      </c>
      <c r="H466" s="7">
        <v>4.0599999999999996</v>
      </c>
      <c r="I466" s="7">
        <f>H466+H461-2*$A$24</f>
        <v>8.18</v>
      </c>
      <c r="J466" s="7">
        <v>3.74</v>
      </c>
      <c r="K466" s="7">
        <v>6.24</v>
      </c>
      <c r="L466" s="6">
        <f t="shared" si="43"/>
        <v>0.33007334963325186</v>
      </c>
      <c r="M466" s="6">
        <f t="shared" si="44"/>
        <v>0.55501222493887536</v>
      </c>
      <c r="N466" s="6">
        <f t="shared" si="45"/>
        <v>0.11491442542787278</v>
      </c>
      <c r="O466" s="4">
        <f t="shared" si="46"/>
        <v>1900.543797964139</v>
      </c>
      <c r="P466" s="4">
        <f t="shared" si="47"/>
        <v>3195.7292010211818</v>
      </c>
      <c r="Q466" s="4">
        <f t="shared" si="48"/>
        <v>5096.2729989853206</v>
      </c>
      <c r="V466" s="3"/>
      <c r="W466" s="3"/>
      <c r="Y466" s="7"/>
      <c r="Z466" s="7"/>
      <c r="AA466" s="7"/>
      <c r="AB466" s="7"/>
      <c r="AC466" s="9"/>
      <c r="AD466" s="9"/>
      <c r="AE466" s="9"/>
      <c r="AF466" s="3"/>
      <c r="AG466" s="3"/>
      <c r="AH466" s="3"/>
    </row>
    <row r="467" spans="1:34" x14ac:dyDescent="0.3">
      <c r="A467">
        <v>434</v>
      </c>
      <c r="B467" s="1" t="s">
        <v>475</v>
      </c>
      <c r="C467" s="1" t="s">
        <v>682</v>
      </c>
      <c r="D467" s="2">
        <v>40829</v>
      </c>
      <c r="E467" s="3">
        <v>39.9</v>
      </c>
      <c r="F467" s="4">
        <f t="shared" si="42"/>
        <v>5819.6250432429006</v>
      </c>
      <c r="G467" s="2">
        <v>40200</v>
      </c>
      <c r="H467" s="7">
        <v>3.44</v>
      </c>
      <c r="I467" s="7">
        <f>H467+H460-2*$A$24</f>
        <v>6.58</v>
      </c>
      <c r="J467" s="7">
        <v>3.24</v>
      </c>
      <c r="K467" s="7">
        <v>5.48</v>
      </c>
      <c r="L467" s="6">
        <f t="shared" si="43"/>
        <v>0.33434650455927056</v>
      </c>
      <c r="M467" s="6">
        <f t="shared" si="44"/>
        <v>0.57446808510638303</v>
      </c>
      <c r="N467" s="6">
        <f t="shared" si="45"/>
        <v>9.1185410334346351E-2</v>
      </c>
      <c r="O467" s="4">
        <f t="shared" si="46"/>
        <v>1945.7712910538576</v>
      </c>
      <c r="P467" s="4">
        <f t="shared" si="47"/>
        <v>3343.1888546289006</v>
      </c>
      <c r="Q467" s="4">
        <f t="shared" si="48"/>
        <v>5288.9601456827586</v>
      </c>
      <c r="V467" s="3"/>
      <c r="W467" s="3"/>
      <c r="Y467" s="7"/>
      <c r="Z467" s="7"/>
      <c r="AA467" s="7"/>
      <c r="AB467" s="7"/>
      <c r="AC467" s="9"/>
      <c r="AD467" s="9"/>
      <c r="AE467" s="9"/>
      <c r="AF467" s="3"/>
      <c r="AG467" s="3"/>
      <c r="AH467" s="3"/>
    </row>
    <row r="468" spans="1:34" x14ac:dyDescent="0.3">
      <c r="A468">
        <v>435</v>
      </c>
      <c r="B468" s="1" t="s">
        <v>476</v>
      </c>
      <c r="C468" s="1" t="s">
        <v>682</v>
      </c>
      <c r="D468" s="2">
        <v>40829</v>
      </c>
      <c r="E468" s="3">
        <v>33.799999999999997</v>
      </c>
      <c r="F468" s="4">
        <f t="shared" si="42"/>
        <v>4878.9861252836617</v>
      </c>
      <c r="G468" s="2">
        <v>40200</v>
      </c>
      <c r="H468" s="7">
        <v>3.64</v>
      </c>
      <c r="I468" s="7">
        <f>H468+H459-2*$A$24</f>
        <v>6.5</v>
      </c>
      <c r="J468" s="7">
        <v>3.32</v>
      </c>
      <c r="K468" s="7">
        <v>5.32</v>
      </c>
      <c r="L468" s="6">
        <f t="shared" si="43"/>
        <v>0.35076923076923072</v>
      </c>
      <c r="M468" s="6">
        <f t="shared" si="44"/>
        <v>0.55692307692307697</v>
      </c>
      <c r="N468" s="6">
        <f t="shared" si="45"/>
        <v>9.2307692307692313E-2</v>
      </c>
      <c r="O468" s="4">
        <f t="shared" si="46"/>
        <v>1711.3982100994997</v>
      </c>
      <c r="P468" s="4">
        <f t="shared" si="47"/>
        <v>2717.2199651579781</v>
      </c>
      <c r="Q468" s="4">
        <f t="shared" si="48"/>
        <v>4428.6181752574776</v>
      </c>
      <c r="V468" s="3"/>
      <c r="W468" s="3"/>
      <c r="Y468" s="7"/>
      <c r="Z468" s="7"/>
      <c r="AA468" s="7"/>
      <c r="AB468" s="7"/>
      <c r="AC468" s="9"/>
      <c r="AD468" s="9"/>
      <c r="AE468" s="9"/>
      <c r="AF468" s="3"/>
      <c r="AG468" s="3"/>
      <c r="AH468" s="3"/>
    </row>
    <row r="469" spans="1:34" x14ac:dyDescent="0.3">
      <c r="A469">
        <v>436</v>
      </c>
      <c r="B469" s="1" t="s">
        <v>477</v>
      </c>
      <c r="C469" s="1" t="s">
        <v>682</v>
      </c>
      <c r="D469" s="2">
        <v>40829</v>
      </c>
      <c r="E469" s="3">
        <v>38.200000000000003</v>
      </c>
      <c r="F469" s="4">
        <f t="shared" si="42"/>
        <v>5557.479771024754</v>
      </c>
      <c r="G469" s="2">
        <v>40200</v>
      </c>
      <c r="H469" s="7">
        <v>4.4800000000000004</v>
      </c>
      <c r="I469" s="7">
        <f>H469+H458-2*$A$24</f>
        <v>7.66</v>
      </c>
      <c r="J469" s="7">
        <v>3.64</v>
      </c>
      <c r="K469" s="7">
        <v>6.12</v>
      </c>
      <c r="L469" s="6">
        <f t="shared" si="43"/>
        <v>0.33942558746736295</v>
      </c>
      <c r="M469" s="6">
        <f t="shared" si="44"/>
        <v>0.57702349869451697</v>
      </c>
      <c r="N469" s="6">
        <f t="shared" si="45"/>
        <v>8.3550913838120078E-2</v>
      </c>
      <c r="O469" s="4">
        <f t="shared" si="46"/>
        <v>1886.3508361180629</v>
      </c>
      <c r="P469" s="4">
        <f t="shared" si="47"/>
        <v>3206.7964214007065</v>
      </c>
      <c r="Q469" s="4">
        <f t="shared" si="48"/>
        <v>5093.147257518769</v>
      </c>
      <c r="V469" s="3"/>
      <c r="W469" s="3"/>
      <c r="Y469" s="7"/>
      <c r="Z469" s="7"/>
      <c r="AA469" s="7"/>
      <c r="AB469" s="7"/>
      <c r="AC469" s="9"/>
      <c r="AD469" s="9"/>
      <c r="AE469" s="9"/>
      <c r="AF469" s="3"/>
      <c r="AG469" s="3"/>
      <c r="AH469" s="3"/>
    </row>
    <row r="470" spans="1:34" x14ac:dyDescent="0.3">
      <c r="A470">
        <v>437</v>
      </c>
      <c r="B470" s="1" t="s">
        <v>478</v>
      </c>
      <c r="C470" s="1" t="s">
        <v>682</v>
      </c>
      <c r="D470" s="2">
        <v>40829</v>
      </c>
      <c r="E470" s="3">
        <v>37.200000000000003</v>
      </c>
      <c r="F470" s="4">
        <f t="shared" si="42"/>
        <v>5403.2766697199604</v>
      </c>
      <c r="G470" s="2">
        <v>40200</v>
      </c>
      <c r="H470" s="7">
        <v>4.3</v>
      </c>
      <c r="I470" s="7">
        <f>H470+H457-2*$A$24</f>
        <v>7.4799999999999995</v>
      </c>
      <c r="J470" s="7">
        <v>3.46</v>
      </c>
      <c r="K470" s="7">
        <v>5.84</v>
      </c>
      <c r="L470" s="6">
        <f t="shared" si="43"/>
        <v>0.3235294117647059</v>
      </c>
      <c r="M470" s="6">
        <f t="shared" si="44"/>
        <v>0.553475935828877</v>
      </c>
      <c r="N470" s="6">
        <f t="shared" si="45"/>
        <v>0.12299465240641716</v>
      </c>
      <c r="O470" s="4">
        <f t="shared" si="46"/>
        <v>1748.1189225564578</v>
      </c>
      <c r="P470" s="4">
        <f t="shared" si="47"/>
        <v>2990.5836113155929</v>
      </c>
      <c r="Q470" s="4">
        <f t="shared" si="48"/>
        <v>4738.7025338720505</v>
      </c>
      <c r="V470" s="3"/>
      <c r="W470" s="3"/>
      <c r="Y470" s="7"/>
      <c r="Z470" s="7"/>
      <c r="AA470" s="7"/>
      <c r="AB470" s="7"/>
      <c r="AC470" s="9"/>
      <c r="AD470" s="9"/>
      <c r="AE470" s="9"/>
      <c r="AF470" s="3"/>
      <c r="AG470" s="3"/>
      <c r="AH470" s="3"/>
    </row>
    <row r="471" spans="1:34" x14ac:dyDescent="0.3">
      <c r="A471">
        <v>438</v>
      </c>
      <c r="B471" s="1" t="s">
        <v>479</v>
      </c>
      <c r="C471" s="1" t="s">
        <v>682</v>
      </c>
      <c r="D471" s="2">
        <v>40829</v>
      </c>
      <c r="E471" s="3">
        <v>38.1</v>
      </c>
      <c r="F471" s="4">
        <f t="shared" si="42"/>
        <v>5542.0594608942729</v>
      </c>
      <c r="G471" s="2">
        <v>40200</v>
      </c>
      <c r="H471" s="7">
        <v>3.96</v>
      </c>
      <c r="I471" s="7">
        <f>H471+H456-2*$A$24</f>
        <v>7.5399999999999991</v>
      </c>
      <c r="J471" s="7">
        <v>3.6</v>
      </c>
      <c r="K471" s="7">
        <v>6.08</v>
      </c>
      <c r="L471" s="6">
        <f t="shared" si="43"/>
        <v>0.33952254641909818</v>
      </c>
      <c r="M471" s="6">
        <f t="shared" si="44"/>
        <v>0.58090185676392581</v>
      </c>
      <c r="N471" s="6">
        <f t="shared" si="45"/>
        <v>7.9575596816976013E-2</v>
      </c>
      <c r="O471" s="4">
        <f t="shared" si="46"/>
        <v>1881.6541405688781</v>
      </c>
      <c r="P471" s="4">
        <f t="shared" si="47"/>
        <v>3219.392631129565</v>
      </c>
      <c r="Q471" s="4">
        <f t="shared" si="48"/>
        <v>5101.0467716984431</v>
      </c>
      <c r="V471" s="3"/>
      <c r="W471" s="3"/>
      <c r="Y471" s="7"/>
      <c r="Z471" s="7"/>
      <c r="AA471" s="7"/>
      <c r="AB471" s="7"/>
      <c r="AC471" s="9"/>
      <c r="AD471" s="9"/>
      <c r="AE471" s="9"/>
      <c r="AF471" s="3"/>
      <c r="AG471" s="3"/>
      <c r="AH471" s="3"/>
    </row>
    <row r="472" spans="1:34" x14ac:dyDescent="0.3">
      <c r="A472">
        <v>439</v>
      </c>
      <c r="B472" s="1" t="s">
        <v>480</v>
      </c>
      <c r="C472" s="1" t="s">
        <v>682</v>
      </c>
      <c r="D472" s="2">
        <v>40829</v>
      </c>
      <c r="E472" s="3">
        <v>37</v>
      </c>
      <c r="F472" s="4">
        <f t="shared" si="42"/>
        <v>5372.436049459001</v>
      </c>
      <c r="G472" s="2">
        <v>40200</v>
      </c>
      <c r="H472" s="7">
        <v>3.28</v>
      </c>
      <c r="I472" s="7">
        <f>H472+H455-2*$A$24</f>
        <v>5.9599999999999991</v>
      </c>
      <c r="J472" s="7">
        <v>2.96</v>
      </c>
      <c r="K472" s="7">
        <v>5.0599999999999996</v>
      </c>
      <c r="L472" s="6">
        <f t="shared" si="43"/>
        <v>0.32214765100671144</v>
      </c>
      <c r="M472" s="6">
        <f t="shared" si="44"/>
        <v>0.56375838926174493</v>
      </c>
      <c r="N472" s="6">
        <f t="shared" si="45"/>
        <v>0.11409395973154368</v>
      </c>
      <c r="O472" s="4">
        <f t="shared" si="46"/>
        <v>1730.7176535169938</v>
      </c>
      <c r="P472" s="4">
        <f t="shared" si="47"/>
        <v>3028.7558936547384</v>
      </c>
      <c r="Q472" s="4">
        <f t="shared" si="48"/>
        <v>4759.4735471717322</v>
      </c>
      <c r="V472" s="3"/>
      <c r="W472" s="3"/>
      <c r="Y472" s="7"/>
      <c r="Z472" s="7"/>
      <c r="AA472" s="7"/>
      <c r="AB472" s="7"/>
      <c r="AC472" s="9"/>
      <c r="AD472" s="9"/>
      <c r="AE472" s="9"/>
      <c r="AF472" s="3"/>
      <c r="AG472" s="3"/>
      <c r="AH472" s="3"/>
    </row>
    <row r="473" spans="1:34" x14ac:dyDescent="0.3">
      <c r="A473">
        <v>440</v>
      </c>
      <c r="B473" s="1" t="s">
        <v>481</v>
      </c>
      <c r="C473" s="1" t="s">
        <v>682</v>
      </c>
      <c r="D473" s="2">
        <v>40829</v>
      </c>
      <c r="E473" s="3">
        <v>28.8</v>
      </c>
      <c r="F473" s="4">
        <f t="shared" si="42"/>
        <v>4107.9706187596958</v>
      </c>
      <c r="G473" s="2">
        <v>40200</v>
      </c>
      <c r="H473" s="7">
        <v>4.38</v>
      </c>
      <c r="I473" s="7">
        <f>H473+H454-2*$A$24</f>
        <v>7.74</v>
      </c>
      <c r="J473" s="7">
        <v>3.72</v>
      </c>
      <c r="K473" s="7">
        <v>6.16</v>
      </c>
      <c r="L473" s="6">
        <f t="shared" si="43"/>
        <v>0.34625322997416019</v>
      </c>
      <c r="M473" s="6">
        <f t="shared" si="44"/>
        <v>0.57622739018087854</v>
      </c>
      <c r="N473" s="6">
        <f t="shared" si="45"/>
        <v>7.7519379844961267E-2</v>
      </c>
      <c r="O473" s="4">
        <f t="shared" si="46"/>
        <v>1422.3980953844941</v>
      </c>
      <c r="P473" s="4">
        <f t="shared" si="47"/>
        <v>2367.1251885876281</v>
      </c>
      <c r="Q473" s="4">
        <f t="shared" si="48"/>
        <v>3789.523283972122</v>
      </c>
      <c r="V473" s="3"/>
      <c r="W473" s="3"/>
      <c r="Y473" s="7"/>
      <c r="Z473" s="7"/>
      <c r="AA473" s="7"/>
      <c r="AB473" s="7"/>
      <c r="AC473" s="9"/>
      <c r="AD473" s="9"/>
      <c r="AE473" s="9"/>
      <c r="AF473" s="3"/>
      <c r="AG473" s="3"/>
      <c r="AH473" s="3"/>
    </row>
    <row r="474" spans="1:34" x14ac:dyDescent="0.3">
      <c r="A474">
        <v>441</v>
      </c>
      <c r="B474" s="1" t="s">
        <v>482</v>
      </c>
      <c r="C474" s="1" t="s">
        <v>682</v>
      </c>
      <c r="D474" s="2">
        <v>40829</v>
      </c>
      <c r="E474" s="3">
        <v>24</v>
      </c>
      <c r="F474" s="4">
        <f t="shared" si="42"/>
        <v>3367.7957324966874</v>
      </c>
      <c r="G474" s="2">
        <v>40200</v>
      </c>
      <c r="H474" s="7">
        <v>3.62</v>
      </c>
      <c r="I474" s="7">
        <f>H474+H493-2*$A$24</f>
        <v>7.9399999999999995</v>
      </c>
      <c r="J474" s="7">
        <v>3.62</v>
      </c>
      <c r="K474" s="7">
        <v>6.18</v>
      </c>
      <c r="L474" s="6">
        <f t="shared" si="43"/>
        <v>0.32493702770780858</v>
      </c>
      <c r="M474" s="6">
        <f t="shared" si="44"/>
        <v>0.5642317380352645</v>
      </c>
      <c r="N474" s="6">
        <f t="shared" si="45"/>
        <v>0.11083123425692698</v>
      </c>
      <c r="O474" s="4">
        <f t="shared" si="46"/>
        <v>1094.3215352445156</v>
      </c>
      <c r="P474" s="4">
        <f t="shared" si="47"/>
        <v>1900.2172394943527</v>
      </c>
      <c r="Q474" s="4">
        <f t="shared" si="48"/>
        <v>2994.5387747388686</v>
      </c>
      <c r="S474" t="s">
        <v>34</v>
      </c>
      <c r="T474" t="s">
        <v>682</v>
      </c>
      <c r="U474" s="8">
        <f>D474</f>
        <v>40829</v>
      </c>
      <c r="V474" s="3">
        <f>SUM(E474:E513)</f>
        <v>1189.6000000000001</v>
      </c>
      <c r="W474" s="3">
        <f>(V474-80*$A$20)*$A$21/(40*$A$22)*$A$23</f>
        <v>4252.9215339862012</v>
      </c>
      <c r="X474" s="8">
        <f>G474</f>
        <v>40200</v>
      </c>
      <c r="Y474" s="7">
        <f>SUM(H474:H513)</f>
        <v>141.55999999999997</v>
      </c>
      <c r="Z474" s="7">
        <f>SUM(I474:I513)</f>
        <v>270.32</v>
      </c>
      <c r="AA474" s="7">
        <f>SUM(J474:J513)</f>
        <v>129.48000000000002</v>
      </c>
      <c r="AB474" s="7">
        <f>SUM(K474:K513)</f>
        <v>223.20000000000007</v>
      </c>
      <c r="AC474" s="9">
        <f>(AA474-40*$A$25)/Z474</f>
        <v>0.32509618230245646</v>
      </c>
      <c r="AD474" s="9">
        <f>(AB474-40*$A$26)/Z474</f>
        <v>0.57413435927789314</v>
      </c>
      <c r="AE474" s="9">
        <f>1-AC474-AD474</f>
        <v>0.10076945841965035</v>
      </c>
      <c r="AF474" s="3">
        <f>W474*AC474</f>
        <v>1382.6085543308209</v>
      </c>
      <c r="AG474" s="3">
        <f>W474*AD474</f>
        <v>2441.7483799743222</v>
      </c>
      <c r="AH474" s="3">
        <f>AF474+AG474</f>
        <v>3824.3569343051431</v>
      </c>
    </row>
    <row r="475" spans="1:34" x14ac:dyDescent="0.3">
      <c r="A475">
        <v>442</v>
      </c>
      <c r="B475" s="1" t="s">
        <v>483</v>
      </c>
      <c r="C475" s="1" t="s">
        <v>682</v>
      </c>
      <c r="D475" s="2">
        <v>40829</v>
      </c>
      <c r="E475" s="3">
        <v>31.7</v>
      </c>
      <c r="F475" s="4">
        <f t="shared" si="42"/>
        <v>4555.1596125435963</v>
      </c>
      <c r="G475" s="2">
        <v>40200</v>
      </c>
      <c r="H475" s="7">
        <v>3.46</v>
      </c>
      <c r="I475" s="7">
        <f>H475+H492-2*$A$24</f>
        <v>6.3</v>
      </c>
      <c r="J475" s="7">
        <v>3.12</v>
      </c>
      <c r="K475" s="7">
        <v>5.24</v>
      </c>
      <c r="L475" s="6">
        <f t="shared" si="43"/>
        <v>0.33015873015873021</v>
      </c>
      <c r="M475" s="6">
        <f t="shared" si="44"/>
        <v>0.56190476190476191</v>
      </c>
      <c r="N475" s="6">
        <f t="shared" si="45"/>
        <v>0.10793650793650789</v>
      </c>
      <c r="O475" s="4">
        <f t="shared" si="46"/>
        <v>1503.9257133477272</v>
      </c>
      <c r="P475" s="4">
        <f t="shared" si="47"/>
        <v>2559.565877524497</v>
      </c>
      <c r="Q475" s="4">
        <f t="shared" si="48"/>
        <v>4063.4915908722242</v>
      </c>
      <c r="V475" s="3"/>
      <c r="W475" s="3"/>
      <c r="Y475" s="7"/>
      <c r="Z475" s="7"/>
      <c r="AA475" s="7"/>
      <c r="AB475" s="7"/>
      <c r="AC475" s="9"/>
      <c r="AD475" s="9"/>
      <c r="AE475" s="9"/>
      <c r="AF475" s="3"/>
      <c r="AG475" s="3"/>
      <c r="AH475" s="3"/>
    </row>
    <row r="476" spans="1:34" x14ac:dyDescent="0.3">
      <c r="A476">
        <v>443</v>
      </c>
      <c r="B476" s="1" t="s">
        <v>484</v>
      </c>
      <c r="C476" s="1" t="s">
        <v>682</v>
      </c>
      <c r="D476" s="2">
        <v>40829</v>
      </c>
      <c r="E476" s="3">
        <v>28.1</v>
      </c>
      <c r="F476" s="4">
        <f t="shared" si="42"/>
        <v>4000.02844784634</v>
      </c>
      <c r="G476" s="2">
        <v>40200</v>
      </c>
      <c r="H476" s="7">
        <v>3.42</v>
      </c>
      <c r="I476" s="7">
        <f>H476+H491-2*$A$24</f>
        <v>6.9599999999999991</v>
      </c>
      <c r="J476" s="7">
        <v>3.32</v>
      </c>
      <c r="K476" s="7">
        <v>5.68</v>
      </c>
      <c r="L476" s="6">
        <f t="shared" si="43"/>
        <v>0.32758620689655171</v>
      </c>
      <c r="M476" s="6">
        <f t="shared" si="44"/>
        <v>0.57183908045977017</v>
      </c>
      <c r="N476" s="6">
        <f t="shared" si="45"/>
        <v>0.10057471264367812</v>
      </c>
      <c r="O476" s="4">
        <f t="shared" si="46"/>
        <v>1310.3541467082837</v>
      </c>
      <c r="P476" s="4">
        <f t="shared" si="47"/>
        <v>2287.372589429373</v>
      </c>
      <c r="Q476" s="4">
        <f t="shared" si="48"/>
        <v>3597.7267361376566</v>
      </c>
      <c r="V476" s="3"/>
      <c r="W476" s="3"/>
      <c r="Y476" s="7"/>
      <c r="Z476" s="7"/>
      <c r="AA476" s="7"/>
      <c r="AB476" s="7"/>
      <c r="AC476" s="9"/>
      <c r="AD476" s="9"/>
      <c r="AE476" s="9"/>
      <c r="AF476" s="3"/>
      <c r="AG476" s="3"/>
      <c r="AH476" s="3"/>
    </row>
    <row r="477" spans="1:34" x14ac:dyDescent="0.3">
      <c r="A477">
        <v>444</v>
      </c>
      <c r="B477" s="1" t="s">
        <v>485</v>
      </c>
      <c r="C477" s="1" t="s">
        <v>682</v>
      </c>
      <c r="D477" s="2">
        <v>40829</v>
      </c>
      <c r="E477" s="3">
        <v>29.1</v>
      </c>
      <c r="F477" s="4">
        <f t="shared" si="42"/>
        <v>4154.2315491511335</v>
      </c>
      <c r="G477" s="2">
        <v>40200</v>
      </c>
      <c r="H477" s="7">
        <v>3.34</v>
      </c>
      <c r="I477" s="7">
        <f>H477+H490-2*$A$24</f>
        <v>6.66</v>
      </c>
      <c r="J477" s="7">
        <v>3.26</v>
      </c>
      <c r="K477" s="7">
        <v>5.56</v>
      </c>
      <c r="L477" s="6">
        <f t="shared" si="43"/>
        <v>0.33333333333333331</v>
      </c>
      <c r="M477" s="6">
        <f t="shared" si="44"/>
        <v>0.57957957957957951</v>
      </c>
      <c r="N477" s="6">
        <f t="shared" si="45"/>
        <v>8.7087087087087234E-2</v>
      </c>
      <c r="O477" s="4">
        <f t="shared" si="46"/>
        <v>1384.7438497170444</v>
      </c>
      <c r="P477" s="4">
        <f t="shared" si="47"/>
        <v>2407.7077747332391</v>
      </c>
      <c r="Q477" s="4">
        <f t="shared" si="48"/>
        <v>3792.4516244502838</v>
      </c>
      <c r="V477" s="3"/>
      <c r="W477" s="3"/>
      <c r="Y477" s="7"/>
      <c r="Z477" s="7"/>
      <c r="AA477" s="7"/>
      <c r="AB477" s="7"/>
      <c r="AC477" s="9"/>
      <c r="AD477" s="9"/>
      <c r="AE477" s="9"/>
      <c r="AF477" s="3"/>
      <c r="AG477" s="3"/>
      <c r="AH477" s="3"/>
    </row>
    <row r="478" spans="1:34" x14ac:dyDescent="0.3">
      <c r="A478">
        <v>445</v>
      </c>
      <c r="B478" s="1" t="s">
        <v>486</v>
      </c>
      <c r="C478" s="1" t="s">
        <v>682</v>
      </c>
      <c r="D478" s="2">
        <v>40829</v>
      </c>
      <c r="E478" s="3">
        <v>33.4</v>
      </c>
      <c r="F478" s="4">
        <f t="shared" si="42"/>
        <v>4817.3048847617447</v>
      </c>
      <c r="G478" s="2">
        <v>40200</v>
      </c>
      <c r="H478" s="7">
        <v>2.66</v>
      </c>
      <c r="I478" s="7">
        <f>H478+H489-2*$A$24</f>
        <v>5.82</v>
      </c>
      <c r="J478" s="7">
        <v>2.94</v>
      </c>
      <c r="K478" s="7">
        <v>5.08</v>
      </c>
      <c r="L478" s="6">
        <f t="shared" si="43"/>
        <v>0.32646048109965631</v>
      </c>
      <c r="M478" s="6">
        <f t="shared" si="44"/>
        <v>0.5807560137457044</v>
      </c>
      <c r="N478" s="6">
        <f t="shared" si="45"/>
        <v>9.278350515463929E-2</v>
      </c>
      <c r="O478" s="4">
        <f t="shared" si="46"/>
        <v>1572.6596702830436</v>
      </c>
      <c r="P478" s="4">
        <f t="shared" si="47"/>
        <v>2797.6787818719408</v>
      </c>
      <c r="Q478" s="4">
        <f t="shared" si="48"/>
        <v>4370.3384521549842</v>
      </c>
      <c r="V478" s="3"/>
      <c r="W478" s="3"/>
      <c r="Y478" s="7"/>
      <c r="Z478" s="7"/>
      <c r="AA478" s="7"/>
      <c r="AB478" s="7"/>
      <c r="AC478" s="9"/>
      <c r="AD478" s="9"/>
      <c r="AE478" s="9"/>
      <c r="AF478" s="3"/>
      <c r="AG478" s="3"/>
      <c r="AH478" s="3"/>
    </row>
    <row r="479" spans="1:34" x14ac:dyDescent="0.3">
      <c r="A479">
        <v>446</v>
      </c>
      <c r="B479" s="1" t="s">
        <v>487</v>
      </c>
      <c r="C479" s="1" t="s">
        <v>682</v>
      </c>
      <c r="D479" s="2">
        <v>40829</v>
      </c>
      <c r="E479" s="3">
        <v>29.299999999999997</v>
      </c>
      <c r="F479" s="4">
        <f t="shared" si="42"/>
        <v>4185.0721694120921</v>
      </c>
      <c r="G479" s="2">
        <v>40200</v>
      </c>
      <c r="H479" s="7">
        <v>3.76</v>
      </c>
      <c r="I479" s="7">
        <f>H479+H488-2*$A$24</f>
        <v>6.84</v>
      </c>
      <c r="J479" s="7">
        <v>3.28</v>
      </c>
      <c r="K479" s="7">
        <v>5.6</v>
      </c>
      <c r="L479" s="6">
        <f t="shared" si="43"/>
        <v>0.32748538011695905</v>
      </c>
      <c r="M479" s="6">
        <f t="shared" si="44"/>
        <v>0.57017543859649111</v>
      </c>
      <c r="N479" s="6">
        <f t="shared" si="45"/>
        <v>0.10233918128654984</v>
      </c>
      <c r="O479" s="4">
        <f t="shared" si="46"/>
        <v>1370.5499502168254</v>
      </c>
      <c r="P479" s="4">
        <f t="shared" si="47"/>
        <v>2386.2253597525082</v>
      </c>
      <c r="Q479" s="4">
        <f t="shared" si="48"/>
        <v>3756.7753099693336</v>
      </c>
      <c r="V479" s="3"/>
      <c r="W479" s="3"/>
      <c r="Y479" s="7"/>
      <c r="Z479" s="7"/>
      <c r="AA479" s="7"/>
      <c r="AB479" s="7"/>
      <c r="AC479" s="9"/>
      <c r="AD479" s="9"/>
      <c r="AE479" s="9"/>
      <c r="AF479" s="3"/>
      <c r="AG479" s="3"/>
      <c r="AH479" s="3"/>
    </row>
    <row r="480" spans="1:34" x14ac:dyDescent="0.3">
      <c r="A480">
        <v>447</v>
      </c>
      <c r="B480" s="1" t="s">
        <v>488</v>
      </c>
      <c r="C480" s="1" t="s">
        <v>682</v>
      </c>
      <c r="D480" s="2">
        <v>40829</v>
      </c>
      <c r="E480" s="3">
        <v>31.799999999999997</v>
      </c>
      <c r="F480" s="4">
        <f t="shared" si="42"/>
        <v>4570.5799226740746</v>
      </c>
      <c r="G480" s="2">
        <v>40200</v>
      </c>
      <c r="H480" s="7">
        <v>2.86</v>
      </c>
      <c r="I480" s="7">
        <f>H480+H487-2*$A$24</f>
        <v>6.06</v>
      </c>
      <c r="J480" s="7">
        <v>3.02</v>
      </c>
      <c r="K480" s="7">
        <v>5.18</v>
      </c>
      <c r="L480" s="6">
        <f t="shared" si="43"/>
        <v>0.32673267326732675</v>
      </c>
      <c r="M480" s="6">
        <f t="shared" si="44"/>
        <v>0.57425742574257421</v>
      </c>
      <c r="N480" s="6">
        <f t="shared" si="45"/>
        <v>9.9009900990098987E-2</v>
      </c>
      <c r="O480" s="4">
        <f t="shared" si="46"/>
        <v>1493.3577965172719</v>
      </c>
      <c r="P480" s="4">
        <f t="shared" si="47"/>
        <v>2624.6894605455082</v>
      </c>
      <c r="Q480" s="4">
        <f t="shared" si="48"/>
        <v>4118.0472570627799</v>
      </c>
      <c r="V480" s="3"/>
      <c r="W480" s="3"/>
      <c r="Y480" s="7"/>
      <c r="Z480" s="7"/>
      <c r="AA480" s="7"/>
      <c r="AB480" s="7"/>
      <c r="AC480" s="9"/>
      <c r="AD480" s="9"/>
      <c r="AE480" s="9"/>
      <c r="AF480" s="3"/>
      <c r="AG480" s="3"/>
      <c r="AH480" s="3"/>
    </row>
    <row r="481" spans="1:34" x14ac:dyDescent="0.3">
      <c r="A481">
        <v>448</v>
      </c>
      <c r="B481" s="1" t="s">
        <v>489</v>
      </c>
      <c r="C481" s="1" t="s">
        <v>682</v>
      </c>
      <c r="D481" s="2">
        <v>40829</v>
      </c>
      <c r="E481" s="3">
        <v>34.700000000000003</v>
      </c>
      <c r="F481" s="4">
        <f t="shared" si="42"/>
        <v>5017.7689164579779</v>
      </c>
      <c r="G481" s="2">
        <v>40200</v>
      </c>
      <c r="H481" s="7">
        <v>4.0199999999999996</v>
      </c>
      <c r="I481" s="7">
        <f>H481+H486-2*$A$24</f>
        <v>6.6599999999999993</v>
      </c>
      <c r="J481" s="7">
        <v>3.2</v>
      </c>
      <c r="K481" s="7">
        <v>5.52</v>
      </c>
      <c r="L481" s="6">
        <f t="shared" si="43"/>
        <v>0.3243243243243244</v>
      </c>
      <c r="M481" s="6">
        <f t="shared" si="44"/>
        <v>0.57357357357357353</v>
      </c>
      <c r="N481" s="6">
        <f t="shared" si="45"/>
        <v>0.10210210210210213</v>
      </c>
      <c r="O481" s="4">
        <f t="shared" si="46"/>
        <v>1627.3845134458311</v>
      </c>
      <c r="P481" s="4">
        <f t="shared" si="47"/>
        <v>2878.0596487792004</v>
      </c>
      <c r="Q481" s="4">
        <f t="shared" si="48"/>
        <v>4505.4441622250315</v>
      </c>
      <c r="V481" s="3"/>
      <c r="W481" s="3"/>
      <c r="Y481" s="7"/>
      <c r="Z481" s="7"/>
      <c r="AA481" s="7"/>
      <c r="AB481" s="7"/>
      <c r="AC481" s="9"/>
      <c r="AD481" s="9"/>
      <c r="AE481" s="9"/>
      <c r="AF481" s="3"/>
      <c r="AG481" s="3"/>
      <c r="AH481" s="3"/>
    </row>
    <row r="482" spans="1:34" x14ac:dyDescent="0.3">
      <c r="A482">
        <v>449</v>
      </c>
      <c r="B482" s="1" t="s">
        <v>490</v>
      </c>
      <c r="C482" s="1" t="s">
        <v>682</v>
      </c>
      <c r="D482" s="2">
        <v>40829</v>
      </c>
      <c r="E482" s="3">
        <v>30.799999999999997</v>
      </c>
      <c r="F482" s="4">
        <f t="shared" si="42"/>
        <v>4416.3768213692811</v>
      </c>
      <c r="G482" s="2">
        <v>40200</v>
      </c>
      <c r="H482" s="7">
        <v>2.9</v>
      </c>
      <c r="I482" s="7">
        <f>H482+H485-2*$A$24</f>
        <v>5.32</v>
      </c>
      <c r="J482" s="7">
        <v>2.74</v>
      </c>
      <c r="K482" s="7">
        <v>4.74</v>
      </c>
      <c r="L482" s="6">
        <f t="shared" si="43"/>
        <v>0.31954887218045114</v>
      </c>
      <c r="M482" s="6">
        <f t="shared" si="44"/>
        <v>0.5714285714285714</v>
      </c>
      <c r="N482" s="6">
        <f t="shared" si="45"/>
        <v>0.10902255639097747</v>
      </c>
      <c r="O482" s="4">
        <f t="shared" si="46"/>
        <v>1411.2482323924394</v>
      </c>
      <c r="P482" s="4">
        <f t="shared" si="47"/>
        <v>2523.6438979253035</v>
      </c>
      <c r="Q482" s="4">
        <f t="shared" si="48"/>
        <v>3934.8921303177431</v>
      </c>
      <c r="V482" s="3"/>
      <c r="W482" s="3"/>
      <c r="Y482" s="7"/>
      <c r="Z482" s="7"/>
      <c r="AA482" s="7"/>
      <c r="AB482" s="7"/>
      <c r="AC482" s="9"/>
      <c r="AD482" s="9"/>
      <c r="AE482" s="9"/>
      <c r="AF482" s="3"/>
      <c r="AG482" s="3"/>
      <c r="AH482" s="3"/>
    </row>
    <row r="483" spans="1:34" x14ac:dyDescent="0.3">
      <c r="A483">
        <v>450</v>
      </c>
      <c r="B483" s="1" t="s">
        <v>491</v>
      </c>
      <c r="C483" s="1" t="s">
        <v>682</v>
      </c>
      <c r="D483" s="2">
        <v>40829</v>
      </c>
      <c r="E483" s="3">
        <v>25.2</v>
      </c>
      <c r="F483" s="4">
        <f t="shared" ref="F483:F546" si="49">(E483-2*$A$20)*$A$21/$A$22*$A$23</f>
        <v>3552.8394540624386</v>
      </c>
      <c r="G483" s="2">
        <v>40200</v>
      </c>
      <c r="H483" s="7">
        <v>3.84</v>
      </c>
      <c r="I483" s="7">
        <f>H483+H484-2*$A$24</f>
        <v>7.06</v>
      </c>
      <c r="J483" s="7">
        <v>3.3</v>
      </c>
      <c r="K483" s="7">
        <v>5.78</v>
      </c>
      <c r="L483" s="6">
        <f t="shared" ref="L483:L546" si="50">(J483-$A$25)/I483</f>
        <v>0.32011331444759206</v>
      </c>
      <c r="M483" s="6">
        <f t="shared" ref="M483:M546" si="51">(K483-$A$26)/I483</f>
        <v>0.57790368271954673</v>
      </c>
      <c r="N483" s="6">
        <f t="shared" ref="N483:N546" si="52">1-L483-M483</f>
        <v>0.10198300283286121</v>
      </c>
      <c r="O483" s="4">
        <f t="shared" ref="O483:O546" si="53">F483*L483</f>
        <v>1137.3112133401007</v>
      </c>
      <c r="P483" s="4">
        <f t="shared" ref="P483:P546" si="54">F483*M483</f>
        <v>2053.1990046139872</v>
      </c>
      <c r="Q483" s="4">
        <f t="shared" ref="Q483:Q546" si="55">O483+P483</f>
        <v>3190.5102179540881</v>
      </c>
      <c r="V483" s="3"/>
      <c r="W483" s="3"/>
      <c r="Y483" s="7"/>
      <c r="Z483" s="7"/>
      <c r="AA483" s="7"/>
      <c r="AB483" s="7"/>
      <c r="AC483" s="9"/>
      <c r="AD483" s="9"/>
      <c r="AE483" s="9"/>
      <c r="AF483" s="3"/>
      <c r="AG483" s="3"/>
      <c r="AH483" s="3"/>
    </row>
    <row r="484" spans="1:34" x14ac:dyDescent="0.3">
      <c r="A484">
        <v>451</v>
      </c>
      <c r="B484" s="1" t="s">
        <v>492</v>
      </c>
      <c r="C484" s="1" t="s">
        <v>682</v>
      </c>
      <c r="D484" s="2">
        <v>40829</v>
      </c>
      <c r="E484" s="3">
        <v>30.7</v>
      </c>
      <c r="F484" s="4">
        <f t="shared" si="49"/>
        <v>4400.9565112388027</v>
      </c>
      <c r="G484" s="2">
        <v>40200</v>
      </c>
      <c r="H484" s="7">
        <v>3.54</v>
      </c>
      <c r="I484" s="7">
        <f>H484+H483-2*$A$24</f>
        <v>7.06</v>
      </c>
      <c r="J484" s="7">
        <v>3.3</v>
      </c>
      <c r="K484" s="7">
        <v>5.78</v>
      </c>
      <c r="L484" s="6">
        <f t="shared" si="50"/>
        <v>0.32011331444759206</v>
      </c>
      <c r="M484" s="6">
        <f t="shared" si="51"/>
        <v>0.57790368271954673</v>
      </c>
      <c r="N484" s="6">
        <f t="shared" si="52"/>
        <v>0.10198300283286121</v>
      </c>
      <c r="O484" s="4">
        <f t="shared" si="53"/>
        <v>1408.8047755523646</v>
      </c>
      <c r="P484" s="4">
        <f t="shared" si="54"/>
        <v>2543.3289753334725</v>
      </c>
      <c r="Q484" s="4">
        <f t="shared" si="55"/>
        <v>3952.1337508858369</v>
      </c>
      <c r="V484" s="3"/>
      <c r="W484" s="3"/>
      <c r="Y484" s="7"/>
      <c r="Z484" s="7"/>
      <c r="AA484" s="7"/>
      <c r="AB484" s="7"/>
      <c r="AC484" s="9"/>
      <c r="AD484" s="9"/>
      <c r="AE484" s="9"/>
      <c r="AF484" s="3"/>
      <c r="AG484" s="3"/>
      <c r="AH484" s="3"/>
    </row>
    <row r="485" spans="1:34" x14ac:dyDescent="0.3">
      <c r="A485">
        <v>452</v>
      </c>
      <c r="B485" s="1" t="s">
        <v>493</v>
      </c>
      <c r="C485" s="1" t="s">
        <v>682</v>
      </c>
      <c r="D485" s="2">
        <v>40829</v>
      </c>
      <c r="E485" s="3">
        <v>34.4</v>
      </c>
      <c r="F485" s="4">
        <f t="shared" si="49"/>
        <v>4971.5079860665373</v>
      </c>
      <c r="G485" s="2">
        <v>40200</v>
      </c>
      <c r="H485" s="7">
        <v>2.74</v>
      </c>
      <c r="I485" s="7">
        <f>H485+H482-2*$A$24</f>
        <v>5.32</v>
      </c>
      <c r="J485" s="7">
        <v>2.74</v>
      </c>
      <c r="K485" s="7">
        <v>4.74</v>
      </c>
      <c r="L485" s="6">
        <f t="shared" si="50"/>
        <v>0.31954887218045114</v>
      </c>
      <c r="M485" s="6">
        <f t="shared" si="51"/>
        <v>0.5714285714285714</v>
      </c>
      <c r="N485" s="6">
        <f t="shared" si="52"/>
        <v>0.10902255639097747</v>
      </c>
      <c r="O485" s="4">
        <f t="shared" si="53"/>
        <v>1588.639769983668</v>
      </c>
      <c r="P485" s="4">
        <f t="shared" si="54"/>
        <v>2840.8617063237357</v>
      </c>
      <c r="Q485" s="4">
        <f t="shared" si="55"/>
        <v>4429.5014763074032</v>
      </c>
      <c r="V485" s="3"/>
      <c r="W485" s="3"/>
      <c r="Y485" s="7"/>
      <c r="Z485" s="7"/>
      <c r="AA485" s="7"/>
      <c r="AB485" s="7"/>
      <c r="AC485" s="9"/>
      <c r="AD485" s="9"/>
      <c r="AE485" s="9"/>
      <c r="AF485" s="3"/>
      <c r="AG485" s="3"/>
      <c r="AH485" s="3"/>
    </row>
    <row r="486" spans="1:34" x14ac:dyDescent="0.3">
      <c r="A486">
        <v>453</v>
      </c>
      <c r="B486" s="1" t="s">
        <v>494</v>
      </c>
      <c r="C486" s="1" t="s">
        <v>682</v>
      </c>
      <c r="D486" s="2">
        <v>40829</v>
      </c>
      <c r="E486" s="3">
        <v>36.700000000000003</v>
      </c>
      <c r="F486" s="4">
        <f t="shared" si="49"/>
        <v>5326.1751190675632</v>
      </c>
      <c r="G486" s="2">
        <v>40200</v>
      </c>
      <c r="H486" s="7">
        <v>2.96</v>
      </c>
      <c r="I486" s="7">
        <f>H486+H481-2*$A$24</f>
        <v>6.6599999999999993</v>
      </c>
      <c r="J486" s="7">
        <v>3.2</v>
      </c>
      <c r="K486" s="7">
        <v>5.52</v>
      </c>
      <c r="L486" s="6">
        <f t="shared" si="50"/>
        <v>0.3243243243243244</v>
      </c>
      <c r="M486" s="6">
        <f t="shared" si="51"/>
        <v>0.57357357357357353</v>
      </c>
      <c r="N486" s="6">
        <f t="shared" si="52"/>
        <v>0.10210210210210213</v>
      </c>
      <c r="O486" s="4">
        <f t="shared" si="53"/>
        <v>1727.4081467246156</v>
      </c>
      <c r="P486" s="4">
        <f t="shared" si="54"/>
        <v>3054.9532965222356</v>
      </c>
      <c r="Q486" s="4">
        <f t="shared" si="55"/>
        <v>4782.3614432468512</v>
      </c>
      <c r="V486" s="3"/>
      <c r="W486" s="3"/>
      <c r="Y486" s="7"/>
      <c r="Z486" s="7"/>
      <c r="AA486" s="7"/>
      <c r="AB486" s="7"/>
      <c r="AC486" s="9"/>
      <c r="AD486" s="9"/>
      <c r="AE486" s="9"/>
      <c r="AF486" s="3"/>
      <c r="AG486" s="3"/>
      <c r="AH486" s="3"/>
    </row>
    <row r="487" spans="1:34" x14ac:dyDescent="0.3">
      <c r="A487">
        <v>454</v>
      </c>
      <c r="B487" s="1" t="s">
        <v>495</v>
      </c>
      <c r="C487" s="1" t="s">
        <v>682</v>
      </c>
      <c r="D487" s="2">
        <v>40829</v>
      </c>
      <c r="E487" s="3">
        <v>35.6</v>
      </c>
      <c r="F487" s="4">
        <f t="shared" si="49"/>
        <v>5156.5517076322894</v>
      </c>
      <c r="G487" s="2">
        <v>40200</v>
      </c>
      <c r="H487" s="7">
        <v>3.52</v>
      </c>
      <c r="I487" s="7">
        <f>H487+H480-2*$A$24</f>
        <v>6.06</v>
      </c>
      <c r="J487" s="7">
        <v>3.02</v>
      </c>
      <c r="K487" s="7">
        <v>5.18</v>
      </c>
      <c r="L487" s="6">
        <f t="shared" si="50"/>
        <v>0.32673267326732675</v>
      </c>
      <c r="M487" s="6">
        <f t="shared" si="51"/>
        <v>0.57425742574257421</v>
      </c>
      <c r="N487" s="6">
        <f t="shared" si="52"/>
        <v>9.9009900990098987E-2</v>
      </c>
      <c r="O487" s="4">
        <f t="shared" si="53"/>
        <v>1684.8139242758966</v>
      </c>
      <c r="P487" s="4">
        <f t="shared" si="54"/>
        <v>2961.1881093333936</v>
      </c>
      <c r="Q487" s="4">
        <f t="shared" si="55"/>
        <v>4646.0020336092903</v>
      </c>
      <c r="V487" s="3"/>
      <c r="W487" s="3"/>
      <c r="Y487" s="7"/>
      <c r="Z487" s="7"/>
      <c r="AA487" s="7"/>
      <c r="AB487" s="7"/>
      <c r="AC487" s="9"/>
      <c r="AD487" s="9"/>
      <c r="AE487" s="9"/>
      <c r="AF487" s="3"/>
      <c r="AG487" s="3"/>
      <c r="AH487" s="3"/>
    </row>
    <row r="488" spans="1:34" x14ac:dyDescent="0.3">
      <c r="A488">
        <v>455</v>
      </c>
      <c r="B488" s="1" t="s">
        <v>496</v>
      </c>
      <c r="C488" s="1" t="s">
        <v>682</v>
      </c>
      <c r="D488" s="2">
        <v>40829</v>
      </c>
      <c r="E488" s="3">
        <v>33.1</v>
      </c>
      <c r="F488" s="4">
        <f t="shared" si="49"/>
        <v>4771.0439543703069</v>
      </c>
      <c r="G488" s="2">
        <v>40200</v>
      </c>
      <c r="H488" s="7">
        <v>3.4</v>
      </c>
      <c r="I488" s="7">
        <f>H488+H479-2*$A$24</f>
        <v>6.84</v>
      </c>
      <c r="J488" s="7">
        <v>3.28</v>
      </c>
      <c r="K488" s="7">
        <v>5.6</v>
      </c>
      <c r="L488" s="6">
        <f t="shared" si="50"/>
        <v>0.32748538011695905</v>
      </c>
      <c r="M488" s="6">
        <f t="shared" si="51"/>
        <v>0.57017543859649111</v>
      </c>
      <c r="N488" s="6">
        <f t="shared" si="52"/>
        <v>0.10233918128654984</v>
      </c>
      <c r="O488" s="4">
        <f t="shared" si="53"/>
        <v>1562.4471429516793</v>
      </c>
      <c r="P488" s="4">
        <f t="shared" si="54"/>
        <v>2720.3320792462268</v>
      </c>
      <c r="Q488" s="4">
        <f t="shared" si="55"/>
        <v>4282.7792221979062</v>
      </c>
      <c r="V488" s="3"/>
      <c r="W488" s="3"/>
      <c r="Y488" s="7"/>
      <c r="Z488" s="7"/>
      <c r="AA488" s="7"/>
      <c r="AB488" s="7"/>
      <c r="AC488" s="9"/>
      <c r="AD488" s="9"/>
      <c r="AE488" s="9"/>
      <c r="AF488" s="3"/>
      <c r="AG488" s="3"/>
      <c r="AH488" s="3"/>
    </row>
    <row r="489" spans="1:34" x14ac:dyDescent="0.3">
      <c r="A489">
        <v>456</v>
      </c>
      <c r="B489" s="1" t="s">
        <v>497</v>
      </c>
      <c r="C489" s="1" t="s">
        <v>682</v>
      </c>
      <c r="D489" s="2">
        <v>40829</v>
      </c>
      <c r="E489" s="3">
        <v>35.9</v>
      </c>
      <c r="F489" s="4">
        <f t="shared" si="49"/>
        <v>5202.8126380237272</v>
      </c>
      <c r="G489" s="2">
        <v>40200</v>
      </c>
      <c r="H489" s="7">
        <v>3.48</v>
      </c>
      <c r="I489" s="7">
        <f>H489+H478-2*$A$24</f>
        <v>5.82</v>
      </c>
      <c r="J489" s="7">
        <v>2.94</v>
      </c>
      <c r="K489" s="7">
        <v>5.08</v>
      </c>
      <c r="L489" s="6">
        <f t="shared" si="50"/>
        <v>0.32646048109965631</v>
      </c>
      <c r="M489" s="6">
        <f t="shared" si="51"/>
        <v>0.5807560137457044</v>
      </c>
      <c r="N489" s="6">
        <f t="shared" si="52"/>
        <v>9.278350515463929E-2</v>
      </c>
      <c r="O489" s="4">
        <f t="shared" si="53"/>
        <v>1698.512716880598</v>
      </c>
      <c r="P489" s="4">
        <f t="shared" si="54"/>
        <v>3021.5647279244322</v>
      </c>
      <c r="Q489" s="4">
        <f t="shared" si="55"/>
        <v>4720.0774448050306</v>
      </c>
      <c r="V489" s="3"/>
      <c r="W489" s="3"/>
      <c r="Y489" s="7"/>
      <c r="Z489" s="7"/>
      <c r="AA489" s="7"/>
      <c r="AB489" s="7"/>
      <c r="AC489" s="9"/>
      <c r="AD489" s="9"/>
      <c r="AE489" s="9"/>
      <c r="AF489" s="3"/>
      <c r="AG489" s="3"/>
      <c r="AH489" s="3"/>
    </row>
    <row r="490" spans="1:34" x14ac:dyDescent="0.3">
      <c r="A490">
        <v>457</v>
      </c>
      <c r="B490" s="1" t="s">
        <v>498</v>
      </c>
      <c r="C490" s="1" t="s">
        <v>682</v>
      </c>
      <c r="D490" s="2">
        <v>40829</v>
      </c>
      <c r="E490" s="3">
        <v>36.9</v>
      </c>
      <c r="F490" s="4">
        <f t="shared" si="49"/>
        <v>5357.0157393285199</v>
      </c>
      <c r="G490" s="2">
        <v>40200</v>
      </c>
      <c r="H490" s="7">
        <v>3.64</v>
      </c>
      <c r="I490" s="7">
        <f>H490+H477-2*$A$24</f>
        <v>6.66</v>
      </c>
      <c r="J490" s="7">
        <v>3.26</v>
      </c>
      <c r="K490" s="7">
        <v>5.56</v>
      </c>
      <c r="L490" s="6">
        <f t="shared" si="50"/>
        <v>0.33333333333333331</v>
      </c>
      <c r="M490" s="6">
        <f t="shared" si="51"/>
        <v>0.57957957957957951</v>
      </c>
      <c r="N490" s="6">
        <f t="shared" si="52"/>
        <v>8.7087087087087234E-2</v>
      </c>
      <c r="O490" s="4">
        <f t="shared" si="53"/>
        <v>1785.6719131095065</v>
      </c>
      <c r="P490" s="4">
        <f t="shared" si="54"/>
        <v>3104.8169300012137</v>
      </c>
      <c r="Q490" s="4">
        <f t="shared" si="55"/>
        <v>4890.4888431107202</v>
      </c>
      <c r="V490" s="3"/>
      <c r="W490" s="3"/>
      <c r="Y490" s="7"/>
      <c r="Z490" s="7"/>
      <c r="AA490" s="7"/>
      <c r="AB490" s="7"/>
      <c r="AC490" s="9"/>
      <c r="AD490" s="9"/>
      <c r="AE490" s="9"/>
      <c r="AF490" s="3"/>
      <c r="AG490" s="3"/>
      <c r="AH490" s="3"/>
    </row>
    <row r="491" spans="1:34" x14ac:dyDescent="0.3">
      <c r="A491">
        <v>458</v>
      </c>
      <c r="B491" s="1" t="s">
        <v>499</v>
      </c>
      <c r="C491" s="1" t="s">
        <v>682</v>
      </c>
      <c r="D491" s="2">
        <v>40829</v>
      </c>
      <c r="E491" s="3">
        <v>32.1</v>
      </c>
      <c r="F491" s="4">
        <f t="shared" si="49"/>
        <v>4616.8408530655133</v>
      </c>
      <c r="G491" s="2">
        <v>40200</v>
      </c>
      <c r="H491" s="7">
        <v>3.86</v>
      </c>
      <c r="I491" s="7">
        <f>H491+H476-2*$A$24</f>
        <v>6.9599999999999991</v>
      </c>
      <c r="J491" s="7">
        <v>3.32</v>
      </c>
      <c r="K491" s="7">
        <v>5.68</v>
      </c>
      <c r="L491" s="6">
        <f t="shared" si="50"/>
        <v>0.32758620689655171</v>
      </c>
      <c r="M491" s="6">
        <f t="shared" si="51"/>
        <v>0.57183908045977017</v>
      </c>
      <c r="N491" s="6">
        <f t="shared" si="52"/>
        <v>0.10057471264367812</v>
      </c>
      <c r="O491" s="4">
        <f t="shared" si="53"/>
        <v>1512.4133829007715</v>
      </c>
      <c r="P491" s="4">
        <f t="shared" si="54"/>
        <v>2640.0900280460842</v>
      </c>
      <c r="Q491" s="4">
        <f t="shared" si="55"/>
        <v>4152.5034109468561</v>
      </c>
      <c r="V491" s="3"/>
      <c r="W491" s="3"/>
      <c r="Y491" s="7"/>
      <c r="Z491" s="7"/>
      <c r="AA491" s="7"/>
      <c r="AB491" s="7"/>
      <c r="AC491" s="9"/>
      <c r="AD491" s="9"/>
      <c r="AE491" s="9"/>
      <c r="AF491" s="3"/>
      <c r="AG491" s="3"/>
      <c r="AH491" s="3"/>
    </row>
    <row r="492" spans="1:34" x14ac:dyDescent="0.3">
      <c r="A492">
        <v>459</v>
      </c>
      <c r="B492" s="1" t="s">
        <v>500</v>
      </c>
      <c r="C492" s="1" t="s">
        <v>682</v>
      </c>
      <c r="D492" s="2">
        <v>40829</v>
      </c>
      <c r="E492" s="3">
        <v>34</v>
      </c>
      <c r="F492" s="4">
        <f t="shared" si="49"/>
        <v>4909.8267455446203</v>
      </c>
      <c r="G492" s="2">
        <v>40200</v>
      </c>
      <c r="H492" s="7">
        <v>3.16</v>
      </c>
      <c r="I492" s="7">
        <f>H492+H475-2*$A$24</f>
        <v>6.3</v>
      </c>
      <c r="J492" s="7">
        <v>3.12</v>
      </c>
      <c r="K492" s="7">
        <v>5.24</v>
      </c>
      <c r="L492" s="6">
        <f t="shared" si="50"/>
        <v>0.33015873015873021</v>
      </c>
      <c r="M492" s="6">
        <f t="shared" si="51"/>
        <v>0.56190476190476191</v>
      </c>
      <c r="N492" s="6">
        <f t="shared" si="52"/>
        <v>0.10793650793650789</v>
      </c>
      <c r="O492" s="4">
        <f t="shared" si="53"/>
        <v>1621.0221636083827</v>
      </c>
      <c r="P492" s="4">
        <f t="shared" si="54"/>
        <v>2758.855028448882</v>
      </c>
      <c r="Q492" s="4">
        <f t="shared" si="55"/>
        <v>4379.8771920572644</v>
      </c>
      <c r="V492" s="3"/>
      <c r="W492" s="3"/>
      <c r="Y492" s="7"/>
      <c r="Z492" s="7"/>
      <c r="AA492" s="7"/>
      <c r="AB492" s="7"/>
      <c r="AC492" s="9"/>
      <c r="AD492" s="9"/>
      <c r="AE492" s="9"/>
      <c r="AF492" s="3"/>
      <c r="AG492" s="3"/>
      <c r="AH492" s="3"/>
    </row>
    <row r="493" spans="1:34" x14ac:dyDescent="0.3">
      <c r="A493">
        <v>460</v>
      </c>
      <c r="B493" s="1" t="s">
        <v>501</v>
      </c>
      <c r="C493" s="1" t="s">
        <v>682</v>
      </c>
      <c r="D493" s="2">
        <v>40829</v>
      </c>
      <c r="E493" s="3">
        <v>23.700000000000003</v>
      </c>
      <c r="F493" s="4">
        <f t="shared" si="49"/>
        <v>3321.53480210525</v>
      </c>
      <c r="G493" s="2">
        <v>40200</v>
      </c>
      <c r="H493" s="7">
        <v>4.6399999999999997</v>
      </c>
      <c r="I493" s="7">
        <f>H493+H474-2*$A$24</f>
        <v>7.9399999999999995</v>
      </c>
      <c r="J493" s="7">
        <v>3.62</v>
      </c>
      <c r="K493" s="7">
        <v>6.18</v>
      </c>
      <c r="L493" s="6">
        <f t="shared" si="50"/>
        <v>0.32493702770780858</v>
      </c>
      <c r="M493" s="6">
        <f t="shared" si="51"/>
        <v>0.5642317380352645</v>
      </c>
      <c r="N493" s="6">
        <f t="shared" si="52"/>
        <v>0.11083123425692698</v>
      </c>
      <c r="O493" s="4">
        <f t="shared" si="53"/>
        <v>1079.2896460241241</v>
      </c>
      <c r="P493" s="4">
        <f t="shared" si="54"/>
        <v>1874.1153543364635</v>
      </c>
      <c r="Q493" s="4">
        <f t="shared" si="55"/>
        <v>2953.4050003605876</v>
      </c>
      <c r="V493" s="3"/>
      <c r="W493" s="3"/>
      <c r="Y493" s="7"/>
      <c r="Z493" s="7"/>
      <c r="AA493" s="7"/>
      <c r="AB493" s="7"/>
      <c r="AC493" s="9"/>
      <c r="AD493" s="9"/>
      <c r="AE493" s="9"/>
      <c r="AF493" s="3"/>
      <c r="AG493" s="3"/>
      <c r="AH493" s="3"/>
    </row>
    <row r="494" spans="1:34" x14ac:dyDescent="0.3">
      <c r="A494">
        <v>461</v>
      </c>
      <c r="B494" s="1" t="s">
        <v>502</v>
      </c>
      <c r="C494" s="1" t="s">
        <v>682</v>
      </c>
      <c r="D494" s="2">
        <v>40829</v>
      </c>
      <c r="E494" s="3">
        <v>22.8</v>
      </c>
      <c r="F494" s="4">
        <f t="shared" si="49"/>
        <v>3182.7520109309348</v>
      </c>
      <c r="G494" s="2">
        <v>40200</v>
      </c>
      <c r="H494" s="7">
        <v>3.54</v>
      </c>
      <c r="I494" s="7">
        <f>H494+H513-2*$A$24</f>
        <v>6.9399999999999995</v>
      </c>
      <c r="J494" s="7">
        <v>3.32</v>
      </c>
      <c r="K494" s="7">
        <v>5.78</v>
      </c>
      <c r="L494" s="6">
        <f t="shared" si="50"/>
        <v>0.32853025936599423</v>
      </c>
      <c r="M494" s="6">
        <f t="shared" si="51"/>
        <v>0.58789625360230557</v>
      </c>
      <c r="N494" s="6">
        <f t="shared" si="52"/>
        <v>8.35734870317002E-2</v>
      </c>
      <c r="O494" s="4">
        <f t="shared" si="53"/>
        <v>1045.6303436487797</v>
      </c>
      <c r="P494" s="4">
        <f t="shared" si="54"/>
        <v>1871.1279833715009</v>
      </c>
      <c r="Q494" s="4">
        <f t="shared" si="55"/>
        <v>2916.7583270202804</v>
      </c>
      <c r="V494" s="3"/>
      <c r="W494" s="3"/>
      <c r="Y494" s="7"/>
      <c r="Z494" s="7"/>
      <c r="AA494" s="7"/>
      <c r="AB494" s="7"/>
      <c r="AC494" s="9"/>
      <c r="AD494" s="9"/>
      <c r="AE494" s="9"/>
      <c r="AF494" s="3"/>
      <c r="AG494" s="3"/>
      <c r="AH494" s="3"/>
    </row>
    <row r="495" spans="1:34" x14ac:dyDescent="0.3">
      <c r="A495">
        <v>462</v>
      </c>
      <c r="B495" s="1" t="s">
        <v>503</v>
      </c>
      <c r="C495" s="1" t="s">
        <v>682</v>
      </c>
      <c r="D495" s="2">
        <v>40829</v>
      </c>
      <c r="E495" s="3">
        <v>29.6</v>
      </c>
      <c r="F495" s="4">
        <f t="shared" si="49"/>
        <v>4231.3330998035308</v>
      </c>
      <c r="G495" s="2">
        <v>40200</v>
      </c>
      <c r="H495" s="7">
        <v>3.74</v>
      </c>
      <c r="I495" s="7">
        <f>H495+H512-2*$A$24</f>
        <v>7.32</v>
      </c>
      <c r="J495" s="7">
        <v>3.42</v>
      </c>
      <c r="K495" s="7">
        <v>5.94</v>
      </c>
      <c r="L495" s="6">
        <f t="shared" si="50"/>
        <v>0.3251366120218579</v>
      </c>
      <c r="M495" s="6">
        <f t="shared" si="51"/>
        <v>0.57923497267759561</v>
      </c>
      <c r="N495" s="6">
        <f t="shared" si="52"/>
        <v>9.5628415300546443E-2</v>
      </c>
      <c r="O495" s="4">
        <f t="shared" si="53"/>
        <v>1375.7613084060658</v>
      </c>
      <c r="P495" s="4">
        <f t="shared" si="54"/>
        <v>2450.9361124545039</v>
      </c>
      <c r="Q495" s="4">
        <f t="shared" si="55"/>
        <v>3826.6974208605698</v>
      </c>
      <c r="V495" s="3"/>
      <c r="W495" s="3"/>
      <c r="Y495" s="7"/>
      <c r="Z495" s="7"/>
      <c r="AA495" s="7"/>
      <c r="AB495" s="7"/>
      <c r="AC495" s="9"/>
      <c r="AD495" s="9"/>
      <c r="AE495" s="9"/>
      <c r="AF495" s="3"/>
      <c r="AG495" s="3"/>
      <c r="AH495" s="3"/>
    </row>
    <row r="496" spans="1:34" x14ac:dyDescent="0.3">
      <c r="A496">
        <v>463</v>
      </c>
      <c r="B496" s="1" t="s">
        <v>504</v>
      </c>
      <c r="C496" s="1" t="s">
        <v>682</v>
      </c>
      <c r="D496" s="2">
        <v>40829</v>
      </c>
      <c r="E496" s="3">
        <v>32</v>
      </c>
      <c r="F496" s="4">
        <f t="shared" si="49"/>
        <v>4601.4205429350341</v>
      </c>
      <c r="G496" s="2">
        <v>40200</v>
      </c>
      <c r="H496" s="7">
        <v>4.26</v>
      </c>
      <c r="I496" s="7">
        <f>H496+H511-2*$A$24</f>
        <v>7.9399999999999995</v>
      </c>
      <c r="J496" s="7">
        <v>3.58</v>
      </c>
      <c r="K496" s="7">
        <v>6.28</v>
      </c>
      <c r="L496" s="6">
        <f t="shared" si="50"/>
        <v>0.31989924433249373</v>
      </c>
      <c r="M496" s="6">
        <f t="shared" si="51"/>
        <v>0.57682619647355171</v>
      </c>
      <c r="N496" s="6">
        <f t="shared" si="52"/>
        <v>0.10327455919395456</v>
      </c>
      <c r="O496" s="4">
        <f t="shared" si="53"/>
        <v>1471.9909545409305</v>
      </c>
      <c r="P496" s="4">
        <f t="shared" si="54"/>
        <v>2654.2199101564811</v>
      </c>
      <c r="Q496" s="4">
        <f t="shared" si="55"/>
        <v>4126.210864697412</v>
      </c>
      <c r="V496" s="3"/>
      <c r="W496" s="3"/>
      <c r="Y496" s="7"/>
      <c r="Z496" s="7"/>
      <c r="AA496" s="7"/>
      <c r="AB496" s="7"/>
      <c r="AC496" s="9"/>
      <c r="AD496" s="9"/>
      <c r="AE496" s="9"/>
      <c r="AF496" s="3"/>
      <c r="AG496" s="3"/>
      <c r="AH496" s="3"/>
    </row>
    <row r="497" spans="1:34" x14ac:dyDescent="0.3">
      <c r="A497">
        <v>464</v>
      </c>
      <c r="B497" s="1" t="s">
        <v>505</v>
      </c>
      <c r="C497" s="1" t="s">
        <v>682</v>
      </c>
      <c r="D497" s="2">
        <v>40829</v>
      </c>
      <c r="E497" s="3">
        <v>31.8</v>
      </c>
      <c r="F497" s="4">
        <f t="shared" si="49"/>
        <v>4570.5799226740755</v>
      </c>
      <c r="G497" s="2">
        <v>40200</v>
      </c>
      <c r="H497" s="7">
        <v>2.74</v>
      </c>
      <c r="I497" s="7">
        <f>H497+H510-2*$A$24</f>
        <v>5.7799999999999994</v>
      </c>
      <c r="J497" s="7">
        <v>2.9</v>
      </c>
      <c r="K497" s="7">
        <v>4.96</v>
      </c>
      <c r="L497" s="6">
        <f t="shared" si="50"/>
        <v>0.3217993079584775</v>
      </c>
      <c r="M497" s="6">
        <f t="shared" si="51"/>
        <v>0.56401384083044981</v>
      </c>
      <c r="N497" s="6">
        <f t="shared" si="52"/>
        <v>0.11418685121107264</v>
      </c>
      <c r="O497" s="4">
        <f t="shared" si="53"/>
        <v>1470.809456085429</v>
      </c>
      <c r="P497" s="4">
        <f t="shared" si="54"/>
        <v>2577.8703370099456</v>
      </c>
      <c r="Q497" s="4">
        <f t="shared" si="55"/>
        <v>4048.6797930953744</v>
      </c>
      <c r="V497" s="3"/>
      <c r="W497" s="3"/>
      <c r="Y497" s="7"/>
      <c r="Z497" s="7"/>
      <c r="AA497" s="7"/>
      <c r="AB497" s="7"/>
      <c r="AC497" s="9"/>
      <c r="AD497" s="9"/>
      <c r="AE497" s="9"/>
      <c r="AF497" s="3"/>
      <c r="AG497" s="3"/>
      <c r="AH497" s="3"/>
    </row>
    <row r="498" spans="1:34" x14ac:dyDescent="0.3">
      <c r="A498">
        <v>465</v>
      </c>
      <c r="B498" s="1" t="s">
        <v>506</v>
      </c>
      <c r="C498" s="1" t="s">
        <v>682</v>
      </c>
      <c r="D498" s="2">
        <v>40829</v>
      </c>
      <c r="E498" s="3">
        <v>29.200000000000003</v>
      </c>
      <c r="F498" s="4">
        <f t="shared" si="49"/>
        <v>4169.6518592816128</v>
      </c>
      <c r="G498" s="2">
        <v>40200</v>
      </c>
      <c r="H498" s="7">
        <v>3.8</v>
      </c>
      <c r="I498" s="7">
        <f>H498+H509-2*$A$24</f>
        <v>6.8599999999999994</v>
      </c>
      <c r="J498" s="7">
        <v>3.26</v>
      </c>
      <c r="K498" s="7">
        <v>5.68</v>
      </c>
      <c r="L498" s="6">
        <f t="shared" si="50"/>
        <v>0.32361516034985421</v>
      </c>
      <c r="M498" s="6">
        <f t="shared" si="51"/>
        <v>0.58017492711370255</v>
      </c>
      <c r="N498" s="6">
        <f t="shared" si="52"/>
        <v>9.6209912536443176E-2</v>
      </c>
      <c r="O498" s="4">
        <f t="shared" si="53"/>
        <v>1349.362555044487</v>
      </c>
      <c r="P498" s="4">
        <f t="shared" si="54"/>
        <v>2419.1274635482241</v>
      </c>
      <c r="Q498" s="4">
        <f t="shared" si="55"/>
        <v>3768.4900185927108</v>
      </c>
      <c r="V498" s="3"/>
      <c r="W498" s="3"/>
      <c r="Y498" s="7"/>
      <c r="Z498" s="7"/>
      <c r="AA498" s="7"/>
      <c r="AB498" s="7"/>
      <c r="AC498" s="9"/>
      <c r="AD498" s="9"/>
      <c r="AE498" s="9"/>
      <c r="AF498" s="3"/>
      <c r="AG498" s="3"/>
      <c r="AH498" s="3"/>
    </row>
    <row r="499" spans="1:34" x14ac:dyDescent="0.3">
      <c r="A499">
        <v>466</v>
      </c>
      <c r="B499" s="1" t="s">
        <v>507</v>
      </c>
      <c r="C499" s="1" t="s">
        <v>682</v>
      </c>
      <c r="D499" s="2">
        <v>40829</v>
      </c>
      <c r="E499" s="3">
        <v>28.1</v>
      </c>
      <c r="F499" s="4">
        <f t="shared" si="49"/>
        <v>4000.02844784634</v>
      </c>
      <c r="G499" s="2">
        <v>40200</v>
      </c>
      <c r="H499" s="7">
        <v>4.42</v>
      </c>
      <c r="I499" s="7">
        <f>H499+H508-2*$A$24</f>
        <v>7.74</v>
      </c>
      <c r="J499" s="7">
        <v>3.56</v>
      </c>
      <c r="K499" s="7">
        <v>6.18</v>
      </c>
      <c r="L499" s="6">
        <f t="shared" si="50"/>
        <v>0.32558139534883718</v>
      </c>
      <c r="M499" s="6">
        <f t="shared" si="51"/>
        <v>0.57881136950904388</v>
      </c>
      <c r="N499" s="6">
        <f t="shared" si="52"/>
        <v>9.5607235142118996E-2</v>
      </c>
      <c r="O499" s="4">
        <f t="shared" si="53"/>
        <v>1302.3348434848547</v>
      </c>
      <c r="P499" s="4">
        <f t="shared" si="54"/>
        <v>2315.2619439730752</v>
      </c>
      <c r="Q499" s="4">
        <f t="shared" si="55"/>
        <v>3617.5967874579301</v>
      </c>
      <c r="V499" s="3"/>
      <c r="W499" s="3"/>
      <c r="Y499" s="7"/>
      <c r="Z499" s="7"/>
      <c r="AA499" s="7"/>
      <c r="AB499" s="7"/>
      <c r="AC499" s="9"/>
      <c r="AD499" s="9"/>
      <c r="AE499" s="9"/>
      <c r="AF499" s="3"/>
      <c r="AG499" s="3"/>
      <c r="AH499" s="3"/>
    </row>
    <row r="500" spans="1:34" x14ac:dyDescent="0.3">
      <c r="A500">
        <v>467</v>
      </c>
      <c r="B500" s="1" t="s">
        <v>508</v>
      </c>
      <c r="C500" s="1" t="s">
        <v>682</v>
      </c>
      <c r="D500" s="2">
        <v>40829</v>
      </c>
      <c r="E500" s="3">
        <v>33.099999999999994</v>
      </c>
      <c r="F500" s="4">
        <f t="shared" si="49"/>
        <v>4771.043954370306</v>
      </c>
      <c r="G500" s="2">
        <v>40200</v>
      </c>
      <c r="H500" s="7">
        <v>3.66</v>
      </c>
      <c r="I500" s="7">
        <f>H500+H507-2*$A$24</f>
        <v>6.92</v>
      </c>
      <c r="J500" s="7">
        <v>3.34</v>
      </c>
      <c r="K500" s="7">
        <v>5.74</v>
      </c>
      <c r="L500" s="6">
        <f t="shared" si="50"/>
        <v>0.33236994219653176</v>
      </c>
      <c r="M500" s="6">
        <f t="shared" si="51"/>
        <v>0.58381502890173409</v>
      </c>
      <c r="N500" s="6">
        <f t="shared" si="52"/>
        <v>8.381502890173409E-2</v>
      </c>
      <c r="O500" s="4">
        <f t="shared" si="53"/>
        <v>1585.7516033311708</v>
      </c>
      <c r="P500" s="4">
        <f t="shared" si="54"/>
        <v>2785.4071641121441</v>
      </c>
      <c r="Q500" s="4">
        <f t="shared" si="55"/>
        <v>4371.1587674433149</v>
      </c>
      <c r="V500" s="3"/>
      <c r="W500" s="3"/>
      <c r="Y500" s="7"/>
      <c r="Z500" s="7"/>
      <c r="AA500" s="7"/>
      <c r="AB500" s="7"/>
      <c r="AC500" s="9"/>
      <c r="AD500" s="9"/>
      <c r="AE500" s="9"/>
      <c r="AF500" s="3"/>
      <c r="AG500" s="3"/>
      <c r="AH500" s="3"/>
    </row>
    <row r="501" spans="1:34" x14ac:dyDescent="0.3">
      <c r="A501">
        <v>468</v>
      </c>
      <c r="B501" s="1" t="s">
        <v>509</v>
      </c>
      <c r="C501" s="1" t="s">
        <v>682</v>
      </c>
      <c r="D501" s="2">
        <v>40829</v>
      </c>
      <c r="E501" s="3">
        <v>31.2</v>
      </c>
      <c r="F501" s="4">
        <f t="shared" si="49"/>
        <v>4478.058061891199</v>
      </c>
      <c r="G501" s="2">
        <v>40200</v>
      </c>
      <c r="H501" s="7">
        <v>3.46</v>
      </c>
      <c r="I501" s="7">
        <f>H501+H506-2*$A$24</f>
        <v>6.64</v>
      </c>
      <c r="J501" s="7">
        <v>3.16</v>
      </c>
      <c r="K501" s="7">
        <v>5.46</v>
      </c>
      <c r="L501" s="6">
        <f t="shared" si="50"/>
        <v>0.31927710843373497</v>
      </c>
      <c r="M501" s="6">
        <f t="shared" si="51"/>
        <v>0.5662650602409639</v>
      </c>
      <c r="N501" s="6">
        <f t="shared" si="52"/>
        <v>0.11445783132530118</v>
      </c>
      <c r="O501" s="4">
        <f t="shared" si="53"/>
        <v>1429.7414293989973</v>
      </c>
      <c r="P501" s="4">
        <f t="shared" si="54"/>
        <v>2535.767818179354</v>
      </c>
      <c r="Q501" s="4">
        <f t="shared" si="55"/>
        <v>3965.5092475783513</v>
      </c>
      <c r="V501" s="3"/>
      <c r="W501" s="3"/>
      <c r="Y501" s="7"/>
      <c r="Z501" s="7"/>
      <c r="AA501" s="7"/>
      <c r="AB501" s="7"/>
      <c r="AC501" s="9"/>
      <c r="AD501" s="9"/>
      <c r="AE501" s="9"/>
      <c r="AF501" s="3"/>
      <c r="AG501" s="3"/>
      <c r="AH501" s="3"/>
    </row>
    <row r="502" spans="1:34" x14ac:dyDescent="0.3">
      <c r="A502">
        <v>469</v>
      </c>
      <c r="B502" s="1" t="s">
        <v>510</v>
      </c>
      <c r="C502" s="1" t="s">
        <v>682</v>
      </c>
      <c r="D502" s="2">
        <v>40829</v>
      </c>
      <c r="E502" s="3">
        <v>28</v>
      </c>
      <c r="F502" s="4">
        <f t="shared" si="49"/>
        <v>3984.6081377158603</v>
      </c>
      <c r="G502" s="2">
        <v>40200</v>
      </c>
      <c r="H502" s="7">
        <v>3.8</v>
      </c>
      <c r="I502" s="7">
        <f>H502+H505-2*$A$24</f>
        <v>7.6199999999999992</v>
      </c>
      <c r="J502" s="7">
        <v>3.46</v>
      </c>
      <c r="K502" s="7">
        <v>6.02</v>
      </c>
      <c r="L502" s="6">
        <f t="shared" si="50"/>
        <v>0.31758530183727035</v>
      </c>
      <c r="M502" s="6">
        <f t="shared" si="51"/>
        <v>0.56692913385826771</v>
      </c>
      <c r="N502" s="6">
        <f t="shared" si="52"/>
        <v>0.115485564304462</v>
      </c>
      <c r="O502" s="4">
        <f t="shared" si="53"/>
        <v>1265.4529781197352</v>
      </c>
      <c r="P502" s="4">
        <f t="shared" si="54"/>
        <v>2258.9904402798579</v>
      </c>
      <c r="Q502" s="4">
        <f t="shared" si="55"/>
        <v>3524.4434183995932</v>
      </c>
      <c r="V502" s="3"/>
      <c r="W502" s="3"/>
      <c r="Y502" s="7"/>
      <c r="Z502" s="7"/>
      <c r="AA502" s="7"/>
      <c r="AB502" s="7"/>
      <c r="AC502" s="9"/>
      <c r="AD502" s="9"/>
      <c r="AE502" s="9"/>
      <c r="AF502" s="3"/>
      <c r="AG502" s="3"/>
      <c r="AH502" s="3"/>
    </row>
    <row r="503" spans="1:34" x14ac:dyDescent="0.3">
      <c r="A503">
        <v>470</v>
      </c>
      <c r="B503" s="1" t="s">
        <v>511</v>
      </c>
      <c r="C503" s="1" t="s">
        <v>682</v>
      </c>
      <c r="D503" s="2">
        <v>40829</v>
      </c>
      <c r="E503" s="3">
        <v>27.3</v>
      </c>
      <c r="F503" s="4">
        <f t="shared" si="49"/>
        <v>3876.665966802505</v>
      </c>
      <c r="G503" s="2">
        <v>40200</v>
      </c>
      <c r="H503" s="7">
        <v>3.08</v>
      </c>
      <c r="I503" s="7">
        <f>H503+H504-2*$A$24</f>
        <v>5.7799999999999994</v>
      </c>
      <c r="J503" s="7">
        <v>2.94</v>
      </c>
      <c r="K503" s="7">
        <v>5</v>
      </c>
      <c r="L503" s="6">
        <f t="shared" si="50"/>
        <v>0.32871972318339104</v>
      </c>
      <c r="M503" s="6">
        <f t="shared" si="51"/>
        <v>0.57093425605536341</v>
      </c>
      <c r="N503" s="6">
        <f t="shared" si="52"/>
        <v>0.10034602076124555</v>
      </c>
      <c r="O503" s="4">
        <f t="shared" si="53"/>
        <v>1274.3365634817924</v>
      </c>
      <c r="P503" s="4">
        <f t="shared" si="54"/>
        <v>2213.3213997315343</v>
      </c>
      <c r="Q503" s="4">
        <f t="shared" si="55"/>
        <v>3487.6579632133266</v>
      </c>
      <c r="V503" s="3"/>
      <c r="W503" s="3"/>
      <c r="Y503" s="7"/>
      <c r="Z503" s="7"/>
      <c r="AA503" s="7"/>
      <c r="AB503" s="7"/>
      <c r="AC503" s="9"/>
      <c r="AD503" s="9"/>
      <c r="AE503" s="9"/>
      <c r="AF503" s="3"/>
      <c r="AG503" s="3"/>
      <c r="AH503" s="3"/>
    </row>
    <row r="504" spans="1:34" x14ac:dyDescent="0.3">
      <c r="A504">
        <v>471</v>
      </c>
      <c r="B504" s="1" t="s">
        <v>512</v>
      </c>
      <c r="C504" s="1" t="s">
        <v>682</v>
      </c>
      <c r="D504" s="2">
        <v>40829</v>
      </c>
      <c r="E504" s="3">
        <v>25.6</v>
      </c>
      <c r="F504" s="4">
        <f t="shared" si="49"/>
        <v>3614.5206945843565</v>
      </c>
      <c r="G504" s="2">
        <v>40200</v>
      </c>
      <c r="H504" s="7">
        <v>3.02</v>
      </c>
      <c r="I504" s="7">
        <f>H504+H503-2*$A$24</f>
        <v>5.7799999999999994</v>
      </c>
      <c r="J504" s="7">
        <v>2.94</v>
      </c>
      <c r="K504" s="7">
        <v>5</v>
      </c>
      <c r="L504" s="6">
        <f t="shared" si="50"/>
        <v>0.32871972318339104</v>
      </c>
      <c r="M504" s="6">
        <f t="shared" si="51"/>
        <v>0.57093425605536341</v>
      </c>
      <c r="N504" s="6">
        <f t="shared" si="52"/>
        <v>0.10034602076124555</v>
      </c>
      <c r="O504" s="4">
        <f t="shared" si="53"/>
        <v>1188.1642421644081</v>
      </c>
      <c r="P504" s="4">
        <f t="shared" si="54"/>
        <v>2063.6536837592348</v>
      </c>
      <c r="Q504" s="4">
        <f t="shared" si="55"/>
        <v>3251.8179259236431</v>
      </c>
      <c r="V504" s="3"/>
      <c r="W504" s="3"/>
      <c r="Y504" s="7"/>
      <c r="Z504" s="7"/>
      <c r="AA504" s="7"/>
      <c r="AB504" s="7"/>
      <c r="AC504" s="9"/>
      <c r="AD504" s="9"/>
      <c r="AE504" s="9"/>
      <c r="AF504" s="3"/>
      <c r="AG504" s="3"/>
      <c r="AH504" s="3"/>
    </row>
    <row r="505" spans="1:34" x14ac:dyDescent="0.3">
      <c r="A505">
        <v>472</v>
      </c>
      <c r="B505" s="1" t="s">
        <v>513</v>
      </c>
      <c r="C505" s="1" t="s">
        <v>682</v>
      </c>
      <c r="D505" s="2">
        <v>40829</v>
      </c>
      <c r="E505" s="3">
        <v>26.9</v>
      </c>
      <c r="F505" s="4">
        <f t="shared" si="49"/>
        <v>3814.9847262805879</v>
      </c>
      <c r="G505" s="2">
        <v>40200</v>
      </c>
      <c r="H505" s="7">
        <v>4.1399999999999997</v>
      </c>
      <c r="I505" s="7">
        <f>H505+H502-2*$A$24</f>
        <v>7.6199999999999992</v>
      </c>
      <c r="J505" s="7">
        <v>3.46</v>
      </c>
      <c r="K505" s="7">
        <v>6.02</v>
      </c>
      <c r="L505" s="6">
        <f t="shared" si="50"/>
        <v>0.31758530183727035</v>
      </c>
      <c r="M505" s="6">
        <f t="shared" si="51"/>
        <v>0.56692913385826771</v>
      </c>
      <c r="N505" s="6">
        <f t="shared" si="52"/>
        <v>0.115485564304462</v>
      </c>
      <c r="O505" s="4">
        <f t="shared" si="53"/>
        <v>1211.5830758003967</v>
      </c>
      <c r="P505" s="4">
        <f t="shared" si="54"/>
        <v>2162.8259865527743</v>
      </c>
      <c r="Q505" s="4">
        <f t="shared" si="55"/>
        <v>3374.4090623531711</v>
      </c>
      <c r="V505" s="3"/>
      <c r="W505" s="3"/>
      <c r="Y505" s="7"/>
      <c r="Z505" s="7"/>
      <c r="AA505" s="7"/>
      <c r="AB505" s="7"/>
      <c r="AC505" s="9"/>
      <c r="AD505" s="9"/>
      <c r="AE505" s="9"/>
      <c r="AF505" s="3"/>
      <c r="AG505" s="3"/>
      <c r="AH505" s="3"/>
    </row>
    <row r="506" spans="1:34" x14ac:dyDescent="0.3">
      <c r="A506">
        <v>473</v>
      </c>
      <c r="B506" s="1" t="s">
        <v>514</v>
      </c>
      <c r="C506" s="1" t="s">
        <v>682</v>
      </c>
      <c r="D506" s="2">
        <v>40829</v>
      </c>
      <c r="E506" s="3">
        <v>29.9</v>
      </c>
      <c r="F506" s="4">
        <f t="shared" si="49"/>
        <v>4277.5940301949677</v>
      </c>
      <c r="G506" s="2">
        <v>40200</v>
      </c>
      <c r="H506" s="7">
        <v>3.5</v>
      </c>
      <c r="I506" s="7">
        <f>H506+H501-2*$A$24</f>
        <v>6.64</v>
      </c>
      <c r="J506" s="7">
        <v>3.16</v>
      </c>
      <c r="K506" s="7">
        <v>5.46</v>
      </c>
      <c r="L506" s="6">
        <f t="shared" si="50"/>
        <v>0.31927710843373497</v>
      </c>
      <c r="M506" s="6">
        <f t="shared" si="51"/>
        <v>0.5662650602409639</v>
      </c>
      <c r="N506" s="6">
        <f t="shared" si="52"/>
        <v>0.11445783132530118</v>
      </c>
      <c r="O506" s="4">
        <f t="shared" si="53"/>
        <v>1365.7378530140561</v>
      </c>
      <c r="P506" s="4">
        <f t="shared" si="54"/>
        <v>2422.2520411947407</v>
      </c>
      <c r="Q506" s="4">
        <f t="shared" si="55"/>
        <v>3787.9898942087966</v>
      </c>
      <c r="V506" s="3"/>
      <c r="W506" s="3"/>
      <c r="Y506" s="7"/>
      <c r="Z506" s="7"/>
      <c r="AA506" s="7"/>
      <c r="AB506" s="7"/>
      <c r="AC506" s="9"/>
      <c r="AD506" s="9"/>
      <c r="AE506" s="9"/>
      <c r="AF506" s="3"/>
      <c r="AG506" s="3"/>
      <c r="AH506" s="3"/>
    </row>
    <row r="507" spans="1:34" x14ac:dyDescent="0.3">
      <c r="A507">
        <v>474</v>
      </c>
      <c r="B507" s="1" t="s">
        <v>515</v>
      </c>
      <c r="C507" s="1" t="s">
        <v>682</v>
      </c>
      <c r="D507" s="2">
        <v>40829</v>
      </c>
      <c r="E507" s="3">
        <v>29</v>
      </c>
      <c r="F507" s="4">
        <f t="shared" si="49"/>
        <v>4138.8112390206534</v>
      </c>
      <c r="G507" s="2">
        <v>40200</v>
      </c>
      <c r="H507" s="7">
        <v>3.58</v>
      </c>
      <c r="I507" s="7">
        <f>H507+H500-2*$A$24</f>
        <v>6.92</v>
      </c>
      <c r="J507" s="7">
        <v>3.34</v>
      </c>
      <c r="K507" s="7">
        <v>5.74</v>
      </c>
      <c r="L507" s="6">
        <f t="shared" si="50"/>
        <v>0.33236994219653176</v>
      </c>
      <c r="M507" s="6">
        <f t="shared" si="51"/>
        <v>0.58381502890173409</v>
      </c>
      <c r="N507" s="6">
        <f t="shared" si="52"/>
        <v>8.381502890173409E-2</v>
      </c>
      <c r="O507" s="4">
        <f t="shared" si="53"/>
        <v>1375.6164522756505</v>
      </c>
      <c r="P507" s="4">
        <f t="shared" si="54"/>
        <v>2416.3002031276646</v>
      </c>
      <c r="Q507" s="4">
        <f t="shared" si="55"/>
        <v>3791.9166554033154</v>
      </c>
      <c r="V507" s="3"/>
      <c r="W507" s="3"/>
      <c r="Y507" s="7"/>
      <c r="Z507" s="7"/>
      <c r="AA507" s="7"/>
      <c r="AB507" s="7"/>
      <c r="AC507" s="9"/>
      <c r="AD507" s="9"/>
      <c r="AE507" s="9"/>
      <c r="AF507" s="3"/>
      <c r="AG507" s="3"/>
      <c r="AH507" s="3"/>
    </row>
    <row r="508" spans="1:34" x14ac:dyDescent="0.3">
      <c r="A508">
        <v>475</v>
      </c>
      <c r="B508" s="1" t="s">
        <v>516</v>
      </c>
      <c r="C508" s="1" t="s">
        <v>682</v>
      </c>
      <c r="D508" s="2">
        <v>40829</v>
      </c>
      <c r="E508" s="3">
        <v>23.3</v>
      </c>
      <c r="F508" s="4">
        <f t="shared" si="49"/>
        <v>3259.8535615833316</v>
      </c>
      <c r="G508" s="2">
        <v>40200</v>
      </c>
      <c r="H508" s="7">
        <v>3.64</v>
      </c>
      <c r="I508" s="7">
        <f>H508+H499-2*$A$24</f>
        <v>7.74</v>
      </c>
      <c r="J508" s="7">
        <v>3.56</v>
      </c>
      <c r="K508" s="7">
        <v>6.18</v>
      </c>
      <c r="L508" s="6">
        <f t="shared" si="50"/>
        <v>0.32558139534883718</v>
      </c>
      <c r="M508" s="6">
        <f t="shared" si="51"/>
        <v>0.57881136950904388</v>
      </c>
      <c r="N508" s="6">
        <f t="shared" si="52"/>
        <v>9.5607235142118996E-2</v>
      </c>
      <c r="O508" s="4">
        <f t="shared" si="53"/>
        <v>1061.3476712131776</v>
      </c>
      <c r="P508" s="4">
        <f t="shared" si="54"/>
        <v>1886.8403043789824</v>
      </c>
      <c r="Q508" s="4">
        <f t="shared" si="55"/>
        <v>2948.18797559216</v>
      </c>
      <c r="V508" s="3"/>
      <c r="W508" s="3"/>
      <c r="Y508" s="7"/>
      <c r="Z508" s="7"/>
      <c r="AA508" s="7"/>
      <c r="AB508" s="7"/>
      <c r="AC508" s="9"/>
      <c r="AD508" s="9"/>
      <c r="AE508" s="9"/>
      <c r="AF508" s="3"/>
      <c r="AG508" s="3"/>
      <c r="AH508" s="3"/>
    </row>
    <row r="509" spans="1:34" x14ac:dyDescent="0.3">
      <c r="A509">
        <v>476</v>
      </c>
      <c r="B509" s="1" t="s">
        <v>517</v>
      </c>
      <c r="C509" s="1" t="s">
        <v>682</v>
      </c>
      <c r="D509" s="2">
        <v>40829</v>
      </c>
      <c r="E509" s="3">
        <v>27.5</v>
      </c>
      <c r="F509" s="4">
        <f t="shared" si="49"/>
        <v>3907.5065870634639</v>
      </c>
      <c r="G509" s="2">
        <v>40200</v>
      </c>
      <c r="H509" s="7">
        <v>3.38</v>
      </c>
      <c r="I509" s="7">
        <f>H509+H498-2*$A$24</f>
        <v>6.8599999999999994</v>
      </c>
      <c r="J509" s="7">
        <v>3.26</v>
      </c>
      <c r="K509" s="7">
        <v>5.68</v>
      </c>
      <c r="L509" s="6">
        <f t="shared" si="50"/>
        <v>0.32361516034985421</v>
      </c>
      <c r="M509" s="6">
        <f t="shared" si="51"/>
        <v>0.58017492711370255</v>
      </c>
      <c r="N509" s="6">
        <f t="shared" si="52"/>
        <v>9.6209912536443176E-2</v>
      </c>
      <c r="O509" s="4">
        <f t="shared" si="53"/>
        <v>1264.5283707406545</v>
      </c>
      <c r="P509" s="4">
        <f t="shared" si="54"/>
        <v>2267.0373493458578</v>
      </c>
      <c r="Q509" s="4">
        <f t="shared" si="55"/>
        <v>3531.5657200865126</v>
      </c>
      <c r="V509" s="3"/>
      <c r="W509" s="3"/>
      <c r="Y509" s="7"/>
      <c r="Z509" s="7"/>
      <c r="AA509" s="7"/>
      <c r="AB509" s="7"/>
      <c r="AC509" s="9"/>
      <c r="AD509" s="9"/>
      <c r="AE509" s="9"/>
      <c r="AF509" s="3"/>
      <c r="AG509" s="3"/>
      <c r="AH509" s="3"/>
    </row>
    <row r="510" spans="1:34" x14ac:dyDescent="0.3">
      <c r="A510">
        <v>477</v>
      </c>
      <c r="B510" s="1" t="s">
        <v>518</v>
      </c>
      <c r="C510" s="1" t="s">
        <v>682</v>
      </c>
      <c r="D510" s="2">
        <v>40829</v>
      </c>
      <c r="E510" s="3">
        <v>27.5</v>
      </c>
      <c r="F510" s="4">
        <f t="shared" si="49"/>
        <v>3907.5065870634639</v>
      </c>
      <c r="G510" s="2">
        <v>40200</v>
      </c>
      <c r="H510" s="7">
        <v>3.36</v>
      </c>
      <c r="I510" s="7">
        <f>H510+H497-2*$A$24</f>
        <v>5.7799999999999994</v>
      </c>
      <c r="J510" s="7">
        <v>2.9</v>
      </c>
      <c r="K510" s="7">
        <v>4.96</v>
      </c>
      <c r="L510" s="6">
        <f t="shared" si="50"/>
        <v>0.3217993079584775</v>
      </c>
      <c r="M510" s="6">
        <f t="shared" si="51"/>
        <v>0.56401384083044981</v>
      </c>
      <c r="N510" s="6">
        <f t="shared" si="52"/>
        <v>0.11418685121107264</v>
      </c>
      <c r="O510" s="4">
        <f t="shared" si="53"/>
        <v>1257.432915560215</v>
      </c>
      <c r="P510" s="4">
        <f t="shared" si="54"/>
        <v>2203.8877982399467</v>
      </c>
      <c r="Q510" s="4">
        <f t="shared" si="55"/>
        <v>3461.3207138001617</v>
      </c>
      <c r="V510" s="3"/>
      <c r="W510" s="3"/>
      <c r="Y510" s="7"/>
      <c r="Z510" s="7"/>
      <c r="AA510" s="7"/>
      <c r="AB510" s="7"/>
      <c r="AC510" s="9"/>
      <c r="AD510" s="9"/>
      <c r="AE510" s="9"/>
      <c r="AF510" s="3"/>
      <c r="AG510" s="3"/>
      <c r="AH510" s="3"/>
    </row>
    <row r="511" spans="1:34" x14ac:dyDescent="0.3">
      <c r="A511">
        <v>478</v>
      </c>
      <c r="B511" s="1" t="s">
        <v>519</v>
      </c>
      <c r="C511" s="1" t="s">
        <v>682</v>
      </c>
      <c r="D511" s="2">
        <v>40829</v>
      </c>
      <c r="E511" s="3">
        <v>27.2</v>
      </c>
      <c r="F511" s="4">
        <f t="shared" si="49"/>
        <v>3861.2456566720261</v>
      </c>
      <c r="G511" s="2">
        <v>40200</v>
      </c>
      <c r="H511" s="7">
        <v>4</v>
      </c>
      <c r="I511" s="7">
        <f>H511+H496-2*$A$24</f>
        <v>7.9399999999999995</v>
      </c>
      <c r="J511" s="7">
        <v>3.58</v>
      </c>
      <c r="K511" s="7">
        <v>6.28</v>
      </c>
      <c r="L511" s="6">
        <f t="shared" si="50"/>
        <v>0.31989924433249373</v>
      </c>
      <c r="M511" s="6">
        <f t="shared" si="51"/>
        <v>0.57682619647355171</v>
      </c>
      <c r="N511" s="6">
        <f t="shared" si="52"/>
        <v>0.10327455919395456</v>
      </c>
      <c r="O511" s="4">
        <f t="shared" si="53"/>
        <v>1235.2095677515047</v>
      </c>
      <c r="P511" s="4">
        <f t="shared" si="54"/>
        <v>2227.2676457881462</v>
      </c>
      <c r="Q511" s="4">
        <f t="shared" si="55"/>
        <v>3462.4772135396506</v>
      </c>
      <c r="V511" s="3"/>
      <c r="W511" s="3"/>
      <c r="Y511" s="7"/>
      <c r="Z511" s="7"/>
      <c r="AA511" s="7"/>
      <c r="AB511" s="7"/>
      <c r="AC511" s="9"/>
      <c r="AD511" s="9"/>
      <c r="AE511" s="9"/>
      <c r="AF511" s="3"/>
      <c r="AG511" s="3"/>
      <c r="AH511" s="3"/>
    </row>
    <row r="512" spans="1:34" x14ac:dyDescent="0.3">
      <c r="A512">
        <v>479</v>
      </c>
      <c r="B512" s="1" t="s">
        <v>520</v>
      </c>
      <c r="C512" s="1" t="s">
        <v>682</v>
      </c>
      <c r="D512" s="2">
        <v>40829</v>
      </c>
      <c r="E512" s="3">
        <v>28</v>
      </c>
      <c r="F512" s="4">
        <f t="shared" si="49"/>
        <v>3984.6081377158603</v>
      </c>
      <c r="G512" s="2">
        <v>40200</v>
      </c>
      <c r="H512" s="7">
        <v>3.9</v>
      </c>
      <c r="I512" s="7">
        <f>H512+H495-2*$A$24</f>
        <v>7.32</v>
      </c>
      <c r="J512" s="7">
        <v>3.42</v>
      </c>
      <c r="K512" s="7">
        <v>5.94</v>
      </c>
      <c r="L512" s="6">
        <f t="shared" si="50"/>
        <v>0.3251366120218579</v>
      </c>
      <c r="M512" s="6">
        <f t="shared" si="51"/>
        <v>0.57923497267759561</v>
      </c>
      <c r="N512" s="6">
        <f t="shared" si="52"/>
        <v>9.5628415300546443E-2</v>
      </c>
      <c r="O512" s="4">
        <f t="shared" si="53"/>
        <v>1295.5419901316593</v>
      </c>
      <c r="P512" s="4">
        <f t="shared" si="54"/>
        <v>2308.0243857807714</v>
      </c>
      <c r="Q512" s="4">
        <f t="shared" si="55"/>
        <v>3603.5663759124309</v>
      </c>
      <c r="V512" s="3"/>
      <c r="W512" s="3"/>
      <c r="Y512" s="7"/>
      <c r="Z512" s="7"/>
      <c r="AA512" s="7"/>
      <c r="AB512" s="7"/>
      <c r="AC512" s="9"/>
      <c r="AD512" s="9"/>
      <c r="AE512" s="9"/>
      <c r="AF512" s="3"/>
      <c r="AG512" s="3"/>
      <c r="AH512" s="3"/>
    </row>
    <row r="513" spans="1:34" x14ac:dyDescent="0.3">
      <c r="A513">
        <v>480</v>
      </c>
      <c r="B513" s="1" t="s">
        <v>521</v>
      </c>
      <c r="C513" s="1" t="s">
        <v>682</v>
      </c>
      <c r="D513" s="2">
        <v>40829</v>
      </c>
      <c r="E513" s="3">
        <v>20.399999999999999</v>
      </c>
      <c r="F513" s="4">
        <f t="shared" si="49"/>
        <v>2812.6645677994306</v>
      </c>
      <c r="G513" s="2">
        <v>40200</v>
      </c>
      <c r="H513" s="7">
        <v>3.72</v>
      </c>
      <c r="I513" s="7">
        <f>H513+H494-2*$A$24</f>
        <v>6.9399999999999995</v>
      </c>
      <c r="J513" s="7">
        <v>3.32</v>
      </c>
      <c r="K513" s="7">
        <v>5.78</v>
      </c>
      <c r="L513" s="6">
        <f t="shared" si="50"/>
        <v>0.32853025936599423</v>
      </c>
      <c r="M513" s="6">
        <f t="shared" si="51"/>
        <v>0.58789625360230557</v>
      </c>
      <c r="N513" s="6">
        <f t="shared" si="52"/>
        <v>8.35734870317002E-2</v>
      </c>
      <c r="O513" s="4">
        <f t="shared" si="53"/>
        <v>924.04541996868898</v>
      </c>
      <c r="P513" s="4">
        <f t="shared" si="54"/>
        <v>1653.5549620492334</v>
      </c>
      <c r="Q513" s="4">
        <f t="shared" si="55"/>
        <v>2577.6003820179221</v>
      </c>
      <c r="V513" s="3"/>
      <c r="W513" s="3"/>
      <c r="Y513" s="7"/>
      <c r="Z513" s="7"/>
      <c r="AA513" s="7"/>
      <c r="AB513" s="7"/>
      <c r="AC513" s="9"/>
      <c r="AD513" s="9"/>
      <c r="AE513" s="9"/>
      <c r="AF513" s="3"/>
      <c r="AG513" s="3"/>
      <c r="AH513" s="3"/>
    </row>
    <row r="514" spans="1:34" x14ac:dyDescent="0.3">
      <c r="A514">
        <v>481</v>
      </c>
      <c r="B514" s="1" t="s">
        <v>522</v>
      </c>
      <c r="C514" s="1" t="s">
        <v>682</v>
      </c>
      <c r="D514" s="2">
        <v>40829</v>
      </c>
      <c r="E514" s="3">
        <v>29.9</v>
      </c>
      <c r="F514" s="4">
        <f t="shared" si="49"/>
        <v>4277.5940301949677</v>
      </c>
      <c r="G514" s="2">
        <v>40204</v>
      </c>
      <c r="H514" s="7">
        <v>3.48</v>
      </c>
      <c r="I514" s="7">
        <f>H514+H533-2*$A$24</f>
        <v>6.34</v>
      </c>
      <c r="J514" s="7">
        <v>3.16</v>
      </c>
      <c r="K514" s="7">
        <v>5.4</v>
      </c>
      <c r="L514" s="6">
        <f t="shared" si="50"/>
        <v>0.33438485804416407</v>
      </c>
      <c r="M514" s="6">
        <f t="shared" si="51"/>
        <v>0.58359621451104104</v>
      </c>
      <c r="N514" s="6">
        <f t="shared" si="52"/>
        <v>8.2018927444794887E-2</v>
      </c>
      <c r="O514" s="4">
        <f t="shared" si="53"/>
        <v>1430.3626725573079</v>
      </c>
      <c r="P514" s="4">
        <f t="shared" si="54"/>
        <v>2496.387683236811</v>
      </c>
      <c r="Q514" s="4">
        <f t="shared" si="55"/>
        <v>3926.7503557941191</v>
      </c>
      <c r="S514" t="s">
        <v>35</v>
      </c>
      <c r="T514" t="s">
        <v>682</v>
      </c>
      <c r="U514" s="8">
        <f>D514</f>
        <v>40829</v>
      </c>
      <c r="V514" s="3">
        <f>SUM(E514:E553)</f>
        <v>1239.5</v>
      </c>
      <c r="W514" s="3">
        <f>(V514-80*$A$20)*$A$21/(40*$A$22)*$A$23</f>
        <v>4445.2899028639295</v>
      </c>
      <c r="X514" s="8">
        <f>G514</f>
        <v>40204</v>
      </c>
      <c r="Y514" s="7">
        <f>SUM(H514:H553)</f>
        <v>144.44</v>
      </c>
      <c r="Z514" s="7">
        <f>SUM(I514:I553)</f>
        <v>276.08</v>
      </c>
      <c r="AA514" s="7">
        <f>SUM(J514:J553)</f>
        <v>134.16000000000005</v>
      </c>
      <c r="AB514" s="7">
        <f>SUM(K514:K553)</f>
        <v>227.52</v>
      </c>
      <c r="AC514" s="9">
        <f>(AA514-40*$A$25)/Z514</f>
        <v>0.33526514053897444</v>
      </c>
      <c r="AD514" s="9">
        <f>(AB514-40*$A$26)/Z514</f>
        <v>0.57780353520718641</v>
      </c>
      <c r="AE514" s="9">
        <f>1-AC514-AD514</f>
        <v>8.6931324253839204E-2</v>
      </c>
      <c r="AF514" s="3">
        <f>W514*AC514</f>
        <v>1490.3507440201593</v>
      </c>
      <c r="AG514" s="3">
        <f>W514*AD514</f>
        <v>2568.5042208955888</v>
      </c>
      <c r="AH514" s="3">
        <f>AF514+AG514</f>
        <v>4058.854964915748</v>
      </c>
    </row>
    <row r="515" spans="1:34" x14ac:dyDescent="0.3">
      <c r="A515">
        <v>482</v>
      </c>
      <c r="B515" s="1" t="s">
        <v>523</v>
      </c>
      <c r="C515" s="1" t="s">
        <v>682</v>
      </c>
      <c r="D515" s="2">
        <v>40829</v>
      </c>
      <c r="E515" s="3">
        <v>29.7</v>
      </c>
      <c r="F515" s="4">
        <f t="shared" si="49"/>
        <v>4246.7534099340091</v>
      </c>
      <c r="G515" s="2">
        <v>40204</v>
      </c>
      <c r="H515" s="7">
        <v>3.22</v>
      </c>
      <c r="I515" s="7">
        <f>H515+H532-2*$A$24</f>
        <v>6.66</v>
      </c>
      <c r="J515" s="7">
        <v>3.26</v>
      </c>
      <c r="K515" s="7">
        <v>5.66</v>
      </c>
      <c r="L515" s="6">
        <f t="shared" si="50"/>
        <v>0.33333333333333331</v>
      </c>
      <c r="M515" s="6">
        <f t="shared" si="51"/>
        <v>0.59459459459459463</v>
      </c>
      <c r="N515" s="6">
        <f t="shared" si="52"/>
        <v>7.2072072072072113E-2</v>
      </c>
      <c r="O515" s="4">
        <f t="shared" si="53"/>
        <v>1415.584469978003</v>
      </c>
      <c r="P515" s="4">
        <f t="shared" si="54"/>
        <v>2525.0966221229246</v>
      </c>
      <c r="Q515" s="4">
        <f t="shared" si="55"/>
        <v>3940.6810921009273</v>
      </c>
      <c r="V515" s="3"/>
      <c r="W515" s="3"/>
      <c r="Y515" s="7"/>
      <c r="Z515" s="7"/>
      <c r="AA515" s="7"/>
      <c r="AB515" s="7"/>
      <c r="AC515" s="9"/>
      <c r="AD515" s="9"/>
      <c r="AE515" s="9"/>
      <c r="AF515" s="3"/>
      <c r="AG515" s="3"/>
      <c r="AH515" s="3"/>
    </row>
    <row r="516" spans="1:34" x14ac:dyDescent="0.3">
      <c r="A516">
        <v>483</v>
      </c>
      <c r="B516" s="1" t="s">
        <v>524</v>
      </c>
      <c r="C516" s="1" t="s">
        <v>682</v>
      </c>
      <c r="D516" s="2">
        <v>40829</v>
      </c>
      <c r="E516" s="3">
        <v>30.2</v>
      </c>
      <c r="F516" s="4">
        <f t="shared" si="49"/>
        <v>4323.8549605864055</v>
      </c>
      <c r="G516" s="2">
        <v>40204</v>
      </c>
      <c r="H516" s="7">
        <v>3.46</v>
      </c>
      <c r="I516" s="7">
        <f>H516+H531-2*$A$24</f>
        <v>6.32</v>
      </c>
      <c r="J516" s="7">
        <v>3.16</v>
      </c>
      <c r="K516" s="7">
        <v>5.36</v>
      </c>
      <c r="L516" s="6">
        <f t="shared" si="50"/>
        <v>0.33544303797468356</v>
      </c>
      <c r="M516" s="6">
        <f t="shared" si="51"/>
        <v>0.57911392405063289</v>
      </c>
      <c r="N516" s="6">
        <f t="shared" si="52"/>
        <v>8.5443037974683556E-2</v>
      </c>
      <c r="O516" s="4">
        <f t="shared" si="53"/>
        <v>1450.4070437410094</v>
      </c>
      <c r="P516" s="4">
        <f t="shared" si="54"/>
        <v>2504.0046132509879</v>
      </c>
      <c r="Q516" s="4">
        <f t="shared" si="55"/>
        <v>3954.411656991997</v>
      </c>
      <c r="V516" s="3"/>
      <c r="W516" s="3"/>
      <c r="Y516" s="7"/>
      <c r="Z516" s="7"/>
      <c r="AA516" s="7"/>
      <c r="AB516" s="7"/>
      <c r="AC516" s="9"/>
      <c r="AD516" s="9"/>
      <c r="AE516" s="9"/>
      <c r="AF516" s="3"/>
      <c r="AG516" s="3"/>
      <c r="AH516" s="3"/>
    </row>
    <row r="517" spans="1:34" x14ac:dyDescent="0.3">
      <c r="A517">
        <v>484</v>
      </c>
      <c r="B517" s="1" t="s">
        <v>525</v>
      </c>
      <c r="C517" s="1" t="s">
        <v>682</v>
      </c>
      <c r="D517" s="2">
        <v>40829</v>
      </c>
      <c r="E517" s="3">
        <v>29.7</v>
      </c>
      <c r="F517" s="4">
        <f t="shared" si="49"/>
        <v>4246.7534099340091</v>
      </c>
      <c r="G517" s="2">
        <v>40204</v>
      </c>
      <c r="H517" s="7">
        <v>4.0199999999999996</v>
      </c>
      <c r="I517" s="7">
        <f>H517+H530-2*$A$24</f>
        <v>7.5599999999999987</v>
      </c>
      <c r="J517" s="7">
        <v>3.62</v>
      </c>
      <c r="K517" s="7">
        <v>6.06</v>
      </c>
      <c r="L517" s="6">
        <f t="shared" si="50"/>
        <v>0.34126984126984133</v>
      </c>
      <c r="M517" s="6">
        <f t="shared" si="51"/>
        <v>0.57671957671957674</v>
      </c>
      <c r="N517" s="6">
        <f t="shared" si="52"/>
        <v>8.2010582010581867E-2</v>
      </c>
      <c r="O517" s="4">
        <f t="shared" si="53"/>
        <v>1449.2888621203367</v>
      </c>
      <c r="P517" s="4">
        <f t="shared" si="54"/>
        <v>2449.1858290095611</v>
      </c>
      <c r="Q517" s="4">
        <f t="shared" si="55"/>
        <v>3898.474691129898</v>
      </c>
      <c r="V517" s="3"/>
      <c r="W517" s="3"/>
      <c r="Y517" s="7"/>
      <c r="Z517" s="7"/>
      <c r="AA517" s="7"/>
      <c r="AB517" s="7"/>
      <c r="AC517" s="9"/>
      <c r="AD517" s="9"/>
      <c r="AE517" s="9"/>
      <c r="AF517" s="3"/>
      <c r="AG517" s="3"/>
      <c r="AH517" s="3"/>
    </row>
    <row r="518" spans="1:34" x14ac:dyDescent="0.3">
      <c r="A518">
        <v>485</v>
      </c>
      <c r="B518" s="1" t="s">
        <v>526</v>
      </c>
      <c r="C518" s="1" t="s">
        <v>682</v>
      </c>
      <c r="D518" s="2">
        <v>40829</v>
      </c>
      <c r="E518" s="3">
        <v>30.9</v>
      </c>
      <c r="F518" s="4">
        <f t="shared" si="49"/>
        <v>4431.7971314997612</v>
      </c>
      <c r="G518" s="2">
        <v>40204</v>
      </c>
      <c r="H518" s="7">
        <v>2.86</v>
      </c>
      <c r="I518" s="7">
        <f>H518+H529-2*$A$24</f>
        <v>6.4399999999999995</v>
      </c>
      <c r="J518" s="7">
        <v>3.24</v>
      </c>
      <c r="K518" s="7">
        <v>5.4</v>
      </c>
      <c r="L518" s="6">
        <f t="shared" si="50"/>
        <v>0.34161490683229817</v>
      </c>
      <c r="M518" s="6">
        <f t="shared" si="51"/>
        <v>0.57453416149068326</v>
      </c>
      <c r="N518" s="6">
        <f t="shared" si="52"/>
        <v>8.3850931677018514E-2</v>
      </c>
      <c r="O518" s="4">
        <f t="shared" si="53"/>
        <v>1513.9679641769371</v>
      </c>
      <c r="P518" s="4">
        <f t="shared" si="54"/>
        <v>2546.2188488430306</v>
      </c>
      <c r="Q518" s="4">
        <f t="shared" si="55"/>
        <v>4060.1868130199678</v>
      </c>
      <c r="V518" s="3"/>
      <c r="W518" s="3"/>
      <c r="Y518" s="7"/>
      <c r="Z518" s="7"/>
      <c r="AA518" s="7"/>
      <c r="AB518" s="7"/>
      <c r="AC518" s="9"/>
      <c r="AD518" s="9"/>
      <c r="AE518" s="9"/>
      <c r="AF518" s="3"/>
      <c r="AG518" s="3"/>
      <c r="AH518" s="3"/>
    </row>
    <row r="519" spans="1:34" x14ac:dyDescent="0.3">
      <c r="A519">
        <v>486</v>
      </c>
      <c r="B519" s="1" t="s">
        <v>527</v>
      </c>
      <c r="C519" s="1" t="s">
        <v>682</v>
      </c>
      <c r="D519" s="2">
        <v>40829</v>
      </c>
      <c r="E519" s="3">
        <v>29.200000000000003</v>
      </c>
      <c r="F519" s="4">
        <f t="shared" si="49"/>
        <v>4169.6518592816128</v>
      </c>
      <c r="G519" s="2">
        <v>40204</v>
      </c>
      <c r="H519" s="7">
        <v>4.32</v>
      </c>
      <c r="I519" s="7">
        <f>H519+H528-2*$A$24</f>
        <v>7.879999999999999</v>
      </c>
      <c r="J519" s="7">
        <v>3.68</v>
      </c>
      <c r="K519" s="7">
        <v>6.24</v>
      </c>
      <c r="L519" s="6">
        <f t="shared" si="50"/>
        <v>0.33502538071065996</v>
      </c>
      <c r="M519" s="6">
        <f t="shared" si="51"/>
        <v>0.57614213197969555</v>
      </c>
      <c r="N519" s="6">
        <f t="shared" si="52"/>
        <v>8.8832487309644437E-2</v>
      </c>
      <c r="O519" s="4">
        <f t="shared" si="53"/>
        <v>1396.9392015867336</v>
      </c>
      <c r="P519" s="4">
        <f t="shared" si="54"/>
        <v>2402.31211181961</v>
      </c>
      <c r="Q519" s="4">
        <f t="shared" si="55"/>
        <v>3799.2513134063438</v>
      </c>
      <c r="V519" s="3"/>
      <c r="W519" s="3"/>
      <c r="Y519" s="7"/>
      <c r="Z519" s="7"/>
      <c r="AA519" s="7"/>
      <c r="AB519" s="7"/>
      <c r="AC519" s="9"/>
      <c r="AD519" s="9"/>
      <c r="AE519" s="9"/>
      <c r="AF519" s="3"/>
      <c r="AG519" s="3"/>
      <c r="AH519" s="3"/>
    </row>
    <row r="520" spans="1:34" x14ac:dyDescent="0.3">
      <c r="A520">
        <v>487</v>
      </c>
      <c r="B520" s="1" t="s">
        <v>528</v>
      </c>
      <c r="C520" s="1" t="s">
        <v>682</v>
      </c>
      <c r="D520" s="2">
        <v>40829</v>
      </c>
      <c r="E520" s="3">
        <v>26.3</v>
      </c>
      <c r="F520" s="4">
        <f t="shared" si="49"/>
        <v>3722.4628654977114</v>
      </c>
      <c r="G520" s="2">
        <v>40204</v>
      </c>
      <c r="H520" s="7">
        <v>3.58</v>
      </c>
      <c r="I520" s="7">
        <f>H520+H527-2*$A$24</f>
        <v>6.6199999999999992</v>
      </c>
      <c r="J520" s="7">
        <v>3.3</v>
      </c>
      <c r="K520" s="7">
        <v>5.48</v>
      </c>
      <c r="L520" s="6">
        <f t="shared" si="50"/>
        <v>0.34138972809667673</v>
      </c>
      <c r="M520" s="6">
        <f t="shared" si="51"/>
        <v>0.57099697885196388</v>
      </c>
      <c r="N520" s="6">
        <f t="shared" si="52"/>
        <v>8.7613293051359453E-2</v>
      </c>
      <c r="O520" s="4">
        <f t="shared" si="53"/>
        <v>1270.8105855022397</v>
      </c>
      <c r="P520" s="4">
        <f t="shared" si="54"/>
        <v>2125.5150500878176</v>
      </c>
      <c r="Q520" s="4">
        <f t="shared" si="55"/>
        <v>3396.3256355900576</v>
      </c>
      <c r="V520" s="3"/>
      <c r="W520" s="3"/>
      <c r="Y520" s="7"/>
      <c r="Z520" s="7"/>
      <c r="AA520" s="7"/>
      <c r="AB520" s="7"/>
      <c r="AC520" s="9"/>
      <c r="AD520" s="9"/>
      <c r="AE520" s="9"/>
      <c r="AF520" s="3"/>
      <c r="AG520" s="3"/>
      <c r="AH520" s="3"/>
    </row>
    <row r="521" spans="1:34" x14ac:dyDescent="0.3">
      <c r="A521">
        <v>488</v>
      </c>
      <c r="B521" s="1" t="s">
        <v>529</v>
      </c>
      <c r="C521" s="1" t="s">
        <v>682</v>
      </c>
      <c r="D521" s="2">
        <v>40829</v>
      </c>
      <c r="E521" s="3">
        <v>32.299999999999997</v>
      </c>
      <c r="F521" s="4">
        <f t="shared" si="49"/>
        <v>4647.6814733264719</v>
      </c>
      <c r="G521" s="2">
        <v>40204</v>
      </c>
      <c r="H521" s="7">
        <v>3.7</v>
      </c>
      <c r="I521" s="7">
        <f>H521+H526-2*$A$24</f>
        <v>6.4</v>
      </c>
      <c r="J521" s="7">
        <v>3.24</v>
      </c>
      <c r="K521" s="7">
        <v>5.42</v>
      </c>
      <c r="L521" s="6">
        <f t="shared" si="50"/>
        <v>0.34375</v>
      </c>
      <c r="M521" s="6">
        <f t="shared" si="51"/>
        <v>0.58124999999999993</v>
      </c>
      <c r="N521" s="6">
        <f t="shared" si="52"/>
        <v>7.5000000000000067E-2</v>
      </c>
      <c r="O521" s="4">
        <f t="shared" si="53"/>
        <v>1597.6405064559747</v>
      </c>
      <c r="P521" s="4">
        <f t="shared" si="54"/>
        <v>2701.4648563710116</v>
      </c>
      <c r="Q521" s="4">
        <f t="shared" si="55"/>
        <v>4299.1053628269865</v>
      </c>
      <c r="V521" s="3"/>
      <c r="W521" s="3"/>
      <c r="Y521" s="7"/>
      <c r="Z521" s="7"/>
      <c r="AA521" s="7"/>
      <c r="AB521" s="7"/>
      <c r="AC521" s="9"/>
      <c r="AD521" s="9"/>
      <c r="AE521" s="9"/>
      <c r="AF521" s="3"/>
      <c r="AG521" s="3"/>
      <c r="AH521" s="3"/>
    </row>
    <row r="522" spans="1:34" x14ac:dyDescent="0.3">
      <c r="A522">
        <v>489</v>
      </c>
      <c r="B522" s="1" t="s">
        <v>530</v>
      </c>
      <c r="C522" s="1" t="s">
        <v>682</v>
      </c>
      <c r="D522" s="2">
        <v>40829</v>
      </c>
      <c r="E522" s="3">
        <v>29.3</v>
      </c>
      <c r="F522" s="4">
        <f t="shared" si="49"/>
        <v>4185.0721694120921</v>
      </c>
      <c r="G522" s="2">
        <v>40204</v>
      </c>
      <c r="H522" s="7">
        <v>3.74</v>
      </c>
      <c r="I522" s="7">
        <f>H522+H525-2*$A$24</f>
        <v>7</v>
      </c>
      <c r="J522" s="7">
        <v>3.38</v>
      </c>
      <c r="K522" s="7">
        <v>5.72</v>
      </c>
      <c r="L522" s="6">
        <f t="shared" si="50"/>
        <v>0.33428571428571424</v>
      </c>
      <c r="M522" s="6">
        <f t="shared" si="51"/>
        <v>0.57428571428571418</v>
      </c>
      <c r="N522" s="6">
        <f t="shared" si="52"/>
        <v>9.1428571428571526E-2</v>
      </c>
      <c r="O522" s="4">
        <f t="shared" si="53"/>
        <v>1399.009839489185</v>
      </c>
      <c r="P522" s="4">
        <f t="shared" si="54"/>
        <v>2403.4271601480868</v>
      </c>
      <c r="Q522" s="4">
        <f t="shared" si="55"/>
        <v>3802.4369996372716</v>
      </c>
      <c r="V522" s="3"/>
      <c r="W522" s="3"/>
      <c r="Y522" s="7"/>
      <c r="Z522" s="7"/>
      <c r="AA522" s="7"/>
      <c r="AB522" s="7"/>
      <c r="AC522" s="9"/>
      <c r="AD522" s="9"/>
      <c r="AE522" s="9"/>
      <c r="AF522" s="3"/>
      <c r="AG522" s="3"/>
      <c r="AH522" s="3"/>
    </row>
    <row r="523" spans="1:34" x14ac:dyDescent="0.3">
      <c r="A523">
        <v>490</v>
      </c>
      <c r="B523" s="1" t="s">
        <v>531</v>
      </c>
      <c r="C523" s="1" t="s">
        <v>682</v>
      </c>
      <c r="D523" s="2">
        <v>40829</v>
      </c>
      <c r="E523" s="3">
        <v>25.2</v>
      </c>
      <c r="F523" s="4">
        <f t="shared" si="49"/>
        <v>3552.8394540624386</v>
      </c>
      <c r="G523" s="2">
        <v>40204</v>
      </c>
      <c r="H523" s="7">
        <v>3.58</v>
      </c>
      <c r="I523" s="7">
        <f>H523+H524-2*$A$24</f>
        <v>6.82</v>
      </c>
      <c r="J523" s="7">
        <v>3.34</v>
      </c>
      <c r="K523" s="7">
        <v>5.58</v>
      </c>
      <c r="L523" s="6">
        <f t="shared" si="50"/>
        <v>0.33724340175953077</v>
      </c>
      <c r="M523" s="6">
        <f t="shared" si="51"/>
        <v>0.56891495601173014</v>
      </c>
      <c r="N523" s="6">
        <f t="shared" si="52"/>
        <v>9.3841642228739142E-2</v>
      </c>
      <c r="O523" s="4">
        <f t="shared" si="53"/>
        <v>1198.1716633934909</v>
      </c>
      <c r="P523" s="4">
        <f t="shared" si="54"/>
        <v>2021.2635017246716</v>
      </c>
      <c r="Q523" s="4">
        <f t="shared" si="55"/>
        <v>3219.4351651181623</v>
      </c>
      <c r="V523" s="3"/>
      <c r="W523" s="3"/>
      <c r="Y523" s="7"/>
      <c r="Z523" s="7"/>
      <c r="AA523" s="7"/>
      <c r="AB523" s="7"/>
      <c r="AC523" s="9"/>
      <c r="AD523" s="9"/>
      <c r="AE523" s="9"/>
      <c r="AF523" s="3"/>
      <c r="AG523" s="3"/>
      <c r="AH523" s="3"/>
    </row>
    <row r="524" spans="1:34" x14ac:dyDescent="0.3">
      <c r="A524">
        <v>491</v>
      </c>
      <c r="B524" s="1" t="s">
        <v>532</v>
      </c>
      <c r="C524" s="1" t="s">
        <v>682</v>
      </c>
      <c r="D524" s="2">
        <v>40829</v>
      </c>
      <c r="E524" s="3">
        <v>32.200000000000003</v>
      </c>
      <c r="F524" s="4">
        <f t="shared" si="49"/>
        <v>4632.2611631959926</v>
      </c>
      <c r="G524" s="2">
        <v>40204</v>
      </c>
      <c r="H524" s="7">
        <v>3.56</v>
      </c>
      <c r="I524" s="7">
        <f>H524+H523-2*$A$24</f>
        <v>6.82</v>
      </c>
      <c r="J524" s="7">
        <v>3.34</v>
      </c>
      <c r="K524" s="7">
        <v>5.58</v>
      </c>
      <c r="L524" s="6">
        <f t="shared" si="50"/>
        <v>0.33724340175953077</v>
      </c>
      <c r="M524" s="6">
        <f t="shared" si="51"/>
        <v>0.56891495601173014</v>
      </c>
      <c r="N524" s="6">
        <f t="shared" si="52"/>
        <v>9.3841642228739142E-2</v>
      </c>
      <c r="O524" s="4">
        <f t="shared" si="53"/>
        <v>1562.1995125147776</v>
      </c>
      <c r="P524" s="4">
        <f t="shared" si="54"/>
        <v>2635.3626558944939</v>
      </c>
      <c r="Q524" s="4">
        <f t="shared" si="55"/>
        <v>4197.5621684092712</v>
      </c>
      <c r="V524" s="3"/>
      <c r="W524" s="3"/>
      <c r="Y524" s="7"/>
      <c r="Z524" s="7"/>
      <c r="AA524" s="7"/>
      <c r="AB524" s="7"/>
      <c r="AC524" s="9"/>
      <c r="AD524" s="9"/>
      <c r="AE524" s="9"/>
      <c r="AF524" s="3"/>
      <c r="AG524" s="3"/>
      <c r="AH524" s="3"/>
    </row>
    <row r="525" spans="1:34" x14ac:dyDescent="0.3">
      <c r="A525">
        <v>492</v>
      </c>
      <c r="B525" s="1" t="s">
        <v>533</v>
      </c>
      <c r="C525" s="1" t="s">
        <v>682</v>
      </c>
      <c r="D525" s="2">
        <v>40829</v>
      </c>
      <c r="E525" s="3">
        <v>32.4</v>
      </c>
      <c r="F525" s="4">
        <f t="shared" si="49"/>
        <v>4663.1017834569511</v>
      </c>
      <c r="G525" s="2">
        <v>40204</v>
      </c>
      <c r="H525" s="7">
        <v>3.58</v>
      </c>
      <c r="I525" s="7">
        <f>H525+H522-2*$A$24</f>
        <v>7</v>
      </c>
      <c r="J525" s="7">
        <v>3.38</v>
      </c>
      <c r="K525" s="7">
        <v>5.72</v>
      </c>
      <c r="L525" s="6">
        <f t="shared" si="50"/>
        <v>0.33428571428571424</v>
      </c>
      <c r="M525" s="6">
        <f t="shared" si="51"/>
        <v>0.57428571428571418</v>
      </c>
      <c r="N525" s="6">
        <f t="shared" si="52"/>
        <v>9.1428571428571526E-2</v>
      </c>
      <c r="O525" s="4">
        <f t="shared" si="53"/>
        <v>1558.8083104698949</v>
      </c>
      <c r="P525" s="4">
        <f t="shared" si="54"/>
        <v>2677.9527384995627</v>
      </c>
      <c r="Q525" s="4">
        <f t="shared" si="55"/>
        <v>4236.761048969458</v>
      </c>
      <c r="V525" s="3"/>
      <c r="W525" s="3"/>
      <c r="Y525" s="7"/>
      <c r="Z525" s="7"/>
      <c r="AA525" s="7"/>
      <c r="AB525" s="7"/>
      <c r="AC525" s="9"/>
      <c r="AD525" s="9"/>
      <c r="AE525" s="9"/>
      <c r="AF525" s="3"/>
      <c r="AG525" s="3"/>
      <c r="AH525" s="3"/>
    </row>
    <row r="526" spans="1:34" x14ac:dyDescent="0.3">
      <c r="A526">
        <v>493</v>
      </c>
      <c r="B526" s="1" t="s">
        <v>534</v>
      </c>
      <c r="C526" s="1" t="s">
        <v>682</v>
      </c>
      <c r="D526" s="2">
        <v>40829</v>
      </c>
      <c r="E526" s="3">
        <v>38.099999999999994</v>
      </c>
      <c r="F526" s="4">
        <f t="shared" si="49"/>
        <v>5542.0594608942729</v>
      </c>
      <c r="G526" s="2">
        <v>40204</v>
      </c>
      <c r="H526" s="7">
        <v>3.02</v>
      </c>
      <c r="I526" s="7">
        <f>H526+H521-2*$A$24</f>
        <v>6.4</v>
      </c>
      <c r="J526" s="7">
        <v>3.24</v>
      </c>
      <c r="K526" s="7">
        <v>5.42</v>
      </c>
      <c r="L526" s="6">
        <f t="shared" si="50"/>
        <v>0.34375</v>
      </c>
      <c r="M526" s="6">
        <f t="shared" si="51"/>
        <v>0.58124999999999993</v>
      </c>
      <c r="N526" s="6">
        <f t="shared" si="52"/>
        <v>7.5000000000000067E-2</v>
      </c>
      <c r="O526" s="4">
        <f t="shared" si="53"/>
        <v>1905.0829396824063</v>
      </c>
      <c r="P526" s="4">
        <f t="shared" si="54"/>
        <v>3221.3220616447957</v>
      </c>
      <c r="Q526" s="4">
        <f t="shared" si="55"/>
        <v>5126.4050013272017</v>
      </c>
      <c r="V526" s="3"/>
      <c r="W526" s="3"/>
      <c r="Y526" s="7"/>
      <c r="Z526" s="7"/>
      <c r="AA526" s="7"/>
      <c r="AB526" s="7"/>
      <c r="AC526" s="9"/>
      <c r="AD526" s="9"/>
      <c r="AE526" s="9"/>
      <c r="AF526" s="3"/>
      <c r="AG526" s="3"/>
      <c r="AH526" s="3"/>
    </row>
    <row r="527" spans="1:34" x14ac:dyDescent="0.3">
      <c r="A527">
        <v>494</v>
      </c>
      <c r="B527" s="1" t="s">
        <v>535</v>
      </c>
      <c r="C527" s="1" t="s">
        <v>682</v>
      </c>
      <c r="D527" s="2">
        <v>40829</v>
      </c>
      <c r="E527" s="3">
        <v>35.200000000000003</v>
      </c>
      <c r="F527" s="4">
        <f t="shared" si="49"/>
        <v>5094.8704671103742</v>
      </c>
      <c r="G527" s="2">
        <v>40204</v>
      </c>
      <c r="H527" s="7">
        <v>3.36</v>
      </c>
      <c r="I527" s="7">
        <f>H527+H520-2*$A$24</f>
        <v>6.6199999999999992</v>
      </c>
      <c r="J527" s="7">
        <v>3.3</v>
      </c>
      <c r="K527" s="7">
        <v>5.48</v>
      </c>
      <c r="L527" s="6">
        <f t="shared" si="50"/>
        <v>0.34138972809667673</v>
      </c>
      <c r="M527" s="6">
        <f t="shared" si="51"/>
        <v>0.57099697885196388</v>
      </c>
      <c r="N527" s="6">
        <f t="shared" si="52"/>
        <v>8.7613293051359453E-2</v>
      </c>
      <c r="O527" s="4">
        <f t="shared" si="53"/>
        <v>1739.336443454599</v>
      </c>
      <c r="P527" s="4">
        <f t="shared" si="54"/>
        <v>2909.1556443621175</v>
      </c>
      <c r="Q527" s="4">
        <f t="shared" si="55"/>
        <v>4648.4920878167168</v>
      </c>
      <c r="V527" s="3"/>
      <c r="W527" s="3"/>
      <c r="Y527" s="7"/>
      <c r="Z527" s="7"/>
      <c r="AA527" s="7"/>
      <c r="AB527" s="7"/>
      <c r="AC527" s="9"/>
      <c r="AD527" s="9"/>
      <c r="AE527" s="9"/>
      <c r="AF527" s="3"/>
      <c r="AG527" s="3"/>
      <c r="AH527" s="3"/>
    </row>
    <row r="528" spans="1:34" x14ac:dyDescent="0.3">
      <c r="A528">
        <v>495</v>
      </c>
      <c r="B528" s="1" t="s">
        <v>536</v>
      </c>
      <c r="C528" s="1" t="s">
        <v>682</v>
      </c>
      <c r="D528" s="2">
        <v>40829</v>
      </c>
      <c r="E528" s="3">
        <v>36.5</v>
      </c>
      <c r="F528" s="4">
        <f t="shared" si="49"/>
        <v>5295.3344988066046</v>
      </c>
      <c r="G528" s="2">
        <v>40204</v>
      </c>
      <c r="H528" s="7">
        <v>3.88</v>
      </c>
      <c r="I528" s="7">
        <f>H528+H519-2*$A$24</f>
        <v>7.879999999999999</v>
      </c>
      <c r="J528" s="7">
        <v>3.68</v>
      </c>
      <c r="K528" s="7">
        <v>6.24</v>
      </c>
      <c r="L528" s="6">
        <f t="shared" si="50"/>
        <v>0.33502538071065996</v>
      </c>
      <c r="M528" s="6">
        <f t="shared" si="51"/>
        <v>0.57614213197969555</v>
      </c>
      <c r="N528" s="6">
        <f t="shared" si="52"/>
        <v>8.8832487309644437E-2</v>
      </c>
      <c r="O528" s="4">
        <f t="shared" si="53"/>
        <v>1774.0714564529744</v>
      </c>
      <c r="P528" s="4">
        <f t="shared" si="54"/>
        <v>3050.8653076880696</v>
      </c>
      <c r="Q528" s="4">
        <f t="shared" si="55"/>
        <v>4824.9367641410445</v>
      </c>
      <c r="V528" s="3"/>
      <c r="W528" s="3"/>
      <c r="Y528" s="7"/>
      <c r="Z528" s="7"/>
      <c r="AA528" s="7"/>
      <c r="AB528" s="7"/>
      <c r="AC528" s="9"/>
      <c r="AD528" s="9"/>
      <c r="AE528" s="9"/>
      <c r="AF528" s="3"/>
      <c r="AG528" s="3"/>
      <c r="AH528" s="3"/>
    </row>
    <row r="529" spans="1:34" x14ac:dyDescent="0.3">
      <c r="A529">
        <v>496</v>
      </c>
      <c r="B529" s="1" t="s">
        <v>537</v>
      </c>
      <c r="C529" s="1" t="s">
        <v>682</v>
      </c>
      <c r="D529" s="2">
        <v>40829</v>
      </c>
      <c r="E529" s="3">
        <v>51.3</v>
      </c>
      <c r="F529" s="4">
        <f t="shared" si="49"/>
        <v>7577.5403981175459</v>
      </c>
      <c r="G529" s="2">
        <v>40204</v>
      </c>
      <c r="H529" s="7">
        <v>3.9</v>
      </c>
      <c r="I529" s="7">
        <f>H529+H518-2*$A$24</f>
        <v>6.4399999999999995</v>
      </c>
      <c r="J529" s="7">
        <v>3.24</v>
      </c>
      <c r="K529" s="7">
        <v>5.4</v>
      </c>
      <c r="L529" s="6">
        <f t="shared" si="50"/>
        <v>0.34161490683229817</v>
      </c>
      <c r="M529" s="6">
        <f t="shared" si="51"/>
        <v>0.57453416149068326</v>
      </c>
      <c r="N529" s="6">
        <f t="shared" si="52"/>
        <v>8.3850931677018514E-2</v>
      </c>
      <c r="O529" s="4">
        <f t="shared" si="53"/>
        <v>2588.6007571209011</v>
      </c>
      <c r="P529" s="4">
        <f t="shared" si="54"/>
        <v>4353.5558187942424</v>
      </c>
      <c r="Q529" s="4">
        <f t="shared" si="55"/>
        <v>6942.1565759151435</v>
      </c>
      <c r="V529" s="3"/>
      <c r="W529" s="3"/>
      <c r="Y529" s="7"/>
      <c r="Z529" s="7"/>
      <c r="AA529" s="7"/>
      <c r="AB529" s="7"/>
      <c r="AC529" s="9"/>
      <c r="AD529" s="9"/>
      <c r="AE529" s="9"/>
      <c r="AF529" s="3"/>
      <c r="AG529" s="3"/>
      <c r="AH529" s="3"/>
    </row>
    <row r="530" spans="1:34" x14ac:dyDescent="0.3">
      <c r="A530">
        <v>497</v>
      </c>
      <c r="B530" s="1" t="s">
        <v>538</v>
      </c>
      <c r="C530" s="1" t="s">
        <v>682</v>
      </c>
      <c r="D530" s="2">
        <v>40829</v>
      </c>
      <c r="E530" s="3">
        <v>23.3</v>
      </c>
      <c r="F530" s="4">
        <f t="shared" si="49"/>
        <v>3259.8535615833316</v>
      </c>
      <c r="G530" s="2">
        <v>40204</v>
      </c>
      <c r="H530" s="7">
        <v>3.86</v>
      </c>
      <c r="I530" s="7">
        <f>H530+H517-2*$A$24</f>
        <v>7.5599999999999987</v>
      </c>
      <c r="J530" s="7">
        <v>3.62</v>
      </c>
      <c r="K530" s="7">
        <v>6.06</v>
      </c>
      <c r="L530" s="6">
        <f t="shared" si="50"/>
        <v>0.34126984126984133</v>
      </c>
      <c r="M530" s="6">
        <f t="shared" si="51"/>
        <v>0.57671957671957674</v>
      </c>
      <c r="N530" s="6">
        <f t="shared" si="52"/>
        <v>8.2010582010581867E-2</v>
      </c>
      <c r="O530" s="4">
        <f t="shared" si="53"/>
        <v>1112.4897075244705</v>
      </c>
      <c r="P530" s="4">
        <f t="shared" si="54"/>
        <v>1880.0213662041438</v>
      </c>
      <c r="Q530" s="4">
        <f t="shared" si="55"/>
        <v>2992.5110737286141</v>
      </c>
      <c r="V530" s="3"/>
      <c r="W530" s="3"/>
      <c r="Y530" s="7"/>
      <c r="Z530" s="7"/>
      <c r="AA530" s="7"/>
      <c r="AB530" s="7"/>
      <c r="AC530" s="9"/>
      <c r="AD530" s="9"/>
      <c r="AE530" s="9"/>
      <c r="AF530" s="3"/>
      <c r="AG530" s="3"/>
      <c r="AH530" s="3"/>
    </row>
    <row r="531" spans="1:34" x14ac:dyDescent="0.3">
      <c r="A531">
        <v>498</v>
      </c>
      <c r="B531" s="1" t="s">
        <v>539</v>
      </c>
      <c r="C531" s="1" t="s">
        <v>682</v>
      </c>
      <c r="D531" s="2">
        <v>40829</v>
      </c>
      <c r="E531" s="3">
        <v>36.599999999999994</v>
      </c>
      <c r="F531" s="4">
        <f t="shared" si="49"/>
        <v>5310.754808937083</v>
      </c>
      <c r="G531" s="2">
        <v>40204</v>
      </c>
      <c r="H531" s="7">
        <v>3.18</v>
      </c>
      <c r="I531" s="7">
        <f>H531+H516-2*$A$24</f>
        <v>6.32</v>
      </c>
      <c r="J531" s="7">
        <v>3.16</v>
      </c>
      <c r="K531" s="7">
        <v>5.36</v>
      </c>
      <c r="L531" s="6">
        <f t="shared" si="50"/>
        <v>0.33544303797468356</v>
      </c>
      <c r="M531" s="6">
        <f t="shared" si="51"/>
        <v>0.57911392405063289</v>
      </c>
      <c r="N531" s="6">
        <f t="shared" si="52"/>
        <v>8.5443037974683556E-2</v>
      </c>
      <c r="O531" s="4">
        <f t="shared" si="53"/>
        <v>1781.4557270485152</v>
      </c>
      <c r="P531" s="4">
        <f t="shared" si="54"/>
        <v>3075.5320570743233</v>
      </c>
      <c r="Q531" s="4">
        <f t="shared" si="55"/>
        <v>4856.987784122839</v>
      </c>
      <c r="V531" s="3"/>
      <c r="W531" s="3"/>
      <c r="Y531" s="7"/>
      <c r="Z531" s="7"/>
      <c r="AA531" s="7"/>
      <c r="AB531" s="7"/>
      <c r="AC531" s="9"/>
      <c r="AD531" s="9"/>
      <c r="AE531" s="9"/>
      <c r="AF531" s="3"/>
      <c r="AG531" s="3"/>
      <c r="AH531" s="3"/>
    </row>
    <row r="532" spans="1:34" x14ac:dyDescent="0.3">
      <c r="A532">
        <v>499</v>
      </c>
      <c r="B532" s="1" t="s">
        <v>540</v>
      </c>
      <c r="C532" s="1" t="s">
        <v>682</v>
      </c>
      <c r="D532" s="2">
        <v>40829</v>
      </c>
      <c r="E532" s="3">
        <v>33.700000000000003</v>
      </c>
      <c r="F532" s="4">
        <f t="shared" si="49"/>
        <v>4863.5658151531834</v>
      </c>
      <c r="G532" s="2">
        <v>40204</v>
      </c>
      <c r="H532" s="7">
        <v>3.76</v>
      </c>
      <c r="I532" s="7">
        <f>H532+H515-2*$A$24</f>
        <v>6.66</v>
      </c>
      <c r="J532" s="7">
        <v>3.26</v>
      </c>
      <c r="K532" s="7">
        <v>5.66</v>
      </c>
      <c r="L532" s="6">
        <f t="shared" si="50"/>
        <v>0.33333333333333331</v>
      </c>
      <c r="M532" s="6">
        <f t="shared" si="51"/>
        <v>0.59459459459459463</v>
      </c>
      <c r="N532" s="6">
        <f t="shared" si="52"/>
        <v>7.2072072072072113E-2</v>
      </c>
      <c r="O532" s="4">
        <f t="shared" si="53"/>
        <v>1621.1886050510611</v>
      </c>
      <c r="P532" s="4">
        <f t="shared" si="54"/>
        <v>2891.8499441451363</v>
      </c>
      <c r="Q532" s="4">
        <f t="shared" si="55"/>
        <v>4513.038549196197</v>
      </c>
      <c r="V532" s="3"/>
      <c r="W532" s="3"/>
      <c r="Y532" s="7"/>
      <c r="Z532" s="7"/>
      <c r="AA532" s="7"/>
      <c r="AB532" s="7"/>
      <c r="AC532" s="9"/>
      <c r="AD532" s="9"/>
      <c r="AE532" s="9"/>
      <c r="AF532" s="3"/>
      <c r="AG532" s="3"/>
      <c r="AH532" s="3"/>
    </row>
    <row r="533" spans="1:34" x14ac:dyDescent="0.3">
      <c r="A533">
        <v>500</v>
      </c>
      <c r="B533" s="1" t="s">
        <v>541</v>
      </c>
      <c r="C533" s="1" t="s">
        <v>682</v>
      </c>
      <c r="D533" s="2">
        <v>40829</v>
      </c>
      <c r="E533" s="3">
        <v>35.9</v>
      </c>
      <c r="F533" s="4">
        <f t="shared" si="49"/>
        <v>5202.8126380237272</v>
      </c>
      <c r="G533" s="2">
        <v>40204</v>
      </c>
      <c r="H533" s="7">
        <v>3.18</v>
      </c>
      <c r="I533" s="7">
        <f>H533+H514-2*$A$24</f>
        <v>6.34</v>
      </c>
      <c r="J533" s="7">
        <v>3.16</v>
      </c>
      <c r="K533" s="7">
        <v>5.4</v>
      </c>
      <c r="L533" s="6">
        <f t="shared" si="50"/>
        <v>0.33438485804416407</v>
      </c>
      <c r="M533" s="6">
        <f t="shared" si="51"/>
        <v>0.58359621451104104</v>
      </c>
      <c r="N533" s="6">
        <f t="shared" si="52"/>
        <v>8.2018927444794887E-2</v>
      </c>
      <c r="O533" s="4">
        <f t="shared" si="53"/>
        <v>1739.7417653959469</v>
      </c>
      <c r="P533" s="4">
        <f t="shared" si="54"/>
        <v>3036.3417603608505</v>
      </c>
      <c r="Q533" s="4">
        <f t="shared" si="55"/>
        <v>4776.0835257567978</v>
      </c>
      <c r="V533" s="3"/>
      <c r="W533" s="3"/>
      <c r="Y533" s="7"/>
      <c r="Z533" s="7"/>
      <c r="AA533" s="7"/>
      <c r="AB533" s="7"/>
      <c r="AC533" s="9"/>
      <c r="AD533" s="9"/>
      <c r="AE533" s="9"/>
      <c r="AF533" s="3"/>
      <c r="AG533" s="3"/>
      <c r="AH533" s="3"/>
    </row>
    <row r="534" spans="1:34" x14ac:dyDescent="0.3">
      <c r="A534">
        <v>501</v>
      </c>
      <c r="B534" s="1" t="s">
        <v>542</v>
      </c>
      <c r="C534" s="1" t="s">
        <v>682</v>
      </c>
      <c r="D534" s="2">
        <v>40829</v>
      </c>
      <c r="E534" s="3">
        <v>27.1</v>
      </c>
      <c r="F534" s="4">
        <f t="shared" si="49"/>
        <v>3845.8253465415464</v>
      </c>
      <c r="G534" s="2">
        <v>40204</v>
      </c>
      <c r="H534" s="7">
        <v>4.24</v>
      </c>
      <c r="I534" s="7">
        <f>H534+H553-2*$A$24</f>
        <v>7.68</v>
      </c>
      <c r="J534" s="7">
        <v>3.52</v>
      </c>
      <c r="K534" s="7">
        <v>6.14</v>
      </c>
      <c r="L534" s="6">
        <f t="shared" si="50"/>
        <v>0.32291666666666669</v>
      </c>
      <c r="M534" s="6">
        <f t="shared" si="51"/>
        <v>0.578125</v>
      </c>
      <c r="N534" s="6">
        <f t="shared" si="52"/>
        <v>9.8958333333333259E-2</v>
      </c>
      <c r="O534" s="4">
        <f t="shared" si="53"/>
        <v>1241.8811014873745</v>
      </c>
      <c r="P534" s="4">
        <f t="shared" si="54"/>
        <v>2223.3677784693314</v>
      </c>
      <c r="Q534" s="4">
        <f t="shared" si="55"/>
        <v>3465.2488799567059</v>
      </c>
      <c r="V534" s="3"/>
      <c r="W534" s="3"/>
      <c r="Y534" s="7"/>
      <c r="Z534" s="7"/>
      <c r="AA534" s="7"/>
      <c r="AB534" s="7"/>
      <c r="AC534" s="9"/>
      <c r="AD534" s="9"/>
      <c r="AE534" s="9"/>
      <c r="AF534" s="3"/>
      <c r="AG534" s="3"/>
      <c r="AH534" s="3"/>
    </row>
    <row r="535" spans="1:34" x14ac:dyDescent="0.3">
      <c r="A535">
        <v>502</v>
      </c>
      <c r="B535" s="1" t="s">
        <v>543</v>
      </c>
      <c r="C535" s="1" t="s">
        <v>682</v>
      </c>
      <c r="D535" s="2">
        <v>40829</v>
      </c>
      <c r="E535" s="3">
        <v>28.9</v>
      </c>
      <c r="F535" s="4">
        <f t="shared" si="49"/>
        <v>4123.3909288901741</v>
      </c>
      <c r="G535" s="2">
        <v>40204</v>
      </c>
      <c r="H535" s="7">
        <v>3.38</v>
      </c>
      <c r="I535" s="7">
        <f>H535+H552-2*$A$24</f>
        <v>6.9799999999999995</v>
      </c>
      <c r="J535" s="7">
        <v>3.4</v>
      </c>
      <c r="K535" s="7">
        <v>5.8</v>
      </c>
      <c r="L535" s="6">
        <f t="shared" si="50"/>
        <v>0.33810888252148996</v>
      </c>
      <c r="M535" s="6">
        <f t="shared" si="51"/>
        <v>0.58739255014326641</v>
      </c>
      <c r="N535" s="6">
        <f t="shared" si="52"/>
        <v>7.4498567335243626E-2</v>
      </c>
      <c r="O535" s="4">
        <f t="shared" si="53"/>
        <v>1394.1550991663053</v>
      </c>
      <c r="P535" s="4">
        <f t="shared" si="54"/>
        <v>2422.0491129584116</v>
      </c>
      <c r="Q535" s="4">
        <f t="shared" si="55"/>
        <v>3816.2042121247168</v>
      </c>
      <c r="V535" s="3"/>
      <c r="W535" s="3"/>
      <c r="Y535" s="7"/>
      <c r="Z535" s="7"/>
      <c r="AA535" s="7"/>
      <c r="AB535" s="7"/>
      <c r="AC535" s="9"/>
      <c r="AD535" s="9"/>
      <c r="AE535" s="9"/>
      <c r="AF535" s="3"/>
      <c r="AG535" s="3"/>
      <c r="AH535" s="3"/>
    </row>
    <row r="536" spans="1:34" x14ac:dyDescent="0.3">
      <c r="A536">
        <v>503</v>
      </c>
      <c r="B536" s="1" t="s">
        <v>544</v>
      </c>
      <c r="C536" s="1" t="s">
        <v>682</v>
      </c>
      <c r="D536" s="2">
        <v>40829</v>
      </c>
      <c r="E536" s="3">
        <v>30.3</v>
      </c>
      <c r="F536" s="4">
        <f t="shared" si="49"/>
        <v>4339.2752707168856</v>
      </c>
      <c r="G536" s="2">
        <v>40204</v>
      </c>
      <c r="H536" s="7">
        <v>4.0199999999999996</v>
      </c>
      <c r="I536" s="7">
        <f>H536+H551-2*$A$24</f>
        <v>7.02</v>
      </c>
      <c r="J536" s="7">
        <v>3.34</v>
      </c>
      <c r="K536" s="7">
        <v>5.76</v>
      </c>
      <c r="L536" s="6">
        <f t="shared" si="50"/>
        <v>0.32763532763532766</v>
      </c>
      <c r="M536" s="6">
        <f t="shared" si="51"/>
        <v>0.57834757834757833</v>
      </c>
      <c r="N536" s="6">
        <f t="shared" si="52"/>
        <v>9.4017094017094016E-2</v>
      </c>
      <c r="O536" s="4">
        <f t="shared" si="53"/>
        <v>1421.6998750212019</v>
      </c>
      <c r="P536" s="4">
        <f t="shared" si="54"/>
        <v>2509.609344602643</v>
      </c>
      <c r="Q536" s="4">
        <f t="shared" si="55"/>
        <v>3931.3092196238449</v>
      </c>
      <c r="V536" s="3"/>
      <c r="W536" s="3"/>
      <c r="Y536" s="7"/>
      <c r="Z536" s="7"/>
      <c r="AA536" s="7"/>
      <c r="AB536" s="7"/>
      <c r="AC536" s="9"/>
      <c r="AD536" s="9"/>
      <c r="AE536" s="9"/>
      <c r="AF536" s="3"/>
      <c r="AG536" s="3"/>
      <c r="AH536" s="3"/>
    </row>
    <row r="537" spans="1:34" x14ac:dyDescent="0.3">
      <c r="A537">
        <v>504</v>
      </c>
      <c r="B537" s="1" t="s">
        <v>545</v>
      </c>
      <c r="C537" s="1" t="s">
        <v>682</v>
      </c>
      <c r="D537" s="2">
        <v>40829</v>
      </c>
      <c r="E537" s="3">
        <v>33.299999999999997</v>
      </c>
      <c r="F537" s="4">
        <f t="shared" si="49"/>
        <v>4801.8845746312645</v>
      </c>
      <c r="G537" s="2">
        <v>40204</v>
      </c>
      <c r="H537" s="7">
        <v>4.18</v>
      </c>
      <c r="I537" s="7">
        <f>H537+H550-2*$A$24</f>
        <v>7.2199999999999989</v>
      </c>
      <c r="J537" s="7">
        <v>3.44</v>
      </c>
      <c r="K537" s="7">
        <v>5.86</v>
      </c>
      <c r="L537" s="6">
        <f t="shared" si="50"/>
        <v>0.33240997229916902</v>
      </c>
      <c r="M537" s="6">
        <f t="shared" si="51"/>
        <v>0.57617728531855972</v>
      </c>
      <c r="N537" s="6">
        <f t="shared" si="52"/>
        <v>9.1412742382271261E-2</v>
      </c>
      <c r="O537" s="4">
        <f t="shared" si="53"/>
        <v>1596.1943184369857</v>
      </c>
      <c r="P537" s="4">
        <f t="shared" si="54"/>
        <v>2766.7368186241088</v>
      </c>
      <c r="Q537" s="4">
        <f t="shared" si="55"/>
        <v>4362.931137061094</v>
      </c>
      <c r="V537" s="3"/>
      <c r="W537" s="3"/>
      <c r="Y537" s="7"/>
      <c r="Z537" s="7"/>
      <c r="AA537" s="7"/>
      <c r="AB537" s="7"/>
      <c r="AC537" s="9"/>
      <c r="AD537" s="9"/>
      <c r="AE537" s="9"/>
      <c r="AF537" s="3"/>
      <c r="AG537" s="3"/>
      <c r="AH537" s="3"/>
    </row>
    <row r="538" spans="1:34" x14ac:dyDescent="0.3">
      <c r="A538">
        <v>505</v>
      </c>
      <c r="B538" s="1" t="s">
        <v>546</v>
      </c>
      <c r="C538" s="1" t="s">
        <v>682</v>
      </c>
      <c r="D538" s="2">
        <v>40829</v>
      </c>
      <c r="E538" s="3">
        <v>30.900000000000002</v>
      </c>
      <c r="F538" s="4">
        <f t="shared" si="49"/>
        <v>4431.7971314997621</v>
      </c>
      <c r="G538" s="2">
        <v>40204</v>
      </c>
      <c r="H538" s="7">
        <v>3.14</v>
      </c>
      <c r="I538" s="7">
        <f>H538+H549-2*$A$24</f>
        <v>6.4399999999999995</v>
      </c>
      <c r="J538" s="7">
        <v>3.18</v>
      </c>
      <c r="K538" s="7">
        <v>5.4</v>
      </c>
      <c r="L538" s="6">
        <f t="shared" si="50"/>
        <v>0.3322981366459628</v>
      </c>
      <c r="M538" s="6">
        <f t="shared" si="51"/>
        <v>0.57453416149068326</v>
      </c>
      <c r="N538" s="6">
        <f t="shared" si="52"/>
        <v>9.3167701863353991E-2</v>
      </c>
      <c r="O538" s="4">
        <f t="shared" si="53"/>
        <v>1472.6779287902939</v>
      </c>
      <c r="P538" s="4">
        <f t="shared" si="54"/>
        <v>2546.2188488430311</v>
      </c>
      <c r="Q538" s="4">
        <f t="shared" si="55"/>
        <v>4018.8967776333247</v>
      </c>
      <c r="V538" s="3"/>
      <c r="W538" s="3"/>
      <c r="Y538" s="7"/>
      <c r="Z538" s="7"/>
      <c r="AA538" s="7"/>
      <c r="AB538" s="7"/>
      <c r="AC538" s="9"/>
      <c r="AD538" s="9"/>
      <c r="AE538" s="9"/>
      <c r="AF538" s="3"/>
      <c r="AG538" s="3"/>
      <c r="AH538" s="3"/>
    </row>
    <row r="539" spans="1:34" x14ac:dyDescent="0.3">
      <c r="A539">
        <v>506</v>
      </c>
      <c r="B539" s="1" t="s">
        <v>547</v>
      </c>
      <c r="C539" s="1" t="s">
        <v>682</v>
      </c>
      <c r="D539" s="2">
        <v>40829</v>
      </c>
      <c r="E539" s="3">
        <v>34.1</v>
      </c>
      <c r="F539" s="4">
        <f t="shared" si="49"/>
        <v>4925.2470556751005</v>
      </c>
      <c r="G539" s="2">
        <v>40204</v>
      </c>
      <c r="H539" s="7">
        <v>3.92</v>
      </c>
      <c r="I539" s="7">
        <f>H539+H548-2*$A$24</f>
        <v>7.32</v>
      </c>
      <c r="J539" s="7">
        <v>3.48</v>
      </c>
      <c r="K539" s="7">
        <v>5.94</v>
      </c>
      <c r="L539" s="6">
        <f t="shared" si="50"/>
        <v>0.33333333333333331</v>
      </c>
      <c r="M539" s="6">
        <f t="shared" si="51"/>
        <v>0.57923497267759561</v>
      </c>
      <c r="N539" s="6">
        <f t="shared" si="52"/>
        <v>8.7431693989071135E-2</v>
      </c>
      <c r="O539" s="4">
        <f t="shared" si="53"/>
        <v>1641.7490185583667</v>
      </c>
      <c r="P539" s="4">
        <f t="shared" si="54"/>
        <v>2852.8753437243749</v>
      </c>
      <c r="Q539" s="4">
        <f t="shared" si="55"/>
        <v>4494.6243622827415</v>
      </c>
      <c r="V539" s="3"/>
      <c r="W539" s="3"/>
      <c r="Y539" s="7"/>
      <c r="Z539" s="7"/>
      <c r="AA539" s="7"/>
      <c r="AB539" s="7"/>
      <c r="AC539" s="9"/>
      <c r="AD539" s="9"/>
      <c r="AE539" s="9"/>
      <c r="AF539" s="3"/>
      <c r="AG539" s="3"/>
      <c r="AH539" s="3"/>
    </row>
    <row r="540" spans="1:34" x14ac:dyDescent="0.3">
      <c r="A540">
        <v>507</v>
      </c>
      <c r="B540" s="1" t="s">
        <v>548</v>
      </c>
      <c r="C540" s="1" t="s">
        <v>682</v>
      </c>
      <c r="D540" s="2">
        <v>40829</v>
      </c>
      <c r="E540" s="3">
        <v>32.299999999999997</v>
      </c>
      <c r="F540" s="4">
        <f t="shared" si="49"/>
        <v>4647.6814733264719</v>
      </c>
      <c r="G540" s="2">
        <v>40204</v>
      </c>
      <c r="H540" s="7">
        <v>3.5</v>
      </c>
      <c r="I540" s="7">
        <f>H540+H547-2*$A$24</f>
        <v>6.58</v>
      </c>
      <c r="J540" s="7">
        <v>3.28</v>
      </c>
      <c r="K540" s="7">
        <v>5.52</v>
      </c>
      <c r="L540" s="6">
        <f t="shared" si="50"/>
        <v>0.34042553191489355</v>
      </c>
      <c r="M540" s="6">
        <f t="shared" si="51"/>
        <v>0.58054711246200597</v>
      </c>
      <c r="N540" s="6">
        <f t="shared" si="52"/>
        <v>7.9027355623100481E-2</v>
      </c>
      <c r="O540" s="4">
        <f t="shared" si="53"/>
        <v>1582.1894377281603</v>
      </c>
      <c r="P540" s="4">
        <f t="shared" si="54"/>
        <v>2698.1980589828449</v>
      </c>
      <c r="Q540" s="4">
        <f t="shared" si="55"/>
        <v>4280.387496711005</v>
      </c>
      <c r="V540" s="3"/>
      <c r="W540" s="3"/>
      <c r="Y540" s="7"/>
      <c r="Z540" s="7"/>
      <c r="AA540" s="7"/>
      <c r="AB540" s="7"/>
      <c r="AC540" s="9"/>
      <c r="AD540" s="9"/>
      <c r="AE540" s="9"/>
      <c r="AF540" s="3"/>
      <c r="AG540" s="3"/>
      <c r="AH540" s="3"/>
    </row>
    <row r="541" spans="1:34" x14ac:dyDescent="0.3">
      <c r="A541">
        <v>508</v>
      </c>
      <c r="B541" s="1" t="s">
        <v>549</v>
      </c>
      <c r="C541" s="1" t="s">
        <v>682</v>
      </c>
      <c r="D541" s="2">
        <v>40829</v>
      </c>
      <c r="E541" s="3">
        <v>35.200000000000003</v>
      </c>
      <c r="F541" s="4">
        <f t="shared" si="49"/>
        <v>5094.8704671103742</v>
      </c>
      <c r="G541" s="2">
        <v>40204</v>
      </c>
      <c r="H541" s="7">
        <v>3.5</v>
      </c>
      <c r="I541" s="7">
        <f>H541+H546-2*$A$24</f>
        <v>7.0399999999999991</v>
      </c>
      <c r="J541" s="7">
        <v>3.42</v>
      </c>
      <c r="K541" s="7">
        <v>5.78</v>
      </c>
      <c r="L541" s="6">
        <f t="shared" si="50"/>
        <v>0.33806818181818182</v>
      </c>
      <c r="M541" s="6">
        <f t="shared" si="51"/>
        <v>0.57954545454545459</v>
      </c>
      <c r="N541" s="6">
        <f t="shared" si="52"/>
        <v>8.2386363636363535E-2</v>
      </c>
      <c r="O541" s="4">
        <f t="shared" si="53"/>
        <v>1722.413595415155</v>
      </c>
      <c r="P541" s="4">
        <f t="shared" si="54"/>
        <v>2952.7090207116944</v>
      </c>
      <c r="Q541" s="4">
        <f t="shared" si="55"/>
        <v>4675.1226161268496</v>
      </c>
      <c r="V541" s="3"/>
      <c r="W541" s="3"/>
      <c r="Y541" s="7"/>
      <c r="Z541" s="7"/>
      <c r="AA541" s="7"/>
      <c r="AB541" s="7"/>
      <c r="AC541" s="9"/>
      <c r="AD541" s="9"/>
      <c r="AE541" s="9"/>
      <c r="AF541" s="3"/>
      <c r="AG541" s="3"/>
      <c r="AH541" s="3"/>
    </row>
    <row r="542" spans="1:34" x14ac:dyDescent="0.3">
      <c r="A542">
        <v>509</v>
      </c>
      <c r="B542" s="1" t="s">
        <v>550</v>
      </c>
      <c r="C542" s="1" t="s">
        <v>682</v>
      </c>
      <c r="D542" s="2">
        <v>40829</v>
      </c>
      <c r="E542" s="3">
        <v>28.6</v>
      </c>
      <c r="F542" s="4">
        <f t="shared" si="49"/>
        <v>4077.1299984987368</v>
      </c>
      <c r="G542" s="2">
        <v>40204</v>
      </c>
      <c r="H542" s="7">
        <v>2.86</v>
      </c>
      <c r="I542" s="7">
        <f>H542+H545-2*$A$24</f>
        <v>6.5399999999999991</v>
      </c>
      <c r="J542" s="7">
        <v>3.2</v>
      </c>
      <c r="K542" s="7">
        <v>5.48</v>
      </c>
      <c r="L542" s="6">
        <f t="shared" si="50"/>
        <v>0.33027522935779824</v>
      </c>
      <c r="M542" s="6">
        <f t="shared" si="51"/>
        <v>0.57798165137614688</v>
      </c>
      <c r="N542" s="6">
        <f t="shared" si="52"/>
        <v>9.174311926605494E-2</v>
      </c>
      <c r="O542" s="4">
        <f t="shared" si="53"/>
        <v>1346.5750453757298</v>
      </c>
      <c r="P542" s="4">
        <f t="shared" si="54"/>
        <v>2356.5063294075271</v>
      </c>
      <c r="Q542" s="4">
        <f t="shared" si="55"/>
        <v>3703.0813747832572</v>
      </c>
      <c r="V542" s="3"/>
      <c r="W542" s="3"/>
      <c r="Y542" s="7"/>
      <c r="Z542" s="7"/>
      <c r="AA542" s="7"/>
      <c r="AB542" s="7"/>
      <c r="AC542" s="9"/>
      <c r="AD542" s="9"/>
      <c r="AE542" s="9"/>
      <c r="AF542" s="3"/>
      <c r="AG542" s="3"/>
      <c r="AH542" s="3"/>
    </row>
    <row r="543" spans="1:34" x14ac:dyDescent="0.3">
      <c r="A543">
        <v>510</v>
      </c>
      <c r="B543" s="1" t="s">
        <v>551</v>
      </c>
      <c r="C543" s="1" t="s">
        <v>682</v>
      </c>
      <c r="D543" s="2">
        <v>40829</v>
      </c>
      <c r="E543" s="3">
        <v>29.2</v>
      </c>
      <c r="F543" s="4">
        <f t="shared" si="49"/>
        <v>4169.6518592816119</v>
      </c>
      <c r="G543" s="2">
        <v>40204</v>
      </c>
      <c r="H543" s="7">
        <v>4.38</v>
      </c>
      <c r="I543" s="7">
        <f>H543+H544-2*$A$24</f>
        <v>7.18</v>
      </c>
      <c r="J543" s="7">
        <v>3.44</v>
      </c>
      <c r="K543" s="7">
        <v>5.76</v>
      </c>
      <c r="L543" s="6">
        <f t="shared" si="50"/>
        <v>0.33426183844011143</v>
      </c>
      <c r="M543" s="6">
        <f t="shared" si="51"/>
        <v>0.56545961002785516</v>
      </c>
      <c r="N543" s="6">
        <f t="shared" si="52"/>
        <v>0.10027855153203336</v>
      </c>
      <c r="O543" s="4">
        <f t="shared" si="53"/>
        <v>1393.7554961387004</v>
      </c>
      <c r="P543" s="4">
        <f t="shared" si="54"/>
        <v>2357.7697143013015</v>
      </c>
      <c r="Q543" s="4">
        <f t="shared" si="55"/>
        <v>3751.525210440002</v>
      </c>
      <c r="V543" s="3"/>
      <c r="W543" s="3"/>
      <c r="Y543" s="7"/>
      <c r="Z543" s="7"/>
      <c r="AA543" s="7"/>
      <c r="AB543" s="7"/>
      <c r="AC543" s="9"/>
      <c r="AD543" s="9"/>
      <c r="AE543" s="9"/>
      <c r="AF543" s="3"/>
      <c r="AG543" s="3"/>
      <c r="AH543" s="3"/>
    </row>
    <row r="544" spans="1:34" x14ac:dyDescent="0.3">
      <c r="A544">
        <v>511</v>
      </c>
      <c r="B544" s="1" t="s">
        <v>552</v>
      </c>
      <c r="C544" s="1" t="s">
        <v>682</v>
      </c>
      <c r="D544" s="2">
        <v>40829</v>
      </c>
      <c r="E544" s="3">
        <v>26.5</v>
      </c>
      <c r="F544" s="4">
        <f t="shared" si="49"/>
        <v>3753.3034857586704</v>
      </c>
      <c r="G544" s="2">
        <v>40204</v>
      </c>
      <c r="H544" s="7">
        <v>3.12</v>
      </c>
      <c r="I544" s="7">
        <f>H544+H543-2*$A$24</f>
        <v>7.18</v>
      </c>
      <c r="J544" s="7">
        <v>3.44</v>
      </c>
      <c r="K544" s="7">
        <v>5.76</v>
      </c>
      <c r="L544" s="6">
        <f t="shared" si="50"/>
        <v>0.33426183844011143</v>
      </c>
      <c r="M544" s="6">
        <f t="shared" si="51"/>
        <v>0.56545961002785516</v>
      </c>
      <c r="N544" s="6">
        <f t="shared" si="52"/>
        <v>0.10027855153203336</v>
      </c>
      <c r="O544" s="4">
        <f t="shared" si="53"/>
        <v>1254.5861233733717</v>
      </c>
      <c r="P544" s="4">
        <f t="shared" si="54"/>
        <v>2122.3415253732874</v>
      </c>
      <c r="Q544" s="4">
        <f t="shared" si="55"/>
        <v>3376.9276487466591</v>
      </c>
      <c r="V544" s="3"/>
      <c r="W544" s="3"/>
      <c r="Y544" s="7"/>
      <c r="Z544" s="7"/>
      <c r="AA544" s="7"/>
      <c r="AB544" s="7"/>
      <c r="AC544" s="9"/>
      <c r="AD544" s="9"/>
      <c r="AE544" s="9"/>
      <c r="AF544" s="3"/>
      <c r="AG544" s="3"/>
      <c r="AH544" s="3"/>
    </row>
    <row r="545" spans="1:34" x14ac:dyDescent="0.3">
      <c r="A545">
        <v>512</v>
      </c>
      <c r="B545" s="1" t="s">
        <v>553</v>
      </c>
      <c r="C545" s="1" t="s">
        <v>682</v>
      </c>
      <c r="D545" s="2">
        <v>40829</v>
      </c>
      <c r="E545" s="3">
        <v>24.4</v>
      </c>
      <c r="F545" s="4">
        <f t="shared" si="49"/>
        <v>3429.4769730186044</v>
      </c>
      <c r="G545" s="2">
        <v>40204</v>
      </c>
      <c r="H545" s="7">
        <v>4</v>
      </c>
      <c r="I545" s="7">
        <f>H545+H542-2*$A$24</f>
        <v>6.5399999999999991</v>
      </c>
      <c r="J545" s="7">
        <v>3.2</v>
      </c>
      <c r="K545" s="7">
        <v>5.48</v>
      </c>
      <c r="L545" s="6">
        <f t="shared" si="50"/>
        <v>0.33027522935779824</v>
      </c>
      <c r="M545" s="6">
        <f t="shared" si="51"/>
        <v>0.57798165137614688</v>
      </c>
      <c r="N545" s="6">
        <f t="shared" si="52"/>
        <v>9.174311926605494E-2</v>
      </c>
      <c r="O545" s="4">
        <f t="shared" si="53"/>
        <v>1132.6712938410071</v>
      </c>
      <c r="P545" s="4">
        <f t="shared" si="54"/>
        <v>1982.1747642217624</v>
      </c>
      <c r="Q545" s="4">
        <f t="shared" si="55"/>
        <v>3114.8460580627698</v>
      </c>
      <c r="V545" s="3"/>
      <c r="W545" s="3"/>
      <c r="Y545" s="7"/>
      <c r="Z545" s="7"/>
      <c r="AA545" s="7"/>
      <c r="AB545" s="7"/>
      <c r="AC545" s="9"/>
      <c r="AD545" s="9"/>
      <c r="AE545" s="9"/>
      <c r="AF545" s="3"/>
      <c r="AG545" s="3"/>
      <c r="AH545" s="3"/>
    </row>
    <row r="546" spans="1:34" x14ac:dyDescent="0.3">
      <c r="A546">
        <v>513</v>
      </c>
      <c r="B546" s="1" t="s">
        <v>554</v>
      </c>
      <c r="C546" s="1" t="s">
        <v>682</v>
      </c>
      <c r="D546" s="2">
        <v>40829</v>
      </c>
      <c r="E546" s="3">
        <v>32.4</v>
      </c>
      <c r="F546" s="4">
        <f t="shared" si="49"/>
        <v>4663.1017834569511</v>
      </c>
      <c r="G546" s="2">
        <v>40204</v>
      </c>
      <c r="H546" s="7">
        <v>3.86</v>
      </c>
      <c r="I546" s="7">
        <f>H546+H541-2*$A$24</f>
        <v>7.0399999999999991</v>
      </c>
      <c r="J546" s="7">
        <v>3.42</v>
      </c>
      <c r="K546" s="7">
        <v>5.78</v>
      </c>
      <c r="L546" s="6">
        <f t="shared" si="50"/>
        <v>0.33806818181818182</v>
      </c>
      <c r="M546" s="6">
        <f t="shared" si="51"/>
        <v>0.57954545454545459</v>
      </c>
      <c r="N546" s="6">
        <f t="shared" si="52"/>
        <v>8.2386363636363535E-2</v>
      </c>
      <c r="O546" s="4">
        <f t="shared" si="53"/>
        <v>1576.4463415664125</v>
      </c>
      <c r="P546" s="4">
        <f t="shared" si="54"/>
        <v>2702.4794426852786</v>
      </c>
      <c r="Q546" s="4">
        <f t="shared" si="55"/>
        <v>4278.9257842516909</v>
      </c>
      <c r="V546" s="3"/>
      <c r="W546" s="3"/>
      <c r="Y546" s="7"/>
      <c r="Z546" s="7"/>
      <c r="AA546" s="7"/>
      <c r="AB546" s="7"/>
      <c r="AC546" s="9"/>
      <c r="AD546" s="9"/>
      <c r="AE546" s="9"/>
      <c r="AF546" s="3"/>
      <c r="AG546" s="3"/>
      <c r="AH546" s="3"/>
    </row>
    <row r="547" spans="1:34" x14ac:dyDescent="0.3">
      <c r="A547">
        <v>514</v>
      </c>
      <c r="B547" s="1" t="s">
        <v>555</v>
      </c>
      <c r="C547" s="1" t="s">
        <v>682</v>
      </c>
      <c r="D547" s="2">
        <v>40829</v>
      </c>
      <c r="E547" s="3">
        <v>29</v>
      </c>
      <c r="F547" s="4">
        <f t="shared" ref="F547:F610" si="56">(E547-2*$A$20)*$A$21/$A$22*$A$23</f>
        <v>4138.8112390206534</v>
      </c>
      <c r="G547" s="2">
        <v>40204</v>
      </c>
      <c r="H547" s="7">
        <v>3.4</v>
      </c>
      <c r="I547" s="7">
        <f>H547+H540-2*$A$24</f>
        <v>6.58</v>
      </c>
      <c r="J547" s="7">
        <v>3.28</v>
      </c>
      <c r="K547" s="7">
        <v>5.52</v>
      </c>
      <c r="L547" s="6">
        <f t="shared" ref="L547:L610" si="57">(J547-$A$25)/I547</f>
        <v>0.34042553191489355</v>
      </c>
      <c r="M547" s="6">
        <f t="shared" ref="M547:M610" si="58">(K547-$A$26)/I547</f>
        <v>0.58054711246200597</v>
      </c>
      <c r="N547" s="6">
        <f t="shared" ref="N547:N610" si="59">1-L547-M547</f>
        <v>7.9027355623100481E-2</v>
      </c>
      <c r="O547" s="4">
        <f t="shared" ref="O547:O610" si="60">F547*L547</f>
        <v>1408.9570175389456</v>
      </c>
      <c r="P547" s="4">
        <f t="shared" ref="P547:P610" si="61">F547*M547</f>
        <v>2402.7749138387376</v>
      </c>
      <c r="Q547" s="4">
        <f t="shared" ref="Q547:Q610" si="62">O547+P547</f>
        <v>3811.7319313776834</v>
      </c>
      <c r="V547" s="3"/>
      <c r="W547" s="3"/>
      <c r="Y547" s="7"/>
      <c r="Z547" s="7"/>
      <c r="AA547" s="7"/>
      <c r="AB547" s="7"/>
      <c r="AC547" s="9"/>
      <c r="AD547" s="9"/>
      <c r="AE547" s="9"/>
      <c r="AF547" s="3"/>
      <c r="AG547" s="3"/>
      <c r="AH547" s="3"/>
    </row>
    <row r="548" spans="1:34" x14ac:dyDescent="0.3">
      <c r="A548">
        <v>515</v>
      </c>
      <c r="B548" s="1" t="s">
        <v>556</v>
      </c>
      <c r="C548" s="1" t="s">
        <v>682</v>
      </c>
      <c r="D548" s="2">
        <v>40829</v>
      </c>
      <c r="E548" s="3">
        <v>30.6</v>
      </c>
      <c r="F548" s="4">
        <f t="shared" si="56"/>
        <v>4385.5362011083234</v>
      </c>
      <c r="G548" s="2">
        <v>40204</v>
      </c>
      <c r="H548" s="7">
        <v>3.72</v>
      </c>
      <c r="I548" s="7">
        <f>H548+H539-2*$A$24</f>
        <v>7.32</v>
      </c>
      <c r="J548" s="7">
        <v>3.48</v>
      </c>
      <c r="K548" s="7">
        <v>5.94</v>
      </c>
      <c r="L548" s="6">
        <f t="shared" si="57"/>
        <v>0.33333333333333331</v>
      </c>
      <c r="M548" s="6">
        <f t="shared" si="58"/>
        <v>0.57923497267759561</v>
      </c>
      <c r="N548" s="6">
        <f t="shared" si="59"/>
        <v>8.7431693989071135E-2</v>
      </c>
      <c r="O548" s="4">
        <f t="shared" si="60"/>
        <v>1461.845400369441</v>
      </c>
      <c r="P548" s="4">
        <f t="shared" si="61"/>
        <v>2540.2559416255863</v>
      </c>
      <c r="Q548" s="4">
        <f t="shared" si="62"/>
        <v>4002.1013419950273</v>
      </c>
      <c r="V548" s="3"/>
      <c r="W548" s="3"/>
      <c r="Y548" s="7"/>
      <c r="Z548" s="7"/>
      <c r="AA548" s="7"/>
      <c r="AB548" s="7"/>
      <c r="AC548" s="9"/>
      <c r="AD548" s="9"/>
      <c r="AE548" s="9"/>
      <c r="AF548" s="3"/>
      <c r="AG548" s="3"/>
      <c r="AH548" s="3"/>
    </row>
    <row r="549" spans="1:34" x14ac:dyDescent="0.3">
      <c r="A549">
        <v>516</v>
      </c>
      <c r="B549" s="1" t="s">
        <v>557</v>
      </c>
      <c r="C549" s="1" t="s">
        <v>682</v>
      </c>
      <c r="D549" s="2">
        <v>40829</v>
      </c>
      <c r="E549" s="3">
        <v>26.5</v>
      </c>
      <c r="F549" s="4">
        <f t="shared" si="56"/>
        <v>3753.3034857586704</v>
      </c>
      <c r="G549" s="2">
        <v>40204</v>
      </c>
      <c r="H549" s="7">
        <v>3.62</v>
      </c>
      <c r="I549" s="7">
        <f>H549+H538-2*$A$24</f>
        <v>6.4399999999999995</v>
      </c>
      <c r="J549" s="7">
        <v>3.18</v>
      </c>
      <c r="K549" s="7">
        <v>5.4</v>
      </c>
      <c r="L549" s="6">
        <f t="shared" si="57"/>
        <v>0.3322981366459628</v>
      </c>
      <c r="M549" s="6">
        <f t="shared" si="58"/>
        <v>0.57453416149068326</v>
      </c>
      <c r="N549" s="6">
        <f t="shared" si="59"/>
        <v>9.3167701863353991E-2</v>
      </c>
      <c r="O549" s="4">
        <f t="shared" si="60"/>
        <v>1247.2157545844032</v>
      </c>
      <c r="P549" s="4">
        <f t="shared" si="61"/>
        <v>2156.4010710104162</v>
      </c>
      <c r="Q549" s="4">
        <f t="shared" si="62"/>
        <v>3403.6168255948196</v>
      </c>
      <c r="V549" s="3"/>
      <c r="W549" s="3"/>
      <c r="Y549" s="7"/>
      <c r="Z549" s="7"/>
      <c r="AA549" s="7"/>
      <c r="AB549" s="7"/>
      <c r="AC549" s="9"/>
      <c r="AD549" s="9"/>
      <c r="AE549" s="9"/>
      <c r="AF549" s="3"/>
      <c r="AG549" s="3"/>
      <c r="AH549" s="3"/>
    </row>
    <row r="550" spans="1:34" x14ac:dyDescent="0.3">
      <c r="A550">
        <v>517</v>
      </c>
      <c r="B550" s="1" t="s">
        <v>558</v>
      </c>
      <c r="C550" s="1" t="s">
        <v>682</v>
      </c>
      <c r="D550" s="2">
        <v>40829</v>
      </c>
      <c r="E550" s="3">
        <v>28.9</v>
      </c>
      <c r="F550" s="4">
        <f t="shared" si="56"/>
        <v>4123.3909288901741</v>
      </c>
      <c r="G550" s="2">
        <v>40204</v>
      </c>
      <c r="H550" s="7">
        <v>3.36</v>
      </c>
      <c r="I550" s="7">
        <f>H550+H537-2*$A$24</f>
        <v>7.2199999999999989</v>
      </c>
      <c r="J550" s="7">
        <v>3.44</v>
      </c>
      <c r="K550" s="7">
        <v>5.86</v>
      </c>
      <c r="L550" s="6">
        <f t="shared" si="57"/>
        <v>0.33240997229916902</v>
      </c>
      <c r="M550" s="6">
        <f t="shared" si="58"/>
        <v>0.57617728531855972</v>
      </c>
      <c r="N550" s="6">
        <f t="shared" si="59"/>
        <v>9.1412742382271261E-2</v>
      </c>
      <c r="O550" s="4">
        <f t="shared" si="60"/>
        <v>1370.6562644510275</v>
      </c>
      <c r="P550" s="4">
        <f t="shared" si="61"/>
        <v>2375.8041917151149</v>
      </c>
      <c r="Q550" s="4">
        <f t="shared" si="62"/>
        <v>3746.4604561661426</v>
      </c>
      <c r="V550" s="3"/>
      <c r="W550" s="3"/>
      <c r="Y550" s="7"/>
      <c r="Z550" s="7"/>
      <c r="AA550" s="7"/>
      <c r="AB550" s="7"/>
      <c r="AC550" s="9"/>
      <c r="AD550" s="9"/>
      <c r="AE550" s="9"/>
      <c r="AF550" s="3"/>
      <c r="AG550" s="3"/>
      <c r="AH550" s="3"/>
    </row>
    <row r="551" spans="1:34" x14ac:dyDescent="0.3">
      <c r="A551">
        <v>518</v>
      </c>
      <c r="B551" s="1" t="s">
        <v>559</v>
      </c>
      <c r="C551" s="1" t="s">
        <v>682</v>
      </c>
      <c r="D551" s="2">
        <v>40829</v>
      </c>
      <c r="E551" s="3">
        <v>30.4</v>
      </c>
      <c r="F551" s="4">
        <f t="shared" si="56"/>
        <v>4354.6955808473649</v>
      </c>
      <c r="G551" s="2">
        <v>40204</v>
      </c>
      <c r="H551" s="7">
        <v>3.32</v>
      </c>
      <c r="I551" s="7">
        <f>H551+H536-2*$A$24</f>
        <v>7.02</v>
      </c>
      <c r="J551" s="7">
        <v>3.34</v>
      </c>
      <c r="K551" s="7">
        <v>5.76</v>
      </c>
      <c r="L551" s="6">
        <f t="shared" si="57"/>
        <v>0.32763532763532766</v>
      </c>
      <c r="M551" s="6">
        <f t="shared" si="58"/>
        <v>0.57834757834757833</v>
      </c>
      <c r="N551" s="6">
        <f t="shared" si="59"/>
        <v>9.4017094017094016E-2</v>
      </c>
      <c r="O551" s="4">
        <f t="shared" si="60"/>
        <v>1426.7521133830398</v>
      </c>
      <c r="P551" s="4">
        <f t="shared" si="61"/>
        <v>2518.5276436239747</v>
      </c>
      <c r="Q551" s="4">
        <f t="shared" si="62"/>
        <v>3945.2797570070143</v>
      </c>
      <c r="V551" s="3"/>
      <c r="W551" s="3"/>
      <c r="Y551" s="7"/>
      <c r="Z551" s="7"/>
      <c r="AA551" s="7"/>
      <c r="AB551" s="7"/>
      <c r="AC551" s="9"/>
      <c r="AD551" s="9"/>
      <c r="AE551" s="9"/>
      <c r="AF551" s="3"/>
      <c r="AG551" s="3"/>
      <c r="AH551" s="3"/>
    </row>
    <row r="552" spans="1:34" x14ac:dyDescent="0.3">
      <c r="A552">
        <v>519</v>
      </c>
      <c r="B552" s="1" t="s">
        <v>560</v>
      </c>
      <c r="C552" s="1" t="s">
        <v>682</v>
      </c>
      <c r="D552" s="2">
        <v>40829</v>
      </c>
      <c r="E552" s="3">
        <v>29</v>
      </c>
      <c r="F552" s="4">
        <f t="shared" si="56"/>
        <v>4138.8112390206534</v>
      </c>
      <c r="G552" s="2">
        <v>40204</v>
      </c>
      <c r="H552" s="7">
        <v>3.92</v>
      </c>
      <c r="I552" s="7">
        <f>H552+H535-2*$A$24</f>
        <v>6.9799999999999995</v>
      </c>
      <c r="J552" s="7">
        <v>3.4</v>
      </c>
      <c r="K552" s="7">
        <v>5.8</v>
      </c>
      <c r="L552" s="6">
        <f t="shared" si="57"/>
        <v>0.33810888252148996</v>
      </c>
      <c r="M552" s="6">
        <f t="shared" si="58"/>
        <v>0.58739255014326641</v>
      </c>
      <c r="N552" s="6">
        <f t="shared" si="59"/>
        <v>7.4498567335243626E-2</v>
      </c>
      <c r="O552" s="4">
        <f t="shared" si="60"/>
        <v>1399.3688429926565</v>
      </c>
      <c r="P552" s="4">
        <f t="shared" si="61"/>
        <v>2431.1068882499535</v>
      </c>
      <c r="Q552" s="4">
        <f t="shared" si="62"/>
        <v>3830.47573124261</v>
      </c>
      <c r="V552" s="3"/>
      <c r="W552" s="3"/>
      <c r="Y552" s="7"/>
      <c r="Z552" s="7"/>
      <c r="AA552" s="7"/>
      <c r="AB552" s="7"/>
      <c r="AC552" s="9"/>
      <c r="AD552" s="9"/>
      <c r="AE552" s="9"/>
      <c r="AF552" s="3"/>
      <c r="AG552" s="3"/>
      <c r="AH552" s="3"/>
    </row>
    <row r="553" spans="1:34" x14ac:dyDescent="0.3">
      <c r="A553">
        <v>520</v>
      </c>
      <c r="B553" s="1" t="s">
        <v>561</v>
      </c>
      <c r="C553" s="1" t="s">
        <v>682</v>
      </c>
      <c r="D553" s="2">
        <v>40829</v>
      </c>
      <c r="E553" s="3">
        <v>24</v>
      </c>
      <c r="F553" s="4">
        <f t="shared" si="56"/>
        <v>3367.7957324966874</v>
      </c>
      <c r="G553" s="2">
        <v>40204</v>
      </c>
      <c r="H553" s="7">
        <v>3.76</v>
      </c>
      <c r="I553" s="7">
        <f>H553+H534-2*$A$24</f>
        <v>7.68</v>
      </c>
      <c r="J553" s="7">
        <v>3.52</v>
      </c>
      <c r="K553" s="7">
        <v>6.14</v>
      </c>
      <c r="L553" s="6">
        <f t="shared" si="57"/>
        <v>0.32291666666666669</v>
      </c>
      <c r="M553" s="6">
        <f t="shared" si="58"/>
        <v>0.578125</v>
      </c>
      <c r="N553" s="6">
        <f t="shared" si="59"/>
        <v>9.8958333333333259E-2</v>
      </c>
      <c r="O553" s="4">
        <f t="shared" si="60"/>
        <v>1087.5173719520553</v>
      </c>
      <c r="P553" s="4">
        <f t="shared" si="61"/>
        <v>1947.0069078496474</v>
      </c>
      <c r="Q553" s="4">
        <f t="shared" si="62"/>
        <v>3034.5242798017025</v>
      </c>
      <c r="V553" s="3"/>
      <c r="W553" s="3"/>
      <c r="Y553" s="7"/>
      <c r="Z553" s="7"/>
      <c r="AA553" s="7"/>
      <c r="AB553" s="7"/>
      <c r="AC553" s="9"/>
      <c r="AD553" s="9"/>
      <c r="AE553" s="9"/>
      <c r="AF553" s="3"/>
      <c r="AG553" s="3"/>
      <c r="AH553" s="3"/>
    </row>
    <row r="554" spans="1:34" x14ac:dyDescent="0.3">
      <c r="A554">
        <v>521</v>
      </c>
      <c r="B554" s="1" t="s">
        <v>562</v>
      </c>
      <c r="C554" s="1" t="s">
        <v>682</v>
      </c>
      <c r="D554" s="2">
        <v>40829</v>
      </c>
      <c r="E554" s="3">
        <v>25.6</v>
      </c>
      <c r="F554" s="4">
        <f t="shared" si="56"/>
        <v>3614.5206945843565</v>
      </c>
      <c r="G554" s="2">
        <v>40204</v>
      </c>
      <c r="H554" s="7">
        <v>2.5</v>
      </c>
      <c r="I554" s="7">
        <f>H554+H573-2*$A$24</f>
        <v>4.9399999999999995</v>
      </c>
      <c r="J554" s="7">
        <v>2.6</v>
      </c>
      <c r="K554" s="7">
        <v>4.5</v>
      </c>
      <c r="L554" s="6">
        <f t="shared" si="57"/>
        <v>0.31578947368421056</v>
      </c>
      <c r="M554" s="6">
        <f t="shared" si="58"/>
        <v>0.5668016194331984</v>
      </c>
      <c r="N554" s="6">
        <f t="shared" si="59"/>
        <v>0.11740890688259098</v>
      </c>
      <c r="O554" s="4">
        <f t="shared" si="60"/>
        <v>1141.4275877634811</v>
      </c>
      <c r="P554" s="4">
        <f t="shared" si="61"/>
        <v>2048.7161831652224</v>
      </c>
      <c r="Q554" s="4">
        <f t="shared" si="62"/>
        <v>3190.1437709287038</v>
      </c>
      <c r="S554" t="s">
        <v>36</v>
      </c>
      <c r="T554" t="s">
        <v>682</v>
      </c>
      <c r="U554" s="8">
        <f>D554</f>
        <v>40829</v>
      </c>
      <c r="V554" s="3">
        <f>SUM(E554:E593)</f>
        <v>1232.5999999999997</v>
      </c>
      <c r="W554" s="3">
        <f>(V554-80*$A$20)*$A$21/(40*$A$22)*$A$23</f>
        <v>4418.6898678888529</v>
      </c>
      <c r="X554" s="8">
        <f>G554</f>
        <v>40204</v>
      </c>
      <c r="Y554" s="7">
        <f>SUM(H554:H593)</f>
        <v>135.61999999999998</v>
      </c>
      <c r="Z554" s="7">
        <f>SUM(I554:I593)</f>
        <v>258.76</v>
      </c>
      <c r="AA554" s="7">
        <f>SUM(J554:J593)</f>
        <v>125.88000000000002</v>
      </c>
      <c r="AB554" s="7">
        <f>SUM(K554:K593)</f>
        <v>217.72</v>
      </c>
      <c r="AC554" s="9">
        <f>(AA554-39*$A$25)/Z554</f>
        <v>0.32972638738599486</v>
      </c>
      <c r="AD554" s="9">
        <f>(AB554-39*$A$26)/Z554</f>
        <v>0.58517545215643851</v>
      </c>
      <c r="AE554" s="9">
        <f>1-AC554-AD554</f>
        <v>8.5098160457566685E-2</v>
      </c>
      <c r="AF554" s="3">
        <f>W554*AC554</f>
        <v>1456.9586471180903</v>
      </c>
      <c r="AG554" s="3">
        <f>W554*AD554</f>
        <v>2585.7088413809329</v>
      </c>
      <c r="AH554" s="3">
        <f>AF554+AG554</f>
        <v>4042.6674884990234</v>
      </c>
    </row>
    <row r="555" spans="1:34" x14ac:dyDescent="0.3">
      <c r="A555">
        <v>522</v>
      </c>
      <c r="B555" s="1" t="s">
        <v>563</v>
      </c>
      <c r="C555" s="1" t="s">
        <v>682</v>
      </c>
      <c r="D555" s="2">
        <v>40829</v>
      </c>
      <c r="E555" s="3">
        <v>32.200000000000003</v>
      </c>
      <c r="F555" s="4">
        <f t="shared" si="56"/>
        <v>4632.2611631959926</v>
      </c>
      <c r="G555" s="2">
        <v>40204</v>
      </c>
      <c r="H555" s="7">
        <v>3.26</v>
      </c>
      <c r="I555" s="7">
        <f>H555+H572-2*$A$24</f>
        <v>6.92</v>
      </c>
      <c r="J555" s="7">
        <v>3.32</v>
      </c>
      <c r="K555" s="7">
        <v>5.68</v>
      </c>
      <c r="L555" s="6">
        <f t="shared" si="57"/>
        <v>0.32947976878612717</v>
      </c>
      <c r="M555" s="6">
        <f t="shared" si="58"/>
        <v>0.57514450867052014</v>
      </c>
      <c r="N555" s="6">
        <f t="shared" si="59"/>
        <v>9.5375722543352692E-2</v>
      </c>
      <c r="O555" s="4">
        <f t="shared" si="60"/>
        <v>1526.2363370067721</v>
      </c>
      <c r="P555" s="4">
        <f t="shared" si="61"/>
        <v>2664.2195707398914</v>
      </c>
      <c r="Q555" s="4">
        <f t="shared" si="62"/>
        <v>4190.4559077466638</v>
      </c>
      <c r="V555" s="3"/>
      <c r="W555" s="3"/>
      <c r="Y555" s="7"/>
      <c r="Z555" s="7"/>
      <c r="AA555" s="7"/>
      <c r="AB555" s="7"/>
      <c r="AC555" s="9"/>
      <c r="AD555" s="9"/>
      <c r="AE555" s="9"/>
      <c r="AF555" s="3"/>
      <c r="AG555" s="3"/>
      <c r="AH555" s="3"/>
    </row>
    <row r="556" spans="1:34" x14ac:dyDescent="0.3">
      <c r="A556">
        <v>523</v>
      </c>
      <c r="B556" s="1" t="s">
        <v>564</v>
      </c>
      <c r="C556" s="1" t="s">
        <v>682</v>
      </c>
      <c r="D556" s="2">
        <v>40829</v>
      </c>
      <c r="E556" s="3">
        <v>33.799999999999997</v>
      </c>
      <c r="F556" s="4">
        <f t="shared" si="56"/>
        <v>4878.9861252836617</v>
      </c>
      <c r="G556" s="2">
        <v>40204</v>
      </c>
      <c r="H556" s="7">
        <v>4.22</v>
      </c>
      <c r="I556" s="7">
        <f>H556+H571-2*$A$24</f>
        <v>7.52</v>
      </c>
      <c r="J556" s="7">
        <v>3.52</v>
      </c>
      <c r="K556" s="7">
        <v>6.02</v>
      </c>
      <c r="L556" s="6">
        <f t="shared" si="57"/>
        <v>0.32978723404255322</v>
      </c>
      <c r="M556" s="6">
        <f t="shared" si="58"/>
        <v>0.57446808510638292</v>
      </c>
      <c r="N556" s="6">
        <f t="shared" si="59"/>
        <v>9.5744680851063912E-2</v>
      </c>
      <c r="O556" s="4">
        <f t="shared" si="60"/>
        <v>1609.0273391892929</v>
      </c>
      <c r="P556" s="4">
        <f t="shared" si="61"/>
        <v>2802.8218166523161</v>
      </c>
      <c r="Q556" s="4">
        <f t="shared" si="62"/>
        <v>4411.849155841609</v>
      </c>
      <c r="V556" s="3"/>
      <c r="W556" s="3"/>
      <c r="Y556" s="7"/>
      <c r="Z556" s="7"/>
      <c r="AA556" s="7"/>
      <c r="AB556" s="7"/>
      <c r="AC556" s="9"/>
      <c r="AD556" s="9"/>
      <c r="AE556" s="9"/>
      <c r="AF556" s="3"/>
      <c r="AG556" s="3"/>
      <c r="AH556" s="3"/>
    </row>
    <row r="557" spans="1:34" x14ac:dyDescent="0.3">
      <c r="A557">
        <v>524</v>
      </c>
      <c r="B557" s="1" t="s">
        <v>565</v>
      </c>
      <c r="C557" s="1" t="s">
        <v>682</v>
      </c>
      <c r="D557" s="2">
        <v>40829</v>
      </c>
      <c r="E557" s="3">
        <v>29.4</v>
      </c>
      <c r="F557" s="4">
        <f t="shared" si="56"/>
        <v>4200.4924795425704</v>
      </c>
      <c r="G557" s="2">
        <v>40204</v>
      </c>
      <c r="H557" s="7">
        <v>4.4000000000000004</v>
      </c>
      <c r="I557" s="7">
        <f>H557+H570-2*$A$24</f>
        <v>7.54</v>
      </c>
      <c r="J557" s="7">
        <v>3.54</v>
      </c>
      <c r="K557" s="7">
        <v>6.06</v>
      </c>
      <c r="L557" s="6">
        <f t="shared" si="57"/>
        <v>0.33156498673740054</v>
      </c>
      <c r="M557" s="6">
        <f t="shared" si="58"/>
        <v>0.57824933687002644</v>
      </c>
      <c r="N557" s="6">
        <f t="shared" si="59"/>
        <v>9.0185676392573022E-2</v>
      </c>
      <c r="O557" s="4">
        <f t="shared" si="60"/>
        <v>1392.7362332700829</v>
      </c>
      <c r="P557" s="4">
        <f t="shared" si="61"/>
        <v>2428.9319908230245</v>
      </c>
      <c r="Q557" s="4">
        <f t="shared" si="62"/>
        <v>3821.6682240931077</v>
      </c>
      <c r="V557" s="3"/>
      <c r="W557" s="3"/>
      <c r="Y557" s="7"/>
      <c r="Z557" s="7"/>
      <c r="AA557" s="7"/>
      <c r="AB557" s="7"/>
      <c r="AC557" s="9"/>
      <c r="AD557" s="9"/>
      <c r="AE557" s="9"/>
      <c r="AF557" s="3"/>
      <c r="AG557" s="3"/>
      <c r="AH557" s="3"/>
    </row>
    <row r="558" spans="1:34" x14ac:dyDescent="0.3">
      <c r="A558">
        <v>525</v>
      </c>
      <c r="B558" s="1" t="s">
        <v>566</v>
      </c>
      <c r="C558" s="1" t="s">
        <v>682</v>
      </c>
      <c r="D558" s="2">
        <v>40829</v>
      </c>
      <c r="E558" s="3">
        <v>31.099999999999998</v>
      </c>
      <c r="F558" s="4">
        <f t="shared" si="56"/>
        <v>4462.6377517607189</v>
      </c>
      <c r="G558" s="2">
        <v>40204</v>
      </c>
      <c r="H558" s="7">
        <v>3.92</v>
      </c>
      <c r="I558" s="7">
        <f>H558+H569-2*$A$24</f>
        <v>7.3599999999999994</v>
      </c>
      <c r="J558" s="7">
        <v>3.42</v>
      </c>
      <c r="K558" s="7">
        <v>5.88</v>
      </c>
      <c r="L558" s="6">
        <f t="shared" si="57"/>
        <v>0.3233695652173913</v>
      </c>
      <c r="M558" s="6">
        <f t="shared" si="58"/>
        <v>0.56793478260869568</v>
      </c>
      <c r="N558" s="6">
        <f t="shared" si="59"/>
        <v>0.10869565217391297</v>
      </c>
      <c r="O558" s="4">
        <f t="shared" si="60"/>
        <v>1443.0812295095802</v>
      </c>
      <c r="P558" s="4">
        <f t="shared" si="61"/>
        <v>2534.4872014075822</v>
      </c>
      <c r="Q558" s="4">
        <f t="shared" si="62"/>
        <v>3977.5684309171625</v>
      </c>
      <c r="V558" s="3"/>
      <c r="W558" s="3"/>
      <c r="Y558" s="7"/>
      <c r="Z558" s="7"/>
      <c r="AA558" s="7"/>
      <c r="AB558" s="7"/>
      <c r="AC558" s="9"/>
      <c r="AD558" s="9"/>
      <c r="AE558" s="9"/>
      <c r="AF558" s="3"/>
      <c r="AG558" s="3"/>
      <c r="AH558" s="3"/>
    </row>
    <row r="559" spans="1:34" x14ac:dyDescent="0.3">
      <c r="A559">
        <v>526</v>
      </c>
      <c r="B559" s="1" t="s">
        <v>567</v>
      </c>
      <c r="C559" s="1" t="s">
        <v>682</v>
      </c>
      <c r="D559" s="2">
        <v>40829</v>
      </c>
      <c r="E559" s="3">
        <v>31.8</v>
      </c>
      <c r="F559" s="4">
        <f t="shared" si="56"/>
        <v>4570.5799226740755</v>
      </c>
      <c r="G559" s="2">
        <v>40204</v>
      </c>
      <c r="H559" s="7">
        <v>3.08</v>
      </c>
      <c r="I559" s="7">
        <f>H559+H568-2*$A$24</f>
        <v>6.6999999999999993</v>
      </c>
      <c r="J559" s="7">
        <v>3.24</v>
      </c>
      <c r="K559" s="7">
        <v>5.56</v>
      </c>
      <c r="L559" s="6">
        <f t="shared" si="57"/>
        <v>0.32835820895522394</v>
      </c>
      <c r="M559" s="6">
        <f t="shared" si="58"/>
        <v>0.57611940298507458</v>
      </c>
      <c r="N559" s="6">
        <f t="shared" si="59"/>
        <v>9.552238805970148E-2</v>
      </c>
      <c r="O559" s="4">
        <f t="shared" si="60"/>
        <v>1500.7874372959654</v>
      </c>
      <c r="P559" s="4">
        <f t="shared" si="61"/>
        <v>2633.1997763465565</v>
      </c>
      <c r="Q559" s="4">
        <f t="shared" si="62"/>
        <v>4133.987213642522</v>
      </c>
      <c r="V559" s="3"/>
      <c r="W559" s="3"/>
      <c r="Y559" s="7"/>
      <c r="Z559" s="7"/>
      <c r="AA559" s="7"/>
      <c r="AB559" s="7"/>
      <c r="AC559" s="9"/>
      <c r="AD559" s="9"/>
      <c r="AE559" s="9"/>
      <c r="AF559" s="3"/>
      <c r="AG559" s="3"/>
      <c r="AH559" s="3"/>
    </row>
    <row r="560" spans="1:34" x14ac:dyDescent="0.3">
      <c r="A560">
        <v>527</v>
      </c>
      <c r="B560" s="1" t="s">
        <v>568</v>
      </c>
      <c r="C560" s="1" t="s">
        <v>682</v>
      </c>
      <c r="D560" s="2">
        <v>40829</v>
      </c>
      <c r="E560" s="3">
        <v>30.9</v>
      </c>
      <c r="F560" s="4">
        <f t="shared" si="56"/>
        <v>4431.7971314997612</v>
      </c>
      <c r="G560" s="2">
        <v>40204</v>
      </c>
      <c r="H560" s="7">
        <v>3.6</v>
      </c>
      <c r="I560" s="7">
        <f>H560+H567-2*$A$24</f>
        <v>6.46</v>
      </c>
      <c r="J560" s="7">
        <v>3.16</v>
      </c>
      <c r="K560" s="7">
        <v>5.52</v>
      </c>
      <c r="L560" s="6">
        <f t="shared" si="57"/>
        <v>0.32817337461300311</v>
      </c>
      <c r="M560" s="6">
        <f t="shared" si="58"/>
        <v>0.59133126934984515</v>
      </c>
      <c r="N560" s="6">
        <f t="shared" si="59"/>
        <v>8.0495356037151744E-2</v>
      </c>
      <c r="O560" s="4">
        <f t="shared" si="60"/>
        <v>1454.3978202445037</v>
      </c>
      <c r="P560" s="4">
        <f t="shared" si="61"/>
        <v>2620.6602232707564</v>
      </c>
      <c r="Q560" s="4">
        <f t="shared" si="62"/>
        <v>4075.0580435152601</v>
      </c>
      <c r="V560" s="3"/>
      <c r="W560" s="3"/>
      <c r="Y560" s="7"/>
      <c r="Z560" s="7"/>
      <c r="AA560" s="7"/>
      <c r="AB560" s="7"/>
      <c r="AC560" s="9"/>
      <c r="AD560" s="9"/>
      <c r="AE560" s="9"/>
      <c r="AF560" s="3"/>
      <c r="AG560" s="3"/>
      <c r="AH560" s="3"/>
    </row>
    <row r="561" spans="1:34" x14ac:dyDescent="0.3">
      <c r="A561">
        <v>528</v>
      </c>
      <c r="B561" s="1" t="s">
        <v>569</v>
      </c>
      <c r="C561" s="1" t="s">
        <v>682</v>
      </c>
      <c r="D561" s="2">
        <v>40829</v>
      </c>
      <c r="E561" s="3">
        <v>33.200000000000003</v>
      </c>
      <c r="F561" s="4">
        <f t="shared" si="56"/>
        <v>4786.4642645007862</v>
      </c>
      <c r="G561" s="2">
        <v>40204</v>
      </c>
      <c r="H561" s="7">
        <v>3.36</v>
      </c>
      <c r="I561" s="7">
        <f>H561+H566-2*$A$24</f>
        <v>6.6999999999999993</v>
      </c>
      <c r="J561" s="7">
        <v>3.22</v>
      </c>
      <c r="K561" s="7">
        <v>5.56</v>
      </c>
      <c r="L561" s="6">
        <f t="shared" si="57"/>
        <v>0.32537313432835829</v>
      </c>
      <c r="M561" s="6">
        <f t="shared" si="58"/>
        <v>0.57611940298507458</v>
      </c>
      <c r="N561" s="6">
        <f t="shared" si="59"/>
        <v>9.8507462686567071E-2</v>
      </c>
      <c r="O561" s="4">
        <f t="shared" si="60"/>
        <v>1557.386880091301</v>
      </c>
      <c r="P561" s="4">
        <f t="shared" si="61"/>
        <v>2757.5749344735868</v>
      </c>
      <c r="Q561" s="4">
        <f t="shared" si="62"/>
        <v>4314.9618145648874</v>
      </c>
      <c r="V561" s="3"/>
      <c r="W561" s="3"/>
      <c r="Y561" s="7"/>
      <c r="Z561" s="7"/>
      <c r="AA561" s="7"/>
      <c r="AB561" s="7"/>
      <c r="AC561" s="9"/>
      <c r="AD561" s="9"/>
      <c r="AE561" s="9"/>
      <c r="AF561" s="3"/>
      <c r="AG561" s="3"/>
      <c r="AH561" s="3"/>
    </row>
    <row r="562" spans="1:34" x14ac:dyDescent="0.3">
      <c r="A562">
        <v>529</v>
      </c>
      <c r="B562" s="1" t="s">
        <v>570</v>
      </c>
      <c r="C562" s="1" t="s">
        <v>682</v>
      </c>
      <c r="D562" s="2">
        <v>40829</v>
      </c>
      <c r="E562" s="3">
        <v>30.6</v>
      </c>
      <c r="F562" s="4">
        <f t="shared" si="56"/>
        <v>4385.5362011083234</v>
      </c>
      <c r="G562" s="2">
        <v>40204</v>
      </c>
      <c r="H562" s="7">
        <v>3.84</v>
      </c>
      <c r="I562" s="7">
        <f>H562+H565-2*$A$24</f>
        <v>7.7399999999999984</v>
      </c>
      <c r="J562" s="7">
        <v>3.56</v>
      </c>
      <c r="K562" s="7">
        <v>6.12</v>
      </c>
      <c r="L562" s="6">
        <f t="shared" si="57"/>
        <v>0.32558139534883729</v>
      </c>
      <c r="M562" s="6">
        <f t="shared" si="58"/>
        <v>0.57105943152454786</v>
      </c>
      <c r="N562" s="6">
        <f t="shared" si="59"/>
        <v>0.1033591731266148</v>
      </c>
      <c r="O562" s="4">
        <f t="shared" si="60"/>
        <v>1427.848995709687</v>
      </c>
      <c r="P562" s="4">
        <f t="shared" si="61"/>
        <v>2504.4018099352443</v>
      </c>
      <c r="Q562" s="4">
        <f t="shared" si="62"/>
        <v>3932.2508056449315</v>
      </c>
      <c r="V562" s="3"/>
      <c r="W562" s="3"/>
      <c r="Y562" s="7"/>
      <c r="Z562" s="7"/>
      <c r="AA562" s="7"/>
      <c r="AB562" s="7"/>
      <c r="AC562" s="9"/>
      <c r="AD562" s="9"/>
      <c r="AE562" s="9"/>
      <c r="AF562" s="3"/>
      <c r="AG562" s="3"/>
      <c r="AH562" s="3"/>
    </row>
    <row r="563" spans="1:34" x14ac:dyDescent="0.3">
      <c r="A563">
        <v>530</v>
      </c>
      <c r="B563" s="1" t="s">
        <v>571</v>
      </c>
      <c r="C563" s="1" t="s">
        <v>682</v>
      </c>
      <c r="D563" s="2">
        <v>40829</v>
      </c>
      <c r="E563" s="3">
        <v>30</v>
      </c>
      <c r="F563" s="4">
        <f t="shared" si="56"/>
        <v>4293.0143403254469</v>
      </c>
      <c r="G563" s="2">
        <v>40204</v>
      </c>
      <c r="H563" s="7">
        <v>2.9</v>
      </c>
      <c r="I563" s="7">
        <f>H563+H564-2*$A$24</f>
        <v>6.1999999999999993</v>
      </c>
      <c r="J563" s="7">
        <v>3.08</v>
      </c>
      <c r="K563" s="7">
        <v>5.34</v>
      </c>
      <c r="L563" s="6">
        <f t="shared" si="57"/>
        <v>0.32903225806451619</v>
      </c>
      <c r="M563" s="6">
        <f t="shared" si="58"/>
        <v>0.58709677419354844</v>
      </c>
      <c r="N563" s="6">
        <f t="shared" si="59"/>
        <v>8.3870967741935365E-2</v>
      </c>
      <c r="O563" s="4">
        <f t="shared" si="60"/>
        <v>1412.5402023006311</v>
      </c>
      <c r="P563" s="4">
        <f t="shared" si="61"/>
        <v>2520.414870771714</v>
      </c>
      <c r="Q563" s="4">
        <f t="shared" si="62"/>
        <v>3932.9550730723449</v>
      </c>
      <c r="V563" s="3"/>
      <c r="W563" s="3"/>
      <c r="Y563" s="7"/>
      <c r="Z563" s="7"/>
      <c r="AA563" s="7"/>
      <c r="AB563" s="7"/>
      <c r="AC563" s="9"/>
      <c r="AD563" s="9"/>
      <c r="AE563" s="9"/>
      <c r="AF563" s="3"/>
      <c r="AG563" s="3"/>
      <c r="AH563" s="3"/>
    </row>
    <row r="564" spans="1:34" x14ac:dyDescent="0.3">
      <c r="A564">
        <v>531</v>
      </c>
      <c r="B564" s="1" t="s">
        <v>572</v>
      </c>
      <c r="C564" s="1" t="s">
        <v>682</v>
      </c>
      <c r="D564" s="2">
        <v>40829</v>
      </c>
      <c r="E564" s="3">
        <v>29.9</v>
      </c>
      <c r="F564" s="4">
        <f t="shared" si="56"/>
        <v>4277.5940301949677</v>
      </c>
      <c r="G564" s="2">
        <v>40204</v>
      </c>
      <c r="H564" s="7">
        <v>3.62</v>
      </c>
      <c r="I564" s="7">
        <f>H564+H563-2*$A$24</f>
        <v>6.1999999999999993</v>
      </c>
      <c r="J564" s="7">
        <v>3.08</v>
      </c>
      <c r="K564" s="7">
        <v>5.34</v>
      </c>
      <c r="L564" s="6">
        <f t="shared" si="57"/>
        <v>0.32903225806451619</v>
      </c>
      <c r="M564" s="6">
        <f t="shared" si="58"/>
        <v>0.58709677419354844</v>
      </c>
      <c r="N564" s="6">
        <f t="shared" si="59"/>
        <v>8.3870967741935365E-2</v>
      </c>
      <c r="O564" s="4">
        <f t="shared" si="60"/>
        <v>1407.4664228383444</v>
      </c>
      <c r="P564" s="4">
        <f t="shared" si="61"/>
        <v>2511.3616564370459</v>
      </c>
      <c r="Q564" s="4">
        <f t="shared" si="62"/>
        <v>3918.8280792753903</v>
      </c>
      <c r="V564" s="3"/>
      <c r="W564" s="3"/>
      <c r="Y564" s="7"/>
      <c r="Z564" s="7"/>
      <c r="AA564" s="7"/>
      <c r="AB564" s="7"/>
      <c r="AC564" s="9"/>
      <c r="AD564" s="9"/>
      <c r="AE564" s="9"/>
      <c r="AF564" s="3"/>
      <c r="AG564" s="3"/>
      <c r="AH564" s="3"/>
    </row>
    <row r="565" spans="1:34" x14ac:dyDescent="0.3">
      <c r="A565">
        <v>532</v>
      </c>
      <c r="B565" s="1" t="s">
        <v>573</v>
      </c>
      <c r="C565" s="1" t="s">
        <v>682</v>
      </c>
      <c r="D565" s="2">
        <v>40829</v>
      </c>
      <c r="E565" s="3">
        <v>33.4</v>
      </c>
      <c r="F565" s="4">
        <f t="shared" si="56"/>
        <v>4817.3048847617447</v>
      </c>
      <c r="G565" s="2">
        <v>40204</v>
      </c>
      <c r="H565" s="7">
        <v>4.22</v>
      </c>
      <c r="I565" s="7">
        <f>H565+H562-2*$A$24</f>
        <v>7.7399999999999984</v>
      </c>
      <c r="J565" s="7">
        <v>3.56</v>
      </c>
      <c r="K565" s="7">
        <v>6.12</v>
      </c>
      <c r="L565" s="6">
        <f t="shared" si="57"/>
        <v>0.32558139534883729</v>
      </c>
      <c r="M565" s="6">
        <f t="shared" si="58"/>
        <v>0.57105943152454786</v>
      </c>
      <c r="N565" s="6">
        <f t="shared" si="59"/>
        <v>0.1033591731266148</v>
      </c>
      <c r="O565" s="4">
        <f t="shared" si="60"/>
        <v>1568.4248462014987</v>
      </c>
      <c r="P565" s="4">
        <f t="shared" si="61"/>
        <v>2750.9673889724695</v>
      </c>
      <c r="Q565" s="4">
        <f t="shared" si="62"/>
        <v>4319.3922351739684</v>
      </c>
      <c r="V565" s="3"/>
      <c r="W565" s="3"/>
      <c r="Y565" s="7"/>
      <c r="Z565" s="7"/>
      <c r="AA565" s="7"/>
      <c r="AB565" s="7"/>
      <c r="AC565" s="9"/>
      <c r="AD565" s="9"/>
      <c r="AE565" s="9"/>
      <c r="AF565" s="3"/>
      <c r="AG565" s="3"/>
      <c r="AH565" s="3"/>
    </row>
    <row r="566" spans="1:34" x14ac:dyDescent="0.3">
      <c r="A566">
        <v>533</v>
      </c>
      <c r="B566" s="1" t="s">
        <v>574</v>
      </c>
      <c r="C566" s="1" t="s">
        <v>682</v>
      </c>
      <c r="D566" s="2">
        <v>40829</v>
      </c>
      <c r="E566" s="3">
        <v>35.799999999999997</v>
      </c>
      <c r="F566" s="4">
        <f t="shared" si="56"/>
        <v>5187.3923278932489</v>
      </c>
      <c r="G566" s="2">
        <v>40204</v>
      </c>
      <c r="H566" s="7">
        <v>3.66</v>
      </c>
      <c r="I566" s="7">
        <f>H566+H561-2*$A$24</f>
        <v>6.6999999999999993</v>
      </c>
      <c r="J566" s="7">
        <v>3.22</v>
      </c>
      <c r="K566" s="7">
        <v>5.56</v>
      </c>
      <c r="L566" s="6">
        <f t="shared" si="57"/>
        <v>0.32537313432835829</v>
      </c>
      <c r="M566" s="6">
        <f t="shared" si="58"/>
        <v>0.57611940298507458</v>
      </c>
      <c r="N566" s="6">
        <f t="shared" si="59"/>
        <v>9.8507462686567071E-2</v>
      </c>
      <c r="O566" s="4">
        <f t="shared" si="60"/>
        <v>1687.8381007175053</v>
      </c>
      <c r="P566" s="4">
        <f t="shared" si="61"/>
        <v>2988.5573709952146</v>
      </c>
      <c r="Q566" s="4">
        <f t="shared" si="62"/>
        <v>4676.3954717127199</v>
      </c>
      <c r="V566" s="3"/>
      <c r="W566" s="3"/>
      <c r="Y566" s="7"/>
      <c r="Z566" s="7"/>
      <c r="AA566" s="7"/>
      <c r="AB566" s="7"/>
      <c r="AC566" s="9"/>
      <c r="AD566" s="9"/>
      <c r="AE566" s="9"/>
      <c r="AF566" s="3"/>
      <c r="AG566" s="3"/>
      <c r="AH566" s="3"/>
    </row>
    <row r="567" spans="1:34" x14ac:dyDescent="0.3">
      <c r="A567">
        <v>534</v>
      </c>
      <c r="B567" s="1" t="s">
        <v>575</v>
      </c>
      <c r="C567" s="1" t="s">
        <v>682</v>
      </c>
      <c r="D567" s="2">
        <v>40829</v>
      </c>
      <c r="E567" s="3">
        <v>32.6</v>
      </c>
      <c r="F567" s="4">
        <f t="shared" si="56"/>
        <v>4693.9424037179097</v>
      </c>
      <c r="G567" s="2">
        <v>40204</v>
      </c>
      <c r="H567" s="7">
        <v>3.18</v>
      </c>
      <c r="I567" s="7">
        <f>H567+H560-2*$A$24</f>
        <v>6.46</v>
      </c>
      <c r="J567" s="7">
        <v>3.16</v>
      </c>
      <c r="K567" s="7">
        <v>5.52</v>
      </c>
      <c r="L567" s="6">
        <f t="shared" si="57"/>
        <v>0.32817337461300311</v>
      </c>
      <c r="M567" s="6">
        <f t="shared" si="58"/>
        <v>0.59133126934984515</v>
      </c>
      <c r="N567" s="6">
        <f t="shared" si="59"/>
        <v>8.0495356037151744E-2</v>
      </c>
      <c r="O567" s="4">
        <f t="shared" si="60"/>
        <v>1540.4269188671778</v>
      </c>
      <c r="P567" s="4">
        <f t="shared" si="61"/>
        <v>2775.674919845575</v>
      </c>
      <c r="Q567" s="4">
        <f t="shared" si="62"/>
        <v>4316.1018387127533</v>
      </c>
      <c r="V567" s="3"/>
      <c r="W567" s="3"/>
      <c r="Y567" s="7"/>
      <c r="Z567" s="7"/>
      <c r="AA567" s="7"/>
      <c r="AB567" s="7"/>
      <c r="AC567" s="9"/>
      <c r="AD567" s="9"/>
      <c r="AE567" s="9"/>
      <c r="AF567" s="3"/>
      <c r="AG567" s="3"/>
      <c r="AH567" s="3"/>
    </row>
    <row r="568" spans="1:34" x14ac:dyDescent="0.3">
      <c r="A568">
        <v>535</v>
      </c>
      <c r="B568" s="1" t="s">
        <v>576</v>
      </c>
      <c r="C568" s="1" t="s">
        <v>682</v>
      </c>
      <c r="D568" s="2">
        <v>40829</v>
      </c>
      <c r="E568" s="3">
        <v>34.6</v>
      </c>
      <c r="F568" s="4">
        <f t="shared" si="56"/>
        <v>5002.3486063274968</v>
      </c>
      <c r="G568" s="2">
        <v>40204</v>
      </c>
      <c r="H568" s="7">
        <v>3.94</v>
      </c>
      <c r="I568" s="7">
        <f>H568+H559-2*$A$24</f>
        <v>6.6999999999999993</v>
      </c>
      <c r="J568" s="7">
        <v>3.24</v>
      </c>
      <c r="K568" s="7">
        <v>5.56</v>
      </c>
      <c r="L568" s="6">
        <f t="shared" si="57"/>
        <v>0.32835820895522394</v>
      </c>
      <c r="M568" s="6">
        <f t="shared" si="58"/>
        <v>0.57611940298507458</v>
      </c>
      <c r="N568" s="6">
        <f t="shared" si="59"/>
        <v>9.552238805970148E-2</v>
      </c>
      <c r="O568" s="4">
        <f t="shared" si="60"/>
        <v>1642.5622289433575</v>
      </c>
      <c r="P568" s="4">
        <f t="shared" si="61"/>
        <v>2881.9500926006172</v>
      </c>
      <c r="Q568" s="4">
        <f t="shared" si="62"/>
        <v>4524.5123215439744</v>
      </c>
      <c r="V568" s="3"/>
      <c r="W568" s="3"/>
      <c r="Y568" s="7"/>
      <c r="Z568" s="7"/>
      <c r="AA568" s="7"/>
      <c r="AB568" s="7"/>
      <c r="AC568" s="9"/>
      <c r="AD568" s="9"/>
      <c r="AE568" s="9"/>
      <c r="AF568" s="3"/>
      <c r="AG568" s="3"/>
      <c r="AH568" s="3"/>
    </row>
    <row r="569" spans="1:34" x14ac:dyDescent="0.3">
      <c r="A569">
        <v>536</v>
      </c>
      <c r="B569" s="1" t="s">
        <v>577</v>
      </c>
      <c r="C569" s="1" t="s">
        <v>682</v>
      </c>
      <c r="D569" s="2">
        <v>40829</v>
      </c>
      <c r="E569" s="3">
        <v>33.799999999999997</v>
      </c>
      <c r="F569" s="4">
        <f t="shared" si="56"/>
        <v>4878.9861252836617</v>
      </c>
      <c r="G569" s="2">
        <v>40204</v>
      </c>
      <c r="H569" s="7">
        <v>3.76</v>
      </c>
      <c r="I569" s="7">
        <f>H569+H558-2*$A$24</f>
        <v>7.3599999999999994</v>
      </c>
      <c r="J569" s="7">
        <v>3.42</v>
      </c>
      <c r="K569" s="7">
        <v>5.88</v>
      </c>
      <c r="L569" s="6">
        <f t="shared" si="57"/>
        <v>0.3233695652173913</v>
      </c>
      <c r="M569" s="6">
        <f t="shared" si="58"/>
        <v>0.56793478260869568</v>
      </c>
      <c r="N569" s="6">
        <f t="shared" si="59"/>
        <v>0.10869565217391297</v>
      </c>
      <c r="O569" s="4">
        <f t="shared" si="60"/>
        <v>1577.7156220346624</v>
      </c>
      <c r="P569" s="4">
        <f t="shared" si="61"/>
        <v>2770.9459244138188</v>
      </c>
      <c r="Q569" s="4">
        <f t="shared" si="62"/>
        <v>4348.6615464484812</v>
      </c>
      <c r="V569" s="3"/>
      <c r="W569" s="3"/>
      <c r="Y569" s="7"/>
      <c r="Z569" s="7"/>
      <c r="AA569" s="7"/>
      <c r="AB569" s="7"/>
      <c r="AC569" s="9"/>
      <c r="AD569" s="9"/>
      <c r="AE569" s="9"/>
      <c r="AF569" s="3"/>
      <c r="AG569" s="3"/>
      <c r="AH569" s="3"/>
    </row>
    <row r="570" spans="1:34" x14ac:dyDescent="0.3">
      <c r="A570">
        <v>537</v>
      </c>
      <c r="B570" s="1" t="s">
        <v>578</v>
      </c>
      <c r="C570" s="1" t="s">
        <v>682</v>
      </c>
      <c r="D570" s="2">
        <v>40829</v>
      </c>
      <c r="E570" s="3">
        <v>32.6</v>
      </c>
      <c r="F570" s="4">
        <f t="shared" si="56"/>
        <v>4693.9424037179097</v>
      </c>
      <c r="G570" s="2">
        <v>40204</v>
      </c>
      <c r="H570" s="7">
        <v>3.46</v>
      </c>
      <c r="I570" s="7">
        <f>H570+H557-2*$A$24</f>
        <v>7.54</v>
      </c>
      <c r="J570" s="7">
        <v>3.54</v>
      </c>
      <c r="K570" s="7">
        <v>6.06</v>
      </c>
      <c r="L570" s="6">
        <f t="shared" si="57"/>
        <v>0.33156498673740054</v>
      </c>
      <c r="M570" s="6">
        <f t="shared" si="58"/>
        <v>0.57824933687002644</v>
      </c>
      <c r="N570" s="6">
        <f t="shared" si="59"/>
        <v>9.0185676392573022E-2</v>
      </c>
      <c r="O570" s="4">
        <f t="shared" si="60"/>
        <v>1556.3469508348508</v>
      </c>
      <c r="P570" s="4">
        <f t="shared" si="61"/>
        <v>2714.2690822559794</v>
      </c>
      <c r="Q570" s="4">
        <f t="shared" si="62"/>
        <v>4270.6160330908297</v>
      </c>
      <c r="V570" s="3"/>
      <c r="W570" s="3"/>
      <c r="Y570" s="7"/>
      <c r="Z570" s="7"/>
      <c r="AA570" s="7"/>
      <c r="AB570" s="7"/>
      <c r="AC570" s="9"/>
      <c r="AD570" s="9"/>
      <c r="AE570" s="9"/>
      <c r="AF570" s="3"/>
      <c r="AG570" s="3"/>
      <c r="AH570" s="3"/>
    </row>
    <row r="571" spans="1:34" x14ac:dyDescent="0.3">
      <c r="A571">
        <v>538</v>
      </c>
      <c r="B571" s="1" t="s">
        <v>579</v>
      </c>
      <c r="C571" s="1" t="s">
        <v>682</v>
      </c>
      <c r="D571" s="2">
        <v>40829</v>
      </c>
      <c r="E571" s="3">
        <v>35</v>
      </c>
      <c r="F571" s="4">
        <f t="shared" si="56"/>
        <v>5064.0298468494148</v>
      </c>
      <c r="G571" s="2">
        <v>40204</v>
      </c>
      <c r="H571" s="7">
        <v>3.62</v>
      </c>
      <c r="I571" s="7">
        <f>H571+H556-2*$A$24</f>
        <v>7.52</v>
      </c>
      <c r="J571" s="7">
        <v>3.52</v>
      </c>
      <c r="K571" s="7">
        <v>6.02</v>
      </c>
      <c r="L571" s="6">
        <f t="shared" si="57"/>
        <v>0.32978723404255322</v>
      </c>
      <c r="M571" s="6">
        <f t="shared" si="58"/>
        <v>0.57446808510638292</v>
      </c>
      <c r="N571" s="6">
        <f t="shared" si="59"/>
        <v>9.5744680851063912E-2</v>
      </c>
      <c r="O571" s="4">
        <f t="shared" si="60"/>
        <v>1670.052396301403</v>
      </c>
      <c r="P571" s="4">
        <f t="shared" si="61"/>
        <v>2909.1235290411528</v>
      </c>
      <c r="Q571" s="4">
        <f t="shared" si="62"/>
        <v>4579.1759253425553</v>
      </c>
      <c r="V571" s="3"/>
      <c r="W571" s="3"/>
      <c r="Y571" s="7"/>
      <c r="Z571" s="7"/>
      <c r="AA571" s="7"/>
      <c r="AB571" s="7"/>
      <c r="AC571" s="9"/>
      <c r="AD571" s="9"/>
      <c r="AE571" s="9"/>
      <c r="AF571" s="3"/>
      <c r="AG571" s="3"/>
      <c r="AH571" s="3"/>
    </row>
    <row r="572" spans="1:34" x14ac:dyDescent="0.3">
      <c r="A572">
        <v>539</v>
      </c>
      <c r="B572" s="1" t="s">
        <v>580</v>
      </c>
      <c r="C572" s="1" t="s">
        <v>682</v>
      </c>
      <c r="D572" s="2">
        <v>40829</v>
      </c>
      <c r="E572" s="3">
        <v>33.5</v>
      </c>
      <c r="F572" s="4">
        <f t="shared" si="56"/>
        <v>4832.725194892224</v>
      </c>
      <c r="G572" s="2">
        <v>40204</v>
      </c>
      <c r="H572" s="7">
        <v>3.98</v>
      </c>
      <c r="I572" s="7">
        <f>H572+H555-2*$A$24</f>
        <v>6.92</v>
      </c>
      <c r="J572" s="7">
        <v>3.32</v>
      </c>
      <c r="K572" s="7">
        <v>5.68</v>
      </c>
      <c r="L572" s="6">
        <f t="shared" si="57"/>
        <v>0.32947976878612717</v>
      </c>
      <c r="M572" s="6">
        <f t="shared" si="58"/>
        <v>0.57514450867052014</v>
      </c>
      <c r="N572" s="6">
        <f t="shared" si="59"/>
        <v>9.5375722543352692E-2</v>
      </c>
      <c r="O572" s="4">
        <f t="shared" si="60"/>
        <v>1592.2851798199813</v>
      </c>
      <c r="P572" s="4">
        <f t="shared" si="61"/>
        <v>2779.5153577559317</v>
      </c>
      <c r="Q572" s="4">
        <f t="shared" si="62"/>
        <v>4371.800537575913</v>
      </c>
      <c r="V572" s="3"/>
      <c r="W572" s="3"/>
      <c r="Y572" s="7"/>
      <c r="Z572" s="7"/>
      <c r="AA572" s="7"/>
      <c r="AB572" s="7"/>
      <c r="AC572" s="9"/>
      <c r="AD572" s="9"/>
      <c r="AE572" s="9"/>
      <c r="AF572" s="3"/>
      <c r="AG572" s="3"/>
      <c r="AH572" s="3"/>
    </row>
    <row r="573" spans="1:34" x14ac:dyDescent="0.3">
      <c r="A573">
        <v>540</v>
      </c>
      <c r="B573" s="1" t="s">
        <v>581</v>
      </c>
      <c r="C573" s="1" t="s">
        <v>682</v>
      </c>
      <c r="D573" s="2">
        <v>40829</v>
      </c>
      <c r="E573" s="3">
        <v>30.700000000000003</v>
      </c>
      <c r="F573" s="4">
        <f t="shared" si="56"/>
        <v>4400.9565112388036</v>
      </c>
      <c r="G573" s="2">
        <v>40204</v>
      </c>
      <c r="H573" s="7">
        <v>2.76</v>
      </c>
      <c r="I573" s="7">
        <f>H573+H554-2*$A$24</f>
        <v>4.9399999999999995</v>
      </c>
      <c r="J573" s="7">
        <v>2.6</v>
      </c>
      <c r="K573" s="7">
        <v>4.5</v>
      </c>
      <c r="L573" s="6">
        <f t="shared" si="57"/>
        <v>0.31578947368421056</v>
      </c>
      <c r="M573" s="6">
        <f t="shared" si="58"/>
        <v>0.5668016194331984</v>
      </c>
      <c r="N573" s="6">
        <f t="shared" si="59"/>
        <v>0.11740890688259098</v>
      </c>
      <c r="O573" s="4">
        <f t="shared" si="60"/>
        <v>1389.7757403912012</v>
      </c>
      <c r="P573" s="4">
        <f t="shared" si="61"/>
        <v>2494.4692776252327</v>
      </c>
      <c r="Q573" s="4">
        <f t="shared" si="62"/>
        <v>3884.2450180164342</v>
      </c>
      <c r="V573" s="3"/>
      <c r="W573" s="3"/>
      <c r="Y573" s="7"/>
      <c r="Z573" s="7"/>
      <c r="AA573" s="7"/>
      <c r="AB573" s="7"/>
      <c r="AC573" s="9"/>
      <c r="AD573" s="9"/>
      <c r="AE573" s="9"/>
      <c r="AF573" s="3"/>
      <c r="AG573" s="3"/>
      <c r="AH573" s="3"/>
    </row>
    <row r="574" spans="1:34" x14ac:dyDescent="0.3">
      <c r="A574">
        <v>541</v>
      </c>
      <c r="B574" s="1" t="s">
        <v>582</v>
      </c>
      <c r="C574" s="1" t="s">
        <v>682</v>
      </c>
      <c r="D574" s="2">
        <v>40829</v>
      </c>
      <c r="E574" s="3">
        <v>27.6</v>
      </c>
      <c r="F574" s="4">
        <f t="shared" si="56"/>
        <v>3922.9268971939437</v>
      </c>
      <c r="G574" s="2">
        <v>40204</v>
      </c>
      <c r="H574" s="7">
        <v>4.7</v>
      </c>
      <c r="I574" s="7">
        <f>H574+H593-2*$A$24</f>
        <v>8.32</v>
      </c>
      <c r="J574" s="7">
        <v>3.72</v>
      </c>
      <c r="K574" s="7">
        <v>6.5</v>
      </c>
      <c r="L574" s="6">
        <f t="shared" si="57"/>
        <v>0.32211538461538464</v>
      </c>
      <c r="M574" s="6">
        <f t="shared" si="58"/>
        <v>0.57692307692307687</v>
      </c>
      <c r="N574" s="6">
        <f t="shared" si="59"/>
        <v>0.10096153846153855</v>
      </c>
      <c r="O574" s="4">
        <f t="shared" si="60"/>
        <v>1263.6351063076647</v>
      </c>
      <c r="P574" s="4">
        <f t="shared" si="61"/>
        <v>2263.2270560734287</v>
      </c>
      <c r="Q574" s="4">
        <f t="shared" si="62"/>
        <v>3526.8621623810932</v>
      </c>
      <c r="V574" s="3"/>
      <c r="W574" s="3"/>
      <c r="Y574" s="7"/>
      <c r="Z574" s="7"/>
      <c r="AA574" s="7"/>
      <c r="AB574" s="7"/>
      <c r="AC574" s="9"/>
      <c r="AD574" s="9"/>
      <c r="AE574" s="9"/>
      <c r="AF574" s="3"/>
      <c r="AG574" s="3"/>
      <c r="AH574" s="3"/>
    </row>
    <row r="575" spans="1:34" x14ac:dyDescent="0.3">
      <c r="A575">
        <v>542</v>
      </c>
      <c r="B575" s="1" t="s">
        <v>583</v>
      </c>
      <c r="C575" s="1" t="s">
        <v>682</v>
      </c>
      <c r="D575" s="2">
        <v>40829</v>
      </c>
      <c r="E575" s="3">
        <v>29.5</v>
      </c>
      <c r="F575" s="4">
        <f t="shared" si="56"/>
        <v>4215.9127896730506</v>
      </c>
      <c r="G575" s="2">
        <v>40204</v>
      </c>
      <c r="H575" s="7"/>
      <c r="I575" s="7">
        <f>H575+H592-1*$A$24</f>
        <v>3.28</v>
      </c>
      <c r="J575" s="7">
        <v>2.1</v>
      </c>
      <c r="K575" s="7">
        <v>3.66</v>
      </c>
      <c r="L575" s="6">
        <f t="shared" si="57"/>
        <v>0.32317073170731708</v>
      </c>
      <c r="M575" s="6">
        <f t="shared" si="58"/>
        <v>0.59756097560975618</v>
      </c>
      <c r="N575" s="6">
        <f t="shared" si="59"/>
        <v>7.9268292682926678E-2</v>
      </c>
      <c r="O575" s="4">
        <f t="shared" si="60"/>
        <v>1362.4596210528762</v>
      </c>
      <c r="P575" s="4">
        <f t="shared" si="61"/>
        <v>2519.2649596826768</v>
      </c>
      <c r="Q575" s="4">
        <f t="shared" si="62"/>
        <v>3881.724580735553</v>
      </c>
      <c r="V575" s="3"/>
      <c r="W575" s="3"/>
      <c r="Y575" s="7"/>
      <c r="Z575" s="7"/>
      <c r="AA575" s="7"/>
      <c r="AB575" s="7"/>
      <c r="AC575" s="9"/>
      <c r="AD575" s="9"/>
      <c r="AE575" s="9"/>
      <c r="AF575" s="3"/>
      <c r="AG575" s="3"/>
      <c r="AH575" s="3"/>
    </row>
    <row r="576" spans="1:34" x14ac:dyDescent="0.3">
      <c r="A576">
        <v>543</v>
      </c>
      <c r="B576" s="1" t="s">
        <v>584</v>
      </c>
      <c r="C576" s="1" t="s">
        <v>682</v>
      </c>
      <c r="D576" s="2">
        <v>40829</v>
      </c>
      <c r="E576" s="3">
        <v>30.900000000000002</v>
      </c>
      <c r="F576" s="4">
        <f t="shared" si="56"/>
        <v>4431.7971314997621</v>
      </c>
      <c r="G576" s="2">
        <v>40204</v>
      </c>
      <c r="H576" s="7">
        <v>3.22</v>
      </c>
      <c r="I576" s="7">
        <f>H576+H591-2*$A$24</f>
        <v>6.3</v>
      </c>
      <c r="J576" s="7">
        <v>3.04</v>
      </c>
      <c r="K576" s="7">
        <v>5.32</v>
      </c>
      <c r="L576" s="6">
        <f t="shared" si="57"/>
        <v>0.31746031746031744</v>
      </c>
      <c r="M576" s="6">
        <f t="shared" si="58"/>
        <v>0.57460317460317467</v>
      </c>
      <c r="N576" s="6">
        <f t="shared" si="59"/>
        <v>0.10793650793650789</v>
      </c>
      <c r="O576" s="4">
        <f t="shared" si="60"/>
        <v>1406.9197242856387</v>
      </c>
      <c r="P576" s="4">
        <f t="shared" si="61"/>
        <v>2546.5247009570066</v>
      </c>
      <c r="Q576" s="4">
        <f t="shared" si="62"/>
        <v>3953.4444252426456</v>
      </c>
      <c r="V576" s="3"/>
      <c r="W576" s="3"/>
      <c r="Y576" s="7"/>
      <c r="Z576" s="7"/>
      <c r="AA576" s="7"/>
      <c r="AB576" s="7"/>
      <c r="AC576" s="9"/>
      <c r="AD576" s="9"/>
      <c r="AE576" s="9"/>
      <c r="AF576" s="3"/>
      <c r="AG576" s="3"/>
      <c r="AH576" s="3"/>
    </row>
    <row r="577" spans="1:34" x14ac:dyDescent="0.3">
      <c r="A577">
        <v>544</v>
      </c>
      <c r="B577" s="1" t="s">
        <v>585</v>
      </c>
      <c r="C577" s="1" t="s">
        <v>682</v>
      </c>
      <c r="D577" s="2">
        <v>40829</v>
      </c>
      <c r="E577" s="3">
        <v>29</v>
      </c>
      <c r="F577" s="4">
        <f t="shared" si="56"/>
        <v>4138.8112390206534</v>
      </c>
      <c r="G577" s="2">
        <v>40204</v>
      </c>
      <c r="H577" s="7">
        <v>3.1</v>
      </c>
      <c r="I577" s="7">
        <f>H577+H590-2*$A$24</f>
        <v>5.84</v>
      </c>
      <c r="J577" s="7">
        <v>2.92</v>
      </c>
      <c r="K577" s="7">
        <v>5.04</v>
      </c>
      <c r="L577" s="6">
        <f t="shared" si="57"/>
        <v>0.32191780821917809</v>
      </c>
      <c r="M577" s="6">
        <f t="shared" si="58"/>
        <v>0.57191780821917804</v>
      </c>
      <c r="N577" s="6">
        <f t="shared" si="59"/>
        <v>0.10616438356164393</v>
      </c>
      <c r="O577" s="4">
        <f t="shared" si="60"/>
        <v>1332.3570426984295</v>
      </c>
      <c r="P577" s="4">
        <f t="shared" si="61"/>
        <v>2367.0598524535926</v>
      </c>
      <c r="Q577" s="4">
        <f t="shared" si="62"/>
        <v>3699.4168951520223</v>
      </c>
      <c r="V577" s="3"/>
      <c r="W577" s="3"/>
      <c r="Y577" s="7"/>
      <c r="Z577" s="7"/>
      <c r="AA577" s="7"/>
      <c r="AB577" s="7"/>
      <c r="AC577" s="9"/>
      <c r="AD577" s="9"/>
      <c r="AE577" s="9"/>
      <c r="AF577" s="3"/>
      <c r="AG577" s="3"/>
      <c r="AH577" s="3"/>
    </row>
    <row r="578" spans="1:34" x14ac:dyDescent="0.3">
      <c r="A578">
        <v>545</v>
      </c>
      <c r="B578" s="1" t="s">
        <v>586</v>
      </c>
      <c r="C578" s="1" t="s">
        <v>682</v>
      </c>
      <c r="D578" s="2">
        <v>40829</v>
      </c>
      <c r="E578" s="3">
        <v>31.6</v>
      </c>
      <c r="F578" s="4">
        <f t="shared" si="56"/>
        <v>4539.739302413117</v>
      </c>
      <c r="G578" s="2">
        <v>40204</v>
      </c>
      <c r="H578" s="7">
        <v>3.46</v>
      </c>
      <c r="I578" s="7">
        <f>H578+H589-2*$A$24</f>
        <v>5.66</v>
      </c>
      <c r="J578" s="7">
        <v>2.92</v>
      </c>
      <c r="K578" s="7">
        <v>5.04</v>
      </c>
      <c r="L578" s="6">
        <f t="shared" si="57"/>
        <v>0.33215547703180209</v>
      </c>
      <c r="M578" s="6">
        <f t="shared" si="58"/>
        <v>0.59010600706713778</v>
      </c>
      <c r="N578" s="6">
        <f t="shared" si="59"/>
        <v>7.7738515901060179E-2</v>
      </c>
      <c r="O578" s="4">
        <f t="shared" si="60"/>
        <v>1507.8992735930494</v>
      </c>
      <c r="P578" s="4">
        <f t="shared" si="61"/>
        <v>2678.9274328727579</v>
      </c>
      <c r="Q578" s="4">
        <f t="shared" si="62"/>
        <v>4186.8267064658075</v>
      </c>
      <c r="V578" s="3"/>
      <c r="W578" s="3"/>
      <c r="Y578" s="7"/>
      <c r="Z578" s="7"/>
      <c r="AA578" s="7"/>
      <c r="AB578" s="7"/>
      <c r="AC578" s="9"/>
      <c r="AD578" s="9"/>
      <c r="AE578" s="9"/>
      <c r="AF578" s="3"/>
      <c r="AG578" s="3"/>
      <c r="AH578" s="3"/>
    </row>
    <row r="579" spans="1:34" x14ac:dyDescent="0.3">
      <c r="A579">
        <v>546</v>
      </c>
      <c r="B579" s="1" t="s">
        <v>587</v>
      </c>
      <c r="C579" s="1" t="s">
        <v>682</v>
      </c>
      <c r="D579" s="2">
        <v>40829</v>
      </c>
      <c r="E579" s="3">
        <v>31.3</v>
      </c>
      <c r="F579" s="4">
        <f t="shared" si="56"/>
        <v>4493.4783720216783</v>
      </c>
      <c r="G579" s="2">
        <v>40204</v>
      </c>
      <c r="H579" s="7">
        <v>2.84</v>
      </c>
      <c r="I579" s="7">
        <f>H579+H588-2*$A$24</f>
        <v>5.9399999999999995</v>
      </c>
      <c r="J579" s="7">
        <v>2.98</v>
      </c>
      <c r="K579" s="7">
        <v>5.16</v>
      </c>
      <c r="L579" s="6">
        <f t="shared" si="57"/>
        <v>0.32659932659932661</v>
      </c>
      <c r="M579" s="6">
        <f t="shared" si="58"/>
        <v>0.5824915824915825</v>
      </c>
      <c r="N579" s="6">
        <f t="shared" si="59"/>
        <v>9.0909090909090939E-2</v>
      </c>
      <c r="O579" s="4">
        <f t="shared" si="60"/>
        <v>1467.5670103909185</v>
      </c>
      <c r="P579" s="4">
        <f t="shared" si="61"/>
        <v>2617.4133278106074</v>
      </c>
      <c r="Q579" s="4">
        <f t="shared" si="62"/>
        <v>4084.9803382015261</v>
      </c>
      <c r="V579" s="3"/>
      <c r="W579" s="3"/>
      <c r="Y579" s="7"/>
      <c r="Z579" s="7"/>
      <c r="AA579" s="7"/>
      <c r="AB579" s="7"/>
      <c r="AC579" s="9"/>
      <c r="AD579" s="9"/>
      <c r="AE579" s="9"/>
      <c r="AF579" s="3"/>
      <c r="AG579" s="3"/>
      <c r="AH579" s="3"/>
    </row>
    <row r="580" spans="1:34" x14ac:dyDescent="0.3">
      <c r="A580">
        <v>547</v>
      </c>
      <c r="B580" s="1" t="s">
        <v>588</v>
      </c>
      <c r="C580" s="1" t="s">
        <v>682</v>
      </c>
      <c r="D580" s="2">
        <v>40829</v>
      </c>
      <c r="E580" s="3">
        <v>31.3</v>
      </c>
      <c r="F580" s="4">
        <f t="shared" si="56"/>
        <v>4493.4783720216783</v>
      </c>
      <c r="G580" s="2">
        <v>40204</v>
      </c>
      <c r="H580" s="7">
        <v>3.94</v>
      </c>
      <c r="I580" s="7">
        <f>H580+H587-2*$A$24</f>
        <v>7.32</v>
      </c>
      <c r="J580" s="7">
        <v>3.42</v>
      </c>
      <c r="K580" s="7">
        <v>5.9</v>
      </c>
      <c r="L580" s="6">
        <f t="shared" si="57"/>
        <v>0.3251366120218579</v>
      </c>
      <c r="M580" s="6">
        <f t="shared" si="58"/>
        <v>0.57377049180327866</v>
      </c>
      <c r="N580" s="6">
        <f t="shared" si="59"/>
        <v>0.10109289617486339</v>
      </c>
      <c r="O580" s="4">
        <f t="shared" si="60"/>
        <v>1460.994334072622</v>
      </c>
      <c r="P580" s="4">
        <f t="shared" si="61"/>
        <v>2578.2252954222745</v>
      </c>
      <c r="Q580" s="4">
        <f t="shared" si="62"/>
        <v>4039.2196294948963</v>
      </c>
      <c r="V580" s="3"/>
      <c r="W580" s="3"/>
      <c r="Y580" s="7"/>
      <c r="Z580" s="7"/>
      <c r="AA580" s="7"/>
      <c r="AB580" s="7"/>
      <c r="AC580" s="9"/>
      <c r="AD580" s="9"/>
      <c r="AE580" s="9"/>
      <c r="AF580" s="3"/>
      <c r="AG580" s="3"/>
      <c r="AH580" s="3"/>
    </row>
    <row r="581" spans="1:34" x14ac:dyDescent="0.3">
      <c r="A581">
        <v>548</v>
      </c>
      <c r="B581" s="1" t="s">
        <v>589</v>
      </c>
      <c r="C581" s="1" t="s">
        <v>682</v>
      </c>
      <c r="D581" s="2">
        <v>40829</v>
      </c>
      <c r="E581" s="3">
        <v>34.9</v>
      </c>
      <c r="F581" s="4">
        <f t="shared" si="56"/>
        <v>5048.6095367189346</v>
      </c>
      <c r="G581" s="2">
        <v>40204</v>
      </c>
      <c r="H581" s="7">
        <v>3.64</v>
      </c>
      <c r="I581" s="7">
        <f>H581+H586-2*$A$24</f>
        <v>6.18</v>
      </c>
      <c r="J581" s="7">
        <v>3.04</v>
      </c>
      <c r="K581" s="7">
        <v>5.24</v>
      </c>
      <c r="L581" s="6">
        <f t="shared" si="57"/>
        <v>0.3236245954692557</v>
      </c>
      <c r="M581" s="6">
        <f t="shared" si="58"/>
        <v>0.5728155339805826</v>
      </c>
      <c r="N581" s="6">
        <f t="shared" si="59"/>
        <v>0.10355987055016169</v>
      </c>
      <c r="O581" s="4">
        <f t="shared" si="60"/>
        <v>1633.8542190028916</v>
      </c>
      <c r="P581" s="4">
        <f t="shared" si="61"/>
        <v>2891.9219676351181</v>
      </c>
      <c r="Q581" s="4">
        <f t="shared" si="62"/>
        <v>4525.7761866380097</v>
      </c>
      <c r="V581" s="3"/>
      <c r="W581" s="3"/>
      <c r="Y581" s="7"/>
      <c r="Z581" s="7"/>
      <c r="AA581" s="7"/>
      <c r="AB581" s="7"/>
      <c r="AC581" s="9"/>
      <c r="AD581" s="9"/>
      <c r="AE581" s="9"/>
      <c r="AF581" s="3"/>
      <c r="AG581" s="3"/>
      <c r="AH581" s="3"/>
    </row>
    <row r="582" spans="1:34" x14ac:dyDescent="0.3">
      <c r="A582">
        <v>549</v>
      </c>
      <c r="B582" s="1" t="s">
        <v>590</v>
      </c>
      <c r="C582" s="1" t="s">
        <v>682</v>
      </c>
      <c r="D582" s="2">
        <v>40829</v>
      </c>
      <c r="E582" s="3">
        <v>31.099999999999998</v>
      </c>
      <c r="F582" s="4">
        <f t="shared" si="56"/>
        <v>4462.6377517607189</v>
      </c>
      <c r="G582" s="2">
        <v>40204</v>
      </c>
      <c r="H582" s="7">
        <v>3.7</v>
      </c>
      <c r="I582" s="7">
        <f>H582+H585-2*$A$24</f>
        <v>5.98</v>
      </c>
      <c r="J582" s="7">
        <v>3</v>
      </c>
      <c r="K582" s="7">
        <v>5.24</v>
      </c>
      <c r="L582" s="6">
        <f t="shared" si="57"/>
        <v>0.32775919732441466</v>
      </c>
      <c r="M582" s="6">
        <f t="shared" si="58"/>
        <v>0.59197324414715713</v>
      </c>
      <c r="N582" s="6">
        <f t="shared" si="59"/>
        <v>8.0267558528428151E-2</v>
      </c>
      <c r="O582" s="4">
        <f t="shared" si="60"/>
        <v>1462.6705674667237</v>
      </c>
      <c r="P582" s="4">
        <f t="shared" si="61"/>
        <v>2641.7621473633685</v>
      </c>
      <c r="Q582" s="4">
        <f t="shared" si="62"/>
        <v>4104.4327148300927</v>
      </c>
      <c r="V582" s="3"/>
      <c r="W582" s="3"/>
      <c r="Y582" s="7"/>
      <c r="Z582" s="7"/>
      <c r="AA582" s="7"/>
      <c r="AB582" s="7"/>
      <c r="AC582" s="9"/>
      <c r="AD582" s="9"/>
      <c r="AE582" s="9"/>
      <c r="AF582" s="3"/>
      <c r="AG582" s="3"/>
      <c r="AH582" s="3"/>
    </row>
    <row r="583" spans="1:34" x14ac:dyDescent="0.3">
      <c r="A583">
        <v>550</v>
      </c>
      <c r="B583" s="1" t="s">
        <v>591</v>
      </c>
      <c r="C583" s="1" t="s">
        <v>682</v>
      </c>
      <c r="D583" s="2">
        <v>40829</v>
      </c>
      <c r="E583" s="3">
        <v>27</v>
      </c>
      <c r="F583" s="4">
        <f t="shared" si="56"/>
        <v>3830.4050364110672</v>
      </c>
      <c r="G583" s="2">
        <v>40204</v>
      </c>
      <c r="H583" s="7">
        <v>2.96</v>
      </c>
      <c r="I583" s="7">
        <f>H583+H584-2*$A$24</f>
        <v>6.4799999999999995</v>
      </c>
      <c r="J583" s="7">
        <v>3.14</v>
      </c>
      <c r="K583" s="7">
        <v>5.52</v>
      </c>
      <c r="L583" s="6">
        <f t="shared" si="57"/>
        <v>0.32407407407407413</v>
      </c>
      <c r="M583" s="6">
        <f t="shared" si="58"/>
        <v>0.58950617283950613</v>
      </c>
      <c r="N583" s="6">
        <f t="shared" si="59"/>
        <v>8.6419753086419693E-2</v>
      </c>
      <c r="O583" s="4">
        <f t="shared" si="60"/>
        <v>1241.3349655035868</v>
      </c>
      <c r="P583" s="4">
        <f t="shared" si="61"/>
        <v>2258.0474134398573</v>
      </c>
      <c r="Q583" s="4">
        <f t="shared" si="62"/>
        <v>3499.3823789434441</v>
      </c>
      <c r="V583" s="3"/>
      <c r="W583" s="3"/>
      <c r="Y583" s="7"/>
      <c r="Z583" s="7"/>
      <c r="AA583" s="7"/>
      <c r="AB583" s="7"/>
      <c r="AC583" s="9"/>
      <c r="AD583" s="9"/>
      <c r="AE583" s="9"/>
      <c r="AF583" s="3"/>
      <c r="AG583" s="3"/>
      <c r="AH583" s="3"/>
    </row>
    <row r="584" spans="1:34" x14ac:dyDescent="0.3">
      <c r="A584">
        <v>551</v>
      </c>
      <c r="B584" s="1" t="s">
        <v>592</v>
      </c>
      <c r="C584" s="1" t="s">
        <v>682</v>
      </c>
      <c r="D584" s="2">
        <v>40829</v>
      </c>
      <c r="E584" s="3">
        <v>26.3</v>
      </c>
      <c r="F584" s="4">
        <f t="shared" si="56"/>
        <v>3722.4628654977114</v>
      </c>
      <c r="G584" s="2">
        <v>40204</v>
      </c>
      <c r="H584" s="7">
        <v>3.84</v>
      </c>
      <c r="I584" s="7">
        <f>H584+H583-2*$A$24</f>
        <v>6.4799999999999995</v>
      </c>
      <c r="J584" s="7">
        <v>3.14</v>
      </c>
      <c r="K584" s="7">
        <v>5.52</v>
      </c>
      <c r="L584" s="6">
        <f t="shared" si="57"/>
        <v>0.32407407407407413</v>
      </c>
      <c r="M584" s="6">
        <f t="shared" si="58"/>
        <v>0.58950617283950613</v>
      </c>
      <c r="N584" s="6">
        <f t="shared" si="59"/>
        <v>8.6419753086419693E-2</v>
      </c>
      <c r="O584" s="4">
        <f t="shared" si="60"/>
        <v>1206.3537064112957</v>
      </c>
      <c r="P584" s="4">
        <f t="shared" si="61"/>
        <v>2194.4148373767371</v>
      </c>
      <c r="Q584" s="4">
        <f t="shared" si="62"/>
        <v>3400.7685437880327</v>
      </c>
      <c r="V584" s="3"/>
      <c r="W584" s="3"/>
      <c r="Y584" s="7"/>
      <c r="Z584" s="7"/>
      <c r="AA584" s="7"/>
      <c r="AB584" s="7"/>
      <c r="AC584" s="9"/>
      <c r="AD584" s="9"/>
      <c r="AE584" s="9"/>
      <c r="AF584" s="3"/>
      <c r="AG584" s="3"/>
      <c r="AH584" s="3"/>
    </row>
    <row r="585" spans="1:34" x14ac:dyDescent="0.3">
      <c r="A585">
        <v>552</v>
      </c>
      <c r="B585" s="1" t="s">
        <v>593</v>
      </c>
      <c r="C585" s="1" t="s">
        <v>682</v>
      </c>
      <c r="D585" s="2">
        <v>40829</v>
      </c>
      <c r="E585" s="3">
        <v>28.9</v>
      </c>
      <c r="F585" s="4">
        <f t="shared" si="56"/>
        <v>4123.3909288901741</v>
      </c>
      <c r="G585" s="2">
        <v>40204</v>
      </c>
      <c r="H585" s="7">
        <v>2.6</v>
      </c>
      <c r="I585" s="7">
        <f>H585+H582-2*$A$24</f>
        <v>5.98</v>
      </c>
      <c r="J585" s="7">
        <v>3</v>
      </c>
      <c r="K585" s="7">
        <v>5.24</v>
      </c>
      <c r="L585" s="6">
        <f t="shared" si="57"/>
        <v>0.32775919732441466</v>
      </c>
      <c r="M585" s="6">
        <f t="shared" si="58"/>
        <v>0.59197324414715713</v>
      </c>
      <c r="N585" s="6">
        <f t="shared" si="59"/>
        <v>8.0267558528428151E-2</v>
      </c>
      <c r="O585" s="4">
        <f t="shared" si="60"/>
        <v>1351.4793011078161</v>
      </c>
      <c r="P585" s="4">
        <f t="shared" si="61"/>
        <v>2440.9371050620762</v>
      </c>
      <c r="Q585" s="4">
        <f t="shared" si="62"/>
        <v>3792.4164061698921</v>
      </c>
      <c r="V585" s="3"/>
      <c r="W585" s="3"/>
      <c r="Y585" s="7"/>
      <c r="Z585" s="7"/>
      <c r="AA585" s="7"/>
      <c r="AB585" s="7"/>
      <c r="AC585" s="9"/>
      <c r="AD585" s="9"/>
      <c r="AE585" s="9"/>
      <c r="AF585" s="3"/>
      <c r="AG585" s="3"/>
      <c r="AH585" s="3"/>
    </row>
    <row r="586" spans="1:34" x14ac:dyDescent="0.3">
      <c r="A586">
        <v>553</v>
      </c>
      <c r="B586" s="1" t="s">
        <v>594</v>
      </c>
      <c r="C586" s="1" t="s">
        <v>682</v>
      </c>
      <c r="D586" s="2">
        <v>40829</v>
      </c>
      <c r="E586" s="3">
        <v>31.7</v>
      </c>
      <c r="F586" s="4">
        <f t="shared" si="56"/>
        <v>4555.1596125435963</v>
      </c>
      <c r="G586" s="2">
        <v>40204</v>
      </c>
      <c r="H586" s="7">
        <v>2.86</v>
      </c>
      <c r="I586" s="7">
        <f>H586+H581-2*$A$24</f>
        <v>6.18</v>
      </c>
      <c r="J586" s="7">
        <v>3.04</v>
      </c>
      <c r="K586" s="7">
        <v>5.24</v>
      </c>
      <c r="L586" s="6">
        <f t="shared" si="57"/>
        <v>0.3236245954692557</v>
      </c>
      <c r="M586" s="6">
        <f t="shared" si="58"/>
        <v>0.5728155339805826</v>
      </c>
      <c r="N586" s="6">
        <f t="shared" si="59"/>
        <v>0.10355987055016169</v>
      </c>
      <c r="O586" s="4">
        <f t="shared" si="60"/>
        <v>1474.161686907313</v>
      </c>
      <c r="P586" s="4">
        <f t="shared" si="61"/>
        <v>2609.2661858259439</v>
      </c>
      <c r="Q586" s="4">
        <f t="shared" si="62"/>
        <v>4083.4278727332567</v>
      </c>
      <c r="V586" s="3"/>
      <c r="W586" s="3"/>
      <c r="Y586" s="7"/>
      <c r="Z586" s="7"/>
      <c r="AA586" s="7"/>
      <c r="AB586" s="7"/>
      <c r="AC586" s="9"/>
      <c r="AD586" s="9"/>
      <c r="AE586" s="9"/>
      <c r="AF586" s="3"/>
      <c r="AG586" s="3"/>
      <c r="AH586" s="3"/>
    </row>
    <row r="587" spans="1:34" x14ac:dyDescent="0.3">
      <c r="A587">
        <v>554</v>
      </c>
      <c r="B587" s="1" t="s">
        <v>595</v>
      </c>
      <c r="C587" s="1" t="s">
        <v>682</v>
      </c>
      <c r="D587" s="2">
        <v>40829</v>
      </c>
      <c r="E587" s="3">
        <v>29.9</v>
      </c>
      <c r="F587" s="4">
        <f t="shared" si="56"/>
        <v>4277.5940301949677</v>
      </c>
      <c r="G587" s="2">
        <v>40204</v>
      </c>
      <c r="H587" s="7">
        <v>3.7</v>
      </c>
      <c r="I587" s="7">
        <f>H587+H580-2*$A$24</f>
        <v>7.32</v>
      </c>
      <c r="J587" s="7">
        <v>3.42</v>
      </c>
      <c r="K587" s="7">
        <v>5.9</v>
      </c>
      <c r="L587" s="6">
        <f t="shared" si="57"/>
        <v>0.3251366120218579</v>
      </c>
      <c r="M587" s="6">
        <f t="shared" si="58"/>
        <v>0.57377049180327866</v>
      </c>
      <c r="N587" s="6">
        <f t="shared" si="59"/>
        <v>0.10109289617486339</v>
      </c>
      <c r="O587" s="4">
        <f t="shared" si="60"/>
        <v>1390.8024305825168</v>
      </c>
      <c r="P587" s="4">
        <f t="shared" si="61"/>
        <v>2454.3572304397353</v>
      </c>
      <c r="Q587" s="4">
        <f t="shared" si="62"/>
        <v>3845.1596610222523</v>
      </c>
      <c r="V587" s="3"/>
      <c r="W587" s="3"/>
      <c r="Y587" s="7"/>
      <c r="Z587" s="7"/>
      <c r="AA587" s="7"/>
      <c r="AB587" s="7"/>
      <c r="AC587" s="9"/>
      <c r="AD587" s="9"/>
      <c r="AE587" s="9"/>
      <c r="AF587" s="3"/>
      <c r="AG587" s="3"/>
      <c r="AH587" s="3"/>
    </row>
    <row r="588" spans="1:34" x14ac:dyDescent="0.3">
      <c r="A588">
        <v>555</v>
      </c>
      <c r="B588" s="1" t="s">
        <v>596</v>
      </c>
      <c r="C588" s="1" t="s">
        <v>682</v>
      </c>
      <c r="D588" s="2">
        <v>40829</v>
      </c>
      <c r="E588" s="3">
        <v>29.6</v>
      </c>
      <c r="F588" s="4">
        <f t="shared" si="56"/>
        <v>4231.3330998035308</v>
      </c>
      <c r="G588" s="2">
        <v>40204</v>
      </c>
      <c r="H588" s="7">
        <v>3.42</v>
      </c>
      <c r="I588" s="7">
        <f>H588+H579-2*$A$24</f>
        <v>5.9399999999999995</v>
      </c>
      <c r="J588" s="7">
        <v>2.98</v>
      </c>
      <c r="K588" s="7">
        <v>5.16</v>
      </c>
      <c r="L588" s="6">
        <f t="shared" si="57"/>
        <v>0.32659932659932661</v>
      </c>
      <c r="M588" s="6">
        <f t="shared" si="58"/>
        <v>0.5824915824915825</v>
      </c>
      <c r="N588" s="6">
        <f t="shared" si="59"/>
        <v>9.0909090909090939E-2</v>
      </c>
      <c r="O588" s="4">
        <f t="shared" si="60"/>
        <v>1381.9505410132745</v>
      </c>
      <c r="P588" s="4">
        <f t="shared" si="61"/>
        <v>2464.715913353572</v>
      </c>
      <c r="Q588" s="4">
        <f t="shared" si="62"/>
        <v>3846.6664543668467</v>
      </c>
      <c r="V588" s="3"/>
      <c r="W588" s="3"/>
      <c r="Y588" s="7"/>
      <c r="Z588" s="7"/>
      <c r="AA588" s="7"/>
      <c r="AB588" s="7"/>
      <c r="AC588" s="9"/>
      <c r="AD588" s="9"/>
      <c r="AE588" s="9"/>
      <c r="AF588" s="3"/>
      <c r="AG588" s="3"/>
      <c r="AH588" s="3"/>
    </row>
    <row r="589" spans="1:34" x14ac:dyDescent="0.3">
      <c r="A589">
        <v>556</v>
      </c>
      <c r="B589" s="1" t="s">
        <v>597</v>
      </c>
      <c r="C589" s="1" t="s">
        <v>682</v>
      </c>
      <c r="D589" s="2">
        <v>40829</v>
      </c>
      <c r="E589" s="3">
        <v>29.799999999999997</v>
      </c>
      <c r="F589" s="4">
        <f t="shared" si="56"/>
        <v>4262.1737200644884</v>
      </c>
      <c r="G589" s="2">
        <v>40204</v>
      </c>
      <c r="H589" s="7">
        <v>2.52</v>
      </c>
      <c r="I589" s="7">
        <f>H589+H578-2*$A$24</f>
        <v>5.66</v>
      </c>
      <c r="J589" s="7">
        <v>2.92</v>
      </c>
      <c r="K589" s="7">
        <v>5.04</v>
      </c>
      <c r="L589" s="6">
        <f t="shared" si="57"/>
        <v>0.33215547703180209</v>
      </c>
      <c r="M589" s="6">
        <f t="shared" si="58"/>
        <v>0.59010600706713778</v>
      </c>
      <c r="N589" s="6">
        <f t="shared" si="59"/>
        <v>7.7738515901060179E-2</v>
      </c>
      <c r="O589" s="4">
        <f t="shared" si="60"/>
        <v>1415.7043451804307</v>
      </c>
      <c r="P589" s="4">
        <f t="shared" si="61"/>
        <v>2515.1343153737439</v>
      </c>
      <c r="Q589" s="4">
        <f t="shared" si="62"/>
        <v>3930.8386605541746</v>
      </c>
      <c r="V589" s="3"/>
      <c r="W589" s="3"/>
      <c r="Y589" s="7"/>
      <c r="Z589" s="7"/>
      <c r="AA589" s="7"/>
      <c r="AB589" s="7"/>
      <c r="AC589" s="9"/>
      <c r="AD589" s="9"/>
      <c r="AE589" s="9"/>
      <c r="AF589" s="3"/>
      <c r="AG589" s="3"/>
      <c r="AH589" s="3"/>
    </row>
    <row r="590" spans="1:34" x14ac:dyDescent="0.3">
      <c r="A590">
        <v>557</v>
      </c>
      <c r="B590" s="1" t="s">
        <v>598</v>
      </c>
      <c r="C590" s="1" t="s">
        <v>682</v>
      </c>
      <c r="D590" s="2">
        <v>40829</v>
      </c>
      <c r="E590" s="3">
        <v>29.5</v>
      </c>
      <c r="F590" s="4">
        <f t="shared" si="56"/>
        <v>4215.9127896730506</v>
      </c>
      <c r="G590" s="2">
        <v>40204</v>
      </c>
      <c r="H590" s="7">
        <v>3.06</v>
      </c>
      <c r="I590" s="7">
        <f>H590+H577-2*$A$24</f>
        <v>5.84</v>
      </c>
      <c r="J590" s="7">
        <v>2.92</v>
      </c>
      <c r="K590" s="7">
        <v>5.04</v>
      </c>
      <c r="L590" s="6">
        <f t="shared" si="57"/>
        <v>0.32191780821917809</v>
      </c>
      <c r="M590" s="6">
        <f t="shared" si="58"/>
        <v>0.57191780821917804</v>
      </c>
      <c r="N590" s="6">
        <f t="shared" si="59"/>
        <v>0.10616438356164393</v>
      </c>
      <c r="O590" s="4">
        <f t="shared" si="60"/>
        <v>1357.1774048947493</v>
      </c>
      <c r="P590" s="4">
        <f t="shared" si="61"/>
        <v>2411.1556023130115</v>
      </c>
      <c r="Q590" s="4">
        <f t="shared" si="62"/>
        <v>3768.3330072077606</v>
      </c>
      <c r="V590" s="3"/>
      <c r="W590" s="3"/>
      <c r="Y590" s="7"/>
      <c r="Z590" s="7"/>
      <c r="AA590" s="7"/>
      <c r="AB590" s="7"/>
      <c r="AC590" s="9"/>
      <c r="AD590" s="9"/>
      <c r="AE590" s="9"/>
      <c r="AF590" s="3"/>
      <c r="AG590" s="3"/>
      <c r="AH590" s="3"/>
    </row>
    <row r="591" spans="1:34" x14ac:dyDescent="0.3">
      <c r="A591">
        <v>558</v>
      </c>
      <c r="B591" s="1" t="s">
        <v>599</v>
      </c>
      <c r="C591" s="1" t="s">
        <v>682</v>
      </c>
      <c r="D591" s="2">
        <v>40829</v>
      </c>
      <c r="E591" s="3">
        <v>28.6</v>
      </c>
      <c r="F591" s="4">
        <f t="shared" si="56"/>
        <v>4077.1299984987368</v>
      </c>
      <c r="G591" s="2">
        <v>40204</v>
      </c>
      <c r="H591" s="7">
        <v>3.4</v>
      </c>
      <c r="I591" s="7">
        <f>H591+H576-2*$A$24</f>
        <v>6.3</v>
      </c>
      <c r="J591" s="7">
        <v>3.04</v>
      </c>
      <c r="K591" s="7">
        <v>5.32</v>
      </c>
      <c r="L591" s="6">
        <f t="shared" si="57"/>
        <v>0.31746031746031744</v>
      </c>
      <c r="M591" s="6">
        <f t="shared" si="58"/>
        <v>0.57460317460317467</v>
      </c>
      <c r="N591" s="6">
        <f t="shared" si="59"/>
        <v>0.10793650793650789</v>
      </c>
      <c r="O591" s="4">
        <f t="shared" si="60"/>
        <v>1294.3269836503925</v>
      </c>
      <c r="P591" s="4">
        <f t="shared" si="61"/>
        <v>2342.7318404072107</v>
      </c>
      <c r="Q591" s="4">
        <f t="shared" si="62"/>
        <v>3637.0588240576035</v>
      </c>
      <c r="V591" s="3"/>
      <c r="W591" s="3"/>
      <c r="Y591" s="7"/>
      <c r="Z591" s="7"/>
      <c r="AA591" s="7"/>
      <c r="AB591" s="7"/>
      <c r="AC591" s="9"/>
      <c r="AD591" s="9"/>
      <c r="AE591" s="9"/>
      <c r="AF591" s="3"/>
      <c r="AG591" s="3"/>
      <c r="AH591" s="3"/>
    </row>
    <row r="592" spans="1:34" x14ac:dyDescent="0.3">
      <c r="A592">
        <v>559</v>
      </c>
      <c r="B592" s="1" t="s">
        <v>600</v>
      </c>
      <c r="C592" s="1" t="s">
        <v>682</v>
      </c>
      <c r="D592" s="2">
        <v>40829</v>
      </c>
      <c r="E592" s="3">
        <v>28</v>
      </c>
      <c r="F592" s="4">
        <f t="shared" si="56"/>
        <v>3984.6081377158603</v>
      </c>
      <c r="G592" s="2">
        <v>40204</v>
      </c>
      <c r="H592" s="7">
        <v>3.44</v>
      </c>
      <c r="I592" s="7">
        <f>H592+H575-1*$A$24</f>
        <v>3.28</v>
      </c>
      <c r="J592" s="7">
        <v>2.1</v>
      </c>
      <c r="K592" s="7">
        <v>3.66</v>
      </c>
      <c r="L592" s="6">
        <f t="shared" si="57"/>
        <v>0.32317073170731708</v>
      </c>
      <c r="M592" s="6">
        <f t="shared" si="58"/>
        <v>0.59756097560975618</v>
      </c>
      <c r="N592" s="6">
        <f t="shared" si="59"/>
        <v>7.9268292682926678E-2</v>
      </c>
      <c r="O592" s="4">
        <f t="shared" si="60"/>
        <v>1287.7087274325647</v>
      </c>
      <c r="P592" s="4">
        <f t="shared" si="61"/>
        <v>2381.0463261960631</v>
      </c>
      <c r="Q592" s="4">
        <f t="shared" si="62"/>
        <v>3668.755053628628</v>
      </c>
      <c r="V592" s="3"/>
      <c r="W592" s="3"/>
      <c r="Y592" s="7"/>
      <c r="Z592" s="7"/>
      <c r="AA592" s="7"/>
      <c r="AB592" s="7"/>
      <c r="AC592" s="9"/>
      <c r="AD592" s="9"/>
      <c r="AE592" s="9"/>
      <c r="AF592" s="3"/>
      <c r="AG592" s="3"/>
      <c r="AH592" s="3"/>
    </row>
    <row r="593" spans="1:34" x14ac:dyDescent="0.3">
      <c r="A593">
        <v>560</v>
      </c>
      <c r="B593" s="1" t="s">
        <v>601</v>
      </c>
      <c r="C593" s="1" t="s">
        <v>682</v>
      </c>
      <c r="D593" s="2">
        <v>40829</v>
      </c>
      <c r="E593" s="3">
        <v>25.6</v>
      </c>
      <c r="F593" s="4">
        <f t="shared" si="56"/>
        <v>3614.5206945843565</v>
      </c>
      <c r="G593" s="2">
        <v>40204</v>
      </c>
      <c r="H593" s="7">
        <v>3.94</v>
      </c>
      <c r="I593" s="7">
        <f>H593+H574-2*$A$24</f>
        <v>8.32</v>
      </c>
      <c r="J593" s="7">
        <v>3.72</v>
      </c>
      <c r="K593" s="7">
        <v>6.5</v>
      </c>
      <c r="L593" s="6">
        <f t="shared" si="57"/>
        <v>0.32211538461538464</v>
      </c>
      <c r="M593" s="6">
        <f t="shared" si="58"/>
        <v>0.57692307692307687</v>
      </c>
      <c r="N593" s="6">
        <f t="shared" si="59"/>
        <v>0.10096153846153855</v>
      </c>
      <c r="O593" s="4">
        <f t="shared" si="60"/>
        <v>1164.2927237363072</v>
      </c>
      <c r="P593" s="4">
        <f t="shared" si="61"/>
        <v>2085.3004007217442</v>
      </c>
      <c r="Q593" s="4">
        <f t="shared" si="62"/>
        <v>3249.5931244580515</v>
      </c>
      <c r="V593" s="3"/>
      <c r="W593" s="3"/>
      <c r="Y593" s="7"/>
      <c r="Z593" s="7"/>
      <c r="AA593" s="7"/>
      <c r="AB593" s="7"/>
      <c r="AC593" s="9"/>
      <c r="AD593" s="9"/>
      <c r="AE593" s="9"/>
      <c r="AF593" s="3"/>
      <c r="AG593" s="3"/>
      <c r="AH593" s="3"/>
    </row>
    <row r="594" spans="1:34" x14ac:dyDescent="0.3">
      <c r="A594">
        <v>561</v>
      </c>
      <c r="B594" s="1" t="s">
        <v>602</v>
      </c>
      <c r="C594" s="1" t="s">
        <v>682</v>
      </c>
      <c r="D594" s="2">
        <v>40830</v>
      </c>
      <c r="E594" s="3">
        <v>37.599999999999994</v>
      </c>
      <c r="F594" s="4">
        <f t="shared" si="56"/>
        <v>5464.9579102418766</v>
      </c>
      <c r="G594" s="2">
        <v>40204</v>
      </c>
      <c r="H594" s="7">
        <v>3.92</v>
      </c>
      <c r="I594" s="7">
        <f>H594+H613-2*$A$24</f>
        <v>7.6599999999999993</v>
      </c>
      <c r="J594" s="7">
        <v>3.66</v>
      </c>
      <c r="K594" s="7">
        <v>6.02</v>
      </c>
      <c r="L594" s="6">
        <f t="shared" si="57"/>
        <v>0.34203655352480422</v>
      </c>
      <c r="M594" s="6">
        <f t="shared" si="58"/>
        <v>0.56396866840731064</v>
      </c>
      <c r="N594" s="6">
        <f t="shared" si="59"/>
        <v>9.3994778067885143E-2</v>
      </c>
      <c r="O594" s="4">
        <f t="shared" si="60"/>
        <v>1869.2153687772479</v>
      </c>
      <c r="P594" s="4">
        <f t="shared" si="61"/>
        <v>3082.0650355411103</v>
      </c>
      <c r="Q594" s="4">
        <f t="shared" si="62"/>
        <v>4951.2804043183587</v>
      </c>
      <c r="S594" t="s">
        <v>37</v>
      </c>
      <c r="T594" t="s">
        <v>682</v>
      </c>
      <c r="U594" s="8">
        <f>D594</f>
        <v>40830</v>
      </c>
      <c r="V594" s="3">
        <f>SUM(E594:E633)</f>
        <v>1394.9999999999995</v>
      </c>
      <c r="W594" s="3">
        <f>(V594-80*$A$20)*$A$21/(40*$A$22)*$A$23</f>
        <v>5044.7544591863125</v>
      </c>
      <c r="X594" s="8">
        <f>G594</f>
        <v>40204</v>
      </c>
      <c r="Y594" s="7">
        <f>SUM(H594:H633)</f>
        <v>155.40000000000003</v>
      </c>
      <c r="Z594" s="7">
        <f>SUM(I594:I633)</f>
        <v>297.99999999999994</v>
      </c>
      <c r="AA594" s="7">
        <f>SUM(J594:J633)</f>
        <v>142.16000000000003</v>
      </c>
      <c r="AB594" s="7">
        <f>SUM(K594:K633)</f>
        <v>234.59999999999997</v>
      </c>
      <c r="AC594" s="9">
        <f>(AA594-40*$A$25)/Z594</f>
        <v>0.33744966442953039</v>
      </c>
      <c r="AD594" s="9">
        <f>(AB594-40*$A$26)/Z594</f>
        <v>0.5590604026845637</v>
      </c>
      <c r="AE594" s="9">
        <f>1-AC594-AD594</f>
        <v>0.10348993288590591</v>
      </c>
      <c r="AF594" s="3">
        <f>W594*AC594</f>
        <v>1702.3506993817982</v>
      </c>
      <c r="AG594" s="3">
        <f>W594*AD594</f>
        <v>2820.3224593974483</v>
      </c>
      <c r="AH594" s="3">
        <f>AF594+AG594</f>
        <v>4522.6731587792465</v>
      </c>
    </row>
    <row r="595" spans="1:34" x14ac:dyDescent="0.3">
      <c r="A595">
        <v>562</v>
      </c>
      <c r="B595" s="1" t="s">
        <v>603</v>
      </c>
      <c r="C595" s="1" t="s">
        <v>682</v>
      </c>
      <c r="D595" s="2">
        <v>40830</v>
      </c>
      <c r="E595" s="3">
        <v>38.9</v>
      </c>
      <c r="F595" s="4">
        <f t="shared" si="56"/>
        <v>5665.421941938107</v>
      </c>
      <c r="G595" s="2">
        <v>40204</v>
      </c>
      <c r="H595" s="7">
        <v>1.74</v>
      </c>
      <c r="I595" s="7">
        <f>H595+H612-2*$A$24</f>
        <v>5.8</v>
      </c>
      <c r="J595" s="7">
        <v>2.94</v>
      </c>
      <c r="K595" s="7">
        <v>4.92</v>
      </c>
      <c r="L595" s="6">
        <f t="shared" si="57"/>
        <v>0.32758620689655171</v>
      </c>
      <c r="M595" s="6">
        <f t="shared" si="58"/>
        <v>0.55517241379310345</v>
      </c>
      <c r="N595" s="6">
        <f t="shared" si="59"/>
        <v>0.11724137931034484</v>
      </c>
      <c r="O595" s="4">
        <f t="shared" si="60"/>
        <v>1855.9140844280005</v>
      </c>
      <c r="P595" s="4">
        <f t="shared" si="61"/>
        <v>3145.2859746621903</v>
      </c>
      <c r="Q595" s="4">
        <f t="shared" si="62"/>
        <v>5001.2000590901907</v>
      </c>
      <c r="V595" s="3"/>
      <c r="W595" s="3"/>
      <c r="Y595" s="7"/>
      <c r="Z595" s="7"/>
      <c r="AA595" s="7"/>
      <c r="AB595" s="7"/>
      <c r="AC595" s="9"/>
      <c r="AD595" s="9"/>
      <c r="AE595" s="9"/>
      <c r="AF595" s="3"/>
      <c r="AG595" s="3"/>
      <c r="AH595" s="3"/>
    </row>
    <row r="596" spans="1:34" x14ac:dyDescent="0.3">
      <c r="A596">
        <v>563</v>
      </c>
      <c r="B596" s="1" t="s">
        <v>604</v>
      </c>
      <c r="C596" s="1" t="s">
        <v>682</v>
      </c>
      <c r="D596" s="2">
        <v>40830</v>
      </c>
      <c r="E596" s="3">
        <v>37.5</v>
      </c>
      <c r="F596" s="4">
        <f t="shared" si="56"/>
        <v>5449.5376001113982</v>
      </c>
      <c r="G596" s="2">
        <v>40204</v>
      </c>
      <c r="H596" s="7">
        <v>4.24</v>
      </c>
      <c r="I596" s="7">
        <f>H596+H611-2*$A$24</f>
        <v>7.66</v>
      </c>
      <c r="J596" s="7">
        <v>3.66</v>
      </c>
      <c r="K596" s="7">
        <v>6.02</v>
      </c>
      <c r="L596" s="6">
        <f t="shared" si="57"/>
        <v>0.34203655352480417</v>
      </c>
      <c r="M596" s="6">
        <f t="shared" si="58"/>
        <v>0.56396866840731064</v>
      </c>
      <c r="N596" s="6">
        <f t="shared" si="59"/>
        <v>9.3994778067885143E-2</v>
      </c>
      <c r="O596" s="4">
        <f t="shared" si="60"/>
        <v>1863.9410590459352</v>
      </c>
      <c r="P596" s="4">
        <f t="shared" si="61"/>
        <v>3073.3684637703964</v>
      </c>
      <c r="Q596" s="4">
        <f t="shared" si="62"/>
        <v>4937.3095228163311</v>
      </c>
      <c r="V596" s="3"/>
      <c r="W596" s="3"/>
      <c r="Y596" s="7"/>
      <c r="Z596" s="7"/>
      <c r="AA596" s="7"/>
      <c r="AB596" s="7"/>
      <c r="AC596" s="9"/>
      <c r="AD596" s="9"/>
      <c r="AE596" s="9"/>
      <c r="AF596" s="3"/>
      <c r="AG596" s="3"/>
      <c r="AH596" s="3"/>
    </row>
    <row r="597" spans="1:34" x14ac:dyDescent="0.3">
      <c r="A597">
        <v>564</v>
      </c>
      <c r="B597" s="1" t="s">
        <v>605</v>
      </c>
      <c r="C597" s="1" t="s">
        <v>682</v>
      </c>
      <c r="D597" s="2">
        <v>40830</v>
      </c>
      <c r="E597" s="3">
        <v>34.700000000000003</v>
      </c>
      <c r="F597" s="4">
        <f t="shared" si="56"/>
        <v>5017.7689164579779</v>
      </c>
      <c r="G597" s="2">
        <v>40204</v>
      </c>
      <c r="H597" s="7">
        <v>5.08</v>
      </c>
      <c r="I597" s="7">
        <f>H597+H610-2*$A$24</f>
        <v>8.92</v>
      </c>
      <c r="J597" s="7">
        <v>4.0599999999999996</v>
      </c>
      <c r="K597" s="7">
        <v>6.62</v>
      </c>
      <c r="L597" s="6">
        <f t="shared" si="57"/>
        <v>0.33856502242152464</v>
      </c>
      <c r="M597" s="6">
        <f t="shared" si="58"/>
        <v>0.55156950672645744</v>
      </c>
      <c r="N597" s="6">
        <f t="shared" si="59"/>
        <v>0.10986547085201792</v>
      </c>
      <c r="O597" s="4">
        <f t="shared" si="60"/>
        <v>1698.8410457066248</v>
      </c>
      <c r="P597" s="4">
        <f t="shared" si="61"/>
        <v>2767.6483261180779</v>
      </c>
      <c r="Q597" s="4">
        <f t="shared" si="62"/>
        <v>4466.4893718247022</v>
      </c>
      <c r="V597" s="3"/>
      <c r="W597" s="3"/>
      <c r="Y597" s="7"/>
      <c r="Z597" s="7"/>
      <c r="AA597" s="7"/>
      <c r="AB597" s="7"/>
      <c r="AC597" s="9"/>
      <c r="AD597" s="9"/>
      <c r="AE597" s="9"/>
      <c r="AF597" s="3"/>
      <c r="AG597" s="3"/>
      <c r="AH597" s="3"/>
    </row>
    <row r="598" spans="1:34" x14ac:dyDescent="0.3">
      <c r="A598">
        <v>565</v>
      </c>
      <c r="B598" s="1" t="s">
        <v>606</v>
      </c>
      <c r="C598" s="1" t="s">
        <v>682</v>
      </c>
      <c r="D598" s="2">
        <v>40830</v>
      </c>
      <c r="E598" s="3">
        <v>36</v>
      </c>
      <c r="F598" s="4">
        <f t="shared" si="56"/>
        <v>5218.2329481542074</v>
      </c>
      <c r="G598" s="2">
        <v>40204</v>
      </c>
      <c r="H598" s="7">
        <v>3.58</v>
      </c>
      <c r="I598" s="7">
        <f>H598+H609-2*$A$24</f>
        <v>7.08</v>
      </c>
      <c r="J598" s="7">
        <v>3.44</v>
      </c>
      <c r="K598" s="7">
        <v>5.6</v>
      </c>
      <c r="L598" s="6">
        <f t="shared" si="57"/>
        <v>0.33898305084745761</v>
      </c>
      <c r="M598" s="6">
        <f t="shared" si="58"/>
        <v>0.55084745762711851</v>
      </c>
      <c r="N598" s="6">
        <f t="shared" si="59"/>
        <v>0.11016949152542388</v>
      </c>
      <c r="O598" s="4">
        <f t="shared" si="60"/>
        <v>1768.8925247980362</v>
      </c>
      <c r="P598" s="4">
        <f t="shared" si="61"/>
        <v>2874.4503527968086</v>
      </c>
      <c r="Q598" s="4">
        <f t="shared" si="62"/>
        <v>4643.342877594845</v>
      </c>
      <c r="V598" s="3"/>
      <c r="W598" s="3"/>
      <c r="Y598" s="7"/>
      <c r="Z598" s="7"/>
      <c r="AA598" s="7"/>
      <c r="AB598" s="7"/>
      <c r="AC598" s="9"/>
      <c r="AD598" s="9"/>
      <c r="AE598" s="9"/>
      <c r="AF598" s="3"/>
      <c r="AG598" s="3"/>
      <c r="AH598" s="3"/>
    </row>
    <row r="599" spans="1:34" x14ac:dyDescent="0.3">
      <c r="A599">
        <v>566</v>
      </c>
      <c r="B599" s="1" t="s">
        <v>607</v>
      </c>
      <c r="C599" s="1" t="s">
        <v>682</v>
      </c>
      <c r="D599" s="2">
        <v>40830</v>
      </c>
      <c r="E599" s="3">
        <v>33.299999999999997</v>
      </c>
      <c r="F599" s="4">
        <f t="shared" si="56"/>
        <v>4801.8845746312645</v>
      </c>
      <c r="G599" s="2">
        <v>40204</v>
      </c>
      <c r="H599" s="7">
        <v>3.58</v>
      </c>
      <c r="I599" s="7">
        <f>H599+H608-2*$A$24</f>
        <v>7.24</v>
      </c>
      <c r="J599" s="7">
        <v>3.48</v>
      </c>
      <c r="K599" s="7">
        <v>5.76</v>
      </c>
      <c r="L599" s="6">
        <f t="shared" si="57"/>
        <v>0.33701657458563533</v>
      </c>
      <c r="M599" s="6">
        <f t="shared" si="58"/>
        <v>0.56077348066298338</v>
      </c>
      <c r="N599" s="6">
        <f t="shared" si="59"/>
        <v>0.10220994475138134</v>
      </c>
      <c r="O599" s="4">
        <f t="shared" si="60"/>
        <v>1618.3146908978295</v>
      </c>
      <c r="P599" s="4">
        <f t="shared" si="61"/>
        <v>2692.7695266578635</v>
      </c>
      <c r="Q599" s="4">
        <f t="shared" si="62"/>
        <v>4311.0842175556927</v>
      </c>
      <c r="V599" s="3"/>
      <c r="W599" s="3"/>
      <c r="Y599" s="7"/>
      <c r="Z599" s="7"/>
      <c r="AA599" s="7"/>
      <c r="AB599" s="7"/>
      <c r="AC599" s="9"/>
      <c r="AD599" s="9"/>
      <c r="AE599" s="9"/>
      <c r="AF599" s="3"/>
      <c r="AG599" s="3"/>
      <c r="AH599" s="3"/>
    </row>
    <row r="600" spans="1:34" x14ac:dyDescent="0.3">
      <c r="A600">
        <v>567</v>
      </c>
      <c r="B600" s="1" t="s">
        <v>608</v>
      </c>
      <c r="C600" s="1" t="s">
        <v>682</v>
      </c>
      <c r="D600" s="2">
        <v>40830</v>
      </c>
      <c r="E600" s="3">
        <v>32.400000000000006</v>
      </c>
      <c r="F600" s="4">
        <f t="shared" si="56"/>
        <v>4663.101783456952</v>
      </c>
      <c r="G600" s="2">
        <v>40204</v>
      </c>
      <c r="H600" s="7">
        <v>3.5</v>
      </c>
      <c r="I600" s="7">
        <f>H600+H607-2*$A$24</f>
        <v>7.9399999999999995</v>
      </c>
      <c r="J600" s="7">
        <v>3.7</v>
      </c>
      <c r="K600" s="7">
        <v>6.08</v>
      </c>
      <c r="L600" s="6">
        <f t="shared" si="57"/>
        <v>0.33501259445843834</v>
      </c>
      <c r="M600" s="6">
        <f t="shared" si="58"/>
        <v>0.55163727959697739</v>
      </c>
      <c r="N600" s="6">
        <f t="shared" si="59"/>
        <v>0.11335012594458427</v>
      </c>
      <c r="O600" s="4">
        <f t="shared" si="60"/>
        <v>1562.1978266996844</v>
      </c>
      <c r="P600" s="4">
        <f t="shared" si="61"/>
        <v>2572.3407823100065</v>
      </c>
      <c r="Q600" s="4">
        <f t="shared" si="62"/>
        <v>4134.5386090096908</v>
      </c>
      <c r="V600" s="3"/>
      <c r="W600" s="3"/>
      <c r="Y600" s="7"/>
      <c r="Z600" s="7"/>
      <c r="AA600" s="7"/>
      <c r="AB600" s="7"/>
      <c r="AC600" s="9"/>
      <c r="AD600" s="9"/>
      <c r="AE600" s="9"/>
      <c r="AF600" s="3"/>
      <c r="AG600" s="3"/>
      <c r="AH600" s="3"/>
    </row>
    <row r="601" spans="1:34" x14ac:dyDescent="0.3">
      <c r="A601">
        <v>568</v>
      </c>
      <c r="B601" s="1" t="s">
        <v>609</v>
      </c>
      <c r="C601" s="1" t="s">
        <v>682</v>
      </c>
      <c r="D601" s="2">
        <v>40830</v>
      </c>
      <c r="E601" s="3">
        <v>36</v>
      </c>
      <c r="F601" s="4">
        <f t="shared" si="56"/>
        <v>5218.2329481542074</v>
      </c>
      <c r="G601" s="2">
        <v>40204</v>
      </c>
      <c r="H601" s="7">
        <v>4.34</v>
      </c>
      <c r="I601" s="7">
        <f>H601+H606-2*$A$24</f>
        <v>7.3999999999999995</v>
      </c>
      <c r="J601" s="7">
        <v>3.56</v>
      </c>
      <c r="K601" s="7">
        <v>5.86</v>
      </c>
      <c r="L601" s="6">
        <f t="shared" si="57"/>
        <v>0.34054054054054056</v>
      </c>
      <c r="M601" s="6">
        <f t="shared" si="58"/>
        <v>0.56216216216216219</v>
      </c>
      <c r="N601" s="6">
        <f t="shared" si="59"/>
        <v>9.7297297297297192E-2</v>
      </c>
      <c r="O601" s="4">
        <f t="shared" si="60"/>
        <v>1777.0198688308924</v>
      </c>
      <c r="P601" s="4">
        <f t="shared" si="61"/>
        <v>2933.4931168002031</v>
      </c>
      <c r="Q601" s="4">
        <f t="shared" si="62"/>
        <v>4710.5129856310959</v>
      </c>
      <c r="V601" s="3"/>
      <c r="W601" s="3"/>
      <c r="Y601" s="7"/>
      <c r="Z601" s="7"/>
      <c r="AA601" s="7"/>
      <c r="AB601" s="7"/>
      <c r="AC601" s="9"/>
      <c r="AD601" s="9"/>
      <c r="AE601" s="9"/>
      <c r="AF601" s="3"/>
      <c r="AG601" s="3"/>
      <c r="AH601" s="3"/>
    </row>
    <row r="602" spans="1:34" x14ac:dyDescent="0.3">
      <c r="A602">
        <v>569</v>
      </c>
      <c r="B602" s="1" t="s">
        <v>610</v>
      </c>
      <c r="C602" s="1" t="s">
        <v>682</v>
      </c>
      <c r="D602" s="2">
        <v>40830</v>
      </c>
      <c r="E602" s="3">
        <v>34</v>
      </c>
      <c r="F602" s="4">
        <f t="shared" si="56"/>
        <v>4909.8267455446203</v>
      </c>
      <c r="G602" s="2">
        <v>40204</v>
      </c>
      <c r="H602" s="7">
        <v>4.9000000000000004</v>
      </c>
      <c r="I602" s="7">
        <f>H602+H605-2*$A$24</f>
        <v>8.4</v>
      </c>
      <c r="J602" s="7">
        <v>3.9</v>
      </c>
      <c r="K602" s="7">
        <v>6.34</v>
      </c>
      <c r="L602" s="6">
        <f t="shared" si="57"/>
        <v>0.34047619047619043</v>
      </c>
      <c r="M602" s="6">
        <f t="shared" si="58"/>
        <v>0.55238095238095231</v>
      </c>
      <c r="N602" s="6">
        <f t="shared" si="59"/>
        <v>0.10714285714285732</v>
      </c>
      <c r="O602" s="4">
        <f t="shared" si="60"/>
        <v>1671.6791062211444</v>
      </c>
      <c r="P602" s="4">
        <f t="shared" si="61"/>
        <v>2712.0947737294091</v>
      </c>
      <c r="Q602" s="4">
        <f t="shared" si="62"/>
        <v>4383.7738799505532</v>
      </c>
      <c r="V602" s="3"/>
      <c r="W602" s="3"/>
      <c r="Y602" s="7"/>
      <c r="Z602" s="7"/>
      <c r="AA602" s="7"/>
      <c r="AB602" s="7"/>
      <c r="AC602" s="9"/>
      <c r="AD602" s="9"/>
      <c r="AE602" s="9"/>
      <c r="AF602" s="3"/>
      <c r="AG602" s="3"/>
      <c r="AH602" s="3"/>
    </row>
    <row r="603" spans="1:34" x14ac:dyDescent="0.3">
      <c r="A603">
        <v>570</v>
      </c>
      <c r="B603" s="1" t="s">
        <v>611</v>
      </c>
      <c r="C603" s="1" t="s">
        <v>682</v>
      </c>
      <c r="D603" s="2">
        <v>40830</v>
      </c>
      <c r="E603" s="3">
        <v>26.5</v>
      </c>
      <c r="F603" s="4">
        <f t="shared" si="56"/>
        <v>3753.3034857586704</v>
      </c>
      <c r="G603" s="2">
        <v>40204</v>
      </c>
      <c r="H603" s="7">
        <v>4.5</v>
      </c>
      <c r="I603" s="7">
        <f>H603+H604-2*$A$24</f>
        <v>8.42</v>
      </c>
      <c r="J603" s="7">
        <v>3.92</v>
      </c>
      <c r="K603" s="7">
        <v>6.4</v>
      </c>
      <c r="L603" s="6">
        <f t="shared" si="57"/>
        <v>0.34204275534441803</v>
      </c>
      <c r="M603" s="6">
        <f t="shared" si="58"/>
        <v>0.55819477434679332</v>
      </c>
      <c r="N603" s="6">
        <f t="shared" si="59"/>
        <v>9.9762470308788598E-2</v>
      </c>
      <c r="O603" s="4">
        <f t="shared" si="60"/>
        <v>1283.7902659127042</v>
      </c>
      <c r="P603" s="4">
        <f t="shared" si="61"/>
        <v>2095.0743922880938</v>
      </c>
      <c r="Q603" s="4">
        <f t="shared" si="62"/>
        <v>3378.8646582007977</v>
      </c>
      <c r="V603" s="3"/>
      <c r="W603" s="3"/>
      <c r="Y603" s="7"/>
      <c r="Z603" s="7"/>
      <c r="AA603" s="7"/>
      <c r="AB603" s="7"/>
      <c r="AC603" s="9"/>
      <c r="AD603" s="9"/>
      <c r="AE603" s="9"/>
      <c r="AF603" s="3"/>
      <c r="AG603" s="3"/>
      <c r="AH603" s="3"/>
    </row>
    <row r="604" spans="1:34" x14ac:dyDescent="0.3">
      <c r="A604">
        <v>571</v>
      </c>
      <c r="B604" s="1" t="s">
        <v>612</v>
      </c>
      <c r="C604" s="1" t="s">
        <v>682</v>
      </c>
      <c r="D604" s="2">
        <v>40830</v>
      </c>
      <c r="E604" s="3">
        <v>29.6</v>
      </c>
      <c r="F604" s="4">
        <f t="shared" si="56"/>
        <v>4231.3330998035308</v>
      </c>
      <c r="G604" s="2">
        <v>40204</v>
      </c>
      <c r="H604" s="7">
        <v>4.24</v>
      </c>
      <c r="I604" s="7">
        <f>H604+H603-2*$A$24</f>
        <v>8.42</v>
      </c>
      <c r="J604" s="7">
        <v>3.92</v>
      </c>
      <c r="K604" s="7">
        <v>6.4</v>
      </c>
      <c r="L604" s="6">
        <f t="shared" si="57"/>
        <v>0.34204275534441803</v>
      </c>
      <c r="M604" s="6">
        <f t="shared" si="58"/>
        <v>0.55819477434679332</v>
      </c>
      <c r="N604" s="6">
        <f t="shared" si="59"/>
        <v>9.9762470308788598E-2</v>
      </c>
      <c r="O604" s="4">
        <f t="shared" si="60"/>
        <v>1447.296832236837</v>
      </c>
      <c r="P604" s="4">
        <f t="shared" si="61"/>
        <v>2361.9080248309492</v>
      </c>
      <c r="Q604" s="4">
        <f t="shared" si="62"/>
        <v>3809.2048570677862</v>
      </c>
      <c r="V604" s="3"/>
      <c r="W604" s="3"/>
      <c r="Y604" s="7"/>
      <c r="Z604" s="7"/>
      <c r="AA604" s="7"/>
      <c r="AB604" s="7"/>
      <c r="AC604" s="9"/>
      <c r="AD604" s="9"/>
      <c r="AE604" s="9"/>
      <c r="AF604" s="3"/>
      <c r="AG604" s="3"/>
      <c r="AH604" s="3"/>
    </row>
    <row r="605" spans="1:34" x14ac:dyDescent="0.3">
      <c r="A605">
        <v>572</v>
      </c>
      <c r="B605" s="1" t="s">
        <v>613</v>
      </c>
      <c r="C605" s="1" t="s">
        <v>682</v>
      </c>
      <c r="D605" s="2">
        <v>40830</v>
      </c>
      <c r="E605" s="3">
        <v>33.4</v>
      </c>
      <c r="F605" s="4">
        <f t="shared" si="56"/>
        <v>4817.3048847617447</v>
      </c>
      <c r="G605" s="2">
        <v>40204</v>
      </c>
      <c r="H605" s="7">
        <v>3.82</v>
      </c>
      <c r="I605" s="7">
        <f>H605+H602-2*$A$24</f>
        <v>8.4</v>
      </c>
      <c r="J605" s="7">
        <v>3.9</v>
      </c>
      <c r="K605" s="7">
        <v>6.34</v>
      </c>
      <c r="L605" s="6">
        <f t="shared" si="57"/>
        <v>0.34047619047619043</v>
      </c>
      <c r="M605" s="6">
        <f t="shared" si="58"/>
        <v>0.55238095238095231</v>
      </c>
      <c r="N605" s="6">
        <f t="shared" si="59"/>
        <v>0.10714285714285732</v>
      </c>
      <c r="O605" s="4">
        <f t="shared" si="60"/>
        <v>1640.1776155260225</v>
      </c>
      <c r="P605" s="4">
        <f t="shared" si="61"/>
        <v>2660.9874601541064</v>
      </c>
      <c r="Q605" s="4">
        <f t="shared" si="62"/>
        <v>4301.1650756801291</v>
      </c>
      <c r="V605" s="3"/>
      <c r="W605" s="3"/>
      <c r="Y605" s="7"/>
      <c r="Z605" s="7"/>
      <c r="AA605" s="7"/>
      <c r="AB605" s="7"/>
      <c r="AC605" s="9"/>
      <c r="AD605" s="9"/>
      <c r="AE605" s="9"/>
      <c r="AF605" s="3"/>
      <c r="AG605" s="3"/>
      <c r="AH605" s="3"/>
    </row>
    <row r="606" spans="1:34" x14ac:dyDescent="0.3">
      <c r="A606">
        <v>573</v>
      </c>
      <c r="B606" s="1" t="s">
        <v>614</v>
      </c>
      <c r="C606" s="1" t="s">
        <v>682</v>
      </c>
      <c r="D606" s="2">
        <v>40830</v>
      </c>
      <c r="E606" s="3">
        <v>38.400000000000006</v>
      </c>
      <c r="F606" s="4">
        <f t="shared" si="56"/>
        <v>5588.3203912857125</v>
      </c>
      <c r="G606" s="2">
        <v>40204</v>
      </c>
      <c r="H606" s="7">
        <v>3.38</v>
      </c>
      <c r="I606" s="7">
        <f>H606+H601-2*$A$24</f>
        <v>7.3999999999999995</v>
      </c>
      <c r="J606" s="7">
        <v>3.56</v>
      </c>
      <c r="K606" s="7">
        <v>5.86</v>
      </c>
      <c r="L606" s="6">
        <f t="shared" si="57"/>
        <v>0.34054054054054056</v>
      </c>
      <c r="M606" s="6">
        <f t="shared" si="58"/>
        <v>0.56216216216216219</v>
      </c>
      <c r="N606" s="6">
        <f t="shared" si="59"/>
        <v>9.7297297297297192E-2</v>
      </c>
      <c r="O606" s="4">
        <f t="shared" si="60"/>
        <v>1903.0496467621617</v>
      </c>
      <c r="P606" s="4">
        <f t="shared" si="61"/>
        <v>3141.5422740200765</v>
      </c>
      <c r="Q606" s="4">
        <f t="shared" si="62"/>
        <v>5044.591920782238</v>
      </c>
      <c r="V606" s="3"/>
      <c r="W606" s="3"/>
      <c r="Y606" s="7"/>
      <c r="Z606" s="7"/>
      <c r="AA606" s="7"/>
      <c r="AB606" s="7"/>
      <c r="AC606" s="9"/>
      <c r="AD606" s="9"/>
      <c r="AE606" s="9"/>
      <c r="AF606" s="3"/>
      <c r="AG606" s="3"/>
      <c r="AH606" s="3"/>
    </row>
    <row r="607" spans="1:34" x14ac:dyDescent="0.3">
      <c r="A607">
        <v>574</v>
      </c>
      <c r="B607" s="1" t="s">
        <v>615</v>
      </c>
      <c r="C607" s="1" t="s">
        <v>682</v>
      </c>
      <c r="D607" s="2">
        <v>40830</v>
      </c>
      <c r="E607" s="3">
        <v>36.700000000000003</v>
      </c>
      <c r="F607" s="4">
        <f t="shared" si="56"/>
        <v>5326.1751190675632</v>
      </c>
      <c r="G607" s="2">
        <v>40204</v>
      </c>
      <c r="H607" s="7">
        <v>4.76</v>
      </c>
      <c r="I607" s="7">
        <f>H607+H600-2*$A$24</f>
        <v>7.9399999999999995</v>
      </c>
      <c r="J607" s="7">
        <v>3.7</v>
      </c>
      <c r="K607" s="7">
        <v>6.08</v>
      </c>
      <c r="L607" s="6">
        <f t="shared" si="57"/>
        <v>0.33501259445843834</v>
      </c>
      <c r="M607" s="6">
        <f t="shared" si="58"/>
        <v>0.55163727959697739</v>
      </c>
      <c r="N607" s="6">
        <f t="shared" si="59"/>
        <v>0.11335012594458427</v>
      </c>
      <c r="O607" s="4">
        <f t="shared" si="60"/>
        <v>1784.3357451788061</v>
      </c>
      <c r="P607" s="4">
        <f t="shared" si="61"/>
        <v>2938.1167533395378</v>
      </c>
      <c r="Q607" s="4">
        <f t="shared" si="62"/>
        <v>4722.4524985183434</v>
      </c>
      <c r="V607" s="3"/>
      <c r="W607" s="3"/>
      <c r="Y607" s="7"/>
      <c r="Z607" s="7"/>
      <c r="AA607" s="7"/>
      <c r="AB607" s="7"/>
      <c r="AC607" s="9"/>
      <c r="AD607" s="9"/>
      <c r="AE607" s="9"/>
      <c r="AF607" s="3"/>
      <c r="AG607" s="3"/>
      <c r="AH607" s="3"/>
    </row>
    <row r="608" spans="1:34" x14ac:dyDescent="0.3">
      <c r="A608">
        <v>575</v>
      </c>
      <c r="B608" s="1" t="s">
        <v>616</v>
      </c>
      <c r="C608" s="1" t="s">
        <v>682</v>
      </c>
      <c r="D608" s="2">
        <v>40830</v>
      </c>
      <c r="E608" s="3">
        <v>36.200000000000003</v>
      </c>
      <c r="F608" s="4">
        <f t="shared" si="56"/>
        <v>5249.0735684151668</v>
      </c>
      <c r="G608" s="2">
        <v>40204</v>
      </c>
      <c r="H608" s="7">
        <v>3.98</v>
      </c>
      <c r="I608" s="7">
        <f>H608+H599-2*$A$24</f>
        <v>7.24</v>
      </c>
      <c r="J608" s="7">
        <v>3.48</v>
      </c>
      <c r="K608" s="7">
        <v>5.76</v>
      </c>
      <c r="L608" s="6">
        <f t="shared" si="57"/>
        <v>0.33701657458563533</v>
      </c>
      <c r="M608" s="6">
        <f t="shared" si="58"/>
        <v>0.56077348066298338</v>
      </c>
      <c r="N608" s="6">
        <f t="shared" si="59"/>
        <v>0.10220994475138134</v>
      </c>
      <c r="O608" s="4">
        <f t="shared" si="60"/>
        <v>1769.024793775277</v>
      </c>
      <c r="P608" s="4">
        <f t="shared" si="61"/>
        <v>2943.5412552162397</v>
      </c>
      <c r="Q608" s="4">
        <f t="shared" si="62"/>
        <v>4712.5660489915172</v>
      </c>
      <c r="V608" s="3"/>
      <c r="W608" s="3"/>
      <c r="Y608" s="7"/>
      <c r="Z608" s="7"/>
      <c r="AA608" s="7"/>
      <c r="AB608" s="7"/>
      <c r="AC608" s="9"/>
      <c r="AD608" s="9"/>
      <c r="AE608" s="9"/>
      <c r="AF608" s="3"/>
      <c r="AG608" s="3"/>
      <c r="AH608" s="3"/>
    </row>
    <row r="609" spans="1:34" x14ac:dyDescent="0.3">
      <c r="A609">
        <v>576</v>
      </c>
      <c r="B609" s="1" t="s">
        <v>617</v>
      </c>
      <c r="C609" s="1" t="s">
        <v>682</v>
      </c>
      <c r="D609" s="2">
        <v>40830</v>
      </c>
      <c r="E609" s="3">
        <v>35.9</v>
      </c>
      <c r="F609" s="4">
        <f t="shared" si="56"/>
        <v>5202.8126380237272</v>
      </c>
      <c r="G609" s="2">
        <v>40204</v>
      </c>
      <c r="H609" s="7">
        <v>3.82</v>
      </c>
      <c r="I609" s="7">
        <f>H609+H598-2*$A$24</f>
        <v>7.08</v>
      </c>
      <c r="J609" s="7">
        <v>3.44</v>
      </c>
      <c r="K609" s="7">
        <v>5.6</v>
      </c>
      <c r="L609" s="6">
        <f t="shared" si="57"/>
        <v>0.33898305084745761</v>
      </c>
      <c r="M609" s="6">
        <f t="shared" si="58"/>
        <v>0.55084745762711851</v>
      </c>
      <c r="N609" s="6">
        <f t="shared" si="59"/>
        <v>0.11016949152542388</v>
      </c>
      <c r="O609" s="4">
        <f t="shared" si="60"/>
        <v>1763.6653010249922</v>
      </c>
      <c r="P609" s="4">
        <f t="shared" si="61"/>
        <v>2865.9561141656118</v>
      </c>
      <c r="Q609" s="4">
        <f t="shared" si="62"/>
        <v>4629.6214151906042</v>
      </c>
      <c r="V609" s="3"/>
      <c r="W609" s="3"/>
      <c r="Y609" s="7"/>
      <c r="Z609" s="7"/>
      <c r="AA609" s="7"/>
      <c r="AB609" s="7"/>
      <c r="AC609" s="9"/>
      <c r="AD609" s="9"/>
      <c r="AE609" s="9"/>
      <c r="AF609" s="3"/>
      <c r="AG609" s="3"/>
      <c r="AH609" s="3"/>
    </row>
    <row r="610" spans="1:34" x14ac:dyDescent="0.3">
      <c r="A610">
        <v>577</v>
      </c>
      <c r="B610" s="1" t="s">
        <v>618</v>
      </c>
      <c r="C610" s="1" t="s">
        <v>682</v>
      </c>
      <c r="D610" s="2">
        <v>40830</v>
      </c>
      <c r="E610" s="3">
        <v>36.400000000000006</v>
      </c>
      <c r="F610" s="4">
        <f t="shared" si="56"/>
        <v>5279.9141886761254</v>
      </c>
      <c r="G610" s="2">
        <v>40204</v>
      </c>
      <c r="H610" s="7">
        <v>4.16</v>
      </c>
      <c r="I610" s="7">
        <f>H610+H597-2*$A$24</f>
        <v>8.92</v>
      </c>
      <c r="J610" s="7">
        <v>4.0599999999999996</v>
      </c>
      <c r="K610" s="7">
        <v>6.62</v>
      </c>
      <c r="L610" s="6">
        <f t="shared" si="57"/>
        <v>0.33856502242152464</v>
      </c>
      <c r="M610" s="6">
        <f t="shared" si="58"/>
        <v>0.55156950672645744</v>
      </c>
      <c r="N610" s="6">
        <f t="shared" si="59"/>
        <v>0.10986547085201792</v>
      </c>
      <c r="O610" s="4">
        <f t="shared" si="60"/>
        <v>1787.5942656728585</v>
      </c>
      <c r="P610" s="4">
        <f t="shared" si="61"/>
        <v>2912.2396646061143</v>
      </c>
      <c r="Q610" s="4">
        <f t="shared" si="62"/>
        <v>4699.8339302789727</v>
      </c>
      <c r="V610" s="3"/>
      <c r="W610" s="3"/>
      <c r="Y610" s="7"/>
      <c r="Z610" s="7"/>
      <c r="AA610" s="7"/>
      <c r="AB610" s="7"/>
      <c r="AC610" s="9"/>
      <c r="AD610" s="9"/>
      <c r="AE610" s="9"/>
      <c r="AF610" s="3"/>
      <c r="AG610" s="3"/>
      <c r="AH610" s="3"/>
    </row>
    <row r="611" spans="1:34" x14ac:dyDescent="0.3">
      <c r="A611">
        <v>578</v>
      </c>
      <c r="B611" s="1" t="s">
        <v>619</v>
      </c>
      <c r="C611" s="1" t="s">
        <v>682</v>
      </c>
      <c r="D611" s="2">
        <v>40830</v>
      </c>
      <c r="E611" s="3">
        <v>38.700000000000003</v>
      </c>
      <c r="F611" s="4">
        <f t="shared" ref="F611:F673" si="63">(E611-2*$A$20)*$A$21/$A$22*$A$23</f>
        <v>5634.5813216771503</v>
      </c>
      <c r="G611" s="2">
        <v>40204</v>
      </c>
      <c r="H611" s="7">
        <v>3.74</v>
      </c>
      <c r="I611" s="7">
        <f>H611+H596-2*$A$24</f>
        <v>7.66</v>
      </c>
      <c r="J611" s="7">
        <v>3.66</v>
      </c>
      <c r="K611" s="7">
        <v>6.02</v>
      </c>
      <c r="L611" s="6">
        <f t="shared" ref="L611:L673" si="64">(J611-$A$25)/I611</f>
        <v>0.34203655352480417</v>
      </c>
      <c r="M611" s="6">
        <f t="shared" ref="M611:M673" si="65">(K611-$A$26)/I611</f>
        <v>0.56396866840731064</v>
      </c>
      <c r="N611" s="6">
        <f t="shared" ref="N611:N673" si="66">1-L611-M611</f>
        <v>9.3994778067885143E-2</v>
      </c>
      <c r="O611" s="4">
        <f t="shared" ref="O611:O673" si="67">F611*L611</f>
        <v>1927.2327758216884</v>
      </c>
      <c r="P611" s="4">
        <f t="shared" ref="P611:P673" si="68">F611*M611</f>
        <v>3177.7273250189669</v>
      </c>
      <c r="Q611" s="4">
        <f t="shared" ref="Q611:Q673" si="69">O611+P611</f>
        <v>5104.9601008406553</v>
      </c>
      <c r="V611" s="3"/>
      <c r="W611" s="3"/>
      <c r="Y611" s="7"/>
      <c r="Z611" s="7"/>
      <c r="AA611" s="7"/>
      <c r="AB611" s="7"/>
      <c r="AC611" s="9"/>
      <c r="AD611" s="9"/>
      <c r="AE611" s="9"/>
      <c r="AF611" s="3"/>
      <c r="AG611" s="3"/>
      <c r="AH611" s="3"/>
    </row>
    <row r="612" spans="1:34" x14ac:dyDescent="0.3">
      <c r="A612">
        <v>579</v>
      </c>
      <c r="B612" s="1" t="s">
        <v>620</v>
      </c>
      <c r="C612" s="1" t="s">
        <v>682</v>
      </c>
      <c r="D612" s="2">
        <v>40830</v>
      </c>
      <c r="E612" s="3">
        <v>43.4</v>
      </c>
      <c r="F612" s="4">
        <f t="shared" si="63"/>
        <v>6359.3358978096785</v>
      </c>
      <c r="G612" s="2">
        <v>40204</v>
      </c>
      <c r="H612" s="7">
        <v>4.38</v>
      </c>
      <c r="I612" s="7">
        <f>H612+H595-2*$A$24</f>
        <v>5.8</v>
      </c>
      <c r="J612" s="7">
        <v>2.94</v>
      </c>
      <c r="K612" s="7">
        <v>4.92</v>
      </c>
      <c r="L612" s="6">
        <f t="shared" si="64"/>
        <v>0.32758620689655171</v>
      </c>
      <c r="M612" s="6">
        <f t="shared" si="65"/>
        <v>0.55517241379310345</v>
      </c>
      <c r="N612" s="6">
        <f t="shared" si="66"/>
        <v>0.11724137931034484</v>
      </c>
      <c r="O612" s="4">
        <f t="shared" si="67"/>
        <v>2083.23072514455</v>
      </c>
      <c r="P612" s="4">
        <f t="shared" si="68"/>
        <v>3530.5278605081317</v>
      </c>
      <c r="Q612" s="4">
        <f t="shared" si="69"/>
        <v>5613.7585856526821</v>
      </c>
      <c r="V612" s="3"/>
      <c r="W612" s="3"/>
      <c r="Y612" s="7"/>
      <c r="Z612" s="7"/>
      <c r="AA612" s="7"/>
      <c r="AB612" s="7"/>
      <c r="AC612" s="9"/>
      <c r="AD612" s="9"/>
      <c r="AE612" s="9"/>
      <c r="AF612" s="3"/>
      <c r="AG612" s="3"/>
      <c r="AH612" s="3"/>
    </row>
    <row r="613" spans="1:34" x14ac:dyDescent="0.3">
      <c r="A613">
        <v>580</v>
      </c>
      <c r="B613" s="1" t="s">
        <v>621</v>
      </c>
      <c r="C613" s="1" t="s">
        <v>682</v>
      </c>
      <c r="D613" s="2">
        <v>40830</v>
      </c>
      <c r="E613" s="3">
        <v>41.3</v>
      </c>
      <c r="F613" s="4">
        <f t="shared" si="63"/>
        <v>6035.509385069613</v>
      </c>
      <c r="G613" s="2">
        <v>40204</v>
      </c>
      <c r="H613" s="7">
        <v>4.0599999999999996</v>
      </c>
      <c r="I613" s="7">
        <f>H613+H594-2*$A$24</f>
        <v>7.6599999999999993</v>
      </c>
      <c r="J613" s="7">
        <v>3.66</v>
      </c>
      <c r="K613" s="7">
        <v>6.02</v>
      </c>
      <c r="L613" s="6">
        <f t="shared" si="64"/>
        <v>0.34203655352480422</v>
      </c>
      <c r="M613" s="6">
        <f t="shared" si="65"/>
        <v>0.56396866840731064</v>
      </c>
      <c r="N613" s="6">
        <f t="shared" si="66"/>
        <v>9.3994778067885143E-2</v>
      </c>
      <c r="O613" s="4">
        <f t="shared" si="67"/>
        <v>2064.3648288358208</v>
      </c>
      <c r="P613" s="4">
        <f t="shared" si="68"/>
        <v>3403.8381910575358</v>
      </c>
      <c r="Q613" s="4">
        <f t="shared" si="69"/>
        <v>5468.2030198933571</v>
      </c>
      <c r="V613" s="3"/>
      <c r="W613" s="3"/>
      <c r="Y613" s="7"/>
      <c r="Z613" s="7"/>
      <c r="AA613" s="7"/>
      <c r="AB613" s="7"/>
      <c r="AC613" s="9"/>
      <c r="AD613" s="9"/>
      <c r="AE613" s="9"/>
      <c r="AF613" s="3"/>
      <c r="AG613" s="3"/>
      <c r="AH613" s="3"/>
    </row>
    <row r="614" spans="1:34" x14ac:dyDescent="0.3">
      <c r="A614">
        <v>581</v>
      </c>
      <c r="B614" s="1" t="s">
        <v>622</v>
      </c>
      <c r="C614" s="1" t="s">
        <v>682</v>
      </c>
      <c r="D614" s="2">
        <v>40830</v>
      </c>
      <c r="E614" s="3">
        <v>35.1</v>
      </c>
      <c r="F614" s="4">
        <f t="shared" si="63"/>
        <v>5079.4501569798931</v>
      </c>
      <c r="G614" s="2">
        <v>40204</v>
      </c>
      <c r="H614" s="7">
        <v>3.76</v>
      </c>
      <c r="I614" s="7">
        <f>H614+H633-2*$A$24</f>
        <v>7.42</v>
      </c>
      <c r="J614" s="7">
        <v>3.5</v>
      </c>
      <c r="K614" s="7">
        <v>5.88</v>
      </c>
      <c r="L614" s="6">
        <f t="shared" si="64"/>
        <v>0.33153638814016173</v>
      </c>
      <c r="M614" s="6">
        <f t="shared" si="65"/>
        <v>0.56334231805929913</v>
      </c>
      <c r="N614" s="6">
        <f t="shared" si="66"/>
        <v>0.10512129380053914</v>
      </c>
      <c r="O614" s="4">
        <f t="shared" si="67"/>
        <v>1684.0225587830912</v>
      </c>
      <c r="P614" s="4">
        <f t="shared" si="68"/>
        <v>2861.4692258997238</v>
      </c>
      <c r="Q614" s="4">
        <f t="shared" si="69"/>
        <v>4545.4917846828148</v>
      </c>
      <c r="V614" s="3"/>
      <c r="W614" s="3"/>
      <c r="Y614" s="7"/>
      <c r="Z614" s="7"/>
      <c r="AA614" s="7"/>
      <c r="AB614" s="7"/>
      <c r="AC614" s="9"/>
      <c r="AD614" s="9"/>
      <c r="AE614" s="9"/>
      <c r="AF614" s="3"/>
      <c r="AG614" s="3"/>
      <c r="AH614" s="3"/>
    </row>
    <row r="615" spans="1:34" x14ac:dyDescent="0.3">
      <c r="A615">
        <v>582</v>
      </c>
      <c r="B615" s="1" t="s">
        <v>623</v>
      </c>
      <c r="C615" s="1" t="s">
        <v>682</v>
      </c>
      <c r="D615" s="2">
        <v>40830</v>
      </c>
      <c r="E615" s="3">
        <v>40</v>
      </c>
      <c r="F615" s="4">
        <f t="shared" si="63"/>
        <v>5835.0453533733817</v>
      </c>
      <c r="G615" s="2">
        <v>40204</v>
      </c>
      <c r="H615" s="7">
        <v>3.36</v>
      </c>
      <c r="I615" s="7">
        <f>H615+H632-2*$A$24</f>
        <v>7.66</v>
      </c>
      <c r="J615" s="7">
        <v>3.62</v>
      </c>
      <c r="K615" s="7">
        <v>5.98</v>
      </c>
      <c r="L615" s="6">
        <f t="shared" si="64"/>
        <v>0.33681462140992169</v>
      </c>
      <c r="M615" s="6">
        <f t="shared" si="65"/>
        <v>0.55874673629242821</v>
      </c>
      <c r="N615" s="6">
        <f t="shared" si="66"/>
        <v>0.1044386422976501</v>
      </c>
      <c r="O615" s="4">
        <f t="shared" si="67"/>
        <v>1965.3285916061782</v>
      </c>
      <c r="P615" s="4">
        <f t="shared" si="68"/>
        <v>3260.3125473156756</v>
      </c>
      <c r="Q615" s="4">
        <f t="shared" si="69"/>
        <v>5225.6411389218538</v>
      </c>
      <c r="V615" s="3"/>
      <c r="W615" s="3"/>
      <c r="Y615" s="7"/>
      <c r="Z615" s="7"/>
      <c r="AA615" s="7"/>
      <c r="AB615" s="7"/>
      <c r="AC615" s="9"/>
      <c r="AD615" s="9"/>
      <c r="AE615" s="9"/>
      <c r="AF615" s="3"/>
      <c r="AG615" s="3"/>
      <c r="AH615" s="3"/>
    </row>
    <row r="616" spans="1:34" x14ac:dyDescent="0.3">
      <c r="A616">
        <v>583</v>
      </c>
      <c r="B616" s="1" t="s">
        <v>624</v>
      </c>
      <c r="C616" s="1" t="s">
        <v>682</v>
      </c>
      <c r="D616" s="2">
        <v>40830</v>
      </c>
      <c r="E616" s="3">
        <v>34.9</v>
      </c>
      <c r="F616" s="4">
        <f t="shared" si="63"/>
        <v>5048.6095367189346</v>
      </c>
      <c r="G616" s="2">
        <v>40204</v>
      </c>
      <c r="H616" s="7">
        <v>3.42</v>
      </c>
      <c r="I616" s="7">
        <f>H616+H631-2*$A$24</f>
        <v>7.3199999999999994</v>
      </c>
      <c r="J616" s="7">
        <v>3.48</v>
      </c>
      <c r="K616" s="7">
        <v>5.74</v>
      </c>
      <c r="L616" s="6">
        <f t="shared" si="64"/>
        <v>0.33333333333333337</v>
      </c>
      <c r="M616" s="6">
        <f t="shared" si="65"/>
        <v>0.55191256830601099</v>
      </c>
      <c r="N616" s="6">
        <f t="shared" si="66"/>
        <v>0.11475409836065564</v>
      </c>
      <c r="O616" s="4">
        <f t="shared" si="67"/>
        <v>1682.8698455729784</v>
      </c>
      <c r="P616" s="4">
        <f t="shared" si="68"/>
        <v>2786.3910557847676</v>
      </c>
      <c r="Q616" s="4">
        <f t="shared" si="69"/>
        <v>4469.2609013577458</v>
      </c>
      <c r="V616" s="3"/>
      <c r="W616" s="3"/>
      <c r="Y616" s="7"/>
      <c r="Z616" s="7"/>
      <c r="AA616" s="7"/>
      <c r="AB616" s="7"/>
      <c r="AC616" s="9"/>
      <c r="AD616" s="9"/>
      <c r="AE616" s="9"/>
      <c r="AF616" s="3"/>
      <c r="AG616" s="3"/>
      <c r="AH616" s="3"/>
    </row>
    <row r="617" spans="1:34" x14ac:dyDescent="0.3">
      <c r="A617">
        <v>584</v>
      </c>
      <c r="B617" s="1" t="s">
        <v>625</v>
      </c>
      <c r="C617" s="1" t="s">
        <v>682</v>
      </c>
      <c r="D617" s="2">
        <v>40830</v>
      </c>
      <c r="E617" s="3">
        <v>37.700000000000003</v>
      </c>
      <c r="F617" s="4">
        <f t="shared" si="63"/>
        <v>5480.3782203723576</v>
      </c>
      <c r="G617" s="2">
        <v>40204</v>
      </c>
      <c r="H617" s="7">
        <v>4.26</v>
      </c>
      <c r="I617" s="7">
        <f>H617+H630-2*$A$24</f>
        <v>8.3999999999999986</v>
      </c>
      <c r="J617" s="7">
        <v>3.84</v>
      </c>
      <c r="K617" s="7">
        <v>6.42</v>
      </c>
      <c r="L617" s="6">
        <f t="shared" si="64"/>
        <v>0.33333333333333337</v>
      </c>
      <c r="M617" s="6">
        <f t="shared" si="65"/>
        <v>0.56190476190476202</v>
      </c>
      <c r="N617" s="6">
        <f t="shared" si="66"/>
        <v>0.10476190476190461</v>
      </c>
      <c r="O617" s="4">
        <f t="shared" si="67"/>
        <v>1826.7927401241195</v>
      </c>
      <c r="P617" s="4">
        <f t="shared" si="68"/>
        <v>3079.4506190663728</v>
      </c>
      <c r="Q617" s="4">
        <f t="shared" si="69"/>
        <v>4906.2433591904919</v>
      </c>
      <c r="V617" s="3"/>
      <c r="W617" s="3"/>
      <c r="Y617" s="7"/>
      <c r="Z617" s="7"/>
      <c r="AA617" s="7"/>
      <c r="AB617" s="7"/>
      <c r="AC617" s="9"/>
      <c r="AD617" s="9"/>
      <c r="AE617" s="9"/>
      <c r="AF617" s="3"/>
      <c r="AG617" s="3"/>
      <c r="AH617" s="3"/>
    </row>
    <row r="618" spans="1:34" x14ac:dyDescent="0.3">
      <c r="A618">
        <v>585</v>
      </c>
      <c r="B618" s="1" t="s">
        <v>626</v>
      </c>
      <c r="C618" s="1" t="s">
        <v>682</v>
      </c>
      <c r="D618" s="2">
        <v>40830</v>
      </c>
      <c r="E618" s="3">
        <v>33.9</v>
      </c>
      <c r="F618" s="4">
        <f t="shared" si="63"/>
        <v>4894.406435414141</v>
      </c>
      <c r="G618" s="2">
        <v>40204</v>
      </c>
      <c r="H618" s="7">
        <v>3.88</v>
      </c>
      <c r="I618" s="7">
        <f>H618+H629-2*$A$24</f>
        <v>6.42</v>
      </c>
      <c r="J618" s="7">
        <v>3.14</v>
      </c>
      <c r="K618" s="7">
        <v>5.3</v>
      </c>
      <c r="L618" s="6">
        <f t="shared" si="64"/>
        <v>0.32710280373831779</v>
      </c>
      <c r="M618" s="6">
        <f t="shared" si="65"/>
        <v>0.56074766355140182</v>
      </c>
      <c r="N618" s="6">
        <f t="shared" si="66"/>
        <v>0.11214953271028039</v>
      </c>
      <c r="O618" s="4">
        <f t="shared" si="67"/>
        <v>1600.9740676588312</v>
      </c>
      <c r="P618" s="4">
        <f t="shared" si="68"/>
        <v>2744.5269731294247</v>
      </c>
      <c r="Q618" s="4">
        <f t="shared" si="69"/>
        <v>4345.5010407882564</v>
      </c>
      <c r="V618" s="3"/>
      <c r="W618" s="3"/>
      <c r="Y618" s="7"/>
      <c r="Z618" s="7"/>
      <c r="AA618" s="7"/>
      <c r="AB618" s="7"/>
      <c r="AC618" s="9"/>
      <c r="AD618" s="9"/>
      <c r="AE618" s="9"/>
      <c r="AF618" s="3"/>
      <c r="AG618" s="3"/>
      <c r="AH618" s="3"/>
    </row>
    <row r="619" spans="1:34" x14ac:dyDescent="0.3">
      <c r="A619">
        <v>586</v>
      </c>
      <c r="B619" s="1" t="s">
        <v>627</v>
      </c>
      <c r="C619" s="1" t="s">
        <v>682</v>
      </c>
      <c r="D619" s="2">
        <v>40830</v>
      </c>
      <c r="E619" s="3">
        <v>33.200000000000003</v>
      </c>
      <c r="F619" s="4">
        <f t="shared" si="63"/>
        <v>4786.4642645007862</v>
      </c>
      <c r="G619" s="2">
        <v>40204</v>
      </c>
      <c r="H619" s="7">
        <v>4.28</v>
      </c>
      <c r="I619" s="7">
        <f>H619+H628-2*$A$24</f>
        <v>7.84</v>
      </c>
      <c r="J619" s="7">
        <v>3.9</v>
      </c>
      <c r="K619" s="7">
        <v>6.12</v>
      </c>
      <c r="L619" s="6">
        <f t="shared" si="64"/>
        <v>0.36479591836734693</v>
      </c>
      <c r="M619" s="6">
        <f t="shared" si="65"/>
        <v>0.56377551020408168</v>
      </c>
      <c r="N619" s="6">
        <f t="shared" si="66"/>
        <v>7.1428571428571397E-2</v>
      </c>
      <c r="O619" s="4">
        <f t="shared" si="67"/>
        <v>1746.0826271010521</v>
      </c>
      <c r="P619" s="4">
        <f t="shared" si="68"/>
        <v>2698.4913327925351</v>
      </c>
      <c r="Q619" s="4">
        <f t="shared" si="69"/>
        <v>4444.573959893587</v>
      </c>
      <c r="V619" s="3"/>
      <c r="W619" s="3"/>
      <c r="Y619" s="7"/>
      <c r="Z619" s="7"/>
      <c r="AA619" s="7"/>
      <c r="AB619" s="7"/>
      <c r="AC619" s="9"/>
      <c r="AD619" s="9"/>
      <c r="AE619" s="9"/>
      <c r="AF619" s="3"/>
      <c r="AG619" s="3"/>
      <c r="AH619" s="3"/>
    </row>
    <row r="620" spans="1:34" x14ac:dyDescent="0.3">
      <c r="A620">
        <v>587</v>
      </c>
      <c r="B620" s="1" t="s">
        <v>628</v>
      </c>
      <c r="C620" s="1" t="s">
        <v>682</v>
      </c>
      <c r="D620" s="2">
        <v>40830</v>
      </c>
      <c r="E620" s="3">
        <v>35.6</v>
      </c>
      <c r="F620" s="4">
        <f t="shared" si="63"/>
        <v>5156.5517076322894</v>
      </c>
      <c r="G620" s="2">
        <v>40204</v>
      </c>
      <c r="H620" s="7">
        <v>3.72</v>
      </c>
      <c r="I620" s="7">
        <f>H620+H627-2*$A$24</f>
        <v>7.48</v>
      </c>
      <c r="J620" s="7">
        <v>3.54</v>
      </c>
      <c r="K620" s="7">
        <v>5.92</v>
      </c>
      <c r="L620" s="6">
        <f t="shared" si="64"/>
        <v>0.33422459893048129</v>
      </c>
      <c r="M620" s="6">
        <f t="shared" si="65"/>
        <v>0.56417112299465233</v>
      </c>
      <c r="N620" s="6">
        <f t="shared" si="66"/>
        <v>0.10160427807486638</v>
      </c>
      <c r="O620" s="4">
        <f t="shared" si="67"/>
        <v>1723.4464263476902</v>
      </c>
      <c r="P620" s="4">
        <f t="shared" si="68"/>
        <v>2909.1775676749007</v>
      </c>
      <c r="Q620" s="4">
        <f t="shared" si="69"/>
        <v>4632.6239940225914</v>
      </c>
      <c r="V620" s="3"/>
      <c r="W620" s="3"/>
      <c r="Y620" s="7"/>
      <c r="Z620" s="7"/>
      <c r="AA620" s="7"/>
      <c r="AB620" s="7"/>
      <c r="AC620" s="9"/>
      <c r="AD620" s="9"/>
      <c r="AE620" s="9"/>
      <c r="AF620" s="3"/>
      <c r="AG620" s="3"/>
      <c r="AH620" s="3"/>
    </row>
    <row r="621" spans="1:34" x14ac:dyDescent="0.3">
      <c r="A621">
        <v>588</v>
      </c>
      <c r="B621" s="1" t="s">
        <v>629</v>
      </c>
      <c r="C621" s="1" t="s">
        <v>682</v>
      </c>
      <c r="D621" s="2">
        <v>40830</v>
      </c>
      <c r="E621" s="3">
        <v>35.700000000000003</v>
      </c>
      <c r="F621" s="4">
        <f t="shared" si="63"/>
        <v>5171.9720177627705</v>
      </c>
      <c r="G621" s="2">
        <v>40204</v>
      </c>
      <c r="H621" s="7">
        <v>3.82</v>
      </c>
      <c r="I621" s="7">
        <f>H621+H626-2*$A$24</f>
        <v>6.56</v>
      </c>
      <c r="J621" s="7">
        <v>3.22</v>
      </c>
      <c r="K621" s="7">
        <v>5.38</v>
      </c>
      <c r="L621" s="6">
        <f t="shared" si="64"/>
        <v>0.33231707317073172</v>
      </c>
      <c r="M621" s="6">
        <f t="shared" si="65"/>
        <v>0.5609756097560975</v>
      </c>
      <c r="N621" s="6">
        <f t="shared" si="66"/>
        <v>0.10670731707317083</v>
      </c>
      <c r="O621" s="4">
        <f t="shared" si="67"/>
        <v>1718.7346034638476</v>
      </c>
      <c r="P621" s="4">
        <f t="shared" si="68"/>
        <v>2901.350156305944</v>
      </c>
      <c r="Q621" s="4">
        <f t="shared" si="69"/>
        <v>4620.0847597697921</v>
      </c>
      <c r="V621" s="3"/>
      <c r="W621" s="3"/>
      <c r="Y621" s="7"/>
      <c r="Z621" s="7"/>
      <c r="AA621" s="7"/>
      <c r="AB621" s="7"/>
      <c r="AC621" s="9"/>
      <c r="AD621" s="9"/>
      <c r="AE621" s="9"/>
      <c r="AF621" s="3"/>
      <c r="AG621" s="3"/>
      <c r="AH621" s="3"/>
    </row>
    <row r="622" spans="1:34" x14ac:dyDescent="0.3">
      <c r="A622">
        <v>589</v>
      </c>
      <c r="B622" s="1" t="s">
        <v>630</v>
      </c>
      <c r="C622" s="1" t="s">
        <v>682</v>
      </c>
      <c r="D622" s="2">
        <v>40830</v>
      </c>
      <c r="E622" s="3">
        <v>32.1</v>
      </c>
      <c r="F622" s="4">
        <f t="shared" si="63"/>
        <v>4616.8408530655133</v>
      </c>
      <c r="G622" s="2">
        <v>40204</v>
      </c>
      <c r="H622" s="7">
        <v>3.66</v>
      </c>
      <c r="I622" s="7">
        <f>H622+H625-2*$A$24</f>
        <v>6.04</v>
      </c>
      <c r="J622" s="7">
        <v>3.06</v>
      </c>
      <c r="K622" s="7">
        <v>5.0999999999999996</v>
      </c>
      <c r="L622" s="6">
        <f t="shared" si="64"/>
        <v>0.33443708609271522</v>
      </c>
      <c r="M622" s="6">
        <f t="shared" si="65"/>
        <v>0.56291390728476809</v>
      </c>
      <c r="N622" s="6">
        <f t="shared" si="66"/>
        <v>0.10264900662251664</v>
      </c>
      <c r="O622" s="4">
        <f t="shared" si="67"/>
        <v>1544.0428018530358</v>
      </c>
      <c r="P622" s="4">
        <f t="shared" si="68"/>
        <v>2598.8839239110498</v>
      </c>
      <c r="Q622" s="4">
        <f t="shared" si="69"/>
        <v>4142.9267257640859</v>
      </c>
      <c r="V622" s="3"/>
      <c r="W622" s="3"/>
      <c r="Y622" s="7"/>
      <c r="Z622" s="7"/>
      <c r="AA622" s="7"/>
      <c r="AB622" s="7"/>
      <c r="AC622" s="9"/>
      <c r="AD622" s="9"/>
      <c r="AE622" s="9"/>
      <c r="AF622" s="3"/>
      <c r="AG622" s="3"/>
      <c r="AH622" s="3"/>
    </row>
    <row r="623" spans="1:34" x14ac:dyDescent="0.3">
      <c r="A623">
        <v>590</v>
      </c>
      <c r="B623" s="1" t="s">
        <v>631</v>
      </c>
      <c r="C623" s="1" t="s">
        <v>682</v>
      </c>
      <c r="D623" s="2">
        <v>40830</v>
      </c>
      <c r="E623" s="3">
        <v>34.700000000000003</v>
      </c>
      <c r="F623" s="4">
        <f t="shared" si="63"/>
        <v>5017.7689164579779</v>
      </c>
      <c r="G623" s="2">
        <v>40204</v>
      </c>
      <c r="H623" s="7">
        <v>3.54</v>
      </c>
      <c r="I623" s="7">
        <f>H623+H624-2*$A$24</f>
        <v>7.34</v>
      </c>
      <c r="J623" s="7">
        <v>3.46</v>
      </c>
      <c r="K623" s="7">
        <v>5.84</v>
      </c>
      <c r="L623" s="6">
        <f t="shared" si="64"/>
        <v>0.32970027247956402</v>
      </c>
      <c r="M623" s="6">
        <f t="shared" si="65"/>
        <v>0.56403269754768393</v>
      </c>
      <c r="N623" s="6">
        <f t="shared" si="66"/>
        <v>0.10626702997275206</v>
      </c>
      <c r="O623" s="4">
        <f t="shared" si="67"/>
        <v>1654.3597789956821</v>
      </c>
      <c r="P623" s="4">
        <f t="shared" si="68"/>
        <v>2830.1857376207122</v>
      </c>
      <c r="Q623" s="4">
        <f t="shared" si="69"/>
        <v>4484.5455166163938</v>
      </c>
      <c r="V623" s="3"/>
      <c r="W623" s="3"/>
      <c r="Y623" s="7"/>
      <c r="Z623" s="7"/>
      <c r="AA623" s="7"/>
      <c r="AB623" s="7"/>
      <c r="AC623" s="9"/>
      <c r="AD623" s="9"/>
      <c r="AE623" s="9"/>
      <c r="AF623" s="3"/>
      <c r="AG623" s="3"/>
      <c r="AH623" s="3"/>
    </row>
    <row r="624" spans="1:34" x14ac:dyDescent="0.3">
      <c r="A624">
        <v>591</v>
      </c>
      <c r="B624" s="1" t="s">
        <v>632</v>
      </c>
      <c r="C624" s="1" t="s">
        <v>682</v>
      </c>
      <c r="D624" s="2">
        <v>40830</v>
      </c>
      <c r="E624" s="3">
        <v>34.700000000000003</v>
      </c>
      <c r="F624" s="4">
        <f t="shared" si="63"/>
        <v>5017.7689164579779</v>
      </c>
      <c r="G624" s="2">
        <v>40204</v>
      </c>
      <c r="H624" s="7">
        <v>4.12</v>
      </c>
      <c r="I624" s="7">
        <f>H624+H623-2*$A$24</f>
        <v>7.34</v>
      </c>
      <c r="J624" s="7">
        <v>3.46</v>
      </c>
      <c r="K624" s="7">
        <v>5.84</v>
      </c>
      <c r="L624" s="6">
        <f t="shared" si="64"/>
        <v>0.32970027247956402</v>
      </c>
      <c r="M624" s="6">
        <f t="shared" si="65"/>
        <v>0.56403269754768393</v>
      </c>
      <c r="N624" s="6">
        <f t="shared" si="66"/>
        <v>0.10626702997275206</v>
      </c>
      <c r="O624" s="4">
        <f t="shared" si="67"/>
        <v>1654.3597789956821</v>
      </c>
      <c r="P624" s="4">
        <f t="shared" si="68"/>
        <v>2830.1857376207122</v>
      </c>
      <c r="Q624" s="4">
        <f t="shared" si="69"/>
        <v>4484.5455166163938</v>
      </c>
      <c r="V624" s="3"/>
      <c r="W624" s="3"/>
      <c r="Y624" s="7"/>
      <c r="Z624" s="7"/>
      <c r="AA624" s="7"/>
      <c r="AB624" s="7"/>
      <c r="AC624" s="9"/>
      <c r="AD624" s="9"/>
      <c r="AE624" s="9"/>
      <c r="AF624" s="3"/>
      <c r="AG624" s="3"/>
      <c r="AH624" s="3"/>
    </row>
    <row r="625" spans="1:34" x14ac:dyDescent="0.3">
      <c r="A625">
        <v>592</v>
      </c>
      <c r="B625" s="1" t="s">
        <v>633</v>
      </c>
      <c r="C625" s="1" t="s">
        <v>682</v>
      </c>
      <c r="D625" s="2">
        <v>40830</v>
      </c>
      <c r="E625" s="3">
        <v>28.5</v>
      </c>
      <c r="F625" s="4">
        <f t="shared" si="63"/>
        <v>4061.7096883682575</v>
      </c>
      <c r="G625" s="2">
        <v>40204</v>
      </c>
      <c r="H625" s="7">
        <v>2.7</v>
      </c>
      <c r="I625" s="7">
        <f>H625+H622-2*$A$24</f>
        <v>6.04</v>
      </c>
      <c r="J625" s="7">
        <v>3.06</v>
      </c>
      <c r="K625" s="7">
        <v>5.0999999999999996</v>
      </c>
      <c r="L625" s="6">
        <f t="shared" si="64"/>
        <v>0.33443708609271522</v>
      </c>
      <c r="M625" s="6">
        <f t="shared" si="65"/>
        <v>0.56291390728476809</v>
      </c>
      <c r="N625" s="6">
        <f t="shared" si="66"/>
        <v>0.10264900662251664</v>
      </c>
      <c r="O625" s="4">
        <f t="shared" si="67"/>
        <v>1358.3863527324304</v>
      </c>
      <c r="P625" s="4">
        <f t="shared" si="68"/>
        <v>2286.3928709357738</v>
      </c>
      <c r="Q625" s="4">
        <f t="shared" si="69"/>
        <v>3644.7792236682044</v>
      </c>
      <c r="V625" s="3"/>
      <c r="W625" s="3"/>
      <c r="Y625" s="7"/>
      <c r="Z625" s="7"/>
      <c r="AA625" s="7"/>
      <c r="AB625" s="7"/>
      <c r="AC625" s="9"/>
      <c r="AD625" s="9"/>
      <c r="AE625" s="9"/>
      <c r="AF625" s="3"/>
      <c r="AG625" s="3"/>
      <c r="AH625" s="3"/>
    </row>
    <row r="626" spans="1:34" x14ac:dyDescent="0.3">
      <c r="A626">
        <v>593</v>
      </c>
      <c r="B626" s="1" t="s">
        <v>634</v>
      </c>
      <c r="C626" s="1" t="s">
        <v>682</v>
      </c>
      <c r="D626" s="2">
        <v>40830</v>
      </c>
      <c r="E626" s="3">
        <v>33.799999999999997</v>
      </c>
      <c r="F626" s="4">
        <f t="shared" si="63"/>
        <v>4878.9861252836617</v>
      </c>
      <c r="G626" s="2">
        <v>40204</v>
      </c>
      <c r="H626" s="7">
        <v>3.06</v>
      </c>
      <c r="I626" s="7">
        <f>H626+H621-2*$A$24</f>
        <v>6.56</v>
      </c>
      <c r="J626" s="7">
        <v>3.22</v>
      </c>
      <c r="K626" s="7">
        <v>5.38</v>
      </c>
      <c r="L626" s="6">
        <f t="shared" si="64"/>
        <v>0.33231707317073172</v>
      </c>
      <c r="M626" s="6">
        <f t="shared" si="65"/>
        <v>0.5609756097560975</v>
      </c>
      <c r="N626" s="6">
        <f t="shared" si="66"/>
        <v>0.10670731707317083</v>
      </c>
      <c r="O626" s="4">
        <f t="shared" si="67"/>
        <v>1621.3703891948755</v>
      </c>
      <c r="P626" s="4">
        <f t="shared" si="68"/>
        <v>2736.9922166225415</v>
      </c>
      <c r="Q626" s="4">
        <f t="shared" si="69"/>
        <v>4358.3626058174168</v>
      </c>
      <c r="V626" s="3"/>
      <c r="W626" s="3"/>
      <c r="Y626" s="7"/>
      <c r="Z626" s="7"/>
      <c r="AA626" s="7"/>
      <c r="AB626" s="7"/>
      <c r="AC626" s="9"/>
      <c r="AD626" s="9"/>
      <c r="AE626" s="9"/>
      <c r="AF626" s="3"/>
      <c r="AG626" s="3"/>
      <c r="AH626" s="3"/>
    </row>
    <row r="627" spans="1:34" x14ac:dyDescent="0.3">
      <c r="A627">
        <v>594</v>
      </c>
      <c r="B627" s="1" t="s">
        <v>635</v>
      </c>
      <c r="C627" s="1" t="s">
        <v>682</v>
      </c>
      <c r="D627" s="2">
        <v>40830</v>
      </c>
      <c r="E627" s="3">
        <v>33.1</v>
      </c>
      <c r="F627" s="4">
        <f t="shared" si="63"/>
        <v>4771.0439543703069</v>
      </c>
      <c r="G627" s="2">
        <v>40204</v>
      </c>
      <c r="H627" s="7">
        <v>4.08</v>
      </c>
      <c r="I627" s="7">
        <f>H627+H620-2*$A$24</f>
        <v>7.48</v>
      </c>
      <c r="J627" s="7">
        <v>3.54</v>
      </c>
      <c r="K627" s="7">
        <v>5.92</v>
      </c>
      <c r="L627" s="6">
        <f t="shared" si="64"/>
        <v>0.33422459893048129</v>
      </c>
      <c r="M627" s="6">
        <f t="shared" si="65"/>
        <v>0.56417112299465233</v>
      </c>
      <c r="N627" s="6">
        <f t="shared" si="66"/>
        <v>0.10160427807486638</v>
      </c>
      <c r="O627" s="4">
        <f t="shared" si="67"/>
        <v>1594.6002521291132</v>
      </c>
      <c r="P627" s="4">
        <f t="shared" si="68"/>
        <v>2691.685225593943</v>
      </c>
      <c r="Q627" s="4">
        <f t="shared" si="69"/>
        <v>4286.2854777230559</v>
      </c>
      <c r="V627" s="3"/>
      <c r="W627" s="3"/>
      <c r="Y627" s="7"/>
      <c r="Z627" s="7"/>
      <c r="AA627" s="7"/>
      <c r="AB627" s="7"/>
      <c r="AC627" s="9"/>
      <c r="AD627" s="9"/>
      <c r="AE627" s="9"/>
      <c r="AF627" s="3"/>
      <c r="AG627" s="3"/>
      <c r="AH627" s="3"/>
    </row>
    <row r="628" spans="1:34" x14ac:dyDescent="0.3">
      <c r="A628">
        <v>595</v>
      </c>
      <c r="B628" s="1" t="s">
        <v>636</v>
      </c>
      <c r="C628" s="1" t="s">
        <v>682</v>
      </c>
      <c r="D628" s="2">
        <v>40830</v>
      </c>
      <c r="E628" s="3">
        <v>30.6</v>
      </c>
      <c r="F628" s="4">
        <f t="shared" si="63"/>
        <v>4385.5362011083234</v>
      </c>
      <c r="G628" s="2">
        <v>40204</v>
      </c>
      <c r="H628" s="7">
        <v>3.88</v>
      </c>
      <c r="I628" s="7">
        <f>H628+H619-2*$A$24</f>
        <v>7.84</v>
      </c>
      <c r="J628" s="7">
        <v>3.9</v>
      </c>
      <c r="K628" s="7">
        <v>6.12</v>
      </c>
      <c r="L628" s="6">
        <f t="shared" si="64"/>
        <v>0.36479591836734693</v>
      </c>
      <c r="M628" s="6">
        <f t="shared" si="65"/>
        <v>0.56377551020408168</v>
      </c>
      <c r="N628" s="6">
        <f t="shared" si="66"/>
        <v>7.1428571428571397E-2</v>
      </c>
      <c r="O628" s="4">
        <f t="shared" si="67"/>
        <v>1599.8257060165568</v>
      </c>
      <c r="P628" s="4">
        <f t="shared" si="68"/>
        <v>2472.4579092983154</v>
      </c>
      <c r="Q628" s="4">
        <f t="shared" si="69"/>
        <v>4072.2836153148719</v>
      </c>
      <c r="V628" s="3"/>
      <c r="W628" s="3"/>
      <c r="Y628" s="7"/>
      <c r="Z628" s="7"/>
      <c r="AA628" s="7"/>
      <c r="AB628" s="7"/>
      <c r="AC628" s="9"/>
      <c r="AD628" s="9"/>
      <c r="AE628" s="9"/>
      <c r="AF628" s="3"/>
      <c r="AG628" s="3"/>
      <c r="AH628" s="3"/>
    </row>
    <row r="629" spans="1:34" x14ac:dyDescent="0.3">
      <c r="A629">
        <v>596</v>
      </c>
      <c r="B629" s="1" t="s">
        <v>637</v>
      </c>
      <c r="C629" s="1" t="s">
        <v>682</v>
      </c>
      <c r="D629" s="2">
        <v>40830</v>
      </c>
      <c r="E629" s="3">
        <v>32.6</v>
      </c>
      <c r="F629" s="4">
        <f t="shared" si="63"/>
        <v>4693.9424037179097</v>
      </c>
      <c r="G629" s="2">
        <v>40204</v>
      </c>
      <c r="H629" s="7">
        <v>2.86</v>
      </c>
      <c r="I629" s="7">
        <f>H629+H618-2*$A$24</f>
        <v>6.42</v>
      </c>
      <c r="J629" s="7">
        <v>3.14</v>
      </c>
      <c r="K629" s="7">
        <v>5.3</v>
      </c>
      <c r="L629" s="6">
        <f t="shared" si="64"/>
        <v>0.32710280373831779</v>
      </c>
      <c r="M629" s="6">
        <f t="shared" si="65"/>
        <v>0.56074766355140182</v>
      </c>
      <c r="N629" s="6">
        <f t="shared" si="66"/>
        <v>0.11214953271028039</v>
      </c>
      <c r="O629" s="4">
        <f t="shared" si="67"/>
        <v>1535.401720842307</v>
      </c>
      <c r="P629" s="4">
        <f t="shared" si="68"/>
        <v>2632.1172357296687</v>
      </c>
      <c r="Q629" s="4">
        <f t="shared" si="69"/>
        <v>4167.5189565719757</v>
      </c>
      <c r="V629" s="3"/>
      <c r="W629" s="3"/>
      <c r="Y629" s="7"/>
      <c r="Z629" s="7"/>
      <c r="AA629" s="7"/>
      <c r="AB629" s="7"/>
      <c r="AC629" s="9"/>
      <c r="AD629" s="9"/>
      <c r="AE629" s="9"/>
      <c r="AF629" s="3"/>
      <c r="AG629" s="3"/>
      <c r="AH629" s="3"/>
    </row>
    <row r="630" spans="1:34" x14ac:dyDescent="0.3">
      <c r="A630">
        <v>597</v>
      </c>
      <c r="B630" s="1" t="s">
        <v>638</v>
      </c>
      <c r="C630" s="1" t="s">
        <v>682</v>
      </c>
      <c r="D630" s="2">
        <v>40830</v>
      </c>
      <c r="E630" s="3">
        <v>34.5</v>
      </c>
      <c r="F630" s="4">
        <f t="shared" si="63"/>
        <v>4986.9282961970175</v>
      </c>
      <c r="G630" s="2">
        <v>40204</v>
      </c>
      <c r="H630" s="7">
        <v>4.46</v>
      </c>
      <c r="I630" s="7">
        <f>H630+H617-2*$A$24</f>
        <v>8.3999999999999986</v>
      </c>
      <c r="J630" s="7">
        <v>3.84</v>
      </c>
      <c r="K630" s="7">
        <v>6.42</v>
      </c>
      <c r="L630" s="6">
        <f t="shared" si="64"/>
        <v>0.33333333333333337</v>
      </c>
      <c r="M630" s="6">
        <f t="shared" si="65"/>
        <v>0.56190476190476202</v>
      </c>
      <c r="N630" s="6">
        <f t="shared" si="66"/>
        <v>0.10476190476190461</v>
      </c>
      <c r="O630" s="4">
        <f t="shared" si="67"/>
        <v>1662.3094320656726</v>
      </c>
      <c r="P630" s="4">
        <f t="shared" si="68"/>
        <v>2802.1787569107055</v>
      </c>
      <c r="Q630" s="4">
        <f t="shared" si="69"/>
        <v>4464.4881889763783</v>
      </c>
      <c r="V630" s="3"/>
      <c r="W630" s="3"/>
      <c r="Y630" s="7"/>
      <c r="Z630" s="7"/>
      <c r="AA630" s="7"/>
      <c r="AB630" s="7"/>
      <c r="AC630" s="9"/>
      <c r="AD630" s="9"/>
      <c r="AE630" s="9"/>
      <c r="AF630" s="3"/>
      <c r="AG630" s="3"/>
      <c r="AH630" s="3"/>
    </row>
    <row r="631" spans="1:34" x14ac:dyDescent="0.3">
      <c r="A631">
        <v>598</v>
      </c>
      <c r="B631" s="1" t="s">
        <v>639</v>
      </c>
      <c r="C631" s="1" t="s">
        <v>682</v>
      </c>
      <c r="D631" s="2">
        <v>40830</v>
      </c>
      <c r="E631" s="3">
        <v>31.6</v>
      </c>
      <c r="F631" s="4">
        <f t="shared" si="63"/>
        <v>4539.739302413117</v>
      </c>
      <c r="G631" s="2">
        <v>40204</v>
      </c>
      <c r="H631" s="7">
        <v>4.22</v>
      </c>
      <c r="I631" s="7">
        <f>H631+H616-2*$A$24</f>
        <v>7.3199999999999994</v>
      </c>
      <c r="J631" s="7">
        <v>3.48</v>
      </c>
      <c r="K631" s="7">
        <v>5.74</v>
      </c>
      <c r="L631" s="6">
        <f t="shared" si="64"/>
        <v>0.33333333333333337</v>
      </c>
      <c r="M631" s="6">
        <f t="shared" si="65"/>
        <v>0.55191256830601099</v>
      </c>
      <c r="N631" s="6">
        <f t="shared" si="66"/>
        <v>0.11475409836065564</v>
      </c>
      <c r="O631" s="4">
        <f t="shared" si="67"/>
        <v>1513.2464341377058</v>
      </c>
      <c r="P631" s="4">
        <f t="shared" si="68"/>
        <v>2505.539177834562</v>
      </c>
      <c r="Q631" s="4">
        <f t="shared" si="69"/>
        <v>4018.7856119722678</v>
      </c>
      <c r="V631" s="3"/>
      <c r="W631" s="3"/>
      <c r="Y631" s="7"/>
      <c r="Z631" s="7"/>
      <c r="AA631" s="7"/>
      <c r="AB631" s="7"/>
      <c r="AC631" s="9"/>
      <c r="AD631" s="9"/>
      <c r="AE631" s="9"/>
      <c r="AF631" s="3"/>
      <c r="AG631" s="3"/>
      <c r="AH631" s="3"/>
    </row>
    <row r="632" spans="1:34" x14ac:dyDescent="0.3">
      <c r="A632">
        <v>599</v>
      </c>
      <c r="B632" s="1" t="s">
        <v>640</v>
      </c>
      <c r="C632" s="1" t="s">
        <v>682</v>
      </c>
      <c r="D632" s="2">
        <v>40830</v>
      </c>
      <c r="E632" s="3">
        <v>34.299999999999997</v>
      </c>
      <c r="F632" s="4">
        <f t="shared" si="63"/>
        <v>4956.0876759360581</v>
      </c>
      <c r="G632" s="2">
        <v>40204</v>
      </c>
      <c r="H632" s="7">
        <v>4.62</v>
      </c>
      <c r="I632" s="7">
        <f>H632+H615-2*$A$24</f>
        <v>7.66</v>
      </c>
      <c r="J632" s="7">
        <v>3.62</v>
      </c>
      <c r="K632" s="7">
        <v>5.98</v>
      </c>
      <c r="L632" s="6">
        <f t="shared" si="64"/>
        <v>0.33681462140992169</v>
      </c>
      <c r="M632" s="6">
        <f t="shared" si="65"/>
        <v>0.55874673629242821</v>
      </c>
      <c r="N632" s="6">
        <f t="shared" si="66"/>
        <v>0.1044386422976501</v>
      </c>
      <c r="O632" s="4">
        <f t="shared" si="67"/>
        <v>1669.2827942447821</v>
      </c>
      <c r="P632" s="4">
        <f t="shared" si="68"/>
        <v>2769.1978137083979</v>
      </c>
      <c r="Q632" s="4">
        <f t="shared" si="69"/>
        <v>4438.48060795318</v>
      </c>
      <c r="V632" s="3"/>
      <c r="W632" s="3"/>
      <c r="Y632" s="7"/>
      <c r="Z632" s="7"/>
      <c r="AA632" s="7"/>
      <c r="AB632" s="7"/>
      <c r="AC632" s="9"/>
      <c r="AD632" s="9"/>
      <c r="AE632" s="9"/>
      <c r="AF632" s="3"/>
      <c r="AG632" s="3"/>
      <c r="AH632" s="3"/>
    </row>
    <row r="633" spans="1:34" x14ac:dyDescent="0.3">
      <c r="A633">
        <v>600</v>
      </c>
      <c r="B633" s="1" t="s">
        <v>641</v>
      </c>
      <c r="C633" s="1" t="s">
        <v>682</v>
      </c>
      <c r="D633" s="2">
        <v>40830</v>
      </c>
      <c r="E633" s="3">
        <v>31.5</v>
      </c>
      <c r="F633" s="4">
        <f t="shared" si="63"/>
        <v>4524.3189922826368</v>
      </c>
      <c r="G633" s="2">
        <v>40204</v>
      </c>
      <c r="H633" s="7">
        <v>3.98</v>
      </c>
      <c r="I633" s="7">
        <f>H633+H614-2*$A$24</f>
        <v>7.42</v>
      </c>
      <c r="J633" s="7">
        <v>3.5</v>
      </c>
      <c r="K633" s="7">
        <v>5.88</v>
      </c>
      <c r="L633" s="6">
        <f t="shared" si="64"/>
        <v>0.33153638814016173</v>
      </c>
      <c r="M633" s="6">
        <f t="shared" si="65"/>
        <v>0.56334231805929913</v>
      </c>
      <c r="N633" s="6">
        <f t="shared" si="66"/>
        <v>0.10512129380053914</v>
      </c>
      <c r="O633" s="4">
        <f t="shared" si="67"/>
        <v>1499.9763774953217</v>
      </c>
      <c r="P633" s="4">
        <f t="shared" si="68"/>
        <v>2548.7403487522129</v>
      </c>
      <c r="Q633" s="4">
        <f t="shared" si="69"/>
        <v>4048.7167262475346</v>
      </c>
      <c r="V633" s="3"/>
      <c r="W633" s="3"/>
      <c r="Y633" s="7"/>
      <c r="Z633" s="7"/>
      <c r="AA633" s="7"/>
      <c r="AB633" s="7"/>
      <c r="AC633" s="9"/>
      <c r="AD633" s="9"/>
      <c r="AE633" s="9"/>
      <c r="AF633" s="3"/>
      <c r="AG633" s="3"/>
      <c r="AH633" s="3"/>
    </row>
    <row r="634" spans="1:34" x14ac:dyDescent="0.3">
      <c r="A634">
        <v>601</v>
      </c>
      <c r="B634" s="1" t="s">
        <v>642</v>
      </c>
      <c r="C634" s="1" t="s">
        <v>682</v>
      </c>
      <c r="D634" s="2">
        <v>40830</v>
      </c>
      <c r="E634" s="3">
        <v>30</v>
      </c>
      <c r="F634" s="4">
        <f t="shared" si="63"/>
        <v>4293.0143403254469</v>
      </c>
      <c r="G634" s="2">
        <v>40204</v>
      </c>
      <c r="H634" s="7">
        <v>3.8</v>
      </c>
      <c r="I634" s="7">
        <f>H634+H653-2*$A$24</f>
        <v>7.4799999999999995</v>
      </c>
      <c r="J634" s="7">
        <v>3.58</v>
      </c>
      <c r="K634" s="7">
        <v>5.98</v>
      </c>
      <c r="L634" s="6">
        <f t="shared" si="64"/>
        <v>0.33957219251336901</v>
      </c>
      <c r="M634" s="6">
        <f t="shared" si="65"/>
        <v>0.57219251336898402</v>
      </c>
      <c r="N634" s="6">
        <f t="shared" si="66"/>
        <v>8.8235294117646967E-2</v>
      </c>
      <c r="O634" s="4">
        <f t="shared" si="67"/>
        <v>1457.7882920356465</v>
      </c>
      <c r="P634" s="4">
        <f t="shared" si="68"/>
        <v>2456.4306653199083</v>
      </c>
      <c r="Q634" s="4">
        <f t="shared" si="69"/>
        <v>3914.2189573555547</v>
      </c>
      <c r="S634" t="s">
        <v>38</v>
      </c>
      <c r="T634" t="s">
        <v>682</v>
      </c>
      <c r="U634" s="8">
        <f>D634</f>
        <v>40830</v>
      </c>
      <c r="V634" s="3">
        <f>SUM(E634:E673)</f>
        <v>1047.4100000000001</v>
      </c>
      <c r="W634" s="3">
        <f>(V634-80*$A$20)*$A$21/(40*$A$22)*$A$23</f>
        <v>3704.768059622987</v>
      </c>
      <c r="X634" s="8">
        <f>G634</f>
        <v>40204</v>
      </c>
      <c r="Y634" s="7">
        <f>SUM(H634:H673)</f>
        <v>142.03999999999996</v>
      </c>
      <c r="Z634" s="7">
        <f>SUM(I634:I673)</f>
        <v>271.28000000000003</v>
      </c>
      <c r="AA634" s="7">
        <f>SUM(J634:J673)</f>
        <v>132.96</v>
      </c>
      <c r="AB634" s="7">
        <f>SUM(K634:K673)</f>
        <v>220.92000000000007</v>
      </c>
      <c r="AC634" s="9">
        <f>(AA634-40*$A$25)/Z634</f>
        <v>0.3367738130345031</v>
      </c>
      <c r="AD634" s="9">
        <f>(AB634-40*$A$26)/Z634</f>
        <v>0.56369802418165749</v>
      </c>
      <c r="AE634" s="9">
        <f>1-AC634-AD634</f>
        <v>9.9528162783839469E-2</v>
      </c>
      <c r="AF634" s="3">
        <f>W634*AC634</f>
        <v>1247.6688658476708</v>
      </c>
      <c r="AG634" s="3">
        <f>W634*AD634</f>
        <v>2088.3704352607911</v>
      </c>
      <c r="AH634" s="3">
        <f>AF634+AG634</f>
        <v>3336.0393011084616</v>
      </c>
    </row>
    <row r="635" spans="1:34" x14ac:dyDescent="0.3">
      <c r="A635">
        <v>602</v>
      </c>
      <c r="B635" s="1" t="s">
        <v>643</v>
      </c>
      <c r="C635" s="1" t="s">
        <v>682</v>
      </c>
      <c r="D635" s="2">
        <v>40830</v>
      </c>
      <c r="E635" s="3">
        <v>30.799999999999997</v>
      </c>
      <c r="F635" s="4">
        <f t="shared" si="63"/>
        <v>4416.3768213692811</v>
      </c>
      <c r="G635" s="2">
        <v>40204</v>
      </c>
      <c r="H635" s="7">
        <v>3.52</v>
      </c>
      <c r="I635" s="7">
        <f>H635+H652-2*$A$24</f>
        <v>7.02</v>
      </c>
      <c r="J635" s="7">
        <v>3.44</v>
      </c>
      <c r="K635" s="7">
        <v>5.62</v>
      </c>
      <c r="L635" s="6">
        <f t="shared" si="64"/>
        <v>0.34188034188034189</v>
      </c>
      <c r="M635" s="6">
        <f t="shared" si="65"/>
        <v>0.55840455840455838</v>
      </c>
      <c r="N635" s="6">
        <f t="shared" si="66"/>
        <v>9.9715099715099731E-2</v>
      </c>
      <c r="O635" s="4">
        <f t="shared" si="67"/>
        <v>1509.8724175621473</v>
      </c>
      <c r="P635" s="4">
        <f t="shared" si="68"/>
        <v>2466.1249486848405</v>
      </c>
      <c r="Q635" s="4">
        <f t="shared" si="69"/>
        <v>3975.9973662469879</v>
      </c>
      <c r="V635" s="3"/>
      <c r="W635" s="3"/>
      <c r="Y635" s="7"/>
      <c r="Z635" s="7"/>
      <c r="AA635" s="7"/>
      <c r="AB635" s="7"/>
      <c r="AC635" s="9"/>
      <c r="AD635" s="9"/>
      <c r="AE635" s="9"/>
      <c r="AF635" s="3"/>
      <c r="AG635" s="3"/>
      <c r="AH635" s="3"/>
    </row>
    <row r="636" spans="1:34" x14ac:dyDescent="0.3">
      <c r="A636">
        <v>603</v>
      </c>
      <c r="B636" s="1" t="s">
        <v>644</v>
      </c>
      <c r="C636" s="1" t="s">
        <v>682</v>
      </c>
      <c r="D636" s="2">
        <v>40830</v>
      </c>
      <c r="E636" s="3">
        <v>28.299999999999997</v>
      </c>
      <c r="F636" s="4">
        <f t="shared" si="63"/>
        <v>4030.8690681072981</v>
      </c>
      <c r="G636" s="2">
        <v>40204</v>
      </c>
      <c r="H636" s="7">
        <v>3.9</v>
      </c>
      <c r="I636" s="7">
        <f>H636+H651-2*$A$24</f>
        <v>7.4799999999999995</v>
      </c>
      <c r="J636" s="7">
        <v>3.6</v>
      </c>
      <c r="K636" s="7">
        <v>5.54</v>
      </c>
      <c r="L636" s="6">
        <f t="shared" si="64"/>
        <v>0.34224598930481287</v>
      </c>
      <c r="M636" s="6">
        <f t="shared" si="65"/>
        <v>0.5133689839572193</v>
      </c>
      <c r="N636" s="6">
        <f t="shared" si="66"/>
        <v>0.14438502673796783</v>
      </c>
      <c r="O636" s="4">
        <f t="shared" si="67"/>
        <v>1379.5487719725513</v>
      </c>
      <c r="P636" s="4">
        <f t="shared" si="68"/>
        <v>2069.3231579588269</v>
      </c>
      <c r="Q636" s="4">
        <f t="shared" si="69"/>
        <v>3448.871929931378</v>
      </c>
      <c r="V636" s="3"/>
      <c r="W636" s="3"/>
      <c r="Y636" s="7"/>
      <c r="Z636" s="7"/>
      <c r="AA636" s="7"/>
      <c r="AB636" s="7"/>
      <c r="AC636" s="9"/>
      <c r="AD636" s="9"/>
      <c r="AE636" s="9"/>
      <c r="AF636" s="3"/>
      <c r="AG636" s="3"/>
      <c r="AH636" s="3"/>
    </row>
    <row r="637" spans="1:34" x14ac:dyDescent="0.3">
      <c r="A637">
        <v>604</v>
      </c>
      <c r="B637" s="1" t="s">
        <v>645</v>
      </c>
      <c r="C637" s="1" t="s">
        <v>682</v>
      </c>
      <c r="D637" s="2">
        <v>40830</v>
      </c>
      <c r="E637" s="3">
        <v>27.8</v>
      </c>
      <c r="F637" s="4">
        <f t="shared" si="63"/>
        <v>3953.7675174549017</v>
      </c>
      <c r="G637" s="2">
        <v>40204</v>
      </c>
      <c r="H637" s="7">
        <v>3.92</v>
      </c>
      <c r="I637" s="7">
        <f>H637+H650-2*$A$24</f>
        <v>6.66</v>
      </c>
      <c r="J637" s="7">
        <v>3.24</v>
      </c>
      <c r="K637" s="7">
        <v>5.5</v>
      </c>
      <c r="L637" s="6">
        <f t="shared" si="64"/>
        <v>0.33033033033033032</v>
      </c>
      <c r="M637" s="6">
        <f t="shared" si="65"/>
        <v>0.57057057057057048</v>
      </c>
      <c r="N637" s="6">
        <f t="shared" si="66"/>
        <v>9.9099099099099197E-2</v>
      </c>
      <c r="O637" s="4">
        <f t="shared" si="67"/>
        <v>1306.0493300902078</v>
      </c>
      <c r="P637" s="4">
        <f t="shared" si="68"/>
        <v>2255.9033883376314</v>
      </c>
      <c r="Q637" s="4">
        <f t="shared" si="69"/>
        <v>3561.9527184278395</v>
      </c>
      <c r="V637" s="3"/>
      <c r="W637" s="3"/>
      <c r="Y637" s="7"/>
      <c r="Z637" s="7"/>
      <c r="AA637" s="7"/>
      <c r="AB637" s="7"/>
      <c r="AC637" s="9"/>
      <c r="AD637" s="9"/>
      <c r="AE637" s="9"/>
      <c r="AF637" s="3"/>
      <c r="AG637" s="3"/>
      <c r="AH637" s="3"/>
    </row>
    <row r="638" spans="1:34" x14ac:dyDescent="0.3">
      <c r="A638">
        <v>605</v>
      </c>
      <c r="B638" s="1" t="s">
        <v>646</v>
      </c>
      <c r="C638" s="1" t="s">
        <v>682</v>
      </c>
      <c r="D638" s="2">
        <v>40830</v>
      </c>
      <c r="E638" s="3">
        <v>26</v>
      </c>
      <c r="F638" s="4">
        <f t="shared" si="63"/>
        <v>3676.2019351062736</v>
      </c>
      <c r="G638" s="2">
        <v>40204</v>
      </c>
      <c r="H638" s="7">
        <v>3.94</v>
      </c>
      <c r="I638" s="7">
        <f>H638+H649-2*$A$24</f>
        <v>7.5</v>
      </c>
      <c r="J638" s="7">
        <v>3.52</v>
      </c>
      <c r="K638" s="7">
        <v>5.98</v>
      </c>
      <c r="L638" s="6">
        <f t="shared" si="64"/>
        <v>0.33066666666666666</v>
      </c>
      <c r="M638" s="6">
        <f t="shared" si="65"/>
        <v>0.57066666666666666</v>
      </c>
      <c r="N638" s="6">
        <f t="shared" si="66"/>
        <v>9.866666666666668E-2</v>
      </c>
      <c r="O638" s="4">
        <f t="shared" si="67"/>
        <v>1215.5974398751412</v>
      </c>
      <c r="P638" s="4">
        <f t="shared" si="68"/>
        <v>2097.8859043006469</v>
      </c>
      <c r="Q638" s="4">
        <f t="shared" si="69"/>
        <v>3313.4833441757883</v>
      </c>
      <c r="V638" s="3"/>
      <c r="W638" s="3"/>
      <c r="Y638" s="7"/>
      <c r="Z638" s="7"/>
      <c r="AA638" s="7"/>
      <c r="AB638" s="7"/>
      <c r="AC638" s="9"/>
      <c r="AD638" s="9"/>
      <c r="AE638" s="9"/>
      <c r="AF638" s="3"/>
      <c r="AG638" s="3"/>
      <c r="AH638" s="3"/>
    </row>
    <row r="639" spans="1:34" x14ac:dyDescent="0.3">
      <c r="A639">
        <v>606</v>
      </c>
      <c r="B639" s="1" t="s">
        <v>647</v>
      </c>
      <c r="C639" s="1" t="s">
        <v>682</v>
      </c>
      <c r="D639" s="2">
        <v>40830</v>
      </c>
      <c r="E639" s="3">
        <v>26</v>
      </c>
      <c r="F639" s="4">
        <f t="shared" si="63"/>
        <v>3676.2019351062736</v>
      </c>
      <c r="G639" s="2">
        <v>40204</v>
      </c>
      <c r="H639" s="7">
        <v>3.9</v>
      </c>
      <c r="I639" s="7">
        <f>H639+H648-2*$A$24</f>
        <v>7.34</v>
      </c>
      <c r="J639" s="7">
        <v>3.56</v>
      </c>
      <c r="K639" s="7">
        <v>5.64</v>
      </c>
      <c r="L639" s="6">
        <f t="shared" si="64"/>
        <v>0.34332425068119893</v>
      </c>
      <c r="M639" s="6">
        <f t="shared" si="65"/>
        <v>0.5367847411444141</v>
      </c>
      <c r="N639" s="6">
        <f t="shared" si="66"/>
        <v>0.11989100817438703</v>
      </c>
      <c r="O639" s="4">
        <f t="shared" si="67"/>
        <v>1262.1292747231348</v>
      </c>
      <c r="P639" s="4">
        <f t="shared" si="68"/>
        <v>1973.3291041306152</v>
      </c>
      <c r="Q639" s="4">
        <f t="shared" si="69"/>
        <v>3235.4583788537502</v>
      </c>
      <c r="V639" s="3"/>
      <c r="W639" s="3"/>
      <c r="Y639" s="7"/>
      <c r="Z639" s="7"/>
      <c r="AA639" s="7"/>
      <c r="AB639" s="7"/>
      <c r="AC639" s="9"/>
      <c r="AD639" s="9"/>
      <c r="AE639" s="9"/>
      <c r="AF639" s="3"/>
      <c r="AG639" s="3"/>
      <c r="AH639" s="3"/>
    </row>
    <row r="640" spans="1:34" x14ac:dyDescent="0.3">
      <c r="A640">
        <v>607</v>
      </c>
      <c r="B640" s="1" t="s">
        <v>648</v>
      </c>
      <c r="C640" s="1" t="s">
        <v>682</v>
      </c>
      <c r="D640" s="2">
        <v>40830</v>
      </c>
      <c r="E640" s="3">
        <v>23.299999999999997</v>
      </c>
      <c r="F640" s="4">
        <f t="shared" si="63"/>
        <v>3259.8535615833312</v>
      </c>
      <c r="G640" s="2">
        <v>40204</v>
      </c>
      <c r="H640" s="7">
        <v>3.82</v>
      </c>
      <c r="I640" s="7">
        <f>H640+H647-2*$A$24</f>
        <v>6.879999999999999</v>
      </c>
      <c r="J640" s="7">
        <v>3.38</v>
      </c>
      <c r="K640" s="7">
        <v>5.6</v>
      </c>
      <c r="L640" s="6">
        <f t="shared" si="64"/>
        <v>0.34011627906976749</v>
      </c>
      <c r="M640" s="6">
        <f t="shared" si="65"/>
        <v>0.56686046511627908</v>
      </c>
      <c r="N640" s="6">
        <f t="shared" si="66"/>
        <v>9.3023255813953432E-2</v>
      </c>
      <c r="O640" s="4">
        <f t="shared" si="67"/>
        <v>1108.7292636780517</v>
      </c>
      <c r="P640" s="4">
        <f t="shared" si="68"/>
        <v>1847.882106130086</v>
      </c>
      <c r="Q640" s="4">
        <f t="shared" si="69"/>
        <v>2956.6113698081376</v>
      </c>
      <c r="V640" s="3"/>
      <c r="W640" s="3"/>
      <c r="Y640" s="7"/>
      <c r="Z640" s="7"/>
      <c r="AA640" s="7"/>
      <c r="AB640" s="7"/>
      <c r="AC640" s="9"/>
      <c r="AD640" s="9"/>
      <c r="AE640" s="9"/>
      <c r="AF640" s="3"/>
      <c r="AG640" s="3"/>
      <c r="AH640" s="3"/>
    </row>
    <row r="641" spans="1:34" x14ac:dyDescent="0.3">
      <c r="A641">
        <v>608</v>
      </c>
      <c r="B641" s="1" t="s">
        <v>649</v>
      </c>
      <c r="C641" s="1" t="s">
        <v>682</v>
      </c>
      <c r="D641" s="2">
        <v>40830</v>
      </c>
      <c r="E641" s="3">
        <v>22</v>
      </c>
      <c r="F641" s="4">
        <f t="shared" si="63"/>
        <v>3059.3895298870998</v>
      </c>
      <c r="G641" s="2">
        <v>40204</v>
      </c>
      <c r="H641" s="7">
        <v>4.08</v>
      </c>
      <c r="I641" s="7">
        <f>H641+H646-2*$A$24</f>
        <v>7.06</v>
      </c>
      <c r="J641" s="7">
        <v>3.36</v>
      </c>
      <c r="K641" s="7">
        <v>5.7</v>
      </c>
      <c r="L641" s="6">
        <f t="shared" si="64"/>
        <v>0.32861189801699714</v>
      </c>
      <c r="M641" s="6">
        <f t="shared" si="65"/>
        <v>0.56657223796033995</v>
      </c>
      <c r="N641" s="6">
        <f t="shared" si="66"/>
        <v>0.10481586402266285</v>
      </c>
      <c r="O641" s="4">
        <f t="shared" si="67"/>
        <v>1005.3518001895285</v>
      </c>
      <c r="P641" s="4">
        <f t="shared" si="68"/>
        <v>1733.3651727405665</v>
      </c>
      <c r="Q641" s="4">
        <f t="shared" si="69"/>
        <v>2738.7169729300949</v>
      </c>
      <c r="V641" s="3"/>
      <c r="W641" s="3"/>
      <c r="Y641" s="7"/>
      <c r="Z641" s="7"/>
      <c r="AA641" s="7"/>
      <c r="AB641" s="7"/>
      <c r="AC641" s="9"/>
      <c r="AD641" s="9"/>
      <c r="AE641" s="9"/>
      <c r="AF641" s="3"/>
      <c r="AG641" s="3"/>
      <c r="AH641" s="3"/>
    </row>
    <row r="642" spans="1:34" x14ac:dyDescent="0.3">
      <c r="A642">
        <v>609</v>
      </c>
      <c r="B642" s="1" t="s">
        <v>650</v>
      </c>
      <c r="C642" s="1" t="s">
        <v>682</v>
      </c>
      <c r="D642" s="2">
        <v>40830</v>
      </c>
      <c r="E642" s="3">
        <v>26.1</v>
      </c>
      <c r="F642" s="4">
        <f t="shared" si="63"/>
        <v>3691.6222452367538</v>
      </c>
      <c r="G642" s="2">
        <v>40204</v>
      </c>
      <c r="H642" s="7">
        <v>3.94</v>
      </c>
      <c r="I642" s="7">
        <f>H642+H645-2*$A$24</f>
        <v>7.3999999999999995</v>
      </c>
      <c r="J642" s="7">
        <v>3.56</v>
      </c>
      <c r="K642" s="7">
        <v>6.02</v>
      </c>
      <c r="L642" s="6">
        <f t="shared" si="64"/>
        <v>0.34054054054054056</v>
      </c>
      <c r="M642" s="6">
        <f t="shared" si="65"/>
        <v>0.58378378378378371</v>
      </c>
      <c r="N642" s="6">
        <f t="shared" si="66"/>
        <v>7.567567567567568E-2</v>
      </c>
      <c r="O642" s="4">
        <f t="shared" si="67"/>
        <v>1257.1470348644082</v>
      </c>
      <c r="P642" s="4">
        <f t="shared" si="68"/>
        <v>2155.1092026246993</v>
      </c>
      <c r="Q642" s="4">
        <f t="shared" si="69"/>
        <v>3412.2562374891077</v>
      </c>
      <c r="V642" s="3"/>
      <c r="W642" s="3"/>
      <c r="Y642" s="7"/>
      <c r="Z642" s="7"/>
      <c r="AA642" s="7"/>
      <c r="AB642" s="7"/>
      <c r="AC642" s="9"/>
      <c r="AD642" s="9"/>
      <c r="AE642" s="9"/>
      <c r="AF642" s="3"/>
      <c r="AG642" s="3"/>
      <c r="AH642" s="3"/>
    </row>
    <row r="643" spans="1:34" x14ac:dyDescent="0.3">
      <c r="A643">
        <v>610</v>
      </c>
      <c r="B643" s="1" t="s">
        <v>651</v>
      </c>
      <c r="C643" s="1" t="s">
        <v>682</v>
      </c>
      <c r="D643" s="2">
        <v>40830</v>
      </c>
      <c r="E643" s="3">
        <v>24.3</v>
      </c>
      <c r="F643" s="4">
        <f t="shared" si="63"/>
        <v>3414.0566628881252</v>
      </c>
      <c r="G643" s="2">
        <v>40204</v>
      </c>
      <c r="H643" s="7">
        <v>3.7</v>
      </c>
      <c r="I643" s="7">
        <f>H643+H644-2*$A$24</f>
        <v>6.7799999999999994</v>
      </c>
      <c r="J643" s="7">
        <v>3.3</v>
      </c>
      <c r="K643" s="7">
        <v>5.56</v>
      </c>
      <c r="L643" s="6">
        <f t="shared" si="64"/>
        <v>0.33333333333333331</v>
      </c>
      <c r="M643" s="6">
        <f t="shared" si="65"/>
        <v>0.56932153392330376</v>
      </c>
      <c r="N643" s="6">
        <f t="shared" si="66"/>
        <v>9.7345132743362983E-2</v>
      </c>
      <c r="O643" s="4">
        <f t="shared" si="67"/>
        <v>1138.0188876293751</v>
      </c>
      <c r="P643" s="4">
        <f t="shared" si="68"/>
        <v>1943.6959762165429</v>
      </c>
      <c r="Q643" s="4">
        <f t="shared" si="69"/>
        <v>3081.714863845918</v>
      </c>
      <c r="W643" s="3"/>
      <c r="Y643" s="7"/>
      <c r="Z643" s="7"/>
      <c r="AA643" s="7"/>
      <c r="AB643" s="7"/>
      <c r="AC643" s="9"/>
      <c r="AD643" s="9"/>
      <c r="AE643" s="9"/>
      <c r="AF643" s="3"/>
      <c r="AG643" s="3"/>
      <c r="AH643" s="3"/>
    </row>
    <row r="644" spans="1:34" x14ac:dyDescent="0.3">
      <c r="A644">
        <v>611</v>
      </c>
      <c r="B644" s="1" t="s">
        <v>652</v>
      </c>
      <c r="C644" s="1" t="s">
        <v>682</v>
      </c>
      <c r="D644" s="2">
        <v>40830</v>
      </c>
      <c r="E644" s="3">
        <v>28.700000000000003</v>
      </c>
      <c r="F644" s="4">
        <f t="shared" si="63"/>
        <v>4092.550308629216</v>
      </c>
      <c r="G644" s="2">
        <v>40204</v>
      </c>
      <c r="H644" s="7">
        <v>3.4</v>
      </c>
      <c r="I644" s="7">
        <f>H644+H643-2*$A$24</f>
        <v>6.7799999999999994</v>
      </c>
      <c r="J644" s="7">
        <v>3.3</v>
      </c>
      <c r="K644" s="7">
        <v>5.56</v>
      </c>
      <c r="L644" s="6">
        <f t="shared" si="64"/>
        <v>0.33333333333333331</v>
      </c>
      <c r="M644" s="6">
        <f t="shared" si="65"/>
        <v>0.56932153392330376</v>
      </c>
      <c r="N644" s="6">
        <f t="shared" si="66"/>
        <v>9.7345132743362983E-2</v>
      </c>
      <c r="O644" s="4">
        <f t="shared" si="67"/>
        <v>1364.1834362097386</v>
      </c>
      <c r="P644" s="4">
        <f t="shared" si="68"/>
        <v>2329.9770193670756</v>
      </c>
      <c r="Q644" s="4">
        <f t="shared" si="69"/>
        <v>3694.1604555768145</v>
      </c>
      <c r="W644" s="3"/>
      <c r="Y644" s="7"/>
      <c r="Z644" s="7"/>
      <c r="AA644" s="7"/>
      <c r="AB644" s="7"/>
      <c r="AC644" s="9"/>
      <c r="AD644" s="9"/>
      <c r="AE644" s="9"/>
      <c r="AF644" s="3"/>
      <c r="AG644" s="3"/>
      <c r="AH644" s="3"/>
    </row>
    <row r="645" spans="1:34" x14ac:dyDescent="0.3">
      <c r="A645">
        <v>612</v>
      </c>
      <c r="B645" s="1" t="s">
        <v>653</v>
      </c>
      <c r="C645" s="1" t="s">
        <v>682</v>
      </c>
      <c r="D645" s="2">
        <v>40830</v>
      </c>
      <c r="E645" s="3">
        <v>28.200000000000003</v>
      </c>
      <c r="F645" s="4">
        <f t="shared" si="63"/>
        <v>4015.4487579768193</v>
      </c>
      <c r="G645" s="2">
        <v>40204</v>
      </c>
      <c r="H645" s="7">
        <v>3.78</v>
      </c>
      <c r="I645" s="7">
        <f>H645+H642-2*$A$24</f>
        <v>7.3999999999999995</v>
      </c>
      <c r="J645" s="7">
        <v>3.56</v>
      </c>
      <c r="K645" s="7">
        <v>6.02</v>
      </c>
      <c r="L645" s="6">
        <f t="shared" si="64"/>
        <v>0.34054054054054056</v>
      </c>
      <c r="M645" s="6">
        <f t="shared" si="65"/>
        <v>0.58378378378378371</v>
      </c>
      <c r="N645" s="6">
        <f t="shared" si="66"/>
        <v>7.567567567567568E-2</v>
      </c>
      <c r="O645" s="4">
        <f t="shared" si="67"/>
        <v>1367.4230905542684</v>
      </c>
      <c r="P645" s="4">
        <f t="shared" si="68"/>
        <v>2344.1538695216022</v>
      </c>
      <c r="Q645" s="4">
        <f t="shared" si="69"/>
        <v>3711.5769600758704</v>
      </c>
      <c r="W645" s="3"/>
      <c r="Y645" s="7"/>
      <c r="Z645" s="7"/>
      <c r="AA645" s="7"/>
      <c r="AB645" s="7"/>
      <c r="AC645" s="9"/>
      <c r="AD645" s="9"/>
      <c r="AE645" s="9"/>
      <c r="AF645" s="3"/>
      <c r="AG645" s="3"/>
      <c r="AH645" s="3"/>
    </row>
    <row r="646" spans="1:34" x14ac:dyDescent="0.3">
      <c r="A646">
        <v>613</v>
      </c>
      <c r="B646" s="1" t="s">
        <v>654</v>
      </c>
      <c r="C646" s="1" t="s">
        <v>682</v>
      </c>
      <c r="D646" s="2">
        <v>40830</v>
      </c>
      <c r="E646" s="3">
        <v>27</v>
      </c>
      <c r="F646" s="4">
        <f t="shared" si="63"/>
        <v>3830.4050364110672</v>
      </c>
      <c r="G646" s="2">
        <v>40204</v>
      </c>
      <c r="H646" s="7">
        <v>3.3</v>
      </c>
      <c r="I646" s="7">
        <f>H646+H641-2*$A$24</f>
        <v>7.06</v>
      </c>
      <c r="J646" s="7">
        <v>3.36</v>
      </c>
      <c r="K646" s="7">
        <v>5.7</v>
      </c>
      <c r="L646" s="6">
        <f t="shared" si="64"/>
        <v>0.32861189801699714</v>
      </c>
      <c r="M646" s="6">
        <f t="shared" si="65"/>
        <v>0.56657223796033995</v>
      </c>
      <c r="N646" s="6">
        <f t="shared" si="66"/>
        <v>0.10481586402266285</v>
      </c>
      <c r="O646" s="4">
        <f t="shared" si="67"/>
        <v>1258.7166691889058</v>
      </c>
      <c r="P646" s="4">
        <f t="shared" si="68"/>
        <v>2170.2011537739759</v>
      </c>
      <c r="Q646" s="4">
        <f t="shared" si="69"/>
        <v>3428.9178229628815</v>
      </c>
      <c r="W646" s="3"/>
      <c r="Y646" s="7"/>
      <c r="Z646" s="7"/>
      <c r="AA646" s="7"/>
      <c r="AB646" s="7"/>
      <c r="AC646" s="9"/>
      <c r="AD646" s="9"/>
      <c r="AE646" s="9"/>
      <c r="AF646" s="3"/>
      <c r="AG646" s="3"/>
      <c r="AH646" s="3"/>
    </row>
    <row r="647" spans="1:34" x14ac:dyDescent="0.3">
      <c r="A647">
        <v>614</v>
      </c>
      <c r="B647" s="1" t="s">
        <v>655</v>
      </c>
      <c r="C647" s="1" t="s">
        <v>682</v>
      </c>
      <c r="D647" s="2">
        <v>40830</v>
      </c>
      <c r="E647" s="3">
        <v>27.1</v>
      </c>
      <c r="F647" s="4">
        <f t="shared" si="63"/>
        <v>3845.8253465415464</v>
      </c>
      <c r="G647" s="2">
        <v>40204</v>
      </c>
      <c r="H647" s="7">
        <v>3.38</v>
      </c>
      <c r="I647" s="7">
        <f>H647+H640-2*$A$24</f>
        <v>6.879999999999999</v>
      </c>
      <c r="J647" s="7">
        <v>3.38</v>
      </c>
      <c r="K647" s="7">
        <v>5.6</v>
      </c>
      <c r="L647" s="6">
        <f t="shared" si="64"/>
        <v>0.34011627906976749</v>
      </c>
      <c r="M647" s="6">
        <f t="shared" si="65"/>
        <v>0.56686046511627908</v>
      </c>
      <c r="N647" s="6">
        <f t="shared" si="66"/>
        <v>9.3023255813953432E-2</v>
      </c>
      <c r="O647" s="4">
        <f t="shared" si="67"/>
        <v>1308.0278068179098</v>
      </c>
      <c r="P647" s="4">
        <f t="shared" si="68"/>
        <v>2180.0463446965164</v>
      </c>
      <c r="Q647" s="4">
        <f t="shared" si="69"/>
        <v>3488.0741515144264</v>
      </c>
      <c r="W647" s="3"/>
      <c r="Y647" s="7"/>
      <c r="Z647" s="7"/>
      <c r="AA647" s="7"/>
      <c r="AB647" s="7"/>
      <c r="AC647" s="9"/>
      <c r="AD647" s="9"/>
      <c r="AE647" s="9"/>
      <c r="AF647" s="3"/>
      <c r="AG647" s="3"/>
      <c r="AH647" s="3"/>
    </row>
    <row r="648" spans="1:34" x14ac:dyDescent="0.3">
      <c r="A648">
        <v>615</v>
      </c>
      <c r="B648" s="1" t="s">
        <v>656</v>
      </c>
      <c r="C648" s="1" t="s">
        <v>682</v>
      </c>
      <c r="D648" s="2">
        <v>40830</v>
      </c>
      <c r="E648" s="3">
        <v>28.9</v>
      </c>
      <c r="F648" s="4">
        <f t="shared" si="63"/>
        <v>4123.3909288901741</v>
      </c>
      <c r="G648" s="2">
        <v>40204</v>
      </c>
      <c r="H648" s="7">
        <v>3.76</v>
      </c>
      <c r="I648" s="7">
        <f>H648+H639-2*$A$24</f>
        <v>7.34</v>
      </c>
      <c r="J648" s="7">
        <v>3.56</v>
      </c>
      <c r="K648" s="7">
        <v>5.64</v>
      </c>
      <c r="L648" s="6">
        <f t="shared" si="64"/>
        <v>0.34332425068119893</v>
      </c>
      <c r="M648" s="6">
        <f t="shared" si="65"/>
        <v>0.5367847411444141</v>
      </c>
      <c r="N648" s="6">
        <f t="shared" si="66"/>
        <v>0.11989100817438703</v>
      </c>
      <c r="O648" s="4">
        <f t="shared" si="67"/>
        <v>1415.6601009268718</v>
      </c>
      <c r="P648" s="4">
        <f t="shared" si="68"/>
        <v>2213.3733324015375</v>
      </c>
      <c r="Q648" s="4">
        <f t="shared" si="69"/>
        <v>3629.033433328409</v>
      </c>
      <c r="W648" s="3"/>
      <c r="Y648" s="7"/>
      <c r="Z648" s="7"/>
      <c r="AA648" s="7"/>
      <c r="AB648" s="7"/>
      <c r="AC648" s="9"/>
      <c r="AD648" s="9"/>
      <c r="AE648" s="9"/>
      <c r="AF648" s="3"/>
      <c r="AG648" s="3"/>
      <c r="AH648" s="3"/>
    </row>
    <row r="649" spans="1:34" x14ac:dyDescent="0.3">
      <c r="A649">
        <v>616</v>
      </c>
      <c r="B649" s="1" t="s">
        <v>657</v>
      </c>
      <c r="C649" s="1" t="s">
        <v>682</v>
      </c>
      <c r="D649" s="2">
        <v>40830</v>
      </c>
      <c r="E649" s="3">
        <v>28.799999999999997</v>
      </c>
      <c r="F649" s="4">
        <f t="shared" si="63"/>
        <v>4107.9706187596948</v>
      </c>
      <c r="G649" s="2">
        <v>40204</v>
      </c>
      <c r="H649" s="7">
        <v>3.88</v>
      </c>
      <c r="I649" s="7">
        <f>H649+H638-2*$A$24</f>
        <v>7.5</v>
      </c>
      <c r="J649" s="7">
        <v>3.52</v>
      </c>
      <c r="K649" s="7">
        <v>5.98</v>
      </c>
      <c r="L649" s="6">
        <f t="shared" si="64"/>
        <v>0.33066666666666666</v>
      </c>
      <c r="M649" s="6">
        <f t="shared" si="65"/>
        <v>0.57066666666666666</v>
      </c>
      <c r="N649" s="6">
        <f t="shared" si="66"/>
        <v>9.866666666666668E-2</v>
      </c>
      <c r="O649" s="4">
        <f t="shared" si="67"/>
        <v>1358.3689512698725</v>
      </c>
      <c r="P649" s="4">
        <f t="shared" si="68"/>
        <v>2344.2818997721993</v>
      </c>
      <c r="Q649" s="4">
        <f t="shared" si="69"/>
        <v>3702.6508510420717</v>
      </c>
      <c r="W649" s="3"/>
      <c r="Y649" s="7"/>
      <c r="Z649" s="7"/>
      <c r="AA649" s="7"/>
      <c r="AB649" s="7"/>
      <c r="AC649" s="9"/>
      <c r="AD649" s="9"/>
      <c r="AE649" s="9"/>
      <c r="AF649" s="3"/>
      <c r="AG649" s="3"/>
      <c r="AH649" s="3"/>
    </row>
    <row r="650" spans="1:34" x14ac:dyDescent="0.3">
      <c r="A650">
        <v>617</v>
      </c>
      <c r="B650" s="1" t="s">
        <v>658</v>
      </c>
      <c r="C650" s="1" t="s">
        <v>682</v>
      </c>
      <c r="D650" s="2">
        <v>40830</v>
      </c>
      <c r="E650" s="3">
        <v>31.6</v>
      </c>
      <c r="F650" s="4">
        <f t="shared" si="63"/>
        <v>4539.739302413117</v>
      </c>
      <c r="G650" s="2">
        <v>40204</v>
      </c>
      <c r="H650" s="7">
        <v>3.06</v>
      </c>
      <c r="I650" s="7">
        <f>H650+H637-2*$A$24</f>
        <v>6.66</v>
      </c>
      <c r="J650" s="7">
        <v>3.24</v>
      </c>
      <c r="K650" s="7">
        <v>5.5</v>
      </c>
      <c r="L650" s="6">
        <f t="shared" si="64"/>
        <v>0.33033033033033032</v>
      </c>
      <c r="M650" s="6">
        <f t="shared" si="65"/>
        <v>0.57057057057057048</v>
      </c>
      <c r="N650" s="6">
        <f t="shared" si="66"/>
        <v>9.9099099099099197E-2</v>
      </c>
      <c r="O650" s="4">
        <f t="shared" si="67"/>
        <v>1499.6135833797082</v>
      </c>
      <c r="P650" s="4">
        <f t="shared" si="68"/>
        <v>2590.2416440194957</v>
      </c>
      <c r="Q650" s="4">
        <f t="shared" si="69"/>
        <v>4089.8552273992036</v>
      </c>
      <c r="W650" s="3"/>
      <c r="Y650" s="7"/>
      <c r="Z650" s="7"/>
      <c r="AA650" s="7"/>
      <c r="AB650" s="7"/>
      <c r="AC650" s="9"/>
      <c r="AD650" s="9"/>
      <c r="AE650" s="9"/>
      <c r="AF650" s="3"/>
      <c r="AG650" s="3"/>
      <c r="AH650" s="3"/>
    </row>
    <row r="651" spans="1:34" x14ac:dyDescent="0.3">
      <c r="A651">
        <v>618</v>
      </c>
      <c r="B651" s="1" t="s">
        <v>659</v>
      </c>
      <c r="C651" s="1" t="s">
        <v>682</v>
      </c>
      <c r="D651" s="2">
        <v>40830</v>
      </c>
      <c r="E651" s="3">
        <v>33.1</v>
      </c>
      <c r="F651" s="4">
        <f t="shared" si="63"/>
        <v>4771.0439543703069</v>
      </c>
      <c r="G651" s="2">
        <v>40204</v>
      </c>
      <c r="H651" s="7">
        <v>3.9</v>
      </c>
      <c r="I651" s="7">
        <f>H651+H636-2*$A$24</f>
        <v>7.4799999999999995</v>
      </c>
      <c r="J651" s="7">
        <v>3.6</v>
      </c>
      <c r="K651" s="7">
        <v>5.54</v>
      </c>
      <c r="L651" s="6">
        <f t="shared" si="64"/>
        <v>0.34224598930481287</v>
      </c>
      <c r="M651" s="6">
        <f t="shared" si="65"/>
        <v>0.5133689839572193</v>
      </c>
      <c r="N651" s="6">
        <f t="shared" si="66"/>
        <v>0.14438502673796783</v>
      </c>
      <c r="O651" s="4">
        <f t="shared" si="67"/>
        <v>1632.8706581802121</v>
      </c>
      <c r="P651" s="4">
        <f t="shared" si="68"/>
        <v>2449.3059872703184</v>
      </c>
      <c r="Q651" s="4">
        <f t="shared" si="69"/>
        <v>4082.1766454505305</v>
      </c>
      <c r="W651" s="3"/>
      <c r="Y651" s="7"/>
      <c r="Z651" s="7"/>
      <c r="AA651" s="7"/>
      <c r="AB651" s="7"/>
      <c r="AC651" s="9"/>
      <c r="AD651" s="9"/>
      <c r="AE651" s="9"/>
      <c r="AF651" s="3"/>
      <c r="AG651" s="3"/>
      <c r="AH651" s="3"/>
    </row>
    <row r="652" spans="1:34" x14ac:dyDescent="0.3">
      <c r="A652">
        <v>619</v>
      </c>
      <c r="B652" s="1" t="s">
        <v>660</v>
      </c>
      <c r="C652" s="1" t="s">
        <v>682</v>
      </c>
      <c r="D652" s="2">
        <v>40830</v>
      </c>
      <c r="E652" s="3">
        <v>32.099999999999994</v>
      </c>
      <c r="F652" s="4">
        <f t="shared" si="63"/>
        <v>4616.8408530655124</v>
      </c>
      <c r="G652" s="2">
        <v>40204</v>
      </c>
      <c r="H652" s="7">
        <v>3.82</v>
      </c>
      <c r="I652" s="7">
        <f>H652+H635-2*$A$24</f>
        <v>7.02</v>
      </c>
      <c r="J652" s="7">
        <v>3.44</v>
      </c>
      <c r="K652" s="7">
        <v>5.62</v>
      </c>
      <c r="L652" s="6">
        <f t="shared" si="64"/>
        <v>0.34188034188034189</v>
      </c>
      <c r="M652" s="6">
        <f t="shared" si="65"/>
        <v>0.55840455840455838</v>
      </c>
      <c r="N652" s="6">
        <f t="shared" si="66"/>
        <v>9.9715099715099731E-2</v>
      </c>
      <c r="O652" s="4">
        <f t="shared" si="67"/>
        <v>1578.4071292531667</v>
      </c>
      <c r="P652" s="4">
        <f t="shared" si="68"/>
        <v>2578.0649777801723</v>
      </c>
      <c r="Q652" s="4">
        <f t="shared" si="69"/>
        <v>4156.4721070333389</v>
      </c>
      <c r="W652" s="3"/>
      <c r="Y652" s="7"/>
      <c r="Z652" s="7"/>
      <c r="AA652" s="7"/>
      <c r="AB652" s="7"/>
      <c r="AC652" s="9"/>
      <c r="AD652" s="9"/>
      <c r="AE652" s="9"/>
      <c r="AF652" s="3"/>
      <c r="AG652" s="3"/>
      <c r="AH652" s="3"/>
    </row>
    <row r="653" spans="1:34" x14ac:dyDescent="0.3">
      <c r="A653">
        <v>620</v>
      </c>
      <c r="B653" s="1" t="s">
        <v>661</v>
      </c>
      <c r="C653" s="1" t="s">
        <v>682</v>
      </c>
      <c r="D653" s="2">
        <v>40830</v>
      </c>
      <c r="E653" s="3">
        <v>31.200000000000003</v>
      </c>
      <c r="F653" s="4">
        <f t="shared" si="63"/>
        <v>4478.0580618911999</v>
      </c>
      <c r="G653" s="2">
        <v>40204</v>
      </c>
      <c r="H653" s="7">
        <v>4</v>
      </c>
      <c r="I653" s="7">
        <f>H653+H634-2*$A$24</f>
        <v>7.4799999999999995</v>
      </c>
      <c r="J653" s="7">
        <v>3.58</v>
      </c>
      <c r="K653" s="7">
        <v>5.98</v>
      </c>
      <c r="L653" s="6">
        <f t="shared" si="64"/>
        <v>0.33957219251336901</v>
      </c>
      <c r="M653" s="6">
        <f t="shared" si="65"/>
        <v>0.57219251336898402</v>
      </c>
      <c r="N653" s="6">
        <f t="shared" si="66"/>
        <v>8.8235294117646967E-2</v>
      </c>
      <c r="O653" s="4">
        <f t="shared" si="67"/>
        <v>1520.6239942785626</v>
      </c>
      <c r="P653" s="4">
        <f t="shared" si="68"/>
        <v>2562.3112974457672</v>
      </c>
      <c r="Q653" s="4">
        <f t="shared" si="69"/>
        <v>4082.9352917243295</v>
      </c>
      <c r="W653" s="3"/>
      <c r="Y653" s="7"/>
      <c r="Z653" s="7"/>
      <c r="AA653" s="7"/>
      <c r="AB653" s="7"/>
      <c r="AC653" s="9"/>
      <c r="AD653" s="9"/>
      <c r="AE653" s="9"/>
      <c r="AF653" s="3"/>
      <c r="AG653" s="3"/>
      <c r="AH653" s="3"/>
    </row>
    <row r="654" spans="1:34" x14ac:dyDescent="0.3">
      <c r="A654">
        <v>621</v>
      </c>
      <c r="B654" s="1" t="s">
        <v>662</v>
      </c>
      <c r="C654" s="1" t="s">
        <v>682</v>
      </c>
      <c r="D654" s="2">
        <v>40830</v>
      </c>
      <c r="E654" s="3">
        <v>25.810000000000002</v>
      </c>
      <c r="F654" s="4">
        <f t="shared" si="63"/>
        <v>3646.903345858364</v>
      </c>
      <c r="G654" s="2">
        <v>40204</v>
      </c>
      <c r="H654" s="7">
        <v>3.8</v>
      </c>
      <c r="I654" s="7">
        <f>H654+H673-2*$A$24</f>
        <v>5.9799999999999995</v>
      </c>
      <c r="J654" s="7">
        <v>3.04</v>
      </c>
      <c r="K654" s="7">
        <v>5.04</v>
      </c>
      <c r="L654" s="6">
        <f t="shared" si="64"/>
        <v>0.33444816053511706</v>
      </c>
      <c r="M654" s="6">
        <f t="shared" si="65"/>
        <v>0.55852842809364556</v>
      </c>
      <c r="N654" s="6">
        <f t="shared" si="66"/>
        <v>0.10702341137123739</v>
      </c>
      <c r="O654" s="4">
        <f t="shared" si="67"/>
        <v>1219.7001156716935</v>
      </c>
      <c r="P654" s="4">
        <f t="shared" si="68"/>
        <v>2036.8991931717287</v>
      </c>
      <c r="Q654" s="4">
        <f t="shared" si="69"/>
        <v>3256.5993088434225</v>
      </c>
      <c r="W654" s="3"/>
      <c r="Y654" s="7"/>
      <c r="Z654" s="7"/>
      <c r="AA654" s="7"/>
      <c r="AB654" s="7"/>
      <c r="AC654" s="9"/>
      <c r="AD654" s="9"/>
      <c r="AE654" s="9"/>
      <c r="AF654" s="3"/>
      <c r="AG654" s="3"/>
      <c r="AH654" s="3"/>
    </row>
    <row r="655" spans="1:34" x14ac:dyDescent="0.3">
      <c r="A655">
        <v>622</v>
      </c>
      <c r="B655" s="1" t="s">
        <v>663</v>
      </c>
      <c r="C655" s="1" t="s">
        <v>682</v>
      </c>
      <c r="D655" s="2">
        <v>40830</v>
      </c>
      <c r="E655" s="3">
        <v>24.3</v>
      </c>
      <c r="F655" s="4">
        <f t="shared" si="63"/>
        <v>3414.0566628881252</v>
      </c>
      <c r="G655" s="2">
        <v>40204</v>
      </c>
      <c r="H655" s="7">
        <v>3.74</v>
      </c>
      <c r="I655" s="7">
        <f>H655+H672-2*$A$24</f>
        <v>5.82</v>
      </c>
      <c r="J655" s="7">
        <v>2.96</v>
      </c>
      <c r="K655" s="7">
        <v>5.0199999999999996</v>
      </c>
      <c r="L655" s="6">
        <f t="shared" si="64"/>
        <v>0.32989690721649484</v>
      </c>
      <c r="M655" s="6">
        <f t="shared" si="65"/>
        <v>0.57044673539518886</v>
      </c>
      <c r="N655" s="6">
        <f t="shared" si="66"/>
        <v>9.9656357388316352E-2</v>
      </c>
      <c r="O655" s="4">
        <f t="shared" si="67"/>
        <v>1126.2867341486599</v>
      </c>
      <c r="P655" s="4">
        <f t="shared" si="68"/>
        <v>1947.5374777987238</v>
      </c>
      <c r="Q655" s="4">
        <f t="shared" si="69"/>
        <v>3073.8242119473834</v>
      </c>
      <c r="W655" s="3"/>
      <c r="Y655" s="7"/>
      <c r="Z655" s="7"/>
      <c r="AA655" s="7"/>
      <c r="AB655" s="7"/>
      <c r="AC655" s="9"/>
      <c r="AD655" s="9"/>
      <c r="AE655" s="9"/>
      <c r="AF655" s="3"/>
      <c r="AG655" s="3"/>
      <c r="AH655" s="3"/>
    </row>
    <row r="656" spans="1:34" x14ac:dyDescent="0.3">
      <c r="A656">
        <v>623</v>
      </c>
      <c r="B656" s="1" t="s">
        <v>664</v>
      </c>
      <c r="C656" s="1" t="s">
        <v>682</v>
      </c>
      <c r="D656" s="2">
        <v>40830</v>
      </c>
      <c r="E656" s="3">
        <v>27.299999999999997</v>
      </c>
      <c r="F656" s="4">
        <f t="shared" si="63"/>
        <v>3876.6659668025045</v>
      </c>
      <c r="G656" s="2">
        <v>40204</v>
      </c>
      <c r="H656" s="7">
        <v>3.6</v>
      </c>
      <c r="I656" s="7">
        <f>H656+H671-2*$A$24</f>
        <v>7.16</v>
      </c>
      <c r="J656" s="7">
        <v>3.54</v>
      </c>
      <c r="K656" s="7">
        <v>5.76</v>
      </c>
      <c r="L656" s="6">
        <f t="shared" si="64"/>
        <v>0.34916201117318435</v>
      </c>
      <c r="M656" s="6">
        <f t="shared" si="65"/>
        <v>0.56703910614525133</v>
      </c>
      <c r="N656" s="6">
        <f t="shared" si="66"/>
        <v>8.3798882681564324E-2</v>
      </c>
      <c r="O656" s="4">
        <f t="shared" si="67"/>
        <v>1353.5844856153997</v>
      </c>
      <c r="P656" s="4">
        <f t="shared" si="68"/>
        <v>2198.2212046394088</v>
      </c>
      <c r="Q656" s="4">
        <f t="shared" si="69"/>
        <v>3551.8056902548087</v>
      </c>
      <c r="W656" s="3"/>
      <c r="Y656" s="7"/>
      <c r="Z656" s="7"/>
      <c r="AA656" s="7"/>
      <c r="AB656" s="7"/>
      <c r="AC656" s="9"/>
      <c r="AD656" s="9"/>
      <c r="AE656" s="9"/>
      <c r="AF656" s="3"/>
      <c r="AG656" s="3"/>
      <c r="AH656" s="3"/>
    </row>
    <row r="657" spans="1:34" x14ac:dyDescent="0.3">
      <c r="A657">
        <v>624</v>
      </c>
      <c r="B657" s="1" t="s">
        <v>665</v>
      </c>
      <c r="C657" s="1" t="s">
        <v>682</v>
      </c>
      <c r="D657" s="2">
        <v>40830</v>
      </c>
      <c r="E657" s="3">
        <v>26.5</v>
      </c>
      <c r="F657" s="4">
        <f t="shared" si="63"/>
        <v>3753.3034857586704</v>
      </c>
      <c r="G657" s="2">
        <v>40204</v>
      </c>
      <c r="H657" s="7">
        <v>3.9</v>
      </c>
      <c r="I657" s="7">
        <f>H657+H670-2*$A$24</f>
        <v>7.3999999999999995</v>
      </c>
      <c r="J657" s="7">
        <v>3.54</v>
      </c>
      <c r="K657" s="7">
        <v>5.92</v>
      </c>
      <c r="L657" s="6">
        <f t="shared" si="64"/>
        <v>0.33783783783783788</v>
      </c>
      <c r="M657" s="6">
        <f t="shared" si="65"/>
        <v>0.57027027027027033</v>
      </c>
      <c r="N657" s="6">
        <f t="shared" si="66"/>
        <v>9.189189189189173E-2</v>
      </c>
      <c r="O657" s="4">
        <f t="shared" si="67"/>
        <v>1268.0079343779294</v>
      </c>
      <c r="P657" s="4">
        <f t="shared" si="68"/>
        <v>2140.3973932299446</v>
      </c>
      <c r="Q657" s="4">
        <f t="shared" si="69"/>
        <v>3408.4053276078739</v>
      </c>
      <c r="W657" s="3"/>
      <c r="Y657" s="7"/>
      <c r="Z657" s="7"/>
      <c r="AA657" s="7"/>
      <c r="AB657" s="7"/>
      <c r="AC657" s="9"/>
      <c r="AD657" s="9"/>
      <c r="AE657" s="9"/>
      <c r="AF657" s="3"/>
      <c r="AG657" s="3"/>
      <c r="AH657" s="3"/>
    </row>
    <row r="658" spans="1:34" x14ac:dyDescent="0.3">
      <c r="A658">
        <v>625</v>
      </c>
      <c r="B658" s="1" t="s">
        <v>666</v>
      </c>
      <c r="C658" s="1" t="s">
        <v>682</v>
      </c>
      <c r="D658" s="2">
        <v>40830</v>
      </c>
      <c r="E658" s="3">
        <v>25.1</v>
      </c>
      <c r="F658" s="4">
        <f t="shared" si="63"/>
        <v>3537.4191439319602</v>
      </c>
      <c r="G658" s="2">
        <v>40204</v>
      </c>
      <c r="H658" s="7">
        <v>3.9</v>
      </c>
      <c r="I658" s="7">
        <f>H658+H669-2*$A$24</f>
        <v>6.4799999999999995</v>
      </c>
      <c r="J658" s="7">
        <v>3.24</v>
      </c>
      <c r="K658" s="7">
        <v>5.4</v>
      </c>
      <c r="L658" s="6">
        <f t="shared" si="64"/>
        <v>0.33950617283950624</v>
      </c>
      <c r="M658" s="6">
        <f t="shared" si="65"/>
        <v>0.57098765432098775</v>
      </c>
      <c r="N658" s="6">
        <f t="shared" si="66"/>
        <v>8.9506172839506015E-2</v>
      </c>
      <c r="O658" s="4">
        <f t="shared" si="67"/>
        <v>1200.9756352855422</v>
      </c>
      <c r="P658" s="4">
        <f t="shared" si="68"/>
        <v>2019.8226593438665</v>
      </c>
      <c r="Q658" s="4">
        <f t="shared" si="69"/>
        <v>3220.7982946294087</v>
      </c>
      <c r="W658" s="3"/>
      <c r="Y658" s="7"/>
      <c r="Z658" s="7"/>
      <c r="AA658" s="7"/>
      <c r="AB658" s="7"/>
      <c r="AC658" s="9"/>
      <c r="AD658" s="9"/>
      <c r="AE658" s="9"/>
      <c r="AF658" s="3"/>
      <c r="AG658" s="3"/>
      <c r="AH658" s="3"/>
    </row>
    <row r="659" spans="1:34" x14ac:dyDescent="0.3">
      <c r="A659">
        <v>626</v>
      </c>
      <c r="B659" s="1" t="s">
        <v>667</v>
      </c>
      <c r="C659" s="1" t="s">
        <v>682</v>
      </c>
      <c r="D659" s="2">
        <v>40830</v>
      </c>
      <c r="E659" s="3">
        <v>23</v>
      </c>
      <c r="F659" s="4">
        <f t="shared" si="63"/>
        <v>3213.5926311918938</v>
      </c>
      <c r="G659" s="2">
        <v>40204</v>
      </c>
      <c r="H659" s="7">
        <v>3.24</v>
      </c>
      <c r="I659" s="7">
        <f>H659+H668-2*$A$24</f>
        <v>6.48</v>
      </c>
      <c r="J659" s="7">
        <v>3.2</v>
      </c>
      <c r="K659" s="7">
        <v>5.3</v>
      </c>
      <c r="L659" s="6">
        <f t="shared" si="64"/>
        <v>0.33333333333333331</v>
      </c>
      <c r="M659" s="6">
        <f t="shared" si="65"/>
        <v>0.55555555555555547</v>
      </c>
      <c r="N659" s="6">
        <f t="shared" si="66"/>
        <v>0.11111111111111127</v>
      </c>
      <c r="O659" s="4">
        <f t="shared" si="67"/>
        <v>1071.1975437306312</v>
      </c>
      <c r="P659" s="4">
        <f t="shared" si="68"/>
        <v>1785.3292395510518</v>
      </c>
      <c r="Q659" s="4">
        <f t="shared" si="69"/>
        <v>2856.526783281683</v>
      </c>
      <c r="W659" s="3"/>
      <c r="Y659" s="7"/>
      <c r="Z659" s="7"/>
      <c r="AA659" s="7"/>
      <c r="AB659" s="7"/>
      <c r="AC659" s="9"/>
      <c r="AD659" s="9"/>
      <c r="AE659" s="9"/>
      <c r="AF659" s="3"/>
      <c r="AG659" s="3"/>
      <c r="AH659" s="3"/>
    </row>
    <row r="660" spans="1:34" x14ac:dyDescent="0.3">
      <c r="A660">
        <v>627</v>
      </c>
      <c r="B660" s="1" t="s">
        <v>668</v>
      </c>
      <c r="C660" s="1" t="s">
        <v>682</v>
      </c>
      <c r="D660" s="2">
        <v>40830</v>
      </c>
      <c r="E660" s="3">
        <v>22.1</v>
      </c>
      <c r="F660" s="4">
        <f t="shared" si="63"/>
        <v>3074.80984001758</v>
      </c>
      <c r="G660" s="2">
        <v>40204</v>
      </c>
      <c r="H660" s="7">
        <v>2.8</v>
      </c>
      <c r="I660" s="7">
        <f>H660+H667-2*$A$24</f>
        <v>5.2399999999999993</v>
      </c>
      <c r="J660" s="7">
        <v>2.8</v>
      </c>
      <c r="K660" s="7">
        <v>4.68</v>
      </c>
      <c r="L660" s="6">
        <f t="shared" si="64"/>
        <v>0.33587786259541985</v>
      </c>
      <c r="M660" s="6">
        <f t="shared" si="65"/>
        <v>0.56870229007633588</v>
      </c>
      <c r="N660" s="6">
        <f t="shared" si="66"/>
        <v>9.5419847328244267E-2</v>
      </c>
      <c r="O660" s="4">
        <f t="shared" si="67"/>
        <v>1032.7605569524696</v>
      </c>
      <c r="P660" s="4">
        <f t="shared" si="68"/>
        <v>1748.6513975672497</v>
      </c>
      <c r="Q660" s="4">
        <f t="shared" si="69"/>
        <v>2781.4119545197191</v>
      </c>
      <c r="W660" s="3"/>
      <c r="Y660" s="7"/>
      <c r="Z660" s="7"/>
      <c r="AA660" s="7"/>
      <c r="AB660" s="7"/>
      <c r="AC660" s="9"/>
      <c r="AD660" s="9"/>
      <c r="AE660" s="9"/>
      <c r="AF660" s="3"/>
      <c r="AG660" s="3"/>
      <c r="AH660" s="3"/>
    </row>
    <row r="661" spans="1:34" x14ac:dyDescent="0.3">
      <c r="A661">
        <v>628</v>
      </c>
      <c r="B661" s="1" t="s">
        <v>669</v>
      </c>
      <c r="C661" s="1" t="s">
        <v>682</v>
      </c>
      <c r="D661" s="2">
        <v>40830</v>
      </c>
      <c r="E661" s="3">
        <v>21.9</v>
      </c>
      <c r="F661" s="4">
        <f t="shared" si="63"/>
        <v>3043.969219756621</v>
      </c>
      <c r="G661" s="2">
        <v>40204</v>
      </c>
      <c r="H661" s="7">
        <v>3.64</v>
      </c>
      <c r="I661" s="7">
        <f>H661+H666-2*$A$24</f>
        <v>7.24</v>
      </c>
      <c r="J661" s="7">
        <v>3.48</v>
      </c>
      <c r="K661" s="7">
        <v>5.86</v>
      </c>
      <c r="L661" s="6">
        <f t="shared" si="64"/>
        <v>0.33701657458563533</v>
      </c>
      <c r="M661" s="6">
        <f t="shared" si="65"/>
        <v>0.574585635359116</v>
      </c>
      <c r="N661" s="6">
        <f t="shared" si="66"/>
        <v>8.8397790055248726E-2</v>
      </c>
      <c r="O661" s="4">
        <f t="shared" si="67"/>
        <v>1025.8680795864855</v>
      </c>
      <c r="P661" s="4">
        <f t="shared" si="68"/>
        <v>1749.0209881474507</v>
      </c>
      <c r="Q661" s="4">
        <f t="shared" si="69"/>
        <v>2774.8890677339359</v>
      </c>
      <c r="W661" s="3"/>
      <c r="Y661" s="7"/>
      <c r="Z661" s="7"/>
      <c r="AA661" s="7"/>
      <c r="AB661" s="7"/>
      <c r="AC661" s="9"/>
      <c r="AD661" s="9"/>
      <c r="AE661" s="9"/>
      <c r="AF661" s="3"/>
      <c r="AG661" s="3"/>
      <c r="AH661" s="3"/>
    </row>
    <row r="662" spans="1:34" x14ac:dyDescent="0.3">
      <c r="A662">
        <v>629</v>
      </c>
      <c r="B662" s="1" t="s">
        <v>670</v>
      </c>
      <c r="C662" s="1" t="s">
        <v>682</v>
      </c>
      <c r="D662" s="2">
        <v>40830</v>
      </c>
      <c r="E662" s="3">
        <v>24.7</v>
      </c>
      <c r="F662" s="4">
        <f t="shared" si="63"/>
        <v>3475.7379034100422</v>
      </c>
      <c r="G662" s="2">
        <v>40204</v>
      </c>
      <c r="H662" s="7">
        <v>2.6</v>
      </c>
      <c r="I662" s="7">
        <f>H662+H665-2*$A$24</f>
        <v>4.88</v>
      </c>
      <c r="J662" s="7">
        <v>2.64</v>
      </c>
      <c r="K662" s="7">
        <v>4.46</v>
      </c>
      <c r="L662" s="6">
        <f t="shared" si="64"/>
        <v>0.32786885245901642</v>
      </c>
      <c r="M662" s="6">
        <f t="shared" si="65"/>
        <v>0.56557377049180324</v>
      </c>
      <c r="N662" s="6">
        <f t="shared" si="66"/>
        <v>0.10655737704918034</v>
      </c>
      <c r="O662" s="4">
        <f t="shared" si="67"/>
        <v>1139.5861978393582</v>
      </c>
      <c r="P662" s="4">
        <f t="shared" si="68"/>
        <v>1965.7861912728927</v>
      </c>
      <c r="Q662" s="4">
        <f t="shared" si="69"/>
        <v>3105.3723891122509</v>
      </c>
      <c r="W662" s="3"/>
      <c r="Y662" s="7"/>
      <c r="Z662" s="7"/>
      <c r="AA662" s="7"/>
      <c r="AB662" s="7"/>
      <c r="AC662" s="9"/>
      <c r="AD662" s="9"/>
      <c r="AE662" s="9"/>
      <c r="AF662" s="3"/>
      <c r="AG662" s="3"/>
      <c r="AH662" s="3"/>
    </row>
    <row r="663" spans="1:34" x14ac:dyDescent="0.3">
      <c r="A663">
        <v>630</v>
      </c>
      <c r="B663" s="1" t="s">
        <v>671</v>
      </c>
      <c r="C663" s="1" t="s">
        <v>682</v>
      </c>
      <c r="D663" s="2">
        <v>40830</v>
      </c>
      <c r="E663" s="3">
        <v>24.6</v>
      </c>
      <c r="F663" s="4">
        <f t="shared" si="63"/>
        <v>3460.3175932795634</v>
      </c>
      <c r="G663" s="2">
        <v>40204</v>
      </c>
      <c r="H663" s="7">
        <v>4.24</v>
      </c>
      <c r="I663" s="7">
        <f>H663+H664-2*$A$24</f>
        <v>7.3599999999999994</v>
      </c>
      <c r="J663" s="7">
        <v>3.5</v>
      </c>
      <c r="K663" s="7">
        <v>5.88</v>
      </c>
      <c r="L663" s="6">
        <f t="shared" si="64"/>
        <v>0.33423913043478265</v>
      </c>
      <c r="M663" s="6">
        <f t="shared" si="65"/>
        <v>0.56793478260869568</v>
      </c>
      <c r="N663" s="6">
        <f t="shared" si="66"/>
        <v>9.7826086956521618E-2</v>
      </c>
      <c r="O663" s="4">
        <f t="shared" si="67"/>
        <v>1156.5735434059411</v>
      </c>
      <c r="P663" s="4">
        <f t="shared" si="68"/>
        <v>1965.2347200962738</v>
      </c>
      <c r="Q663" s="4">
        <f t="shared" si="69"/>
        <v>3121.8082635022147</v>
      </c>
      <c r="W663" s="3"/>
      <c r="Y663" s="7"/>
      <c r="Z663" s="7"/>
      <c r="AA663" s="7"/>
      <c r="AB663" s="7"/>
      <c r="AC663" s="9"/>
      <c r="AD663" s="9"/>
      <c r="AE663" s="9"/>
      <c r="AF663" s="3"/>
      <c r="AG663" s="3"/>
      <c r="AH663" s="3"/>
    </row>
    <row r="664" spans="1:34" x14ac:dyDescent="0.3">
      <c r="A664">
        <v>631</v>
      </c>
      <c r="B664" s="1" t="s">
        <v>672</v>
      </c>
      <c r="C664" s="1" t="s">
        <v>682</v>
      </c>
      <c r="D664" s="2">
        <v>40830</v>
      </c>
      <c r="E664" s="3">
        <v>23.9</v>
      </c>
      <c r="F664" s="4">
        <f t="shared" si="63"/>
        <v>3352.3754223662072</v>
      </c>
      <c r="G664" s="2">
        <v>40204</v>
      </c>
      <c r="H664" s="7">
        <v>3.44</v>
      </c>
      <c r="I664" s="7">
        <f>H664+H663-2*$A$24</f>
        <v>7.3599999999999994</v>
      </c>
      <c r="J664" s="7">
        <v>3.5</v>
      </c>
      <c r="K664" s="7">
        <v>5.88</v>
      </c>
      <c r="L664" s="6">
        <f t="shared" si="64"/>
        <v>0.33423913043478265</v>
      </c>
      <c r="M664" s="6">
        <f t="shared" si="65"/>
        <v>0.56793478260869568</v>
      </c>
      <c r="N664" s="6">
        <f t="shared" si="66"/>
        <v>9.7826086956521618E-2</v>
      </c>
      <c r="O664" s="4">
        <f t="shared" si="67"/>
        <v>1120.4950460626183</v>
      </c>
      <c r="P664" s="4">
        <f t="shared" si="68"/>
        <v>1903.9306067242862</v>
      </c>
      <c r="Q664" s="4">
        <f t="shared" si="69"/>
        <v>3024.4256527869047</v>
      </c>
      <c r="W664" s="3"/>
      <c r="Y664" s="7"/>
      <c r="Z664" s="7"/>
      <c r="AA664" s="7"/>
      <c r="AB664" s="7"/>
      <c r="AC664" s="9"/>
      <c r="AD664" s="9"/>
      <c r="AE664" s="9"/>
      <c r="AF664" s="3"/>
      <c r="AG664" s="3"/>
      <c r="AH664" s="3"/>
    </row>
    <row r="665" spans="1:34" x14ac:dyDescent="0.3">
      <c r="A665">
        <v>632</v>
      </c>
      <c r="B665" s="1" t="s">
        <v>673</v>
      </c>
      <c r="C665" s="1" t="s">
        <v>682</v>
      </c>
      <c r="D665" s="2">
        <v>40830</v>
      </c>
      <c r="E665" s="3">
        <v>22.7</v>
      </c>
      <c r="F665" s="4">
        <f t="shared" si="63"/>
        <v>3167.331700800456</v>
      </c>
      <c r="G665" s="2">
        <v>40204</v>
      </c>
      <c r="H665" s="7">
        <v>2.6</v>
      </c>
      <c r="I665" s="7">
        <f>H665+H662-2*$A$24</f>
        <v>4.88</v>
      </c>
      <c r="J665" s="7">
        <v>2.64</v>
      </c>
      <c r="K665" s="7">
        <v>4.46</v>
      </c>
      <c r="L665" s="6">
        <f t="shared" si="64"/>
        <v>0.32786885245901642</v>
      </c>
      <c r="M665" s="6">
        <f t="shared" si="65"/>
        <v>0.56557377049180324</v>
      </c>
      <c r="N665" s="6">
        <f t="shared" si="66"/>
        <v>0.10655737704918034</v>
      </c>
      <c r="O665" s="4">
        <f t="shared" si="67"/>
        <v>1038.4694100985103</v>
      </c>
      <c r="P665" s="4">
        <f t="shared" si="68"/>
        <v>1791.35973241993</v>
      </c>
      <c r="Q665" s="4">
        <f t="shared" si="69"/>
        <v>2829.8291425184402</v>
      </c>
      <c r="W665" s="3"/>
      <c r="Y665" s="7"/>
      <c r="Z665" s="7"/>
      <c r="AA665" s="7"/>
      <c r="AB665" s="7"/>
      <c r="AC665" s="9"/>
      <c r="AD665" s="9"/>
      <c r="AE665" s="9"/>
      <c r="AF665" s="3"/>
      <c r="AG665" s="3"/>
      <c r="AH665" s="3"/>
    </row>
    <row r="666" spans="1:34" x14ac:dyDescent="0.3">
      <c r="A666">
        <v>633</v>
      </c>
      <c r="B666" s="1" t="s">
        <v>674</v>
      </c>
      <c r="C666" s="1" t="s">
        <v>682</v>
      </c>
      <c r="D666" s="2">
        <v>40830</v>
      </c>
      <c r="E666" s="3">
        <v>20.8</v>
      </c>
      <c r="F666" s="4">
        <f t="shared" si="63"/>
        <v>2874.3458083213486</v>
      </c>
      <c r="G666" s="2">
        <v>40204</v>
      </c>
      <c r="H666" s="7">
        <v>3.92</v>
      </c>
      <c r="I666" s="7">
        <f>H666+H661-2*$A$24</f>
        <v>7.24</v>
      </c>
      <c r="J666" s="7">
        <v>3.48</v>
      </c>
      <c r="K666" s="7">
        <v>5.86</v>
      </c>
      <c r="L666" s="6">
        <f t="shared" si="64"/>
        <v>0.33701657458563533</v>
      </c>
      <c r="M666" s="6">
        <f t="shared" si="65"/>
        <v>0.574585635359116</v>
      </c>
      <c r="N666" s="6">
        <f t="shared" si="66"/>
        <v>8.8397790055248726E-2</v>
      </c>
      <c r="O666" s="4">
        <f t="shared" si="67"/>
        <v>968.70217849504002</v>
      </c>
      <c r="P666" s="4">
        <f t="shared" si="68"/>
        <v>1651.5578125161339</v>
      </c>
      <c r="Q666" s="4">
        <f t="shared" si="69"/>
        <v>2620.259991011174</v>
      </c>
      <c r="W666" s="3"/>
      <c r="Y666" s="7"/>
      <c r="Z666" s="7"/>
      <c r="AA666" s="7"/>
      <c r="AB666" s="7"/>
      <c r="AC666" s="9"/>
      <c r="AD666" s="9"/>
      <c r="AE666" s="9"/>
      <c r="AF666" s="3"/>
      <c r="AG666" s="3"/>
      <c r="AH666" s="3"/>
    </row>
    <row r="667" spans="1:34" x14ac:dyDescent="0.3">
      <c r="A667">
        <v>634</v>
      </c>
      <c r="B667" s="1" t="s">
        <v>675</v>
      </c>
      <c r="C667" s="1" t="s">
        <v>682</v>
      </c>
      <c r="D667" s="2">
        <v>40830</v>
      </c>
      <c r="E667" s="3">
        <v>21.6</v>
      </c>
      <c r="F667" s="4">
        <f t="shared" si="63"/>
        <v>2997.7082893651836</v>
      </c>
      <c r="G667" s="2">
        <v>40204</v>
      </c>
      <c r="H667" s="7">
        <v>2.76</v>
      </c>
      <c r="I667" s="7">
        <f>H667+H660-2*$A$24</f>
        <v>5.2399999999999993</v>
      </c>
      <c r="J667" s="7">
        <v>2.8</v>
      </c>
      <c r="K667" s="7">
        <v>4.68</v>
      </c>
      <c r="L667" s="6">
        <f t="shared" si="64"/>
        <v>0.33587786259541985</v>
      </c>
      <c r="M667" s="6">
        <f t="shared" si="65"/>
        <v>0.56870229007633588</v>
      </c>
      <c r="N667" s="6">
        <f t="shared" si="66"/>
        <v>9.5419847328244267E-2</v>
      </c>
      <c r="O667" s="4">
        <f t="shared" si="67"/>
        <v>1006.8638529165503</v>
      </c>
      <c r="P667" s="4">
        <f t="shared" si="68"/>
        <v>1704.8035691427954</v>
      </c>
      <c r="Q667" s="4">
        <f t="shared" si="69"/>
        <v>2711.6674220593459</v>
      </c>
      <c r="W667" s="3"/>
      <c r="Y667" s="7"/>
      <c r="Z667" s="7"/>
      <c r="AA667" s="7"/>
      <c r="AB667" s="7"/>
      <c r="AC667" s="9"/>
      <c r="AD667" s="9"/>
      <c r="AE667" s="9"/>
      <c r="AF667" s="3"/>
      <c r="AG667" s="3"/>
      <c r="AH667" s="3"/>
    </row>
    <row r="668" spans="1:34" x14ac:dyDescent="0.3">
      <c r="A668">
        <v>635</v>
      </c>
      <c r="B668" s="1" t="s">
        <v>676</v>
      </c>
      <c r="C668" s="1" t="s">
        <v>682</v>
      </c>
      <c r="D668" s="2">
        <v>40830</v>
      </c>
      <c r="E668" s="3">
        <v>22</v>
      </c>
      <c r="F668" s="4">
        <f t="shared" si="63"/>
        <v>3059.3895298870998</v>
      </c>
      <c r="G668" s="2">
        <v>40204</v>
      </c>
      <c r="H668" s="7">
        <v>3.56</v>
      </c>
      <c r="I668" s="7">
        <f>H668+H659-2*$A$24</f>
        <v>6.48</v>
      </c>
      <c r="J668" s="7">
        <v>3.2</v>
      </c>
      <c r="K668" s="7">
        <v>5.3</v>
      </c>
      <c r="L668" s="6">
        <f t="shared" si="64"/>
        <v>0.33333333333333331</v>
      </c>
      <c r="M668" s="6">
        <f t="shared" si="65"/>
        <v>0.55555555555555547</v>
      </c>
      <c r="N668" s="6">
        <f t="shared" si="66"/>
        <v>0.11111111111111127</v>
      </c>
      <c r="O668" s="4">
        <f t="shared" si="67"/>
        <v>1019.7965099623666</v>
      </c>
      <c r="P668" s="4">
        <f t="shared" si="68"/>
        <v>1699.6608499372774</v>
      </c>
      <c r="Q668" s="4">
        <f t="shared" si="69"/>
        <v>2719.457359899644</v>
      </c>
      <c r="W668" s="3"/>
      <c r="Y668" s="7"/>
      <c r="Z668" s="7"/>
      <c r="AA668" s="7"/>
      <c r="AB668" s="7"/>
      <c r="AC668" s="9"/>
      <c r="AD668" s="9"/>
      <c r="AE668" s="9"/>
      <c r="AF668" s="3"/>
      <c r="AG668" s="3"/>
      <c r="AH668" s="3"/>
    </row>
    <row r="669" spans="1:34" x14ac:dyDescent="0.3">
      <c r="A669">
        <v>636</v>
      </c>
      <c r="B669" s="1" t="s">
        <v>677</v>
      </c>
      <c r="C669" s="1" t="s">
        <v>682</v>
      </c>
      <c r="D669" s="2">
        <v>40830</v>
      </c>
      <c r="E669" s="3">
        <v>25.1</v>
      </c>
      <c r="F669" s="4">
        <f t="shared" si="63"/>
        <v>3537.4191439319602</v>
      </c>
      <c r="G669" s="2">
        <v>40204</v>
      </c>
      <c r="H669" s="7">
        <v>2.9</v>
      </c>
      <c r="I669" s="7">
        <f>H669+H658-2*$A$24</f>
        <v>6.4799999999999995</v>
      </c>
      <c r="J669" s="7">
        <v>3.24</v>
      </c>
      <c r="K669" s="7">
        <v>5.4</v>
      </c>
      <c r="L669" s="6">
        <f t="shared" si="64"/>
        <v>0.33950617283950624</v>
      </c>
      <c r="M669" s="6">
        <f t="shared" si="65"/>
        <v>0.57098765432098775</v>
      </c>
      <c r="N669" s="6">
        <f t="shared" si="66"/>
        <v>8.9506172839506015E-2</v>
      </c>
      <c r="O669" s="4">
        <f t="shared" si="67"/>
        <v>1200.9756352855422</v>
      </c>
      <c r="P669" s="4">
        <f t="shared" si="68"/>
        <v>2019.8226593438665</v>
      </c>
      <c r="Q669" s="4">
        <f t="shared" si="69"/>
        <v>3220.7982946294087</v>
      </c>
      <c r="W669" s="3"/>
      <c r="Y669" s="7"/>
      <c r="Z669" s="7"/>
      <c r="AA669" s="7"/>
      <c r="AB669" s="7"/>
      <c r="AC669" s="9"/>
      <c r="AD669" s="9"/>
      <c r="AE669" s="9"/>
      <c r="AF669" s="3"/>
      <c r="AG669" s="3"/>
      <c r="AH669" s="3"/>
    </row>
    <row r="670" spans="1:34" x14ac:dyDescent="0.3">
      <c r="A670">
        <v>637</v>
      </c>
      <c r="B670" s="1" t="s">
        <v>678</v>
      </c>
      <c r="C670" s="1" t="s">
        <v>682</v>
      </c>
      <c r="D670" s="2">
        <v>40830</v>
      </c>
      <c r="E670" s="3">
        <v>25.200000000000003</v>
      </c>
      <c r="F670" s="4">
        <f t="shared" si="63"/>
        <v>3552.839454062439</v>
      </c>
      <c r="G670" s="2">
        <v>40204</v>
      </c>
      <c r="H670" s="7">
        <v>3.82</v>
      </c>
      <c r="I670" s="7">
        <f>H670+H657-2*$A$24</f>
        <v>7.3999999999999995</v>
      </c>
      <c r="J670" s="7">
        <v>3.54</v>
      </c>
      <c r="K670" s="7">
        <v>5.92</v>
      </c>
      <c r="L670" s="6">
        <f t="shared" si="64"/>
        <v>0.33783783783783788</v>
      </c>
      <c r="M670" s="6">
        <f t="shared" si="65"/>
        <v>0.57027027027027033</v>
      </c>
      <c r="N670" s="6">
        <f t="shared" si="66"/>
        <v>9.189189189189173E-2</v>
      </c>
      <c r="O670" s="4">
        <f t="shared" si="67"/>
        <v>1200.2835993454187</v>
      </c>
      <c r="P670" s="4">
        <f t="shared" si="68"/>
        <v>2026.0787156950669</v>
      </c>
      <c r="Q670" s="4">
        <f t="shared" si="69"/>
        <v>3226.3623150404856</v>
      </c>
      <c r="W670" s="3"/>
      <c r="Y670" s="7"/>
      <c r="Z670" s="7"/>
      <c r="AA670" s="7"/>
      <c r="AB670" s="7"/>
      <c r="AC670" s="9"/>
      <c r="AD670" s="9"/>
      <c r="AE670" s="9"/>
      <c r="AF670" s="3"/>
      <c r="AG670" s="3"/>
      <c r="AH670" s="3"/>
    </row>
    <row r="671" spans="1:34" x14ac:dyDescent="0.3">
      <c r="A671">
        <v>638</v>
      </c>
      <c r="B671" s="1" t="s">
        <v>679</v>
      </c>
      <c r="C671" s="1" t="s">
        <v>682</v>
      </c>
      <c r="D671" s="2">
        <v>40830</v>
      </c>
      <c r="E671" s="3">
        <v>25.8</v>
      </c>
      <c r="F671" s="4">
        <f t="shared" si="63"/>
        <v>3645.3613148453151</v>
      </c>
      <c r="G671" s="2">
        <v>40204</v>
      </c>
      <c r="H671" s="7">
        <v>3.88</v>
      </c>
      <c r="I671" s="7">
        <f>H671+H656-2*$A$24</f>
        <v>7.16</v>
      </c>
      <c r="J671" s="7">
        <v>3.54</v>
      </c>
      <c r="K671" s="7">
        <v>5.76</v>
      </c>
      <c r="L671" s="6">
        <f t="shared" si="64"/>
        <v>0.34916201117318435</v>
      </c>
      <c r="M671" s="6">
        <f t="shared" si="65"/>
        <v>0.56703910614525133</v>
      </c>
      <c r="N671" s="6">
        <f t="shared" si="66"/>
        <v>8.3798882681564324E-2</v>
      </c>
      <c r="O671" s="4">
        <f t="shared" si="67"/>
        <v>1272.8216881443138</v>
      </c>
      <c r="P671" s="4">
        <f t="shared" si="68"/>
        <v>2067.0624215463654</v>
      </c>
      <c r="Q671" s="4">
        <f t="shared" si="69"/>
        <v>3339.884109690679</v>
      </c>
      <c r="W671" s="3"/>
      <c r="Y671" s="7"/>
      <c r="Z671" s="7"/>
      <c r="AA671" s="7"/>
      <c r="AB671" s="7"/>
      <c r="AC671" s="9"/>
      <c r="AD671" s="9"/>
      <c r="AE671" s="9"/>
      <c r="AF671" s="3"/>
      <c r="AG671" s="3"/>
      <c r="AH671" s="3"/>
    </row>
    <row r="672" spans="1:34" x14ac:dyDescent="0.3">
      <c r="A672">
        <v>639</v>
      </c>
      <c r="B672" s="1" t="s">
        <v>680</v>
      </c>
      <c r="C672" s="1" t="s">
        <v>682</v>
      </c>
      <c r="D672" s="2">
        <v>40830</v>
      </c>
      <c r="E672" s="3">
        <v>25.6</v>
      </c>
      <c r="F672" s="4">
        <f t="shared" si="63"/>
        <v>3614.5206945843565</v>
      </c>
      <c r="G672" s="2">
        <v>40204</v>
      </c>
      <c r="H672" s="7">
        <v>2.4</v>
      </c>
      <c r="I672" s="7">
        <f>H672+H655-2*$A$24</f>
        <v>5.82</v>
      </c>
      <c r="J672" s="7">
        <v>2.96</v>
      </c>
      <c r="K672" s="7">
        <v>5.0199999999999996</v>
      </c>
      <c r="L672" s="6">
        <f t="shared" si="64"/>
        <v>0.32989690721649484</v>
      </c>
      <c r="M672" s="6">
        <f t="shared" si="65"/>
        <v>0.57044673539518886</v>
      </c>
      <c r="N672" s="6">
        <f t="shared" si="66"/>
        <v>9.9656357388316352E-2</v>
      </c>
      <c r="O672" s="4">
        <f t="shared" si="67"/>
        <v>1192.4191982133959</v>
      </c>
      <c r="P672" s="4">
        <f t="shared" si="68"/>
        <v>2061.8915302439968</v>
      </c>
      <c r="Q672" s="4">
        <f t="shared" si="69"/>
        <v>3254.3107284573925</v>
      </c>
      <c r="W672" s="3"/>
      <c r="Y672" s="7"/>
      <c r="Z672" s="7"/>
      <c r="AA672" s="7"/>
      <c r="AB672" s="7"/>
      <c r="AC672" s="9"/>
      <c r="AD672" s="9"/>
      <c r="AE672" s="9"/>
      <c r="AF672" s="3"/>
      <c r="AG672" s="3"/>
      <c r="AH672" s="3"/>
    </row>
    <row r="673" spans="1:34" x14ac:dyDescent="0.3">
      <c r="A673">
        <v>640</v>
      </c>
      <c r="B673" s="1" t="s">
        <v>681</v>
      </c>
      <c r="C673" s="1" t="s">
        <v>682</v>
      </c>
      <c r="D673" s="2">
        <v>40830</v>
      </c>
      <c r="E673" s="3">
        <v>28.1</v>
      </c>
      <c r="F673" s="4">
        <f t="shared" si="63"/>
        <v>4000.02844784634</v>
      </c>
      <c r="G673" s="2">
        <v>40204</v>
      </c>
      <c r="H673" s="7">
        <v>2.5</v>
      </c>
      <c r="I673" s="7">
        <f>H673+H654-2*$A$24</f>
        <v>5.9799999999999995</v>
      </c>
      <c r="J673" s="7">
        <v>3.04</v>
      </c>
      <c r="K673" s="7">
        <v>5.04</v>
      </c>
      <c r="L673" s="6">
        <f t="shared" si="64"/>
        <v>0.33444816053511706</v>
      </c>
      <c r="M673" s="6">
        <f t="shared" si="65"/>
        <v>0.55852842809364556</v>
      </c>
      <c r="N673" s="6">
        <f t="shared" si="66"/>
        <v>0.10702341137123739</v>
      </c>
      <c r="O673" s="4">
        <f t="shared" si="67"/>
        <v>1337.8021564703479</v>
      </c>
      <c r="P673" s="4">
        <f t="shared" si="68"/>
        <v>2234.1296013054812</v>
      </c>
      <c r="Q673" s="4">
        <f t="shared" si="69"/>
        <v>3571.9317577758293</v>
      </c>
      <c r="W673" s="3"/>
      <c r="Y673" s="7"/>
      <c r="Z673" s="7"/>
      <c r="AA673" s="7"/>
      <c r="AB673" s="7"/>
      <c r="AC673" s="9"/>
      <c r="AD673" s="9"/>
      <c r="AE673" s="9"/>
      <c r="AF673" s="3"/>
      <c r="AG673" s="3"/>
      <c r="AH67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Q22"/>
  <sheetViews>
    <sheetView workbookViewId="0"/>
  </sheetViews>
  <sheetFormatPr defaultRowHeight="14.4" x14ac:dyDescent="0.3"/>
  <cols>
    <col min="3" max="3" width="10.5546875" bestFit="1" customWidth="1"/>
    <col min="4" max="4" width="10.5546875" customWidth="1"/>
    <col min="5" max="6" width="10.5546875" bestFit="1" customWidth="1"/>
    <col min="8" max="8" width="10.5546875" bestFit="1" customWidth="1"/>
    <col min="17" max="17" width="9.5546875" bestFit="1" customWidth="1"/>
  </cols>
  <sheetData>
    <row r="1" spans="1:17" x14ac:dyDescent="0.3">
      <c r="A1" s="1"/>
      <c r="B1" s="1" t="s">
        <v>0</v>
      </c>
      <c r="C1" s="1" t="s">
        <v>0</v>
      </c>
      <c r="D1" t="s">
        <v>0</v>
      </c>
      <c r="E1" s="1" t="s">
        <v>0</v>
      </c>
      <c r="F1" s="1" t="s">
        <v>7</v>
      </c>
      <c r="G1" t="s">
        <v>7</v>
      </c>
      <c r="H1" t="s">
        <v>7</v>
      </c>
      <c r="I1" t="s">
        <v>7</v>
      </c>
      <c r="J1" t="s">
        <v>7</v>
      </c>
      <c r="K1" s="1" t="s">
        <v>7</v>
      </c>
      <c r="L1" s="1" t="s">
        <v>7</v>
      </c>
      <c r="M1" s="1" t="s">
        <v>7</v>
      </c>
      <c r="N1" s="1" t="s">
        <v>15</v>
      </c>
      <c r="O1" s="1" t="s">
        <v>15</v>
      </c>
      <c r="P1" s="1" t="s">
        <v>15</v>
      </c>
    </row>
    <row r="2" spans="1:17" x14ac:dyDescent="0.3">
      <c r="A2" s="1"/>
      <c r="B2" s="1"/>
      <c r="C2" s="1"/>
      <c r="E2" s="1"/>
      <c r="F2" s="1"/>
      <c r="H2" t="s">
        <v>690</v>
      </c>
      <c r="I2" t="s">
        <v>690</v>
      </c>
      <c r="J2" t="s">
        <v>690</v>
      </c>
      <c r="K2" s="1"/>
      <c r="L2" s="1"/>
      <c r="M2" s="1"/>
      <c r="N2" s="1"/>
      <c r="O2" s="1"/>
      <c r="P2" s="1"/>
    </row>
    <row r="3" spans="1:17" x14ac:dyDescent="0.3">
      <c r="A3" s="1"/>
      <c r="B3" s="1"/>
      <c r="C3" s="1"/>
      <c r="D3" t="s">
        <v>1</v>
      </c>
      <c r="E3" s="1"/>
      <c r="F3" s="1" t="s">
        <v>23</v>
      </c>
      <c r="G3" t="s">
        <v>8</v>
      </c>
      <c r="H3" t="s">
        <v>8</v>
      </c>
      <c r="I3" t="s">
        <v>9</v>
      </c>
      <c r="J3" t="s">
        <v>10</v>
      </c>
      <c r="K3" s="1"/>
      <c r="L3" s="1"/>
      <c r="M3" s="1"/>
      <c r="N3" s="1"/>
      <c r="O3" s="1"/>
      <c r="P3" s="1"/>
    </row>
    <row r="4" spans="1:17" x14ac:dyDescent="0.3">
      <c r="A4" s="1" t="s">
        <v>19</v>
      </c>
      <c r="B4" s="1" t="s">
        <v>20</v>
      </c>
      <c r="C4" s="1" t="s">
        <v>2</v>
      </c>
      <c r="D4" t="s">
        <v>685</v>
      </c>
      <c r="E4" s="1" t="s">
        <v>3</v>
      </c>
      <c r="F4" s="1" t="s">
        <v>24</v>
      </c>
      <c r="G4" t="s">
        <v>709</v>
      </c>
      <c r="H4" t="s">
        <v>691</v>
      </c>
      <c r="I4" t="s">
        <v>709</v>
      </c>
      <c r="J4" t="s">
        <v>710</v>
      </c>
      <c r="K4" s="1" t="s">
        <v>11</v>
      </c>
      <c r="L4" s="1" t="s">
        <v>12</v>
      </c>
      <c r="M4" s="1" t="s">
        <v>13</v>
      </c>
      <c r="N4" s="1" t="s">
        <v>16</v>
      </c>
      <c r="O4" s="1" t="s">
        <v>17</v>
      </c>
      <c r="P4" s="1" t="s">
        <v>18</v>
      </c>
    </row>
    <row r="5" spans="1:17" x14ac:dyDescent="0.3">
      <c r="A5" s="1"/>
      <c r="B5" s="1"/>
      <c r="C5" s="1"/>
      <c r="D5" t="s">
        <v>683</v>
      </c>
      <c r="E5" s="1" t="s">
        <v>4</v>
      </c>
      <c r="F5" s="1"/>
      <c r="G5" t="s">
        <v>683</v>
      </c>
      <c r="H5" t="s">
        <v>683</v>
      </c>
      <c r="I5" t="s">
        <v>683</v>
      </c>
      <c r="J5" t="s">
        <v>683</v>
      </c>
      <c r="K5" s="1" t="s">
        <v>14</v>
      </c>
      <c r="L5" s="5" t="s">
        <v>14</v>
      </c>
      <c r="M5" s="5" t="s">
        <v>14</v>
      </c>
      <c r="N5" s="5" t="s">
        <v>4</v>
      </c>
      <c r="O5" s="5" t="s">
        <v>4</v>
      </c>
      <c r="P5" s="5" t="s">
        <v>4</v>
      </c>
    </row>
    <row r="6" spans="1:17" x14ac:dyDescent="0.3">
      <c r="A6" s="1" t="s">
        <v>19</v>
      </c>
      <c r="B6" s="1" t="s">
        <v>20</v>
      </c>
      <c r="C6" s="1" t="s">
        <v>2</v>
      </c>
      <c r="E6" s="1" t="s">
        <v>3</v>
      </c>
      <c r="F6" s="1" t="s">
        <v>24</v>
      </c>
      <c r="K6" s="1" t="s">
        <v>11</v>
      </c>
      <c r="L6" s="1" t="s">
        <v>12</v>
      </c>
      <c r="M6" s="1" t="s">
        <v>13</v>
      </c>
      <c r="N6" s="1" t="s">
        <v>16</v>
      </c>
      <c r="O6" s="1" t="s">
        <v>17</v>
      </c>
      <c r="P6" s="1" t="s">
        <v>18</v>
      </c>
    </row>
    <row r="7" spans="1:17" x14ac:dyDescent="0.3">
      <c r="A7" s="1" t="s">
        <v>705</v>
      </c>
      <c r="B7" s="1" t="s">
        <v>682</v>
      </c>
      <c r="C7" s="10">
        <v>40827</v>
      </c>
      <c r="D7" s="3">
        <v>1130.4000000000003</v>
      </c>
      <c r="E7" s="4">
        <v>4024.700944055106</v>
      </c>
      <c r="F7" s="10">
        <v>40200</v>
      </c>
      <c r="G7" s="7">
        <v>130.31999999999996</v>
      </c>
      <c r="H7" s="7">
        <v>247.83999999999997</v>
      </c>
      <c r="I7" s="7">
        <v>127.72</v>
      </c>
      <c r="J7" s="7">
        <v>205.96</v>
      </c>
      <c r="K7" s="6">
        <v>0.34748224661071664</v>
      </c>
      <c r="L7" s="6">
        <v>0.55664945125887677</v>
      </c>
      <c r="M7" s="6">
        <v>9.5868302130406646E-2</v>
      </c>
      <c r="N7" s="4">
        <v>1398.5121259765403</v>
      </c>
      <c r="O7" s="4">
        <v>2240.3475719893581</v>
      </c>
      <c r="P7" s="4">
        <v>3638.8596979658987</v>
      </c>
      <c r="Q7" s="3"/>
    </row>
    <row r="8" spans="1:17" x14ac:dyDescent="0.3">
      <c r="A8" s="1" t="s">
        <v>27</v>
      </c>
      <c r="B8" s="1" t="s">
        <v>682</v>
      </c>
      <c r="C8" s="10">
        <v>40827</v>
      </c>
      <c r="D8" s="3">
        <v>1310.1999999999996</v>
      </c>
      <c r="E8" s="4">
        <v>4717.8438844201519</v>
      </c>
      <c r="F8" s="10">
        <v>40200</v>
      </c>
      <c r="G8" s="7">
        <v>142.30000000000004</v>
      </c>
      <c r="H8" s="7">
        <v>271.8</v>
      </c>
      <c r="I8" s="7">
        <v>131.64000000000004</v>
      </c>
      <c r="J8" s="7">
        <v>224.51999999999992</v>
      </c>
      <c r="K8" s="6">
        <v>0.33127299484915396</v>
      </c>
      <c r="L8" s="6">
        <v>0.57586460632818215</v>
      </c>
      <c r="M8" s="6">
        <v>9.2862398822663894E-2</v>
      </c>
      <c r="N8" s="4">
        <v>1562.8942728226295</v>
      </c>
      <c r="O8" s="4">
        <v>2716.8393112194326</v>
      </c>
      <c r="P8" s="4">
        <v>4279.7335840420619</v>
      </c>
    </row>
    <row r="9" spans="1:17" x14ac:dyDescent="0.3">
      <c r="A9" s="1" t="s">
        <v>706</v>
      </c>
      <c r="B9" s="1" t="s">
        <v>682</v>
      </c>
      <c r="C9" s="10">
        <v>40827</v>
      </c>
      <c r="D9" s="3">
        <v>1159.9000000000001</v>
      </c>
      <c r="E9" s="4">
        <v>4138.4257312673917</v>
      </c>
      <c r="F9" s="10">
        <v>40200</v>
      </c>
      <c r="G9" s="7">
        <v>128.72000000000003</v>
      </c>
      <c r="H9" s="7">
        <v>244.64000000000004</v>
      </c>
      <c r="I9" s="7">
        <v>122.47999999999998</v>
      </c>
      <c r="J9" s="7">
        <v>209.60000000000005</v>
      </c>
      <c r="K9" s="6">
        <v>0.33060824068018291</v>
      </c>
      <c r="L9" s="6">
        <v>0.57880967952910412</v>
      </c>
      <c r="M9" s="6">
        <v>9.0582079790712977E-2</v>
      </c>
      <c r="N9" s="4">
        <v>1368.1976501999118</v>
      </c>
      <c r="O9" s="4">
        <v>2395.3608712698774</v>
      </c>
      <c r="P9" s="4">
        <v>3763.5585214697894</v>
      </c>
    </row>
    <row r="10" spans="1:17" x14ac:dyDescent="0.3">
      <c r="A10" s="1" t="s">
        <v>28</v>
      </c>
      <c r="B10" s="1" t="s">
        <v>682</v>
      </c>
      <c r="C10" s="10">
        <v>40827</v>
      </c>
      <c r="D10" s="3">
        <v>1420.0000000000005</v>
      </c>
      <c r="E10" s="4">
        <v>5141.1313975018093</v>
      </c>
      <c r="F10" s="10">
        <v>40205</v>
      </c>
      <c r="G10" s="7">
        <v>123.89999999999996</v>
      </c>
      <c r="H10" s="7">
        <v>235</v>
      </c>
      <c r="I10" s="7">
        <v>118.83999999999999</v>
      </c>
      <c r="J10" s="7">
        <v>202.92000000000004</v>
      </c>
      <c r="K10" s="6">
        <v>0.32868085106382972</v>
      </c>
      <c r="L10" s="6">
        <v>0.57412765957446832</v>
      </c>
      <c r="M10" s="6">
        <v>9.7191489361701966E-2</v>
      </c>
      <c r="N10" s="4">
        <v>1689.7914431618708</v>
      </c>
      <c r="O10" s="4">
        <v>2951.6657368125293</v>
      </c>
      <c r="P10" s="4">
        <v>4641.4571799743999</v>
      </c>
    </row>
    <row r="11" spans="1:17" x14ac:dyDescent="0.3">
      <c r="A11" s="1" t="s">
        <v>29</v>
      </c>
      <c r="B11" s="1" t="s">
        <v>682</v>
      </c>
      <c r="C11" s="10">
        <v>40827</v>
      </c>
      <c r="D11" s="3">
        <v>1419.1</v>
      </c>
      <c r="E11" s="4">
        <v>5137.6618277224534</v>
      </c>
      <c r="F11" s="10">
        <v>40205</v>
      </c>
      <c r="G11" s="7">
        <v>113.75999999999998</v>
      </c>
      <c r="H11" s="7">
        <v>214.72</v>
      </c>
      <c r="I11" s="7">
        <v>112.92</v>
      </c>
      <c r="J11" s="7">
        <v>189.03999999999996</v>
      </c>
      <c r="K11" s="6">
        <v>0.33215350223546941</v>
      </c>
      <c r="L11" s="6">
        <v>0.56371087928464958</v>
      </c>
      <c r="M11" s="6">
        <v>0.10413561847988106</v>
      </c>
      <c r="N11" s="4">
        <v>1706.4923693794958</v>
      </c>
      <c r="O11" s="4">
        <v>2896.1558663726041</v>
      </c>
      <c r="P11" s="4">
        <v>4602.6482357520999</v>
      </c>
    </row>
    <row r="12" spans="1:17" x14ac:dyDescent="0.3">
      <c r="A12" s="1" t="s">
        <v>30</v>
      </c>
      <c r="B12" s="1" t="s">
        <v>682</v>
      </c>
      <c r="C12" s="10">
        <v>40828</v>
      </c>
      <c r="D12" s="3">
        <v>1335.9999999999998</v>
      </c>
      <c r="E12" s="4">
        <v>4817.3048847617456</v>
      </c>
      <c r="F12" s="10">
        <v>40205</v>
      </c>
      <c r="G12" s="7">
        <v>132.54</v>
      </c>
      <c r="H12" s="7">
        <v>252.28</v>
      </c>
      <c r="I12" s="7">
        <v>125.23999999999998</v>
      </c>
      <c r="J12" s="7">
        <v>211.12000000000003</v>
      </c>
      <c r="K12" s="6">
        <v>0.33153638814016168</v>
      </c>
      <c r="L12" s="6">
        <v>0.56730616775011899</v>
      </c>
      <c r="M12" s="6">
        <v>0.10115744410971939</v>
      </c>
      <c r="N12" s="4">
        <v>1597.111862063867</v>
      </c>
      <c r="O12" s="4">
        <v>2732.8867730581146</v>
      </c>
      <c r="P12" s="4">
        <v>4329.9986351219814</v>
      </c>
    </row>
    <row r="13" spans="1:17" x14ac:dyDescent="0.3">
      <c r="A13" s="1" t="s">
        <v>31</v>
      </c>
      <c r="B13" s="1" t="s">
        <v>682</v>
      </c>
      <c r="C13" s="10">
        <v>40828</v>
      </c>
      <c r="D13" s="3">
        <v>1410.9</v>
      </c>
      <c r="E13" s="4">
        <v>5106.0501919549697</v>
      </c>
      <c r="F13" s="10">
        <v>40204</v>
      </c>
      <c r="G13" s="7">
        <v>130.85999999999999</v>
      </c>
      <c r="H13" s="7">
        <v>248.92</v>
      </c>
      <c r="I13" s="7">
        <v>123.07999999999998</v>
      </c>
      <c r="J13" s="7">
        <v>210.04000000000008</v>
      </c>
      <c r="K13" s="6">
        <v>0.32733408323959501</v>
      </c>
      <c r="L13" s="6">
        <v>0.57062510043387471</v>
      </c>
      <c r="M13" s="6">
        <v>0.10204081632653028</v>
      </c>
      <c r="N13" s="4">
        <v>1671.3842585589382</v>
      </c>
      <c r="O13" s="4">
        <v>2913.6404036047097</v>
      </c>
      <c r="P13" s="4">
        <v>4585.0246621636479</v>
      </c>
    </row>
    <row r="14" spans="1:17" x14ac:dyDescent="0.3">
      <c r="A14" s="1" t="s">
        <v>32</v>
      </c>
      <c r="B14" s="1" t="s">
        <v>682</v>
      </c>
      <c r="C14" s="10">
        <v>40828</v>
      </c>
      <c r="D14" s="3">
        <v>1426.3000000000002</v>
      </c>
      <c r="E14" s="4">
        <v>5165.4183859573168</v>
      </c>
      <c r="F14" s="10">
        <v>40204</v>
      </c>
      <c r="G14" s="7">
        <v>128.46000000000004</v>
      </c>
      <c r="H14" s="7">
        <v>244.12</v>
      </c>
      <c r="I14" s="7">
        <v>124.55999999999999</v>
      </c>
      <c r="J14" s="7">
        <v>205.28000000000003</v>
      </c>
      <c r="K14" s="6">
        <v>0.33983286908077986</v>
      </c>
      <c r="L14" s="6">
        <v>0.56234638702277584</v>
      </c>
      <c r="M14" s="6">
        <v>9.782074389644424E-2</v>
      </c>
      <c r="N14" s="4">
        <v>1755.378950102486</v>
      </c>
      <c r="O14" s="4">
        <v>2904.7543668041153</v>
      </c>
      <c r="P14" s="4">
        <v>4660.1333169066011</v>
      </c>
    </row>
    <row r="15" spans="1:17" x14ac:dyDescent="0.3">
      <c r="A15" s="1" t="s">
        <v>707</v>
      </c>
      <c r="B15" s="1" t="s">
        <v>682</v>
      </c>
      <c r="C15" s="10">
        <v>40828</v>
      </c>
      <c r="D15" s="3">
        <v>1201.0000000000005</v>
      </c>
      <c r="E15" s="4">
        <v>4296.8694178580681</v>
      </c>
      <c r="F15" s="10">
        <v>40205</v>
      </c>
      <c r="G15" s="7">
        <v>119.45999999999998</v>
      </c>
      <c r="H15" s="7">
        <v>226.12</v>
      </c>
      <c r="I15" s="7">
        <v>118.51999999999994</v>
      </c>
      <c r="J15" s="7">
        <v>195.39999999999998</v>
      </c>
      <c r="K15" s="6">
        <v>0.34017335927825904</v>
      </c>
      <c r="L15" s="6">
        <v>0.56341765434282676</v>
      </c>
      <c r="M15" s="6">
        <v>9.6408986378914263E-2</v>
      </c>
      <c r="N15" s="4">
        <v>1461.6805042527963</v>
      </c>
      <c r="O15" s="4">
        <v>2420.9320884270201</v>
      </c>
      <c r="P15" s="4">
        <v>3882.6125926798163</v>
      </c>
    </row>
    <row r="16" spans="1:17" x14ac:dyDescent="0.3">
      <c r="A16" s="1" t="s">
        <v>708</v>
      </c>
      <c r="B16" s="1" t="s">
        <v>682</v>
      </c>
      <c r="C16" s="10">
        <v>40828</v>
      </c>
      <c r="D16" s="3">
        <v>1597.5000000000002</v>
      </c>
      <c r="E16" s="4">
        <v>5825.407659541831</v>
      </c>
      <c r="F16" s="10">
        <v>40204</v>
      </c>
      <c r="G16" s="7">
        <v>130.68000000000004</v>
      </c>
      <c r="H16" s="7">
        <v>248.56000000000003</v>
      </c>
      <c r="I16" s="7">
        <v>123.67999999999999</v>
      </c>
      <c r="J16" s="7">
        <v>208.79999999999995</v>
      </c>
      <c r="K16" s="6">
        <v>0.33022207917605395</v>
      </c>
      <c r="L16" s="6">
        <v>0.56646282587705155</v>
      </c>
      <c r="M16" s="6">
        <v>0.1033150949468945</v>
      </c>
      <c r="N16" s="4">
        <v>1923.6782293820136</v>
      </c>
      <c r="O16" s="4">
        <v>3299.8768847098868</v>
      </c>
      <c r="P16" s="4">
        <v>5223.5551140919006</v>
      </c>
    </row>
    <row r="17" spans="1:16" x14ac:dyDescent="0.3">
      <c r="A17" s="1" t="s">
        <v>33</v>
      </c>
      <c r="B17" s="1" t="s">
        <v>682</v>
      </c>
      <c r="C17" s="10">
        <v>40829</v>
      </c>
      <c r="D17" s="3">
        <v>1445.3</v>
      </c>
      <c r="E17" s="4">
        <v>5238.6648590770938</v>
      </c>
      <c r="F17" s="10">
        <v>40200</v>
      </c>
      <c r="G17" s="7">
        <v>145.90000000000003</v>
      </c>
      <c r="H17" s="7">
        <v>278.99999999999994</v>
      </c>
      <c r="I17" s="7">
        <v>134.99999999999994</v>
      </c>
      <c r="J17" s="7">
        <v>226.16000000000003</v>
      </c>
      <c r="K17" s="6">
        <v>0.3347670250896056</v>
      </c>
      <c r="L17" s="6">
        <v>0.56688172043010776</v>
      </c>
      <c r="M17" s="6">
        <v>9.8351254480286698E-2</v>
      </c>
      <c r="N17" s="4">
        <v>1753.7322503146966</v>
      </c>
      <c r="O17" s="4">
        <v>2969.7033480703708</v>
      </c>
      <c r="P17" s="4">
        <v>4723.4355983850674</v>
      </c>
    </row>
    <row r="18" spans="1:16" x14ac:dyDescent="0.3">
      <c r="A18" s="1" t="s">
        <v>34</v>
      </c>
      <c r="B18" s="1" t="s">
        <v>682</v>
      </c>
      <c r="C18" s="10">
        <v>40829</v>
      </c>
      <c r="D18" s="3">
        <v>1189.6000000000001</v>
      </c>
      <c r="E18" s="4">
        <v>4252.9215339862003</v>
      </c>
      <c r="F18" s="10">
        <v>40200</v>
      </c>
      <c r="G18" s="7">
        <v>141.55999999999997</v>
      </c>
      <c r="H18" s="7">
        <v>270.32</v>
      </c>
      <c r="I18" s="7">
        <v>129.48000000000002</v>
      </c>
      <c r="J18" s="7">
        <v>223.20000000000007</v>
      </c>
      <c r="K18" s="6">
        <v>0.32509618230245646</v>
      </c>
      <c r="L18" s="6">
        <v>0.57413435927789314</v>
      </c>
      <c r="M18" s="6">
        <v>0.10076945841965035</v>
      </c>
      <c r="N18" s="4">
        <v>1382.6085543308207</v>
      </c>
      <c r="O18" s="4">
        <v>2441.7483799743213</v>
      </c>
      <c r="P18" s="4">
        <v>3824.3569343051422</v>
      </c>
    </row>
    <row r="19" spans="1:16" x14ac:dyDescent="0.3">
      <c r="A19" s="1" t="s">
        <v>35</v>
      </c>
      <c r="B19" s="1" t="s">
        <v>682</v>
      </c>
      <c r="C19" s="10">
        <v>40829</v>
      </c>
      <c r="D19" s="3">
        <v>1239.5</v>
      </c>
      <c r="E19" s="4">
        <v>4445.2899028639313</v>
      </c>
      <c r="F19" s="10">
        <v>40204</v>
      </c>
      <c r="G19" s="7">
        <v>144.44</v>
      </c>
      <c r="H19" s="7">
        <v>276.08</v>
      </c>
      <c r="I19" s="7">
        <v>134.16000000000005</v>
      </c>
      <c r="J19" s="7">
        <v>227.52</v>
      </c>
      <c r="K19" s="6">
        <v>0.33526514053897444</v>
      </c>
      <c r="L19" s="6">
        <v>0.57780353520718641</v>
      </c>
      <c r="M19" s="6">
        <v>8.6931324253839204E-2</v>
      </c>
      <c r="N19" s="4">
        <v>1490.3507440201599</v>
      </c>
      <c r="O19" s="4">
        <v>2568.5042208955897</v>
      </c>
      <c r="P19" s="4">
        <v>4058.8549649157494</v>
      </c>
    </row>
    <row r="20" spans="1:16" x14ac:dyDescent="0.3">
      <c r="A20" s="1" t="s">
        <v>36</v>
      </c>
      <c r="B20" s="1" t="s">
        <v>682</v>
      </c>
      <c r="C20" s="10">
        <v>40829</v>
      </c>
      <c r="D20" s="3">
        <v>1232.5999999999997</v>
      </c>
      <c r="E20" s="4">
        <v>4418.6898678888547</v>
      </c>
      <c r="F20" s="10">
        <v>40204</v>
      </c>
      <c r="G20" s="7">
        <v>135.61999999999998</v>
      </c>
      <c r="H20" s="7">
        <v>258.76</v>
      </c>
      <c r="I20" s="7">
        <v>125.88000000000002</v>
      </c>
      <c r="J20" s="7">
        <v>217.72</v>
      </c>
      <c r="K20" s="6">
        <v>0.32972638738599486</v>
      </c>
      <c r="L20" s="6">
        <v>0.58517545215643851</v>
      </c>
      <c r="M20" s="6">
        <v>8.5098160457566685E-2</v>
      </c>
      <c r="N20" s="4">
        <v>1456.958647118091</v>
      </c>
      <c r="O20" s="4">
        <v>2585.7088413809342</v>
      </c>
      <c r="P20" s="4">
        <v>4042.6674884990252</v>
      </c>
    </row>
    <row r="21" spans="1:16" x14ac:dyDescent="0.3">
      <c r="A21" s="1" t="s">
        <v>37</v>
      </c>
      <c r="B21" s="1" t="s">
        <v>682</v>
      </c>
      <c r="C21" s="10">
        <v>40830</v>
      </c>
      <c r="D21" s="3">
        <v>1394.9999999999995</v>
      </c>
      <c r="E21" s="4">
        <v>5044.7544591863161</v>
      </c>
      <c r="F21" s="10">
        <v>40204</v>
      </c>
      <c r="G21" s="7">
        <v>155.40000000000003</v>
      </c>
      <c r="H21" s="7">
        <v>297.99999999999994</v>
      </c>
      <c r="I21" s="7">
        <v>142.16000000000003</v>
      </c>
      <c r="J21" s="7">
        <v>234.59999999999997</v>
      </c>
      <c r="K21" s="6">
        <v>0.33744966442953039</v>
      </c>
      <c r="L21" s="6">
        <v>0.5590604026845637</v>
      </c>
      <c r="M21" s="6">
        <v>0.10348993288590591</v>
      </c>
      <c r="N21" s="4">
        <v>1702.3506993817994</v>
      </c>
      <c r="O21" s="4">
        <v>2820.3224593974501</v>
      </c>
      <c r="P21" s="4">
        <v>4522.6731587792492</v>
      </c>
    </row>
    <row r="22" spans="1:16" x14ac:dyDescent="0.3">
      <c r="A22" s="1" t="s">
        <v>38</v>
      </c>
      <c r="B22" s="1" t="s">
        <v>682</v>
      </c>
      <c r="C22" s="10">
        <v>40830</v>
      </c>
      <c r="D22" s="3">
        <v>1047.4100000000001</v>
      </c>
      <c r="E22" s="4">
        <v>3704.7680596229861</v>
      </c>
      <c r="F22" s="10">
        <v>40204</v>
      </c>
      <c r="G22" s="7">
        <v>142.03999999999996</v>
      </c>
      <c r="H22" s="7">
        <v>271.28000000000003</v>
      </c>
      <c r="I22" s="7">
        <v>132.96</v>
      </c>
      <c r="J22" s="7">
        <v>220.92000000000007</v>
      </c>
      <c r="K22" s="6">
        <v>0.3367738130345031</v>
      </c>
      <c r="L22" s="6">
        <v>0.56369802418165749</v>
      </c>
      <c r="M22" s="6">
        <v>9.9528162783839469E-2</v>
      </c>
      <c r="N22" s="4">
        <v>1247.6688658476703</v>
      </c>
      <c r="O22" s="4">
        <v>2088.3704352607901</v>
      </c>
      <c r="P22" s="4">
        <v>3336.0393011084607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23EC-6553-4F40-BB07-8C4418C70151}">
  <dimension ref="A1:N22"/>
  <sheetViews>
    <sheetView workbookViewId="0"/>
  </sheetViews>
  <sheetFormatPr defaultRowHeight="14.4" x14ac:dyDescent="0.3"/>
  <sheetData>
    <row r="1" spans="1:14" x14ac:dyDescent="0.3">
      <c r="B1" t="s">
        <v>714</v>
      </c>
      <c r="C1" t="s">
        <v>714</v>
      </c>
    </row>
    <row r="2" spans="1:14" x14ac:dyDescent="0.3">
      <c r="B2" t="s">
        <v>715</v>
      </c>
      <c r="C2" t="s">
        <v>715</v>
      </c>
    </row>
    <row r="4" spans="1:14" x14ac:dyDescent="0.3">
      <c r="B4" t="s">
        <v>712</v>
      </c>
      <c r="C4" t="s">
        <v>713</v>
      </c>
      <c r="N4">
        <v>0</v>
      </c>
    </row>
    <row r="5" spans="1:14" x14ac:dyDescent="0.3">
      <c r="N5">
        <v>3500</v>
      </c>
    </row>
    <row r="6" spans="1:14" x14ac:dyDescent="0.3">
      <c r="A6" t="s">
        <v>711</v>
      </c>
    </row>
    <row r="7" spans="1:14" x14ac:dyDescent="0.3">
      <c r="A7">
        <v>1</v>
      </c>
      <c r="B7">
        <v>1398.6065288048458</v>
      </c>
      <c r="C7">
        <v>2242.6001811130582</v>
      </c>
    </row>
    <row r="8" spans="1:14" x14ac:dyDescent="0.3">
      <c r="A8">
        <v>2</v>
      </c>
      <c r="B8">
        <v>1563.1484883531657</v>
      </c>
      <c r="C8">
        <v>2718.8597970125725</v>
      </c>
    </row>
    <row r="9" spans="1:14" x14ac:dyDescent="0.3">
      <c r="A9">
        <v>3</v>
      </c>
      <c r="B9">
        <v>1368.5258833864855</v>
      </c>
      <c r="C9">
        <v>2397.7731849181546</v>
      </c>
    </row>
    <row r="10" spans="1:14" x14ac:dyDescent="0.3">
      <c r="A10">
        <v>4</v>
      </c>
      <c r="B10">
        <v>1692.14509569343</v>
      </c>
      <c r="C10">
        <v>2953.0622135714511</v>
      </c>
    </row>
    <row r="11" spans="1:14" x14ac:dyDescent="0.3">
      <c r="A11">
        <v>5</v>
      </c>
      <c r="B11">
        <v>1708.5412207535396</v>
      </c>
      <c r="C11">
        <v>2897.4368952200848</v>
      </c>
    </row>
    <row r="12" spans="1:14" x14ac:dyDescent="0.3">
      <c r="A12">
        <v>6</v>
      </c>
      <c r="B12">
        <v>1598.2501105034166</v>
      </c>
      <c r="C12">
        <v>2736.6998273171448</v>
      </c>
    </row>
    <row r="13" spans="1:14" x14ac:dyDescent="0.3">
      <c r="A13">
        <v>7</v>
      </c>
      <c r="B13">
        <v>1671.2312276847435</v>
      </c>
      <c r="C13">
        <v>2915.0885965382577</v>
      </c>
    </row>
    <row r="14" spans="1:14" x14ac:dyDescent="0.3">
      <c r="A14">
        <v>8</v>
      </c>
      <c r="B14">
        <v>1757.1442338004388</v>
      </c>
      <c r="C14">
        <v>2906.907742607068</v>
      </c>
    </row>
    <row r="15" spans="1:14" x14ac:dyDescent="0.3">
      <c r="A15">
        <v>9</v>
      </c>
      <c r="B15">
        <v>1461.4396484272722</v>
      </c>
      <c r="C15">
        <v>2423.1886204961952</v>
      </c>
    </row>
    <row r="16" spans="1:14" x14ac:dyDescent="0.3">
      <c r="A16">
        <v>10</v>
      </c>
      <c r="B16">
        <v>1923.54030760053</v>
      </c>
      <c r="C16">
        <v>3303.5234845536324</v>
      </c>
    </row>
    <row r="17" spans="1:14" x14ac:dyDescent="0.3">
      <c r="A17">
        <v>11</v>
      </c>
      <c r="B17">
        <v>1753.7772285655806</v>
      </c>
      <c r="C17">
        <v>2971.2179574674101</v>
      </c>
    </row>
    <row r="18" spans="1:14" x14ac:dyDescent="0.3">
      <c r="A18">
        <v>12</v>
      </c>
      <c r="B18">
        <v>1383.6940820598359</v>
      </c>
      <c r="C18">
        <v>2442.412209780111</v>
      </c>
    </row>
    <row r="19" spans="1:14" x14ac:dyDescent="0.3">
      <c r="A19">
        <v>13</v>
      </c>
      <c r="B19">
        <v>1492.2575836385186</v>
      </c>
      <c r="C19">
        <v>2570.5247515433839</v>
      </c>
    </row>
    <row r="20" spans="1:14" x14ac:dyDescent="0.3">
      <c r="A20">
        <v>14</v>
      </c>
      <c r="B20">
        <v>1443.0982688602539</v>
      </c>
      <c r="C20">
        <v>2566.8154409297954</v>
      </c>
      <c r="N20">
        <v>0</v>
      </c>
    </row>
    <row r="21" spans="1:14" x14ac:dyDescent="0.3">
      <c r="A21">
        <v>15</v>
      </c>
      <c r="B21">
        <v>1701.0724058575749</v>
      </c>
      <c r="C21">
        <v>2822.4012835863527</v>
      </c>
      <c r="N21">
        <v>3500</v>
      </c>
    </row>
    <row r="22" spans="1:14" x14ac:dyDescent="0.3">
      <c r="A22">
        <v>16</v>
      </c>
      <c r="B22">
        <v>1247.3843570900185</v>
      </c>
      <c r="C22">
        <v>2088.1321819857026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Scale</vt:lpstr>
      <vt:lpstr>Plot Scale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2023-10-05T15:08:27Z</dcterms:modified>
</cp:coreProperties>
</file>